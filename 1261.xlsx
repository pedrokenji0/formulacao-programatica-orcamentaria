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x70167581686\OneDrive - CAMG\General\@dcmefo\2025\OBZ\bases\unidades\"/>
    </mc:Choice>
  </mc:AlternateContent>
  <bookViews>
    <workbookView xWindow="-105" yWindow="-105" windowWidth="23250" windowHeight="12450" tabRatio="914" firstSheet="6" activeTab="6"/>
  </bookViews>
  <sheets>
    <sheet name="INDICE" sheetId="18" r:id="rId1"/>
    <sheet name="BASE OBZ - EXEMPLO" sheetId="26" r:id="rId2"/>
    <sheet name="EXEMPLO PREENCHIMENTO OBZ" sheetId="13" state="hidden" r:id="rId3"/>
    <sheet name="PONTOS IMPORTANTES" sheetId="20" r:id="rId4"/>
    <sheet name="ELEMENTO" sheetId="7" state="hidden" r:id="rId5"/>
    <sheet name="DECRETO DIÁRIAS" sheetId="23" r:id="rId6"/>
    <sheet name="BASE OBZ" sheetId="28" r:id="rId7"/>
    <sheet name="ORGANOGRAMA" sheetId="1" state="hidden" r:id="rId8"/>
    <sheet name="CENÁRIO" sheetId="3" state="hidden" r:id="rId9"/>
    <sheet name="VALIDACAO" sheetId="32" state="hidden" r:id="rId10"/>
    <sheet name="AÇÕES E PROGRAMAS" sheetId="31" state="hidden" r:id="rId11"/>
    <sheet name="AGRUPAMENTO" sheetId="30" state="hidden" r:id="rId12"/>
    <sheet name="FONTE 2.0" sheetId="21" state="hidden" r:id="rId13"/>
    <sheet name="FONTE 1.0" sheetId="9" state="hidden" r:id="rId14"/>
  </sheets>
  <definedNames>
    <definedName name="_xlnm._FilterDatabase" localSheetId="11" hidden="1">AGRUPAMENTO!$A$1:$E$6799</definedName>
    <definedName name="_xlnm._FilterDatabase" localSheetId="6" hidden="1">'BASE OBZ'!$A$2:$AC$316</definedName>
    <definedName name="_xlnm._FilterDatabase" localSheetId="1" hidden="1">'BASE OBZ - EXEMPLO'!$A$2:$AE$2</definedName>
    <definedName name="AGEPROG">'AÇÕES E PROGRAMAS'!$A$2:$A$4</definedName>
    <definedName name="ARMBHPROG">'AÇÕES E PROGRAMAS'!$B$2:$B$3</definedName>
    <definedName name="ARMVAPROG">'AÇÕES E PROGRAMAS'!$C$2:$C$4</definedName>
    <definedName name="ARSAEPROG">'AÇÕES E PROGRAMAS'!$E$2:$E$3</definedName>
    <definedName name="ARTEMIGPROG">'AÇÕES E PROGRAMAS'!$DJ$2</definedName>
    <definedName name="CBMMGPROG">'AÇÕES E PROGRAMAS'!$S$2:$S$5</definedName>
    <definedName name="CGEPROG">'AÇÕES E PROGRAMAS'!$Q$2:$Q$6</definedName>
    <definedName name="DERPROG">'AÇÕES E PROGRAMAS'!$U$2:$U$4</definedName>
    <definedName name="EAGE">AGRUPAMENTO!$C$115:$C$210</definedName>
    <definedName name="EGMG">AGRUPAMENTO!$C$2:$C$114</definedName>
    <definedName name="ELEMENTO">AGRUPAMENTO!$K$2:$K$267</definedName>
    <definedName name="EMATERPROG">'AÇÕES E PROGRAMAS'!$X$2:$X$6</definedName>
    <definedName name="EMCPROG">'AÇÕES E PROGRAMAS'!$Z$2:$Z$4</definedName>
    <definedName name="EOGE">AGRUPAMENTO!$C$211:$C$256</definedName>
    <definedName name="EPAMIGPROG">'AÇÕES E PROGRAMAS'!$Y$2:$Y$4</definedName>
    <definedName name="EPMMG">AGRUPAMENTO!$C$575:$C$751</definedName>
    <definedName name="ESEAPA">AGRUPAMENTO!$C$475:$C$574</definedName>
    <definedName name="ESEDE">AGRUPAMENTO!$C$383:$C$474</definedName>
    <definedName name="ESEE">AGRUPAMENTO!$C$752:$C$948</definedName>
    <definedName name="ESEF">AGRUPAMENTO!$C$257:$C$382</definedName>
    <definedName name="ESPMGPROG">'AÇÕES E PROGRAMAS'!$AB$2:$AB$3</definedName>
    <definedName name="FAOPPROG">'AÇÕES E PROGRAMAS'!$AF$2:$AF$6</definedName>
    <definedName name="FAPEMIGPROG">'AÇÕES E PROGRAMAS'!$AE$2:$AE$4</definedName>
    <definedName name="FCSPROG">'AÇÕES E PROGRAMAS'!$AD$2:$AD$6</definedName>
    <definedName name="FDMPROG">'AÇÕES E PROGRAMAS'!$AT$2</definedName>
    <definedName name="FEAMPROG">'AÇÕES E PROGRAMAS'!$AI$2:$AI$4</definedName>
    <definedName name="FEASPROG">'AÇÕES E PROGRAMAS'!$BE$2:$BE$3</definedName>
    <definedName name="FESPROG">'AÇÕES E PROGRAMAS'!$BN$2:$BN$11</definedName>
    <definedName name="FGPPROG">'AÇÕES E PROGRAMAS'!$AV$2</definedName>
    <definedName name="FHAPROG">'AÇÕES E PROGRAMAS'!$AK$2:$AK$8</definedName>
    <definedName name="FHEMIGPROG">'AÇÕES E PROGRAMAS'!$AL$2:$AL$3</definedName>
    <definedName name="FHIDROPROG">'AÇÕES E PROGRAMAS'!$AZ$2:$AZ$6</definedName>
    <definedName name="FJPPROG">'AÇÕES E PROGRAMAS'!$AM$2:$AM$6</definedName>
    <definedName name="FONTEARMBH">'FONTE 1.0'!$A$2:$A$3</definedName>
    <definedName name="FONTEARMVA">'FONTE 1.0'!$B$2:$B$3</definedName>
    <definedName name="FONTEARSAE">'FONTE 1.0'!$C$2:$C$3</definedName>
    <definedName name="FONTEDER">'FONTE 1.0'!$D$2:$D$10</definedName>
    <definedName name="FONTEFAOP">'FONTE 1.0'!$F$2:$F$4</definedName>
    <definedName name="FONTEFCS">'FONTE 1.0'!$G$2:$G$3</definedName>
    <definedName name="FONTEFDM">'FONTE 1.0'!$R$2:$R$3</definedName>
    <definedName name="FONTEFEAM">'FONTE 1.0'!$H$2:$H$5</definedName>
    <definedName name="FONTEFEAS">'FONTE 1.0'!$S$2:$S$4</definedName>
    <definedName name="FONTEFJP">'FONTE 1.0'!$I$2:$I$4</definedName>
    <definedName name="FONTEFUNTRANS">'FONTE 1.0'!$E$2</definedName>
    <definedName name="FONTEIDENE">'FONTE 1.0'!$J$2:$J$3</definedName>
    <definedName name="FONTEIEF">'FONTE 1.0'!$K$2:$K$8</definedName>
    <definedName name="FONTEIEPHA">'FONTE 1.0'!$L$2:$L$4</definedName>
    <definedName name="FONTEIGAM">'FONTE 1.0'!$M$2:$M$6</definedName>
    <definedName name="FONTEIMA">'FONTE 1.0'!$N$2:$N$4</definedName>
    <definedName name="FONTEJUCEMG">'FONTE 1.0'!$O$2</definedName>
    <definedName name="FONTELEMG">'FONTE 1.0'!$P$2</definedName>
    <definedName name="FONTESEDESE">'FONTE 1.0'!$Q$2:$Q$7</definedName>
    <definedName name="FPPPROG">'AÇÕES E PROGRAMAS'!$AY$2</definedName>
    <definedName name="FUCAMPROG">'AÇÕES E PROGRAMAS'!$AH$2:$AH$4</definedName>
    <definedName name="FUNAPECPROG">'AÇÕES E PROGRAMAS'!$AQ$2:$AQ$3</definedName>
    <definedName name="FUNEDPROG">'AÇÕES E PROGRAMAS'!$AJ$2:$AJ$6</definedName>
    <definedName name="FUNTRANSPROG">'AÇÕES E PROGRAMAS'!$BH$2:$BH$3</definedName>
    <definedName name="GMGPROG">'AÇÕES E PROGRAMAS'!$BU$2:$BU$9</definedName>
    <definedName name="HEMOMINASPROG">'AÇÕES E PROGRAMAS'!$AC$2:$AC$3</definedName>
    <definedName name="IDENEPROG">'AÇÕES E PROGRAMAS'!$BW$2:$BW$4</definedName>
    <definedName name="IEFPROG">'AÇÕES E PROGRAMAS'!$CB$2:$CB$4</definedName>
    <definedName name="IEPHAPROG">'AÇÕES E PROGRAMAS'!$CC$2:$CC$6</definedName>
    <definedName name="IGAMPROG">'AÇÕES E PROGRAMAS'!$CE$2:$CE$4</definedName>
    <definedName name="IMAPROG">'AÇÕES E PROGRAMAS'!$CD$2:$CD$7</definedName>
    <definedName name="IPSEMGPROG">'AÇÕES E PROGRAMAS'!$BZ$2:$BZ$5</definedName>
    <definedName name="IPSMPROG">'AÇÕES E PROGRAMAS'!$CA$2:$CA$4</definedName>
    <definedName name="JUCEMGPROG">'AÇÕES E PROGRAMAS'!$CF$2:$CF$3</definedName>
    <definedName name="LEMGPROG">'AÇÕES E PROGRAMAS'!$CG$2:$CG$3</definedName>
    <definedName name="OGEPROG">'AÇÕES E PROGRAMAS'!$CJ$2:$CJ$4</definedName>
    <definedName name="P000GMG">'AÇÕES E PROGRAMAS'!$BU$29:$BU$30</definedName>
    <definedName name="P001CGE">'AÇÕES E PROGRAMAS'!$Q$8:$Q$10</definedName>
    <definedName name="P002CGE">'AÇÕES E PROGRAMAS'!$Q$12:$Q$14</definedName>
    <definedName name="P003CGE">'AÇÕES E PROGRAMAS'!$Q$16:$Q$18</definedName>
    <definedName name="P004CGE">'AÇÕES E PROGRAMAS'!$Q$20:$Q$22</definedName>
    <definedName name="P005FCS">'AÇÕES E PROGRAMAS'!$AD$8</definedName>
    <definedName name="P005FUCAM">'AÇÕES E PROGRAMAS'!$AH$6:$AH$8</definedName>
    <definedName name="P005SCC">'AÇÕES E PROGRAMAS'!$CP$6</definedName>
    <definedName name="P005SEDESE">'AÇÕES E PROGRAMAS'!$CU$18:$CU$19</definedName>
    <definedName name="P005SEE">'AÇÕES E PROGRAMAS'!$CV$14</definedName>
    <definedName name="P006IPSM">'AÇÕES E PROGRAMAS'!$CA$6:$CA$7</definedName>
    <definedName name="P007UNIMONTES">'AÇÕES E PROGRAMAS'!$DI$5:$DI$11</definedName>
    <definedName name="P008IPSM">'AÇÕES E PROGRAMAS'!$CA$9:$CA$10</definedName>
    <definedName name="P010ARSAE">'AÇÕES E PROGRAMAS'!$E$5:$E$9</definedName>
    <definedName name="P011SEC.GERAL">'AÇÕES E PROGRAMAS'!$DC$5</definedName>
    <definedName name="P015EPAMIG">'AÇÕES E PROGRAMAS'!$Y$6:$Y$8</definedName>
    <definedName name="P016EPAMIG">'AÇÕES E PROGRAMAS'!$Y$10:$Y$15</definedName>
    <definedName name="P018SECOM">'AÇÕES E PROGRAMAS'!$CR$5:$CR$7</definedName>
    <definedName name="P019FHEMIG">'AÇÕES E PROGRAMAS'!$AL$5:$AL$11</definedName>
    <definedName name="P021FHIDRO">'AÇÕES E PROGRAMAS'!$AZ$8</definedName>
    <definedName name="P021SEMAD">'AÇÕES E PROGRAMAS'!$DA$7:$DA$9</definedName>
    <definedName name="P022FAPEMIG">'AÇÕES E PROGRAMAS'!$AE$6:$AE$10</definedName>
    <definedName name="P023SEDESE">'AÇÕES E PROGRAMAS'!$CU$21:$CU$25</definedName>
    <definedName name="P025SEMAD">'AÇÕES E PROGRAMAS'!$DA$11:$DA$14</definedName>
    <definedName name="P026UEMG">'AÇÕES E PROGRAMAS'!$DH$5:$DH$10</definedName>
    <definedName name="P027FHIDRO">'AÇÕES E PROGRAMAS'!$AZ$10:$AZ$12</definedName>
    <definedName name="P027SEMAD">'AÇÕES E PROGRAMAS'!$DA$16:$DA$18</definedName>
    <definedName name="P028ESPMG">'AÇÕES E PROGRAMAS'!$AB$5:$AB$6</definedName>
    <definedName name="P029JUCEMG">'AÇÕES E PROGRAMAS'!$CF$5:$CF$6</definedName>
    <definedName name="P031FHIDRO">'AÇÕES E PROGRAMAS'!$AZ$14</definedName>
    <definedName name="P031IEF">'AÇÕES E PROGRAMAS'!$CB$6:$CB$12</definedName>
    <definedName name="P032PCMG">'AÇÕES E PROGRAMAS'!$CL$7:$CL$17</definedName>
    <definedName name="P033SEF">'AÇÕES E PROGRAMAS'!$CW$7:$CW$11</definedName>
    <definedName name="P034GMG">'AÇÕES E PROGRAMAS'!$BU$11</definedName>
    <definedName name="P036PCMG">'AÇÕES E PROGRAMAS'!$CL$19:$CL$20</definedName>
    <definedName name="P037PCMG">'AÇÕES E PROGRAMAS'!$CL$22:$CL$24</definedName>
    <definedName name="P038SEF">'AÇÕES E PROGRAMAS'!$CW$13:$CW$23</definedName>
    <definedName name="P039IPSEMG">'AÇÕES E PROGRAMAS'!$BZ$7:$BZ$11</definedName>
    <definedName name="P040FEAM">'AÇÕES E PROGRAMAS'!$AI$6:$AI$7</definedName>
    <definedName name="P041FEAM">'AÇÕES E PROGRAMAS'!$AI$9:$AI$10</definedName>
    <definedName name="P042FHA">'AÇÕES E PROGRAMAS'!$AK$10:$AK$16</definedName>
    <definedName name="P043AGE">'AÇÕES E PROGRAMAS'!$A$6:$A$8</definedName>
    <definedName name="P043SEE">'AÇÕES E PROGRAMAS'!$CV$16</definedName>
    <definedName name="P044AGE">'AÇÕES E PROGRAMAS'!$A$10:$A$12</definedName>
    <definedName name="P045SEF">'AÇÕES E PROGRAMAS'!$CW$25:$CW$30</definedName>
    <definedName name="P046GMG">'AÇÕES E PROGRAMAS'!$BU$13</definedName>
    <definedName name="P046IEF">'AÇÕES E PROGRAMAS'!$CB$14</definedName>
    <definedName name="P046PMMG">'AÇÕES E PROGRAMAS'!$CM$9</definedName>
    <definedName name="P047CBMMG">'AÇÕES E PROGRAMAS'!$S$7</definedName>
    <definedName name="P047DER">'AÇÕES E PROGRAMAS'!$U$6</definedName>
    <definedName name="P047GMG">'AÇÕES E PROGRAMAS'!$BU$15</definedName>
    <definedName name="P047IGAM">'AÇÕES E PROGRAMAS'!$CE$6</definedName>
    <definedName name="P047SEINFRA">'AÇÕES E PROGRAMAS'!$CY$10</definedName>
    <definedName name="P048GMG">'AÇÕES E PROGRAMAS'!$BU$17:$BU$20</definedName>
    <definedName name="P048PMMG">'AÇÕES E PROGRAMAS'!$CM$11</definedName>
    <definedName name="P049GMG">'AÇÕES E PROGRAMAS'!$BU$22</definedName>
    <definedName name="P050GMG">'AÇÕES E PROGRAMAS'!$BU$24</definedName>
    <definedName name="P051FHA">'AÇÕES E PROGRAMAS'!$AK$18:$AK$20</definedName>
    <definedName name="P052CBMMG">'AÇÕES E PROGRAMAS'!$S$9:$S$21</definedName>
    <definedName name="P053CBMMG">'AÇÕES E PROGRAMAS'!$S$23</definedName>
    <definedName name="P054OGE">'AÇÕES E PROGRAMAS'!$CJ$6:$CJ$12</definedName>
    <definedName name="P055OGE">'AÇÕES E PROGRAMAS'!$CJ$14:$CJ$20</definedName>
    <definedName name="P056IDENE">'AÇÕES E PROGRAMAS'!$BW$6:$BW$10</definedName>
    <definedName name="P056SEDE">'AÇÕES E PROGRAMAS'!$CT$9</definedName>
    <definedName name="P058FES">'AÇÕES E PROGRAMAS'!$BN$13:$BN$16</definedName>
    <definedName name="P059FES">'AÇÕES E PROGRAMAS'!$BN$18:$BN$22</definedName>
    <definedName name="P060FES">'AÇÕES E PROGRAMAS'!$BN$24:$BN$27</definedName>
    <definedName name="P061FES">'AÇÕES E PROGRAMAS'!$BN$29:$BN$32</definedName>
    <definedName name="P062FES">'AÇÕES E PROGRAMAS'!$BN$34:$BN$38</definedName>
    <definedName name="P063FES">'AÇÕES E PROGRAMAS'!$BN$40:$BN$45</definedName>
    <definedName name="P064FES">'AÇÕES E PROGRAMAS'!$BN$47:$BN$48</definedName>
    <definedName name="P065FHIDRO">'AÇÕES E PROGRAMAS'!$AZ$16:$AZ$19</definedName>
    <definedName name="P065IGAM">'AÇÕES E PROGRAMAS'!$CE$8:$CE$15</definedName>
    <definedName name="P066SEDESE">'AÇÕES E PROGRAMAS'!$CU$27:$CU$29</definedName>
    <definedName name="P067SEDESE">'AÇÕES E PROGRAMAS'!$CU$31</definedName>
    <definedName name="P067UTRAMIG">'AÇÕES E PROGRAMAS'!$AG$5</definedName>
    <definedName name="P068FES">'AÇÕES E PROGRAMAS'!$BN$50</definedName>
    <definedName name="P068SEDESE">'AÇÕES E PROGRAMAS'!$CU$33:$CU$35</definedName>
    <definedName name="P069SEDESE">'AÇÕES E PROGRAMAS'!$CU$37:$CU$45</definedName>
    <definedName name="P070SEDESE">'AÇÕES E PROGRAMAS'!$CU$47:$CU$55</definedName>
    <definedName name="P071FEAS">'AÇÕES E PROGRAMAS'!$BE$5:$BE$13</definedName>
    <definedName name="P071SEDESE">'AÇÕES E PROGRAMAS'!$CU$57</definedName>
    <definedName name="P073SEDESE">'AÇÕES E PROGRAMAS'!$CU$59:$CU$61</definedName>
    <definedName name="P074SEDESE">'AÇÕES E PROGRAMAS'!$CU$63:$CU$65</definedName>
    <definedName name="P075FHA">'AÇÕES E PROGRAMAS'!$AK$22:$AK$23</definedName>
    <definedName name="P076FHA">'AÇÕES E PROGRAMAS'!$AK$25:$AK$26</definedName>
    <definedName name="P077ARMBH">'AÇÕES E PROGRAMAS'!$B$5:$B$6</definedName>
    <definedName name="P077ARMVA">'AÇÕES E PROGRAMAS'!$C$6:$C$7</definedName>
    <definedName name="P077FDM">'AÇÕES E PROGRAMAS'!$AT$4:$AT$6</definedName>
    <definedName name="P078IMA">'AÇÕES E PROGRAMAS'!$CD$9:$CD$14</definedName>
    <definedName name="P080IMA">'AÇÕES E PROGRAMAS'!$CD$16:$CD$18</definedName>
    <definedName name="P081DER">'AÇÕES E PROGRAMAS'!$U$8:$U$18</definedName>
    <definedName name="P081SEINFRA">'AÇÕES E PROGRAMAS'!$CY$12</definedName>
    <definedName name="P082FUNTRANS">'AÇÕES E PROGRAMAS'!$BH$5:$BH$10</definedName>
    <definedName name="P083FEAS">'AÇÕES E PROGRAMAS'!$BE$15</definedName>
    <definedName name="P083SEDESE">'AÇÕES E PROGRAMAS'!$CU$67:$CU$70</definedName>
    <definedName name="P084SEDESE">'AÇÕES E PROGRAMAS'!$CU$72:$CU$74</definedName>
    <definedName name="P085ARTEMIG">'AÇÕES E PROGRAMAS'!$DJ$4:$DJ$14</definedName>
    <definedName name="P085FGP">'AÇÕES E PROGRAMAS'!$AV$4</definedName>
    <definedName name="P085FPP">'AÇÕES E PROGRAMAS'!$AY$4:$AY$20</definedName>
    <definedName name="P085SEINFRA">'AÇÕES E PROGRAMAS'!$DJ$4:$DJ$14</definedName>
    <definedName name="P086SEDESE">'AÇÕES E PROGRAMAS'!$CU$76:$CU$78</definedName>
    <definedName name="P087HEMOMINAS">'AÇÕES E PROGRAMAS'!$AC$5:$AC$7</definedName>
    <definedName name="P088IPSEMG">'AÇÕES E PROGRAMAS'!$BZ$13:$BZ$15</definedName>
    <definedName name="P089FHA">'AÇÕES E PROGRAMAS'!$AK$28:$AK$29</definedName>
    <definedName name="P090EMATER">'AÇÕES E PROGRAMAS'!$X$8</definedName>
    <definedName name="P091FJP">'AÇÕES E PROGRAMAS'!$AM$8:$AM$15</definedName>
    <definedName name="P093FJP">'AÇÕES E PROGRAMAS'!$AM$17</definedName>
    <definedName name="P095FJP">'AÇÕES E PROGRAMAS'!$AM$19:$AM$21</definedName>
    <definedName name="P096FJP">'AÇÕES E PROGRAMAS'!$AM$23:$AM$25</definedName>
    <definedName name="P097EMATER">'AÇÕES E PROGRAMAS'!$X$10:$X$11</definedName>
    <definedName name="P099SEINFRA">'AÇÕES E PROGRAMAS'!$CY$22:$CY$31</definedName>
    <definedName name="P100SECULT">'AÇÕES E PROGRAMAS'!$CS$9:$CS$13</definedName>
    <definedName name="P102EMC">'AÇÕES E PROGRAMAS'!$Z$6</definedName>
    <definedName name="P102FAOP">'AÇÕES E PROGRAMAS'!$AF$8:$AF$9</definedName>
    <definedName name="P102FCS">'AÇÕES E PROGRAMAS'!$AD$10</definedName>
    <definedName name="P102IEPHA">'AÇÕES E PROGRAMAS'!$CC$8:$CC$11</definedName>
    <definedName name="P102SECULT">'AÇÕES E PROGRAMAS'!$CS$15:$CS$18</definedName>
    <definedName name="P103FAOP">'AÇÕES E PROGRAMAS'!$AF$11</definedName>
    <definedName name="P103FCS">'AÇÕES E PROGRAMAS'!$AD$12:$AD$15</definedName>
    <definedName name="P103IEPHA">'AÇÕES E PROGRAMAS'!$CC$13</definedName>
    <definedName name="P103SECULT">'AÇÕES E PROGRAMAS'!$CS$20:$CS$22</definedName>
    <definedName name="P104FUCAM">'AÇÕES E PROGRAMAS'!$AH$10:$AH$14</definedName>
    <definedName name="P105FAOP">'AÇÕES E PROGRAMAS'!$AF$13</definedName>
    <definedName name="P105FCS">'AÇÕES E PROGRAMAS'!$AD$17</definedName>
    <definedName name="P105IEPHA">'AÇÕES E PROGRAMAS'!$CC$15</definedName>
    <definedName name="P105SECULT">'AÇÕES E PROGRAMAS'!$CS$24:$CS$25</definedName>
    <definedName name="P106FAOP">'AÇÕES E PROGRAMAS'!$AF$15:$AF$16</definedName>
    <definedName name="P106IEPHA">'AÇÕES E PROGRAMAS'!$CC$17:$CC$20</definedName>
    <definedName name="P106SECULT">'AÇÕES E PROGRAMAS'!$CS$27:$CS$29</definedName>
    <definedName name="P108EMATER">'AÇÕES E PROGRAMAS'!$X$13</definedName>
    <definedName name="P108IMA">'AÇÕES E PROGRAMAS'!$CD$20</definedName>
    <definedName name="P108SEAPA">'AÇÕES E PROGRAMAS'!$CQ$12:$CQ$15</definedName>
    <definedName name="P109SEGOV">'AÇÕES E PROGRAMAS'!$CX$9</definedName>
    <definedName name="P110EMATER">'AÇÕES E PROGRAMAS'!$X$15</definedName>
    <definedName name="P110SEAPA">'AÇÕES E PROGRAMAS'!$CQ$17</definedName>
    <definedName name="P111SEAPA">'AÇÕES E PROGRAMAS'!$CQ$19:$CQ$22</definedName>
    <definedName name="P112IMA">'AÇÕES E PROGRAMAS'!$CD$22</definedName>
    <definedName name="P112SEAPA">'AÇÕES E PROGRAMAS'!$CQ$24:$CQ$28</definedName>
    <definedName name="P113SEAPA">'AÇÕES E PROGRAMAS'!$CQ$30:$CQ$31</definedName>
    <definedName name="P114SEAPA">'AÇÕES E PROGRAMAS'!$CQ$33:$CQ$37</definedName>
    <definedName name="P115SEGOV">'AÇÕES E PROGRAMAS'!$CX$11</definedName>
    <definedName name="P116SEAPA">'AÇÕES E PROGRAMAS'!$CQ$39:$CQ$40</definedName>
    <definedName name="P117SEINFRA">'AÇÕES E PROGRAMAS'!$CY$33:$CY$36</definedName>
    <definedName name="P118IMA">'AÇÕES E PROGRAMAS'!$CD$24</definedName>
    <definedName name="P118SEAPA">'AÇÕES E PROGRAMAS'!$CQ$42</definedName>
    <definedName name="P119SEGOV">'AÇÕES E PROGRAMAS'!$CX$13:$CX$16</definedName>
    <definedName name="P120SEGOV">'AÇÕES E PROGRAMAS'!$CX$18</definedName>
    <definedName name="P121EMC">'AÇÕES E PROGRAMAS'!$Z$8:$Z$16</definedName>
    <definedName name="P121TVMINAS">'AÇÕES E PROGRAMAS'!$AN$5:$AN$7</definedName>
    <definedName name="P122SEGOV">'AÇÕES E PROGRAMAS'!$CX$20:$CX$22</definedName>
    <definedName name="P124IDENE">'AÇÕES E PROGRAMAS'!$BW$12:$BW$15</definedName>
    <definedName name="P125ARMVA">'AÇÕES E PROGRAMAS'!$C$9</definedName>
    <definedName name="P125SEDE">'AÇÕES E PROGRAMAS'!$CT$11:$CT$16</definedName>
    <definedName name="P126LEMG">'AÇÕES E PROGRAMAS'!$CG$5</definedName>
    <definedName name="P128SEINFRA">'AÇÕES E PROGRAMAS'!$CY$38</definedName>
    <definedName name="P129SEJUSP">'AÇÕES E PROGRAMAS'!$CZ$9:$CZ$10</definedName>
    <definedName name="P130SEJUSP">'AÇÕES E PROGRAMAS'!$CZ$12:$CZ$17</definedName>
    <definedName name="P131SCC">'AÇÕES E PROGRAMAS'!$CP$8:$CP$12</definedName>
    <definedName name="P132SEDE">'AÇÕES E PROGRAMAS'!$CT$18:$CT$21</definedName>
    <definedName name="P133SEDE">'AÇÕES E PROGRAMAS'!$CT$23:$CT$31</definedName>
    <definedName name="P134SEJUSP">'AÇÕES E PROGRAMAS'!$CZ$19:$CZ$24</definedName>
    <definedName name="P135PMMG">'AÇÕES E PROGRAMAS'!$CM$13:$CM$14</definedName>
    <definedName name="P136PMMG">'AÇÕES E PROGRAMAS'!$CM$16:$CM$17</definedName>
    <definedName name="P137PMMG">'AÇÕES E PROGRAMAS'!$CM$19:$CM$24</definedName>
    <definedName name="P138FUNAPEC">'AÇÕES E PROGRAMAS'!$AQ$5</definedName>
    <definedName name="P138IPSEMG">'AÇÕES E PROGRAMAS'!$BZ$17</definedName>
    <definedName name="P141SEJUSP">'AÇÕES E PROGRAMAS'!$CZ$26:$CZ$27</definedName>
    <definedName name="P143FAPEMIG">'AÇÕES E PROGRAMAS'!$AE$12:$AE$16</definedName>
    <definedName name="P143SEDE">'AÇÕES E PROGRAMAS'!$CT$33:$CT$34</definedName>
    <definedName name="P146SEJUSP">'AÇÕES E PROGRAMAS'!$CZ$29:$CZ$31</definedName>
    <definedName name="P147SEPLAG">'AÇÕES E PROGRAMAS'!$DB$13:$DB$17</definedName>
    <definedName name="P148SEDESE">'AÇÕES E PROGRAMAS'!$CU$80:$CU$82</definedName>
    <definedName name="P149SEPLAG">'AÇÕES E PROGRAMAS'!$DB$19:$DB$24</definedName>
    <definedName name="P150FUNED">'AÇÕES E PROGRAMAS'!$AJ$8</definedName>
    <definedName name="P151SEPLAG">'AÇÕES E PROGRAMAS'!$DB$26:$DB$28</definedName>
    <definedName name="P152FUNED">'AÇÕES E PROGRAMAS'!$AJ$10</definedName>
    <definedName name="P153FUNED">'AÇÕES E PROGRAMAS'!$AJ$12</definedName>
    <definedName name="P154FUNED">'AÇÕES E PROGRAMAS'!$AJ$14:$AJ$15</definedName>
    <definedName name="P155SEPLAG">'AÇÕES E PROGRAMAS'!$DB$30:$DB$31</definedName>
    <definedName name="P156SEPLAG">'AÇÕES E PROGRAMAS'!$DB$33:$DB$36</definedName>
    <definedName name="P157SEPLAG">'AÇÕES E PROGRAMAS'!$DB$38:$DB$39</definedName>
    <definedName name="P159SEPLAG">'AÇÕES E PROGRAMAS'!$DB$41:$DB$42</definedName>
    <definedName name="P160SEPLAG">'AÇÕES E PROGRAMAS'!$DB$44:$DB$47</definedName>
    <definedName name="P161SEPLAG">'AÇÕES E PROGRAMAS'!$DB$49:$DB$53</definedName>
    <definedName name="P162SEE">'AÇÕES E PROGRAMAS'!$CV$18:$CV$37</definedName>
    <definedName name="P163FHA">'AÇÕES E PROGRAMAS'!$AK$31</definedName>
    <definedName name="P163SEE">'AÇÕES E PROGRAMAS'!$CV$39:$CV$41</definedName>
    <definedName name="P164SEE">'AÇÕES E PROGRAMAS'!$CV$43</definedName>
    <definedName name="P165SEE">'AÇÕES E PROGRAMAS'!$CV$45:$CV$48</definedName>
    <definedName name="P166FES">'AÇÕES E PROGRAMAS'!$BN$52:$BN$58</definedName>
    <definedName name="P167SEE">'AÇÕES E PROGRAMAS'!$CV$50:$CV$67</definedName>
    <definedName name="P168SEE">'AÇÕES E PROGRAMAS'!$CV$69:$CV$81</definedName>
    <definedName name="P169SEE">'AÇÕES E PROGRAMAS'!$CV$83:$CV$85</definedName>
    <definedName name="P170SEE">'AÇÕES E PROGRAMAS'!$CV$87:$CV$95</definedName>
    <definedName name="P172SEE">'AÇÕES E PROGRAMAS'!$CV$97:$CV$101</definedName>
    <definedName name="P705AGE">'AÇÕES E PROGRAMAS'!$A$14:$A$16</definedName>
    <definedName name="P705ARMBH">'AÇÕES E PROGRAMAS'!$B$8:$B$10</definedName>
    <definedName name="P705ARMVA">'AÇÕES E PROGRAMAS'!$C$11:$C$13</definedName>
    <definedName name="P705ARSAE">'AÇÕES E PROGRAMAS'!$E$11:$E$13</definedName>
    <definedName name="P705CBMMG">'AÇÕES E PROGRAMAS'!$S$25:$S$28</definedName>
    <definedName name="P705CGE">'AÇÕES E PROGRAMAS'!$Q$24:$Q$25</definedName>
    <definedName name="P705DER">'AÇÕES E PROGRAMAS'!$U$20:$U$22</definedName>
    <definedName name="P705EMATER">'AÇÕES E PROGRAMAS'!$X$17:$X$19</definedName>
    <definedName name="P705EMC">'AÇÕES E PROGRAMAS'!$Z$18:$Z$19</definedName>
    <definedName name="P705EPAMIG">'AÇÕES E PROGRAMAS'!$Y$17:$Y$19</definedName>
    <definedName name="P705ESPMG">'AÇÕES E PROGRAMAS'!$AB$8:$AB$9</definedName>
    <definedName name="P705FAOP">'AÇÕES E PROGRAMAS'!$AF$18:$AF$20</definedName>
    <definedName name="P705FAPEMIG">'AÇÕES E PROGRAMAS'!$AE$18:$AE$21</definedName>
    <definedName name="P705FCS">'AÇÕES E PROGRAMAS'!$AD$19:$AD$21</definedName>
    <definedName name="P705FEAM">'AÇÕES E PROGRAMAS'!$AI$12:$AI$14</definedName>
    <definedName name="P705FES">'AÇÕES E PROGRAMAS'!$BN$60:$BN$63</definedName>
    <definedName name="P705FHA">'AÇÕES E PROGRAMAS'!$AK$33:$AK$34</definedName>
    <definedName name="P705FHEMIG">'AÇÕES E PROGRAMAS'!$AL$13:$AL$15</definedName>
    <definedName name="P705FHIDRO">'AÇÕES E PROGRAMAS'!$AZ$21</definedName>
    <definedName name="P705FJP">'AÇÕES E PROGRAMAS'!$AM$27:$AM$29</definedName>
    <definedName name="P705FUCAM">'AÇÕES E PROGRAMAS'!$AH$16:$AH$18</definedName>
    <definedName name="P705FUNAPEC">'AÇÕES E PROGRAMAS'!$AQ$7</definedName>
    <definedName name="P705FUNED">'AÇÕES E PROGRAMAS'!$AJ$17:$AJ$19</definedName>
    <definedName name="P705FUNTRANS">'AÇÕES E PROGRAMAS'!$BH$12</definedName>
    <definedName name="P705GMG">'AÇÕES E PROGRAMAS'!$BU$26:$BU$27</definedName>
    <definedName name="P705HEMOMINAS">'AÇÕES E PROGRAMAS'!$AC$9:$AC$10</definedName>
    <definedName name="P705IDENE">'AÇÕES E PROGRAMAS'!$BW$17:$BW$18</definedName>
    <definedName name="P705IEF">'AÇÕES E PROGRAMAS'!$CB$16:$CB$18</definedName>
    <definedName name="P705IEPHA">'AÇÕES E PROGRAMAS'!$CC$22:$CC$24</definedName>
    <definedName name="P705IGAM">'AÇÕES E PROGRAMAS'!$CE$17:$CE$19</definedName>
    <definedName name="P705IMA">'AÇÕES E PROGRAMAS'!$CD$26:$CD$28</definedName>
    <definedName name="P705IPSEMG">'AÇÕES E PROGRAMAS'!$BZ$19:$BZ$23</definedName>
    <definedName name="P705IPSM">'AÇÕES E PROGRAMAS'!$CA$12:$CA$16</definedName>
    <definedName name="P705JUCEMG">'AÇÕES E PROGRAMAS'!$CF$8:$CF$10</definedName>
    <definedName name="P705LEMG">'AÇÕES E PROGRAMAS'!$CG$7:$CG$9</definedName>
    <definedName name="P705OGE">'AÇÕES E PROGRAMAS'!$CJ$22:$CJ$23</definedName>
    <definedName name="P705PCMG">'AÇÕES E PROGRAMAS'!$CL$26:$CL$28</definedName>
    <definedName name="P705PMMG">'AÇÕES E PROGRAMAS'!$CM$26:$CM$28</definedName>
    <definedName name="P705SCC">'AÇÕES E PROGRAMAS'!$CP$14:$CP$15</definedName>
    <definedName name="P705SEAPA">'AÇÕES E PROGRAMAS'!$CQ$44:$CQ$45</definedName>
    <definedName name="P705SEC.GERAL">'AÇÕES E PROGRAMAS'!$DC$7:$DC$8</definedName>
    <definedName name="P705SECOM">'AÇÕES E PROGRAMAS'!$CR$9:$CR$10</definedName>
    <definedName name="P705SECULT">'AÇÕES E PROGRAMAS'!$CS$31:$CS$32</definedName>
    <definedName name="P705SEDE">'AÇÕES E PROGRAMAS'!$CT$36:$CT$37</definedName>
    <definedName name="P705SEDESE">'AÇÕES E PROGRAMAS'!$CU$84:$CU$85</definedName>
    <definedName name="P705SEF">'AÇÕES E PROGRAMAS'!$CW$32:$CW$33</definedName>
    <definedName name="P705SEGOV">'AÇÕES E PROGRAMAS'!$CX$24:$CX$25</definedName>
    <definedName name="P705SEINFRA">'AÇÕES E PROGRAMAS'!$CY$40:$CY$41</definedName>
    <definedName name="P705SEJUSP">'AÇÕES E PROGRAMAS'!$CZ$33:$CZ$34</definedName>
    <definedName name="P705SEMAD">'AÇÕES E PROGRAMAS'!$DA$20:$DA$22</definedName>
    <definedName name="P705SEPLAG">'AÇÕES E PROGRAMAS'!$DB$55:$DB$56</definedName>
    <definedName name="P705TVMINAS">'AÇÕES E PROGRAMAS'!$AN$9:$AN$11</definedName>
    <definedName name="P705UEMG">'AÇÕES E PROGRAMAS'!$DH$12:$DH$14</definedName>
    <definedName name="P705UNIMONTES">'AÇÕES E PROGRAMAS'!$DI$13:$DI$16</definedName>
    <definedName name="P705UTRAMIG">'AÇÕES E PROGRAMAS'!$AG$7:$AG$9</definedName>
    <definedName name="PCMGPROG">'AÇÕES E PROGRAMAS'!$CL$2:$CL$5</definedName>
    <definedName name="PMMGPROG">'AÇÕES E PROGRAMAS'!$CM$2:$CM$7</definedName>
    <definedName name="SCCPROG">'AÇÕES E PROGRAMAS'!$CP$2:$CP$4</definedName>
    <definedName name="SEAPAPROG">'AÇÕES E PROGRAMAS'!$CQ$2:$CQ$10</definedName>
    <definedName name="SEC.GERALPROG">'AÇÕES E PROGRAMAS'!$DC$2:$DC$3</definedName>
    <definedName name="SECOMPROG">'AÇÕES E PROGRAMAS'!$CR$2:$CR$3</definedName>
    <definedName name="SECULTPROG">'AÇÕES E PROGRAMAS'!$CS$2:$CS$7</definedName>
    <definedName name="SEDEPROG">'AÇÕES E PROGRAMAS'!$CT$2:$CT$7</definedName>
    <definedName name="SEDESEPROG">'AÇÕES E PROGRAMAS'!$CU$2:$CU$16</definedName>
    <definedName name="SEEPROG">'AÇÕES E PROGRAMAS'!$CV$2:$CV$12</definedName>
    <definedName name="SEFPROG">'AÇÕES E PROGRAMAS'!$CW$2:$CW$5</definedName>
    <definedName name="SEGOVPROG">'AÇÕES E PROGRAMAS'!$CX$2:$CX$7</definedName>
    <definedName name="SEINFRAPROG">'AÇÕES E PROGRAMAS'!$CY$2:$CY$8</definedName>
    <definedName name="SEJUSPPROG">'AÇÕES E PROGRAMAS'!$CZ$2:$CZ$7</definedName>
    <definedName name="SEJUSPROG">'AÇÕES E PROGRAMAS'!$CZ$2:$CZ$7</definedName>
    <definedName name="SEMADPROG">'AÇÕES E PROGRAMAS'!$DA$2:$DA$5</definedName>
    <definedName name="SEPLAGPROG">'AÇÕES E PROGRAMAS'!$DB$2:$DB$11</definedName>
    <definedName name="TVMINASPROG">'AÇÕES E PROGRAMAS'!$AN$2:$AN$3</definedName>
    <definedName name="UEMGPROG">'AÇÕES E PROGRAMAS'!$DH$2:$DH$3</definedName>
    <definedName name="UNIMONTESPROG">'AÇÕES E PROGRAMAS'!$DI$2:$DI$3</definedName>
    <definedName name="UTRAMIGPROG">'AÇÕES E PROGRAMAS'!$AG$2:$AG$3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02" i="28" l="1"/>
  <c r="V260" i="28"/>
  <c r="V271" i="28"/>
  <c r="D6707" i="30" l="1"/>
  <c r="D1156" i="30"/>
  <c r="D285" i="30" l="1"/>
  <c r="D289" i="30"/>
  <c r="B4" i="32" l="1"/>
  <c r="B5" i="32"/>
  <c r="B6" i="32"/>
  <c r="B7" i="32"/>
  <c r="B8" i="32"/>
  <c r="B9" i="32"/>
  <c r="B10" i="32"/>
  <c r="B11" i="32"/>
  <c r="B12" i="32"/>
  <c r="B13" i="32"/>
  <c r="B14" i="32"/>
  <c r="B15" i="32"/>
  <c r="B16" i="32"/>
  <c r="B17" i="32"/>
  <c r="B18" i="32"/>
  <c r="B19" i="32"/>
  <c r="B20" i="32"/>
  <c r="B21" i="32"/>
  <c r="B22" i="32"/>
  <c r="B23" i="32"/>
  <c r="B24" i="32"/>
  <c r="B25" i="32"/>
  <c r="B26" i="32"/>
  <c r="B27" i="32"/>
  <c r="B28" i="32"/>
  <c r="B29" i="32"/>
  <c r="B30" i="32"/>
  <c r="B31" i="32"/>
  <c r="B32" i="32"/>
  <c r="B33" i="32"/>
  <c r="B34" i="32"/>
  <c r="B35" i="32"/>
  <c r="B36" i="32"/>
  <c r="B37" i="32"/>
  <c r="B38" i="32"/>
  <c r="B39" i="32"/>
  <c r="B40" i="32"/>
  <c r="B41" i="32"/>
  <c r="B42" i="32"/>
  <c r="B43" i="32"/>
  <c r="B44" i="32"/>
  <c r="B45" i="32"/>
  <c r="B46" i="32"/>
  <c r="B47" i="32"/>
  <c r="B48" i="32"/>
  <c r="B49" i="32"/>
  <c r="B50" i="32"/>
  <c r="B51" i="32"/>
  <c r="B52" i="32"/>
  <c r="B53" i="32"/>
  <c r="B54" i="32"/>
  <c r="B55" i="32"/>
  <c r="B56" i="32"/>
  <c r="B57" i="32"/>
  <c r="B58" i="32"/>
  <c r="B59" i="32"/>
  <c r="B60" i="32"/>
  <c r="B61" i="32"/>
  <c r="B62" i="32"/>
  <c r="B63" i="32"/>
  <c r="B64" i="32"/>
  <c r="B65" i="32"/>
  <c r="B66" i="32"/>
  <c r="B67" i="32"/>
  <c r="B68" i="32"/>
  <c r="B69" i="32"/>
  <c r="B70" i="32"/>
  <c r="B71" i="32"/>
  <c r="B72" i="32"/>
  <c r="B73" i="32"/>
  <c r="B74" i="32"/>
  <c r="B75" i="32"/>
  <c r="B76" i="32"/>
  <c r="B77" i="32"/>
  <c r="B78" i="32"/>
  <c r="B79" i="32"/>
  <c r="B80" i="32"/>
  <c r="B81" i="32"/>
  <c r="B82" i="32"/>
  <c r="B83" i="32"/>
  <c r="B84" i="32"/>
  <c r="B85" i="32"/>
  <c r="B86" i="32"/>
  <c r="B87" i="32"/>
  <c r="B88" i="32"/>
  <c r="B89" i="32"/>
  <c r="B90" i="32"/>
  <c r="B91" i="32"/>
  <c r="B92" i="32"/>
  <c r="B93" i="32"/>
  <c r="B94" i="32"/>
  <c r="B95" i="32"/>
  <c r="B96" i="32"/>
  <c r="B97" i="32"/>
  <c r="B98" i="32"/>
  <c r="B99" i="32"/>
  <c r="B100" i="32"/>
  <c r="B101" i="32"/>
  <c r="B102" i="32"/>
  <c r="B103" i="32"/>
  <c r="B104" i="32"/>
  <c r="B105" i="32"/>
  <c r="B106" i="32"/>
  <c r="B107" i="32"/>
  <c r="B108" i="32"/>
  <c r="B109" i="32"/>
  <c r="B110" i="32"/>
  <c r="B111" i="32"/>
  <c r="B112" i="32"/>
  <c r="B113" i="32"/>
  <c r="B114" i="32"/>
  <c r="B115" i="32"/>
  <c r="B116" i="32"/>
  <c r="B117" i="32"/>
  <c r="B118" i="32"/>
  <c r="B119" i="32"/>
  <c r="B120" i="32"/>
  <c r="B121" i="32"/>
  <c r="B122" i="32"/>
  <c r="B123" i="32"/>
  <c r="B124" i="32"/>
  <c r="B125" i="32"/>
  <c r="B126" i="32"/>
  <c r="B127" i="32"/>
  <c r="B128" i="32"/>
  <c r="B129" i="32"/>
  <c r="B130" i="32"/>
  <c r="B131" i="32"/>
  <c r="B132" i="32"/>
  <c r="B133" i="32"/>
  <c r="B134" i="32"/>
  <c r="B135" i="32"/>
  <c r="B136" i="32"/>
  <c r="B137" i="32"/>
  <c r="B138" i="32"/>
  <c r="B139" i="32"/>
  <c r="B140" i="32"/>
  <c r="B141" i="32"/>
  <c r="B142" i="32"/>
  <c r="B143" i="32"/>
  <c r="B144" i="32"/>
  <c r="B145" i="32"/>
  <c r="B146" i="32"/>
  <c r="B147" i="32"/>
  <c r="B148" i="32"/>
  <c r="B149" i="32"/>
  <c r="B150" i="32"/>
  <c r="B151" i="32"/>
  <c r="B152" i="32"/>
  <c r="B153" i="32"/>
  <c r="B154" i="32"/>
  <c r="B155" i="32"/>
  <c r="B156" i="32"/>
  <c r="B157" i="32"/>
  <c r="B158" i="32"/>
  <c r="B159" i="32"/>
  <c r="B160" i="32"/>
  <c r="B161" i="32"/>
  <c r="B162" i="32"/>
  <c r="B163" i="32"/>
  <c r="B164" i="32"/>
  <c r="B165" i="32"/>
  <c r="B166" i="32"/>
  <c r="B167" i="32"/>
  <c r="B168" i="32"/>
  <c r="B169" i="32"/>
  <c r="B170" i="32"/>
  <c r="B171" i="32"/>
  <c r="B172" i="32"/>
  <c r="B173" i="32"/>
  <c r="B174" i="32"/>
  <c r="B175" i="32"/>
  <c r="B176" i="32"/>
  <c r="B177" i="32"/>
  <c r="B178" i="32"/>
  <c r="B179" i="32"/>
  <c r="B180" i="32"/>
  <c r="B181" i="32"/>
  <c r="B182" i="32"/>
  <c r="B183" i="32"/>
  <c r="B184" i="32"/>
  <c r="B185" i="32"/>
  <c r="B186" i="32"/>
  <c r="B187" i="32"/>
  <c r="B188" i="32"/>
  <c r="B189" i="32"/>
  <c r="B190" i="32"/>
  <c r="B191" i="32"/>
  <c r="B192" i="32"/>
  <c r="B193" i="32"/>
  <c r="B194" i="32"/>
  <c r="B195" i="32"/>
  <c r="B196" i="32"/>
  <c r="B197" i="32"/>
  <c r="B198" i="32"/>
  <c r="B199" i="32"/>
  <c r="B200" i="32"/>
  <c r="B201" i="32"/>
  <c r="B202" i="32"/>
  <c r="B203" i="32"/>
  <c r="B204" i="32"/>
  <c r="B205" i="32"/>
  <c r="B206" i="32"/>
  <c r="B207" i="32"/>
  <c r="B208" i="32"/>
  <c r="B209" i="32"/>
  <c r="B210" i="32"/>
  <c r="B211" i="32"/>
  <c r="B212" i="32"/>
  <c r="B213" i="32"/>
  <c r="B214" i="32"/>
  <c r="B215" i="32"/>
  <c r="B216" i="32"/>
  <c r="B217" i="32"/>
  <c r="B218" i="32"/>
  <c r="B219" i="32"/>
  <c r="B220" i="32"/>
  <c r="B221" i="32"/>
  <c r="B222" i="32"/>
  <c r="B223" i="32"/>
  <c r="B224" i="32"/>
  <c r="B225" i="32"/>
  <c r="B226" i="32"/>
  <c r="B227" i="32"/>
  <c r="B228" i="32"/>
  <c r="B229" i="32"/>
  <c r="B230" i="32"/>
  <c r="B231" i="32"/>
  <c r="B232" i="32"/>
  <c r="B233" i="32"/>
  <c r="B234" i="32"/>
  <c r="B235" i="32"/>
  <c r="B236" i="32"/>
  <c r="B237" i="32"/>
  <c r="B238" i="32"/>
  <c r="B239" i="32"/>
  <c r="B240" i="32"/>
  <c r="B241" i="32"/>
  <c r="B242" i="32"/>
  <c r="B243" i="32"/>
  <c r="B244" i="32"/>
  <c r="B245" i="32"/>
  <c r="B246" i="32"/>
  <c r="B247" i="32"/>
  <c r="B248" i="32"/>
  <c r="B249" i="32"/>
  <c r="B250" i="32"/>
  <c r="B251" i="32"/>
  <c r="B252" i="32"/>
  <c r="B253" i="32"/>
  <c r="B254" i="32"/>
  <c r="B255" i="32"/>
  <c r="B256" i="32"/>
  <c r="B257" i="32"/>
  <c r="B258" i="32"/>
  <c r="B259" i="32"/>
  <c r="B260" i="32"/>
  <c r="B261" i="32"/>
  <c r="B262" i="32"/>
  <c r="B263" i="32"/>
  <c r="B264" i="32"/>
  <c r="B265" i="32"/>
  <c r="B266" i="32"/>
  <c r="B267" i="32"/>
  <c r="B268" i="32"/>
  <c r="B269" i="32"/>
  <c r="B270" i="32"/>
  <c r="B271" i="32"/>
  <c r="B272" i="32"/>
  <c r="B273" i="32"/>
  <c r="B274" i="32"/>
  <c r="B275" i="32"/>
  <c r="B276" i="32"/>
  <c r="B277" i="32"/>
  <c r="B278" i="32"/>
  <c r="B279" i="32"/>
  <c r="B280" i="32"/>
  <c r="B281" i="32"/>
  <c r="B282" i="32"/>
  <c r="B283" i="32"/>
  <c r="B284" i="32"/>
  <c r="B285" i="32"/>
  <c r="B286" i="32"/>
  <c r="B287" i="32"/>
  <c r="B288" i="32"/>
  <c r="B289" i="32"/>
  <c r="B290" i="32"/>
  <c r="B291" i="32"/>
  <c r="B292" i="32"/>
  <c r="B293" i="32"/>
  <c r="B294" i="32"/>
  <c r="B295" i="32"/>
  <c r="B296" i="32"/>
  <c r="B297" i="32"/>
  <c r="B298" i="32"/>
  <c r="B299" i="32"/>
  <c r="B300" i="32"/>
  <c r="B301" i="32"/>
  <c r="B302" i="32"/>
  <c r="B303" i="32"/>
  <c r="B304" i="32"/>
  <c r="B305" i="32"/>
  <c r="B306" i="32"/>
  <c r="B307" i="32"/>
  <c r="B308" i="32"/>
  <c r="B309" i="32"/>
  <c r="B310" i="32"/>
  <c r="B311" i="32"/>
  <c r="B312" i="32"/>
  <c r="B313" i="32"/>
  <c r="B314" i="32"/>
  <c r="B315" i="32"/>
  <c r="B316" i="32"/>
  <c r="B317" i="32"/>
  <c r="B318" i="32"/>
  <c r="B319" i="32"/>
  <c r="B320" i="32"/>
  <c r="B321" i="32"/>
  <c r="B322" i="32"/>
  <c r="B323" i="32"/>
  <c r="B324" i="32"/>
  <c r="B325" i="32"/>
  <c r="B326" i="32"/>
  <c r="B327" i="32"/>
  <c r="B328" i="32"/>
  <c r="B329" i="32"/>
  <c r="B330" i="32"/>
  <c r="B331" i="32"/>
  <c r="B332" i="32"/>
  <c r="B333" i="32"/>
  <c r="B334" i="32"/>
  <c r="B335" i="32"/>
  <c r="B336" i="32"/>
  <c r="B337" i="32"/>
  <c r="B338" i="32"/>
  <c r="B339" i="32"/>
  <c r="B340" i="32"/>
  <c r="B341" i="32"/>
  <c r="B342" i="32"/>
  <c r="B343" i="32"/>
  <c r="B344" i="32"/>
  <c r="B345" i="32"/>
  <c r="B346" i="32"/>
  <c r="B347" i="32"/>
  <c r="B348" i="32"/>
  <c r="B349" i="32"/>
  <c r="B350" i="32"/>
  <c r="B351" i="32"/>
  <c r="B352" i="32"/>
  <c r="B353" i="32"/>
  <c r="B354" i="32"/>
  <c r="B355" i="32"/>
  <c r="B356" i="32"/>
  <c r="B357" i="32"/>
  <c r="B358" i="32"/>
  <c r="B359" i="32"/>
  <c r="B360" i="32"/>
  <c r="B361" i="32"/>
  <c r="B362" i="32"/>
  <c r="B363" i="32"/>
  <c r="B364" i="32"/>
  <c r="B365" i="32"/>
  <c r="B366" i="32"/>
  <c r="B367" i="32"/>
  <c r="B368" i="32"/>
  <c r="B369" i="32"/>
  <c r="B370" i="32"/>
  <c r="B371" i="32"/>
  <c r="B372" i="32"/>
  <c r="B373" i="32"/>
  <c r="B374" i="32"/>
  <c r="B375" i="32"/>
  <c r="B376" i="32"/>
  <c r="B377" i="32"/>
  <c r="B378" i="32"/>
  <c r="B379" i="32"/>
  <c r="B380" i="32"/>
  <c r="B381" i="32"/>
  <c r="B382" i="32"/>
  <c r="B383" i="32"/>
  <c r="B384" i="32"/>
  <c r="B385" i="32"/>
  <c r="B386" i="32"/>
  <c r="B387" i="32"/>
  <c r="B388" i="32"/>
  <c r="B389" i="32"/>
  <c r="B390" i="32"/>
  <c r="B391" i="32"/>
  <c r="B392" i="32"/>
  <c r="B393" i="32"/>
  <c r="B394" i="32"/>
  <c r="B395" i="32"/>
  <c r="B396" i="32"/>
  <c r="B397" i="32"/>
  <c r="B398" i="32"/>
  <c r="B399" i="32"/>
  <c r="B400" i="32"/>
  <c r="B401" i="32"/>
  <c r="B402" i="32"/>
  <c r="B403" i="32"/>
  <c r="B404" i="32"/>
  <c r="B405" i="32"/>
  <c r="B406" i="32"/>
  <c r="B407" i="32"/>
  <c r="B408" i="32"/>
  <c r="B409" i="32"/>
  <c r="B410" i="32"/>
  <c r="B411" i="32"/>
  <c r="B412" i="32"/>
  <c r="B413" i="32"/>
  <c r="B414" i="32"/>
  <c r="B415" i="32"/>
  <c r="B416" i="32"/>
  <c r="B417" i="32"/>
  <c r="B418" i="32"/>
  <c r="B419" i="32"/>
  <c r="B420" i="32"/>
  <c r="B421" i="32"/>
  <c r="B422" i="32"/>
  <c r="B423" i="32"/>
  <c r="B424" i="32"/>
  <c r="B425" i="32"/>
  <c r="B426" i="32"/>
  <c r="B427" i="32"/>
  <c r="B428" i="32"/>
  <c r="B429" i="32"/>
  <c r="B430" i="32"/>
  <c r="B431" i="32"/>
  <c r="B432" i="32"/>
  <c r="B433" i="32"/>
  <c r="B434" i="32"/>
  <c r="B435" i="32"/>
  <c r="B436" i="32"/>
  <c r="B437" i="32"/>
  <c r="B438" i="32"/>
  <c r="B439" i="32"/>
  <c r="B440" i="32"/>
  <c r="B441" i="32"/>
  <c r="B442" i="32"/>
  <c r="B443" i="32"/>
  <c r="B444" i="32"/>
  <c r="B445" i="32"/>
  <c r="B446" i="32"/>
  <c r="B447" i="32"/>
  <c r="B448" i="32"/>
  <c r="B449" i="32"/>
  <c r="B450" i="32"/>
  <c r="B451" i="32"/>
  <c r="B452" i="32"/>
  <c r="B453" i="32"/>
  <c r="B454" i="32"/>
  <c r="B455" i="32"/>
  <c r="B456" i="32"/>
  <c r="B457" i="32"/>
  <c r="B458" i="32"/>
  <c r="B459" i="32"/>
  <c r="B460" i="32"/>
  <c r="B461" i="32"/>
  <c r="B462" i="32"/>
  <c r="B463" i="32"/>
  <c r="B464" i="32"/>
  <c r="B465" i="32"/>
  <c r="B466" i="32"/>
  <c r="B467" i="32"/>
  <c r="B468" i="32"/>
  <c r="B469" i="32"/>
  <c r="B470" i="32"/>
  <c r="B471" i="32"/>
  <c r="B472" i="32"/>
  <c r="B473" i="32"/>
  <c r="B474" i="32"/>
  <c r="B475" i="32"/>
  <c r="B476" i="32"/>
  <c r="B477" i="32"/>
  <c r="B478" i="32"/>
  <c r="B479" i="32"/>
  <c r="B480" i="32"/>
  <c r="B481" i="32"/>
  <c r="B482" i="32"/>
  <c r="B483" i="32"/>
  <c r="B484" i="32"/>
  <c r="B485" i="32"/>
  <c r="B486" i="32"/>
  <c r="B487" i="32"/>
  <c r="B488" i="32"/>
  <c r="B489" i="32"/>
  <c r="B490" i="32"/>
  <c r="B491" i="32"/>
  <c r="B492" i="32"/>
  <c r="B493" i="32"/>
  <c r="B494" i="32"/>
  <c r="B495" i="32"/>
  <c r="B496" i="32"/>
  <c r="B497" i="32"/>
  <c r="B498" i="32"/>
  <c r="B499" i="32"/>
  <c r="B500" i="32"/>
  <c r="B501" i="32"/>
  <c r="B502" i="32"/>
  <c r="B503" i="32"/>
  <c r="B504" i="32"/>
  <c r="B505" i="32"/>
  <c r="B506" i="32"/>
  <c r="B507" i="32"/>
  <c r="B508" i="32"/>
  <c r="B509" i="32"/>
  <c r="B510" i="32"/>
  <c r="B511" i="32"/>
  <c r="B512" i="32"/>
  <c r="B513" i="32"/>
  <c r="B514" i="32"/>
  <c r="B515" i="32"/>
  <c r="B516" i="32"/>
  <c r="B517" i="32"/>
  <c r="B518" i="32"/>
  <c r="B519" i="32"/>
  <c r="B520" i="32"/>
  <c r="B521" i="32"/>
  <c r="B522" i="32"/>
  <c r="B523" i="32"/>
  <c r="B524" i="32"/>
  <c r="B525" i="32"/>
  <c r="B526" i="32"/>
  <c r="B527" i="32"/>
  <c r="B528" i="32"/>
  <c r="B529" i="32"/>
  <c r="B530" i="32"/>
  <c r="B531" i="32"/>
  <c r="B532" i="32"/>
  <c r="B533" i="32"/>
  <c r="B534" i="32"/>
  <c r="B535" i="32"/>
  <c r="B536" i="32"/>
  <c r="B537" i="32"/>
  <c r="B538" i="32"/>
  <c r="B539" i="32"/>
  <c r="B540" i="32"/>
  <c r="B541" i="32"/>
  <c r="B542" i="32"/>
  <c r="B543" i="32"/>
  <c r="B544" i="32"/>
  <c r="B545" i="32"/>
  <c r="B546" i="32"/>
  <c r="B547" i="32"/>
  <c r="B548" i="32"/>
  <c r="B549" i="32"/>
  <c r="B550" i="32"/>
  <c r="B551" i="32"/>
  <c r="B552" i="32"/>
  <c r="B553" i="32"/>
  <c r="B554" i="32"/>
  <c r="B555" i="32"/>
  <c r="B556" i="32"/>
  <c r="B557" i="32"/>
  <c r="B558" i="32"/>
  <c r="B559" i="32"/>
  <c r="B560" i="32"/>
  <c r="B561" i="32"/>
  <c r="B562" i="32"/>
  <c r="B563" i="32"/>
  <c r="B564" i="32"/>
  <c r="B565" i="32"/>
  <c r="B566" i="32"/>
  <c r="B567" i="32"/>
  <c r="B568" i="32"/>
  <c r="B569" i="32"/>
  <c r="B570" i="32"/>
  <c r="B571" i="32"/>
  <c r="B572" i="32"/>
  <c r="B573" i="32"/>
  <c r="B574" i="32"/>
  <c r="B575" i="32"/>
  <c r="B576" i="32"/>
  <c r="B577" i="32"/>
  <c r="B578" i="32"/>
  <c r="B579" i="32"/>
  <c r="B580" i="32"/>
  <c r="B581" i="32"/>
  <c r="B582" i="32"/>
  <c r="B583" i="32"/>
  <c r="B584" i="32"/>
  <c r="B585" i="32"/>
  <c r="B586" i="32"/>
  <c r="B587" i="32"/>
  <c r="B588" i="32"/>
  <c r="B589" i="32"/>
  <c r="B590" i="32"/>
  <c r="B591" i="32"/>
  <c r="B592" i="32"/>
  <c r="B593" i="32"/>
  <c r="B594" i="32"/>
  <c r="B595" i="32"/>
  <c r="B596" i="32"/>
  <c r="B597" i="32"/>
  <c r="B598" i="32"/>
  <c r="B599" i="32"/>
  <c r="B600" i="32"/>
  <c r="B601" i="32"/>
  <c r="B602" i="32"/>
  <c r="B603" i="32"/>
  <c r="B604" i="32"/>
  <c r="B605" i="32"/>
  <c r="B606" i="32"/>
  <c r="B607" i="32"/>
  <c r="B608" i="32"/>
  <c r="B609" i="32"/>
  <c r="B610" i="32"/>
  <c r="B611" i="32"/>
  <c r="B612" i="32"/>
  <c r="B613" i="32"/>
  <c r="B614" i="32"/>
  <c r="B615" i="32"/>
  <c r="B616" i="32"/>
  <c r="B617" i="32"/>
  <c r="B618" i="32"/>
  <c r="B619" i="32"/>
  <c r="B620" i="32"/>
  <c r="B621" i="32"/>
  <c r="B622" i="32"/>
  <c r="B623" i="32"/>
  <c r="B624" i="32"/>
  <c r="B625" i="32"/>
  <c r="B626" i="32"/>
  <c r="B627" i="32"/>
  <c r="B628" i="32"/>
  <c r="B629" i="32"/>
  <c r="B630" i="32"/>
  <c r="B631" i="32"/>
  <c r="B632" i="32"/>
  <c r="B633" i="32"/>
  <c r="B634" i="32"/>
  <c r="B635" i="32"/>
  <c r="B636" i="32"/>
  <c r="B637" i="32"/>
  <c r="B638" i="32"/>
  <c r="B639" i="32"/>
  <c r="B640" i="32"/>
  <c r="B641" i="32"/>
  <c r="B642" i="32"/>
  <c r="B643" i="32"/>
  <c r="B644" i="32"/>
  <c r="B645" i="32"/>
  <c r="B646" i="32"/>
  <c r="B647" i="32"/>
  <c r="B648" i="32"/>
  <c r="B649" i="32"/>
  <c r="B650" i="32"/>
  <c r="B651" i="32"/>
  <c r="B652" i="32"/>
  <c r="B653" i="32"/>
  <c r="B654" i="32"/>
  <c r="B655" i="32"/>
  <c r="B656" i="32"/>
  <c r="B657" i="32"/>
  <c r="B658" i="32"/>
  <c r="B659" i="32"/>
  <c r="B660" i="32"/>
  <c r="B661" i="32"/>
  <c r="B662" i="32"/>
  <c r="B663" i="32"/>
  <c r="B664" i="32"/>
  <c r="B665" i="32"/>
  <c r="B666" i="32"/>
  <c r="B667" i="32"/>
  <c r="B668" i="32"/>
  <c r="B669" i="32"/>
  <c r="B670" i="32"/>
  <c r="B671" i="32"/>
  <c r="B672" i="32"/>
  <c r="B673" i="32"/>
  <c r="B674" i="32"/>
  <c r="B675" i="32"/>
  <c r="B676" i="32"/>
  <c r="B677" i="32"/>
  <c r="B678" i="32"/>
  <c r="B679" i="32"/>
  <c r="B680" i="32"/>
  <c r="B681" i="32"/>
  <c r="B682" i="32"/>
  <c r="B683" i="32"/>
  <c r="B684" i="32"/>
  <c r="B685" i="32"/>
  <c r="B686" i="32"/>
  <c r="B687" i="32"/>
  <c r="B688" i="32"/>
  <c r="B689" i="32"/>
  <c r="B690" i="32"/>
  <c r="B691" i="32"/>
  <c r="B692" i="32"/>
  <c r="B693" i="32"/>
  <c r="B694" i="32"/>
  <c r="B695" i="32"/>
  <c r="B696" i="32"/>
  <c r="B697" i="32"/>
  <c r="B698" i="32"/>
  <c r="B699" i="32"/>
  <c r="B700" i="32"/>
  <c r="B701" i="32"/>
  <c r="B702" i="32"/>
  <c r="B703" i="32"/>
  <c r="B704" i="32"/>
  <c r="B705" i="32"/>
  <c r="B706" i="32"/>
  <c r="B707" i="32"/>
  <c r="B708" i="32"/>
  <c r="B709" i="32"/>
  <c r="B710" i="32"/>
  <c r="B711" i="32"/>
  <c r="B712" i="32"/>
  <c r="B713" i="32"/>
  <c r="B714" i="32"/>
  <c r="B715" i="32"/>
  <c r="B716" i="32"/>
  <c r="B717" i="32"/>
  <c r="B718" i="32"/>
  <c r="B719" i="32"/>
  <c r="B720" i="32"/>
  <c r="B721" i="32"/>
  <c r="B722" i="32"/>
  <c r="B723" i="32"/>
  <c r="B724" i="32"/>
  <c r="B725" i="32"/>
  <c r="B726" i="32"/>
  <c r="B727" i="32"/>
  <c r="B728" i="32"/>
  <c r="B729" i="32"/>
  <c r="B730" i="32"/>
  <c r="B731" i="32"/>
  <c r="B732" i="32"/>
  <c r="B733" i="32"/>
  <c r="B734" i="32"/>
  <c r="B735" i="32"/>
  <c r="B736" i="32"/>
  <c r="B737" i="32"/>
  <c r="B738" i="32"/>
  <c r="B739" i="32"/>
  <c r="B740" i="32"/>
  <c r="B741" i="32"/>
  <c r="B742" i="32"/>
  <c r="B743" i="32"/>
  <c r="B744" i="32"/>
  <c r="B745" i="32"/>
  <c r="B746" i="32"/>
  <c r="B747" i="32"/>
  <c r="B748" i="32"/>
  <c r="B749" i="32"/>
  <c r="B750" i="32"/>
  <c r="B751" i="32"/>
  <c r="B752" i="32"/>
  <c r="B753" i="32"/>
  <c r="B754" i="32"/>
  <c r="B755" i="32"/>
  <c r="B756" i="32"/>
  <c r="B757" i="32"/>
  <c r="B758" i="32"/>
  <c r="B759" i="32"/>
  <c r="B760" i="32"/>
  <c r="B761" i="32"/>
  <c r="B762" i="32"/>
  <c r="B763" i="32"/>
  <c r="B764" i="32"/>
  <c r="B765" i="32"/>
  <c r="B766" i="32"/>
  <c r="B767" i="32"/>
  <c r="B768" i="32"/>
  <c r="B769" i="32"/>
  <c r="B770" i="32"/>
  <c r="B771" i="32"/>
  <c r="B772" i="32"/>
  <c r="B773" i="32"/>
  <c r="B774" i="32"/>
  <c r="B775" i="32"/>
  <c r="B776" i="32"/>
  <c r="B777" i="32"/>
  <c r="B778" i="32"/>
  <c r="B779" i="32"/>
  <c r="B780" i="32"/>
  <c r="B781" i="32"/>
  <c r="B782" i="32"/>
  <c r="B783" i="32"/>
  <c r="B784" i="32"/>
  <c r="B785" i="32"/>
  <c r="B786" i="32"/>
  <c r="B787" i="32"/>
  <c r="B788" i="32"/>
  <c r="B789" i="32"/>
  <c r="B790" i="32"/>
  <c r="B791" i="32"/>
  <c r="B792" i="32"/>
  <c r="B793" i="32"/>
  <c r="B794" i="32"/>
  <c r="B795" i="32"/>
  <c r="B796" i="32"/>
  <c r="B797" i="32"/>
  <c r="B798" i="32"/>
  <c r="B799" i="32"/>
  <c r="B800" i="32"/>
  <c r="B801" i="32"/>
  <c r="B802" i="32"/>
  <c r="B803" i="32"/>
  <c r="B804" i="32"/>
  <c r="B805" i="32"/>
  <c r="B806" i="32"/>
  <c r="B807" i="32"/>
  <c r="B808" i="32"/>
  <c r="B809" i="32"/>
  <c r="B810" i="32"/>
  <c r="B811" i="32"/>
  <c r="B812" i="32"/>
  <c r="B813" i="32"/>
  <c r="B814" i="32"/>
  <c r="B815" i="32"/>
  <c r="B816" i="32"/>
  <c r="B817" i="32"/>
  <c r="B818" i="32"/>
  <c r="B819" i="32"/>
  <c r="B820" i="32"/>
  <c r="B821" i="32"/>
  <c r="B822" i="32"/>
  <c r="B823" i="32"/>
  <c r="B824" i="32"/>
  <c r="B825" i="32"/>
  <c r="B826" i="32"/>
  <c r="B827" i="32"/>
  <c r="B828" i="32"/>
  <c r="B829" i="32"/>
  <c r="B830" i="32"/>
  <c r="B831" i="32"/>
  <c r="B832" i="32"/>
  <c r="B833" i="32"/>
  <c r="B834" i="32"/>
  <c r="B835" i="32"/>
  <c r="B836" i="32"/>
  <c r="B837" i="32"/>
  <c r="B838" i="32"/>
  <c r="B839" i="32"/>
  <c r="B840" i="32"/>
  <c r="B841" i="32"/>
  <c r="B842" i="32"/>
  <c r="B843" i="32"/>
  <c r="B844" i="32"/>
  <c r="B845" i="32"/>
  <c r="B846" i="32"/>
  <c r="B847" i="32"/>
  <c r="B848" i="32"/>
  <c r="B849" i="32"/>
  <c r="B850" i="32"/>
  <c r="B851" i="32"/>
  <c r="B852" i="32"/>
  <c r="B853" i="32"/>
  <c r="B854" i="32"/>
  <c r="B855" i="32"/>
  <c r="B856" i="32"/>
  <c r="B857" i="32"/>
  <c r="B858" i="32"/>
  <c r="B859" i="32"/>
  <c r="B860" i="32"/>
  <c r="B861" i="32"/>
  <c r="B862" i="32"/>
  <c r="B863" i="32"/>
  <c r="B864" i="32"/>
  <c r="B865" i="32"/>
  <c r="B866" i="32"/>
  <c r="B867" i="32"/>
  <c r="B868" i="32"/>
  <c r="B869" i="32"/>
  <c r="B870" i="32"/>
  <c r="B871" i="32"/>
  <c r="B872" i="32"/>
  <c r="B873" i="32"/>
  <c r="B874" i="32"/>
  <c r="B875" i="32"/>
  <c r="B876" i="32"/>
  <c r="B877" i="32"/>
  <c r="B878" i="32"/>
  <c r="B879" i="32"/>
  <c r="B880" i="32"/>
  <c r="B881" i="32"/>
  <c r="B882" i="32"/>
  <c r="B883" i="32"/>
  <c r="B884" i="32"/>
  <c r="B885" i="32"/>
  <c r="B886" i="32"/>
  <c r="B887" i="32"/>
  <c r="B888" i="32"/>
  <c r="B889" i="32"/>
  <c r="B890" i="32"/>
  <c r="B891" i="32"/>
  <c r="B892" i="32"/>
  <c r="B893" i="32"/>
  <c r="B894" i="32"/>
  <c r="B895" i="32"/>
  <c r="B896" i="32"/>
  <c r="B897" i="32"/>
  <c r="B898" i="32"/>
  <c r="B899" i="32"/>
  <c r="B900" i="32"/>
  <c r="B901" i="32"/>
  <c r="B902" i="32"/>
  <c r="B903" i="32"/>
  <c r="B904" i="32"/>
  <c r="B905" i="32"/>
  <c r="B906" i="32"/>
  <c r="B907" i="32"/>
  <c r="B908" i="32"/>
  <c r="B909" i="32"/>
  <c r="B910" i="32"/>
  <c r="B911" i="32"/>
  <c r="B912" i="32"/>
  <c r="B913" i="32"/>
  <c r="B914" i="32"/>
  <c r="B915" i="32"/>
  <c r="B916" i="32"/>
  <c r="B917" i="32"/>
  <c r="B918" i="32"/>
  <c r="B919" i="32"/>
  <c r="B920" i="32"/>
  <c r="B921" i="32"/>
  <c r="B922" i="32"/>
  <c r="B923" i="32"/>
  <c r="B924" i="32"/>
  <c r="B925" i="32"/>
  <c r="B926" i="32"/>
  <c r="B927" i="32"/>
  <c r="B928" i="32"/>
  <c r="B929" i="32"/>
  <c r="B930" i="32"/>
  <c r="B931" i="32"/>
  <c r="B932" i="32"/>
  <c r="B933" i="32"/>
  <c r="B934" i="32"/>
  <c r="B935" i="32"/>
  <c r="B936" i="32"/>
  <c r="B937" i="32"/>
  <c r="B938" i="32"/>
  <c r="B939" i="32"/>
  <c r="B940" i="32"/>
  <c r="B941" i="32"/>
  <c r="B942" i="32"/>
  <c r="B943" i="32"/>
  <c r="B944" i="32"/>
  <c r="B945" i="32"/>
  <c r="B946" i="32"/>
  <c r="B947" i="32"/>
  <c r="B948" i="32"/>
  <c r="B949" i="32"/>
  <c r="B950" i="32"/>
  <c r="B951" i="32"/>
  <c r="B952" i="32"/>
  <c r="B953" i="32"/>
  <c r="B954" i="32"/>
  <c r="B955" i="32"/>
  <c r="B956" i="32"/>
  <c r="B957" i="32"/>
  <c r="B958" i="32"/>
  <c r="B959" i="32"/>
  <c r="B960" i="32"/>
  <c r="B961" i="32"/>
  <c r="B962" i="32"/>
  <c r="B963" i="32"/>
  <c r="B964" i="32"/>
  <c r="B965" i="32"/>
  <c r="B966" i="32"/>
  <c r="B967" i="32"/>
  <c r="B968" i="32"/>
  <c r="B969" i="32"/>
  <c r="B970" i="32"/>
  <c r="B971" i="32"/>
  <c r="B972" i="32"/>
  <c r="B973" i="32"/>
  <c r="B974" i="32"/>
  <c r="B975" i="32"/>
  <c r="B976" i="32"/>
  <c r="B977" i="32"/>
  <c r="B978" i="32"/>
  <c r="B979" i="32"/>
  <c r="B980" i="32"/>
  <c r="B981" i="32"/>
  <c r="B982" i="32"/>
  <c r="B983" i="32"/>
  <c r="B984" i="32"/>
  <c r="B985" i="32"/>
  <c r="B986" i="32"/>
  <c r="B987" i="32"/>
  <c r="B988" i="32"/>
  <c r="B989" i="32"/>
  <c r="B990" i="32"/>
  <c r="B991" i="32"/>
  <c r="B992" i="32"/>
  <c r="B993" i="32"/>
  <c r="B994" i="32"/>
  <c r="B995" i="32"/>
  <c r="B996" i="32"/>
  <c r="B997" i="32"/>
  <c r="B998" i="32"/>
  <c r="B999" i="32"/>
  <c r="B1000" i="32"/>
  <c r="B1001" i="32"/>
  <c r="B1002" i="32"/>
  <c r="B1003" i="32"/>
  <c r="B1004" i="32"/>
  <c r="B1005" i="32"/>
  <c r="B1006" i="32"/>
  <c r="B1007" i="32"/>
  <c r="B1008" i="32"/>
  <c r="B1009" i="32"/>
  <c r="B1010" i="32"/>
  <c r="B1011" i="32"/>
  <c r="B1012" i="32"/>
  <c r="B1013" i="32"/>
  <c r="B1014" i="32"/>
  <c r="B1015" i="32"/>
  <c r="B1016" i="32"/>
  <c r="B1017" i="32"/>
  <c r="B1018" i="32"/>
  <c r="B1019" i="32"/>
  <c r="B1020" i="32"/>
  <c r="B1021" i="32"/>
  <c r="B1022" i="32"/>
  <c r="B1023" i="32"/>
  <c r="B1024" i="32"/>
  <c r="B1025" i="32"/>
  <c r="B1026" i="32"/>
  <c r="B1027" i="32"/>
  <c r="B1028" i="32"/>
  <c r="B1029" i="32"/>
  <c r="B1030" i="32"/>
  <c r="B1031" i="32"/>
  <c r="B1032" i="32"/>
  <c r="B1033" i="32"/>
  <c r="B1034" i="32"/>
  <c r="B1035" i="32"/>
  <c r="B1036" i="32"/>
  <c r="B1037" i="32"/>
  <c r="B1038" i="32"/>
  <c r="B1039" i="32"/>
  <c r="B1040" i="32"/>
  <c r="B1041" i="32"/>
  <c r="B1042" i="32"/>
  <c r="B1043" i="32"/>
  <c r="B1044" i="32"/>
  <c r="B1045" i="32"/>
  <c r="B1046" i="32"/>
  <c r="B1047" i="32"/>
  <c r="B1048" i="32"/>
  <c r="B1049" i="32"/>
  <c r="B1050" i="32"/>
  <c r="B1051" i="32"/>
  <c r="B1052" i="32"/>
  <c r="B1053" i="32"/>
  <c r="B1054" i="32"/>
  <c r="B1055" i="32"/>
  <c r="B1056" i="32"/>
  <c r="B1057" i="32"/>
  <c r="B1058" i="32"/>
  <c r="B1059" i="32"/>
  <c r="B1060" i="32"/>
  <c r="B1061" i="32"/>
  <c r="B1062" i="32"/>
  <c r="B1063" i="32"/>
  <c r="B1064" i="32"/>
  <c r="B1065" i="32"/>
  <c r="B1066" i="32"/>
  <c r="B1067" i="32"/>
  <c r="B1068" i="32"/>
  <c r="B1069" i="32"/>
  <c r="B1070" i="32"/>
  <c r="B1071" i="32"/>
  <c r="B1072" i="32"/>
  <c r="B1073" i="32"/>
  <c r="B1074" i="32"/>
  <c r="B1075" i="32"/>
  <c r="B1076" i="32"/>
  <c r="B1077" i="32"/>
  <c r="B1078" i="32"/>
  <c r="B1079" i="32"/>
  <c r="B1080" i="32"/>
  <c r="B1081" i="32"/>
  <c r="B1082" i="32"/>
  <c r="B1083" i="32"/>
  <c r="B1084" i="32"/>
  <c r="B1085" i="32"/>
  <c r="B1086" i="32"/>
  <c r="B1087" i="32"/>
  <c r="B1088" i="32"/>
  <c r="B1089" i="32"/>
  <c r="B1090" i="32"/>
  <c r="B1091" i="32"/>
  <c r="B1092" i="32"/>
  <c r="B1093" i="32"/>
  <c r="B1094" i="32"/>
  <c r="B1095" i="32"/>
  <c r="B1096" i="32"/>
  <c r="B1097" i="32"/>
  <c r="B1098" i="32"/>
  <c r="B1099" i="32"/>
  <c r="B1100" i="32"/>
  <c r="B1101" i="32"/>
  <c r="B1102" i="32"/>
  <c r="B1103" i="32"/>
  <c r="B1104" i="32"/>
  <c r="B1105" i="32"/>
  <c r="B1106" i="32"/>
  <c r="B1107" i="32"/>
  <c r="B1108" i="32"/>
  <c r="B1109" i="32"/>
  <c r="B1110" i="32"/>
  <c r="B1111" i="32"/>
  <c r="B1112" i="32"/>
  <c r="B1113" i="32"/>
  <c r="B1114" i="32"/>
  <c r="B1115" i="32"/>
  <c r="B1116" i="32"/>
  <c r="B1117" i="32"/>
  <c r="B1118" i="32"/>
  <c r="B1119" i="32"/>
  <c r="B1120" i="32"/>
  <c r="B1121" i="32"/>
  <c r="B1122" i="32"/>
  <c r="B1123" i="32"/>
  <c r="B1124" i="32"/>
  <c r="B1125" i="32"/>
  <c r="B1126" i="32"/>
  <c r="B1127" i="32"/>
  <c r="B1128" i="32"/>
  <c r="B1129" i="32"/>
  <c r="B1130" i="32"/>
  <c r="B1131" i="32"/>
  <c r="B1132" i="32"/>
  <c r="B1133" i="32"/>
  <c r="B1134" i="32"/>
  <c r="B1135" i="32"/>
  <c r="B1136" i="32"/>
  <c r="B1137" i="32"/>
  <c r="B1138" i="32"/>
  <c r="B1139" i="32"/>
  <c r="B1140" i="32"/>
  <c r="B1141" i="32"/>
  <c r="B1142" i="32"/>
  <c r="B1143" i="32"/>
  <c r="B1144" i="32"/>
  <c r="B1145" i="32"/>
  <c r="B1146" i="32"/>
  <c r="B1147" i="32"/>
  <c r="B1148" i="32"/>
  <c r="B1149" i="32"/>
  <c r="B1150" i="32"/>
  <c r="B1151" i="32"/>
  <c r="B1152" i="32"/>
  <c r="B1153" i="32"/>
  <c r="B1154" i="32"/>
  <c r="B1155" i="32"/>
  <c r="B1156" i="32"/>
  <c r="B1157" i="32"/>
  <c r="B1158" i="32"/>
  <c r="B1159" i="32"/>
  <c r="B1160" i="32"/>
  <c r="B1161" i="32"/>
  <c r="B1162" i="32"/>
  <c r="B1163" i="32"/>
  <c r="B1164" i="32"/>
  <c r="B1165" i="32"/>
  <c r="B1166" i="32"/>
  <c r="B1167" i="32"/>
  <c r="B1168" i="32"/>
  <c r="B1169" i="32"/>
  <c r="B1170" i="32"/>
  <c r="B1171" i="32"/>
  <c r="B1172" i="32"/>
  <c r="B1173" i="32"/>
  <c r="B1174" i="32"/>
  <c r="B1175" i="32"/>
  <c r="B1176" i="32"/>
  <c r="B1177" i="32"/>
  <c r="B1178" i="32"/>
  <c r="B1179" i="32"/>
  <c r="B1180" i="32"/>
  <c r="B1181" i="32"/>
  <c r="B1182" i="32"/>
  <c r="B1183" i="32"/>
  <c r="B1184" i="32"/>
  <c r="B1185" i="32"/>
  <c r="B1186" i="32"/>
  <c r="B1187" i="32"/>
  <c r="B1188" i="32"/>
  <c r="B1189" i="32"/>
  <c r="B1190" i="32"/>
  <c r="B1191" i="32"/>
  <c r="B1192" i="32"/>
  <c r="B1193" i="32"/>
  <c r="B1194" i="32"/>
  <c r="B1195" i="32"/>
  <c r="B1196" i="32"/>
  <c r="B1197" i="32"/>
  <c r="B1198" i="32"/>
  <c r="B1199" i="32"/>
  <c r="B1200" i="32"/>
  <c r="B1201" i="32"/>
  <c r="B1202" i="32"/>
  <c r="B1203" i="32"/>
  <c r="B1204" i="32"/>
  <c r="B1205" i="32"/>
  <c r="B1206" i="32"/>
  <c r="B1207" i="32"/>
  <c r="B1208" i="32"/>
  <c r="B1209" i="32"/>
  <c r="B1210" i="32"/>
  <c r="B1211" i="32"/>
  <c r="B1212" i="32"/>
  <c r="B1213" i="32"/>
  <c r="B1214" i="32"/>
  <c r="B1215" i="32"/>
  <c r="B1216" i="32"/>
  <c r="B1217" i="32"/>
  <c r="B1218" i="32"/>
  <c r="B1219" i="32"/>
  <c r="B1220" i="32"/>
  <c r="B1221" i="32"/>
  <c r="B1222" i="32"/>
  <c r="B1223" i="32"/>
  <c r="B1224" i="32"/>
  <c r="B1225" i="32"/>
  <c r="B1226" i="32"/>
  <c r="B1227" i="32"/>
  <c r="B1228" i="32"/>
  <c r="B1229" i="32"/>
  <c r="B1230" i="32"/>
  <c r="B1231" i="32"/>
  <c r="B1232" i="32"/>
  <c r="B1233" i="32"/>
  <c r="B1234" i="32"/>
  <c r="B1235" i="32"/>
  <c r="B1236" i="32"/>
  <c r="B1237" i="32"/>
  <c r="B1238" i="32"/>
  <c r="B1239" i="32"/>
  <c r="B1240" i="32"/>
  <c r="B1241" i="32"/>
  <c r="B1242" i="32"/>
  <c r="B1243" i="32"/>
  <c r="B1244" i="32"/>
  <c r="B1245" i="32"/>
  <c r="B1246" i="32"/>
  <c r="B1247" i="32"/>
  <c r="B1248" i="32"/>
  <c r="B1249" i="32"/>
  <c r="B1250" i="32"/>
  <c r="B1251" i="32"/>
  <c r="B1252" i="32"/>
  <c r="B1253" i="32"/>
  <c r="B1254" i="32"/>
  <c r="B1255" i="32"/>
  <c r="B1256" i="32"/>
  <c r="B1257" i="32"/>
  <c r="B1258" i="32"/>
  <c r="B1259" i="32"/>
  <c r="B1260" i="32"/>
  <c r="B1261" i="32"/>
  <c r="B1262" i="32"/>
  <c r="B1263" i="32"/>
  <c r="B1264" i="32"/>
  <c r="B1265" i="32"/>
  <c r="B1266" i="32"/>
  <c r="B1267" i="32"/>
  <c r="B1268" i="32"/>
  <c r="B1269" i="32"/>
  <c r="B1270" i="32"/>
  <c r="B1271" i="32"/>
  <c r="B1272" i="32"/>
  <c r="B1273" i="32"/>
  <c r="B1274" i="32"/>
  <c r="B1275" i="32"/>
  <c r="B1276" i="32"/>
  <c r="B1277" i="32"/>
  <c r="B1278" i="32"/>
  <c r="B1279" i="32"/>
  <c r="B1280" i="32"/>
  <c r="B1281" i="32"/>
  <c r="B1282" i="32"/>
  <c r="B1283" i="32"/>
  <c r="B1284" i="32"/>
  <c r="B1285" i="32"/>
  <c r="B1286" i="32"/>
  <c r="B1287" i="32"/>
  <c r="B1288" i="32"/>
  <c r="B1289" i="32"/>
  <c r="B1290" i="32"/>
  <c r="B1291" i="32"/>
  <c r="B1292" i="32"/>
  <c r="B1293" i="32"/>
  <c r="B1294" i="32"/>
  <c r="B1295" i="32"/>
  <c r="B1296" i="32"/>
  <c r="B1297" i="32"/>
  <c r="B1298" i="32"/>
  <c r="B1299" i="32"/>
  <c r="B1300" i="32"/>
  <c r="B1301" i="32"/>
  <c r="B1302" i="32"/>
  <c r="B1303" i="32"/>
  <c r="B1304" i="32"/>
  <c r="B1305" i="32"/>
  <c r="B1306" i="32"/>
  <c r="B1307" i="32"/>
  <c r="B1308" i="32"/>
  <c r="B1309" i="32"/>
  <c r="B1310" i="32"/>
  <c r="B1311" i="32"/>
  <c r="B1312" i="32"/>
  <c r="B1313" i="32"/>
  <c r="B1314" i="32"/>
  <c r="B1315" i="32"/>
  <c r="B1316" i="32"/>
  <c r="B1317" i="32"/>
  <c r="B1318" i="32"/>
  <c r="B1319" i="32"/>
  <c r="B1320" i="32"/>
  <c r="B1321" i="32"/>
  <c r="B1322" i="32"/>
  <c r="B1323" i="32"/>
  <c r="B1324" i="32"/>
  <c r="B1325" i="32"/>
  <c r="B1326" i="32"/>
  <c r="B1327" i="32"/>
  <c r="B1328" i="32"/>
  <c r="B1329" i="32"/>
  <c r="B1330" i="32"/>
  <c r="B1331" i="32"/>
  <c r="B1332" i="32"/>
  <c r="B1333" i="32"/>
  <c r="B1334" i="32"/>
  <c r="B1335" i="32"/>
  <c r="B1336" i="32"/>
  <c r="B1337" i="32"/>
  <c r="B1338" i="32"/>
  <c r="B1339" i="32"/>
  <c r="B1340" i="32"/>
  <c r="B1341" i="32"/>
  <c r="B1342" i="32"/>
  <c r="B1343" i="32"/>
  <c r="B1344" i="32"/>
  <c r="B1345" i="32"/>
  <c r="B1346" i="32"/>
  <c r="B1347" i="32"/>
  <c r="B1348" i="32"/>
  <c r="B1349" i="32"/>
  <c r="B1350" i="32"/>
  <c r="B1351" i="32"/>
  <c r="B1352" i="32"/>
  <c r="B1353" i="32"/>
  <c r="B1354" i="32"/>
  <c r="B1355" i="32"/>
  <c r="B1356" i="32"/>
  <c r="B1357" i="32"/>
  <c r="B1358" i="32"/>
  <c r="B1359" i="32"/>
  <c r="B1360" i="32"/>
  <c r="B1361" i="32"/>
  <c r="B1362" i="32"/>
  <c r="B1363" i="32"/>
  <c r="B1364" i="32"/>
  <c r="B1365" i="32"/>
  <c r="B1366" i="32"/>
  <c r="B1367" i="32"/>
  <c r="B1368" i="32"/>
  <c r="B1369" i="32"/>
  <c r="B1370" i="32"/>
  <c r="B1371" i="32"/>
  <c r="B1372" i="32"/>
  <c r="B1373" i="32"/>
  <c r="B1374" i="32"/>
  <c r="B1375" i="32"/>
  <c r="B1376" i="32"/>
  <c r="B1377" i="32"/>
  <c r="B1378" i="32"/>
  <c r="B1379" i="32"/>
  <c r="B1380" i="32"/>
  <c r="B1381" i="32"/>
  <c r="B1382" i="32"/>
  <c r="B1383" i="32"/>
  <c r="B1384" i="32"/>
  <c r="B1385" i="32"/>
  <c r="B1386" i="32"/>
  <c r="B1387" i="32"/>
  <c r="B1388" i="32"/>
  <c r="B1389" i="32"/>
  <c r="B1390" i="32"/>
  <c r="B1391" i="32"/>
  <c r="B1392" i="32"/>
  <c r="B1393" i="32"/>
  <c r="B1394" i="32"/>
  <c r="B1395" i="32"/>
  <c r="B1396" i="32"/>
  <c r="B1397" i="32"/>
  <c r="B1398" i="32"/>
  <c r="B1399" i="32"/>
  <c r="B1400" i="32"/>
  <c r="B1401" i="32"/>
  <c r="B1402" i="32"/>
  <c r="B1403" i="32"/>
  <c r="B1404" i="32"/>
  <c r="B1405" i="32"/>
  <c r="B1406" i="32"/>
  <c r="B1407" i="32"/>
  <c r="B1408" i="32"/>
  <c r="B1409" i="32"/>
  <c r="B1410" i="32"/>
  <c r="B1411" i="32"/>
  <c r="B1412" i="32"/>
  <c r="B1413" i="32"/>
  <c r="B1414" i="32"/>
  <c r="B1415" i="32"/>
  <c r="B1416" i="32"/>
  <c r="B1417" i="32"/>
  <c r="B1418" i="32"/>
  <c r="B1419" i="32"/>
  <c r="B1420" i="32"/>
  <c r="B1421" i="32"/>
  <c r="B1422" i="32"/>
  <c r="B1423" i="32"/>
  <c r="B1424" i="32"/>
  <c r="B1425" i="32"/>
  <c r="B1426" i="32"/>
  <c r="B1427" i="32"/>
  <c r="B1428" i="32"/>
  <c r="B1429" i="32"/>
  <c r="B1430" i="32"/>
  <c r="B1431" i="32"/>
  <c r="B1432" i="32"/>
  <c r="B1433" i="32"/>
  <c r="B1434" i="32"/>
  <c r="B1435" i="32"/>
  <c r="B1436" i="32"/>
  <c r="B1437" i="32"/>
  <c r="B1438" i="32"/>
  <c r="B1439" i="32"/>
  <c r="B1440" i="32"/>
  <c r="B1441" i="32"/>
  <c r="B1442" i="32"/>
  <c r="B1443" i="32"/>
  <c r="B1444" i="32"/>
  <c r="B1445" i="32"/>
  <c r="B1446" i="32"/>
  <c r="B1447" i="32"/>
  <c r="B1448" i="32"/>
  <c r="B1449" i="32"/>
  <c r="B1450" i="32"/>
  <c r="B1451" i="32"/>
  <c r="B1452" i="32"/>
  <c r="B1453" i="32"/>
  <c r="B1454" i="32"/>
  <c r="B1455" i="32"/>
  <c r="B1456" i="32"/>
  <c r="B1457" i="32"/>
  <c r="B1458" i="32"/>
  <c r="B1459" i="32"/>
  <c r="B1460" i="32"/>
  <c r="B1461" i="32"/>
  <c r="B1462" i="32"/>
  <c r="B1463" i="32"/>
  <c r="B1464" i="32"/>
  <c r="B1465" i="32"/>
  <c r="B1466" i="32"/>
  <c r="B1467" i="32"/>
  <c r="B1468" i="32"/>
  <c r="B1469" i="32"/>
  <c r="B1470" i="32"/>
  <c r="B1471" i="32"/>
  <c r="B1472" i="32"/>
  <c r="B1473" i="32"/>
  <c r="B1474" i="32"/>
  <c r="B1475" i="32"/>
  <c r="B1476" i="32"/>
  <c r="B1477" i="32"/>
  <c r="B1478" i="32"/>
  <c r="B1479" i="32"/>
  <c r="B1480" i="32"/>
  <c r="B1481" i="32"/>
  <c r="B1482" i="32"/>
  <c r="B1483" i="32"/>
  <c r="B1484" i="32"/>
  <c r="B1485" i="32"/>
  <c r="B1486" i="32"/>
  <c r="B1487" i="32"/>
  <c r="B1488" i="32"/>
  <c r="B1489" i="32"/>
  <c r="B1490" i="32"/>
  <c r="B1491" i="32"/>
  <c r="B1492" i="32"/>
  <c r="B1493" i="32"/>
  <c r="B1494" i="32"/>
  <c r="B1495" i="32"/>
  <c r="B1496" i="32"/>
  <c r="B1497" i="32"/>
  <c r="B1498" i="32"/>
  <c r="B1499" i="32"/>
  <c r="B1500" i="32"/>
  <c r="B1501" i="32"/>
  <c r="B1502" i="32"/>
  <c r="B1503" i="32"/>
  <c r="B1504" i="32"/>
  <c r="B1505" i="32"/>
  <c r="B1506" i="32"/>
  <c r="B1507" i="32"/>
  <c r="B1508" i="32"/>
  <c r="B1509" i="32"/>
  <c r="B1510" i="32"/>
  <c r="B1511" i="32"/>
  <c r="B1512" i="32"/>
  <c r="B1513" i="32"/>
  <c r="B1514" i="32"/>
  <c r="B1515" i="32"/>
  <c r="B1516" i="32"/>
  <c r="B1517" i="32"/>
  <c r="B1518" i="32"/>
  <c r="B1519" i="32"/>
  <c r="B1520" i="32"/>
  <c r="B1521" i="32"/>
  <c r="B1522" i="32"/>
  <c r="B1523" i="32"/>
  <c r="B1524" i="32"/>
  <c r="B1525" i="32"/>
  <c r="B1526" i="32"/>
  <c r="B1527" i="32"/>
  <c r="B1528" i="32"/>
  <c r="B1529" i="32"/>
  <c r="B1530" i="32"/>
  <c r="B1531" i="32"/>
  <c r="B1532" i="32"/>
  <c r="B1533" i="32"/>
  <c r="B1534" i="32"/>
  <c r="B1535" i="32"/>
  <c r="B1536" i="32"/>
  <c r="B1537" i="32"/>
  <c r="B1538" i="32"/>
  <c r="B1539" i="32"/>
  <c r="B1540" i="32"/>
  <c r="B1541" i="32"/>
  <c r="B1542" i="32"/>
  <c r="B1543" i="32"/>
  <c r="B1544" i="32"/>
  <c r="B1545" i="32"/>
  <c r="B1546" i="32"/>
  <c r="B1547" i="32"/>
  <c r="B1548" i="32"/>
  <c r="B1549" i="32"/>
  <c r="B1550" i="32"/>
  <c r="B1551" i="32"/>
  <c r="B1552" i="32"/>
  <c r="B1553" i="32"/>
  <c r="B1554" i="32"/>
  <c r="B1555" i="32"/>
  <c r="B1556" i="32"/>
  <c r="B1557" i="32"/>
  <c r="B1558" i="32"/>
  <c r="B1559" i="32"/>
  <c r="B1560" i="32"/>
  <c r="B1561" i="32"/>
  <c r="B1562" i="32"/>
  <c r="B1563" i="32"/>
  <c r="B1564" i="32"/>
  <c r="B1565" i="32"/>
  <c r="B1566" i="32"/>
  <c r="B1567" i="32"/>
  <c r="B1568" i="32"/>
  <c r="B1569" i="32"/>
  <c r="B1570" i="32"/>
  <c r="B1571" i="32"/>
  <c r="B1572" i="32"/>
  <c r="B1573" i="32"/>
  <c r="B1574" i="32"/>
  <c r="B1575" i="32"/>
  <c r="B1576" i="32"/>
  <c r="B1577" i="32"/>
  <c r="B1578" i="32"/>
  <c r="B1579" i="32"/>
  <c r="B1580" i="32"/>
  <c r="B1581" i="32"/>
  <c r="B1582" i="32"/>
  <c r="B1583" i="32"/>
  <c r="B1584" i="32"/>
  <c r="B1585" i="32"/>
  <c r="B1586" i="32"/>
  <c r="B1587" i="32"/>
  <c r="B1588" i="32"/>
  <c r="B1589" i="32"/>
  <c r="B1590" i="32"/>
  <c r="B1591" i="32"/>
  <c r="B1592" i="32"/>
  <c r="B1593" i="32"/>
  <c r="B1594" i="32"/>
  <c r="B1595" i="32"/>
  <c r="B1596" i="32"/>
  <c r="B1597" i="32"/>
  <c r="B1598" i="32"/>
  <c r="B1599" i="32"/>
  <c r="B1600" i="32"/>
  <c r="B1601" i="32"/>
  <c r="B1602" i="32"/>
  <c r="B1603" i="32"/>
  <c r="B1604" i="32"/>
  <c r="B1605" i="32"/>
  <c r="B1606" i="32"/>
  <c r="B1607" i="32"/>
  <c r="B1608" i="32"/>
  <c r="B1609" i="32"/>
  <c r="B1610" i="32"/>
  <c r="B1611" i="32"/>
  <c r="B1612" i="32"/>
  <c r="B1613" i="32"/>
  <c r="B1614" i="32"/>
  <c r="B1615" i="32"/>
  <c r="B1616" i="32"/>
  <c r="B1617" i="32"/>
  <c r="B1618" i="32"/>
  <c r="B1619" i="32"/>
  <c r="B1620" i="32"/>
  <c r="B1621" i="32"/>
  <c r="B1622" i="32"/>
  <c r="B1623" i="32"/>
  <c r="B1624" i="32"/>
  <c r="B1625" i="32"/>
  <c r="B1626" i="32"/>
  <c r="B1627" i="32"/>
  <c r="B1628" i="32"/>
  <c r="B1629" i="32"/>
  <c r="B1630" i="32"/>
  <c r="B1631" i="32"/>
  <c r="B1632" i="32"/>
  <c r="B1633" i="32"/>
  <c r="B1634" i="32"/>
  <c r="B1635" i="32"/>
  <c r="B1636" i="32"/>
  <c r="B1637" i="32"/>
  <c r="B1638" i="32"/>
  <c r="B1639" i="32"/>
  <c r="B1640" i="32"/>
  <c r="B1641" i="32"/>
  <c r="B1642" i="32"/>
  <c r="B1643" i="32"/>
  <c r="B1644" i="32"/>
  <c r="B1645" i="32"/>
  <c r="B1646" i="32"/>
  <c r="B1647" i="32"/>
  <c r="B1648" i="32"/>
  <c r="B1649" i="32"/>
  <c r="B1650" i="32"/>
  <c r="B1651" i="32"/>
  <c r="B1652" i="32"/>
  <c r="B1653" i="32"/>
  <c r="B1654" i="32"/>
  <c r="B1655" i="32"/>
  <c r="B1656" i="32"/>
  <c r="B1657" i="32"/>
  <c r="B1658" i="32"/>
  <c r="B1659" i="32"/>
  <c r="B1660" i="32"/>
  <c r="B1661" i="32"/>
  <c r="B1662" i="32"/>
  <c r="B1663" i="32"/>
  <c r="B1664" i="32"/>
  <c r="B1665" i="32"/>
  <c r="B1666" i="32"/>
  <c r="B1667" i="32"/>
  <c r="B1668" i="32"/>
  <c r="B1669" i="32"/>
  <c r="B1670" i="32"/>
  <c r="B1671" i="32"/>
  <c r="B1672" i="32"/>
  <c r="B1673" i="32"/>
  <c r="B1674" i="32"/>
  <c r="B1675" i="32"/>
  <c r="B1676" i="32"/>
  <c r="B1677" i="32"/>
  <c r="B1678" i="32"/>
  <c r="B1679" i="32"/>
  <c r="B1680" i="32"/>
  <c r="B1681" i="32"/>
  <c r="B1682" i="32"/>
  <c r="B1683" i="32"/>
  <c r="B1684" i="32"/>
  <c r="B1685" i="32"/>
  <c r="B1686" i="32"/>
  <c r="B1687" i="32"/>
  <c r="B1688" i="32"/>
  <c r="B1689" i="32"/>
  <c r="B1690" i="32"/>
  <c r="B1691" i="32"/>
  <c r="B1692" i="32"/>
  <c r="B1693" i="32"/>
  <c r="B1694" i="32"/>
  <c r="B1695" i="32"/>
  <c r="B1696" i="32"/>
  <c r="B1697" i="32"/>
  <c r="B1698" i="32"/>
  <c r="B1699" i="32"/>
  <c r="B1700" i="32"/>
  <c r="B1701" i="32"/>
  <c r="B1702" i="32"/>
  <c r="B1703" i="32"/>
  <c r="B1704" i="32"/>
  <c r="B1705" i="32"/>
  <c r="B1706" i="32"/>
  <c r="B1707" i="32"/>
  <c r="B1708" i="32"/>
  <c r="B1709" i="32"/>
  <c r="B1710" i="32"/>
  <c r="B1711" i="32"/>
  <c r="B1712" i="32"/>
  <c r="B1713" i="32"/>
  <c r="B1714" i="32"/>
  <c r="B1715" i="32"/>
  <c r="B1716" i="32"/>
  <c r="B1717" i="32"/>
  <c r="B1718" i="32"/>
  <c r="B1719" i="32"/>
  <c r="B1720" i="32"/>
  <c r="B1721" i="32"/>
  <c r="B1722" i="32"/>
  <c r="B1723" i="32"/>
  <c r="B1724" i="32"/>
  <c r="B1725" i="32"/>
  <c r="B1726" i="32"/>
  <c r="B1727" i="32"/>
  <c r="B1728" i="32"/>
  <c r="B1729" i="32"/>
  <c r="B1730" i="32"/>
  <c r="B1731" i="32"/>
  <c r="B1732" i="32"/>
  <c r="B1733" i="32"/>
  <c r="B1734" i="32"/>
  <c r="B1735" i="32"/>
  <c r="B1736" i="32"/>
  <c r="B1737" i="32"/>
  <c r="B1738" i="32"/>
  <c r="B1739" i="32"/>
  <c r="B1740" i="32"/>
  <c r="B1741" i="32"/>
  <c r="B1742" i="32"/>
  <c r="B1743" i="32"/>
  <c r="B1744" i="32"/>
  <c r="B1745" i="32"/>
  <c r="B1746" i="32"/>
  <c r="B1747" i="32"/>
  <c r="B1748" i="32"/>
  <c r="B1749" i="32"/>
  <c r="B1750" i="32"/>
  <c r="B1751" i="32"/>
  <c r="B1752" i="32"/>
  <c r="B1753" i="32"/>
  <c r="B1754" i="32"/>
  <c r="B1755" i="32"/>
  <c r="B1756" i="32"/>
  <c r="B1757" i="32"/>
  <c r="B1758" i="32"/>
  <c r="B1759" i="32"/>
  <c r="B1760" i="32"/>
  <c r="B1761" i="32"/>
  <c r="B1762" i="32"/>
  <c r="B1763" i="32"/>
  <c r="B1764" i="32"/>
  <c r="B1765" i="32"/>
  <c r="B1766" i="32"/>
  <c r="B1767" i="32"/>
  <c r="B1768" i="32"/>
  <c r="B1769" i="32"/>
  <c r="B1770" i="32"/>
  <c r="B1771" i="32"/>
  <c r="B1772" i="32"/>
  <c r="B1773" i="32"/>
  <c r="B1774" i="32"/>
  <c r="B1775" i="32"/>
  <c r="B1776" i="32"/>
  <c r="B1777" i="32"/>
  <c r="B1778" i="32"/>
  <c r="B1779" i="32"/>
  <c r="B1780" i="32"/>
  <c r="B1781" i="32"/>
  <c r="B1782" i="32"/>
  <c r="B1783" i="32"/>
  <c r="B1784" i="32"/>
  <c r="B1785" i="32"/>
  <c r="B1786" i="32"/>
  <c r="B1787" i="32"/>
  <c r="B1788" i="32"/>
  <c r="B1789" i="32"/>
  <c r="B1790" i="32"/>
  <c r="B1791" i="32"/>
  <c r="B1792" i="32"/>
  <c r="B1793" i="32"/>
  <c r="B1794" i="32"/>
  <c r="B1795" i="32"/>
  <c r="B1796" i="32"/>
  <c r="B1797" i="32"/>
  <c r="B1798" i="32"/>
  <c r="B1799" i="32"/>
  <c r="B1800" i="32"/>
  <c r="B1801" i="32"/>
  <c r="B1802" i="32"/>
  <c r="B1803" i="32"/>
  <c r="B1804" i="32"/>
  <c r="B1805" i="32"/>
  <c r="B1806" i="32"/>
  <c r="B1807" i="32"/>
  <c r="B1808" i="32"/>
  <c r="B1809" i="32"/>
  <c r="B1810" i="32"/>
  <c r="B1811" i="32"/>
  <c r="B1812" i="32"/>
  <c r="B1813" i="32"/>
  <c r="B1814" i="32"/>
  <c r="B1815" i="32"/>
  <c r="B1816" i="32"/>
  <c r="B1817" i="32"/>
  <c r="B1818" i="32"/>
  <c r="B1819" i="32"/>
  <c r="B1820" i="32"/>
  <c r="B1821" i="32"/>
  <c r="B1822" i="32"/>
  <c r="B1823" i="32"/>
  <c r="B1824" i="32"/>
  <c r="B1825" i="32"/>
  <c r="B1826" i="32"/>
  <c r="B1827" i="32"/>
  <c r="B1828" i="32"/>
  <c r="B1829" i="32"/>
  <c r="B1830" i="32"/>
  <c r="B1831" i="32"/>
  <c r="B1832" i="32"/>
  <c r="B1833" i="32"/>
  <c r="B1834" i="32"/>
  <c r="B1835" i="32"/>
  <c r="B1836" i="32"/>
  <c r="B1837" i="32"/>
  <c r="B1838" i="32"/>
  <c r="B1839" i="32"/>
  <c r="B1840" i="32"/>
  <c r="B1841" i="32"/>
  <c r="B1842" i="32"/>
  <c r="B1843" i="32"/>
  <c r="B1844" i="32"/>
  <c r="B1845" i="32"/>
  <c r="B1846" i="32"/>
  <c r="B1847" i="32"/>
  <c r="B1848" i="32"/>
  <c r="B1849" i="32"/>
  <c r="B1850" i="32"/>
  <c r="B1851" i="32"/>
  <c r="B1852" i="32"/>
  <c r="B1853" i="32"/>
  <c r="B1854" i="32"/>
  <c r="B1855" i="32"/>
  <c r="B1856" i="32"/>
  <c r="B1857" i="32"/>
  <c r="B1858" i="32"/>
  <c r="B1859" i="32"/>
  <c r="B1860" i="32"/>
  <c r="B1861" i="32"/>
  <c r="B1862" i="32"/>
  <c r="B1863" i="32"/>
  <c r="B1864" i="32"/>
  <c r="B1865" i="32"/>
  <c r="B1866" i="32"/>
  <c r="B1867" i="32"/>
  <c r="B1868" i="32"/>
  <c r="B1869" i="32"/>
  <c r="B1870" i="32"/>
  <c r="B1871" i="32"/>
  <c r="B1872" i="32"/>
  <c r="B1873" i="32"/>
  <c r="B1874" i="32"/>
  <c r="B1875" i="32"/>
  <c r="B1876" i="32"/>
  <c r="B1877" i="32"/>
  <c r="B1878" i="32"/>
  <c r="B1879" i="32"/>
  <c r="B1880" i="32"/>
  <c r="B1881" i="32"/>
  <c r="B1882" i="32"/>
  <c r="B1883" i="32"/>
  <c r="B1884" i="32"/>
  <c r="B1885" i="32"/>
  <c r="B1886" i="32"/>
  <c r="B1887" i="32"/>
  <c r="B1888" i="32"/>
  <c r="B1889" i="32"/>
  <c r="B1890" i="32"/>
  <c r="B1891" i="32"/>
  <c r="B1892" i="32"/>
  <c r="B1893" i="32"/>
  <c r="B1894" i="32"/>
  <c r="B1895" i="32"/>
  <c r="B1896" i="32"/>
  <c r="B1897" i="32"/>
  <c r="B1898" i="32"/>
  <c r="B1899" i="32"/>
  <c r="B1900" i="32"/>
  <c r="B1901" i="32"/>
  <c r="B1902" i="32"/>
  <c r="B1903" i="32"/>
  <c r="B1904" i="32"/>
  <c r="B1905" i="32"/>
  <c r="B1906" i="32"/>
  <c r="B1907" i="32"/>
  <c r="B1908" i="32"/>
  <c r="B1909" i="32"/>
  <c r="B1910" i="32"/>
  <c r="B1911" i="32"/>
  <c r="B1912" i="32"/>
  <c r="B1913" i="32"/>
  <c r="B1914" i="32"/>
  <c r="B1915" i="32"/>
  <c r="B1916" i="32"/>
  <c r="B1917" i="32"/>
  <c r="B1918" i="32"/>
  <c r="B1919" i="32"/>
  <c r="B1920" i="32"/>
  <c r="B1921" i="32"/>
  <c r="B1922" i="32"/>
  <c r="B1923" i="32"/>
  <c r="B1924" i="32"/>
  <c r="B1925" i="32"/>
  <c r="B1926" i="32"/>
  <c r="B1927" i="32"/>
  <c r="B1928" i="32"/>
  <c r="B1929" i="32"/>
  <c r="B1930" i="32"/>
  <c r="B1931" i="32"/>
  <c r="B1932" i="32"/>
  <c r="B1933" i="32"/>
  <c r="B1934" i="32"/>
  <c r="B1935" i="32"/>
  <c r="B1936" i="32"/>
  <c r="B1937" i="32"/>
  <c r="B1938" i="32"/>
  <c r="B1939" i="32"/>
  <c r="B1940" i="32"/>
  <c r="B1941" i="32"/>
  <c r="B1942" i="32"/>
  <c r="B1943" i="32"/>
  <c r="B1944" i="32"/>
  <c r="B1945" i="32"/>
  <c r="B1946" i="32"/>
  <c r="B1947" i="32"/>
  <c r="B1948" i="32"/>
  <c r="B1949" i="32"/>
  <c r="B1950" i="32"/>
  <c r="B1951" i="32"/>
  <c r="B1952" i="32"/>
  <c r="B1953" i="32"/>
  <c r="B1954" i="32"/>
  <c r="B1955" i="32"/>
  <c r="B1956" i="32"/>
  <c r="B1957" i="32"/>
  <c r="B1958" i="32"/>
  <c r="B1959" i="32"/>
  <c r="B1960" i="32"/>
  <c r="B1961" i="32"/>
  <c r="B1962" i="32"/>
  <c r="B1963" i="32"/>
  <c r="B1964" i="32"/>
  <c r="B1965" i="32"/>
  <c r="B1966" i="32"/>
  <c r="B1967" i="32"/>
  <c r="B1968" i="32"/>
  <c r="B1969" i="32"/>
  <c r="B1970" i="32"/>
  <c r="B1971" i="32"/>
  <c r="B1972" i="32"/>
  <c r="B1973" i="32"/>
  <c r="B1974" i="32"/>
  <c r="B1975" i="32"/>
  <c r="B1976" i="32"/>
  <c r="B1977" i="32"/>
  <c r="B1978" i="32"/>
  <c r="B1979" i="32"/>
  <c r="B1980" i="32"/>
  <c r="B1981" i="32"/>
  <c r="B1982" i="32"/>
  <c r="B1983" i="32"/>
  <c r="B1984" i="32"/>
  <c r="B1985" i="32"/>
  <c r="B1986" i="32"/>
  <c r="B1987" i="32"/>
  <c r="B1988" i="32"/>
  <c r="B1989" i="32"/>
  <c r="B1990" i="32"/>
  <c r="B1991" i="32"/>
  <c r="B1992" i="32"/>
  <c r="B1993" i="32"/>
  <c r="B1994" i="32"/>
  <c r="B1995" i="32"/>
  <c r="B1996" i="32"/>
  <c r="B1997" i="32"/>
  <c r="B1998" i="32"/>
  <c r="B3" i="32"/>
  <c r="A4" i="32"/>
  <c r="A5" i="32"/>
  <c r="A6" i="32"/>
  <c r="A7" i="32"/>
  <c r="A8" i="32"/>
  <c r="A9" i="32"/>
  <c r="A10" i="32"/>
  <c r="A11" i="32"/>
  <c r="A12" i="32"/>
  <c r="A13" i="32"/>
  <c r="A14" i="32"/>
  <c r="A15" i="32"/>
  <c r="A16" i="32"/>
  <c r="A17" i="32"/>
  <c r="A18" i="32"/>
  <c r="A19" i="32"/>
  <c r="A20" i="32"/>
  <c r="A21" i="32"/>
  <c r="A22" i="32"/>
  <c r="A23" i="32"/>
  <c r="A24" i="32"/>
  <c r="A25" i="32"/>
  <c r="A26" i="32"/>
  <c r="A27" i="32"/>
  <c r="A28" i="32"/>
  <c r="A29" i="32"/>
  <c r="A30" i="32"/>
  <c r="A31" i="32"/>
  <c r="A32" i="32"/>
  <c r="A33" i="32"/>
  <c r="A34" i="32"/>
  <c r="A35" i="32"/>
  <c r="A36" i="32"/>
  <c r="A37" i="32"/>
  <c r="A38" i="32"/>
  <c r="A39" i="32"/>
  <c r="A40" i="32"/>
  <c r="A41" i="32"/>
  <c r="A42" i="32"/>
  <c r="A43" i="32"/>
  <c r="A44" i="32"/>
  <c r="A45" i="32"/>
  <c r="A46" i="32"/>
  <c r="A47" i="32"/>
  <c r="A48" i="32"/>
  <c r="A49" i="32"/>
  <c r="A50" i="32"/>
  <c r="A51" i="32"/>
  <c r="A52" i="32"/>
  <c r="A53" i="32"/>
  <c r="A54" i="32"/>
  <c r="A55" i="32"/>
  <c r="A56" i="32"/>
  <c r="A57" i="32"/>
  <c r="A58" i="32"/>
  <c r="A59" i="32"/>
  <c r="A60" i="32"/>
  <c r="A61" i="32"/>
  <c r="A62" i="32"/>
  <c r="A63" i="32"/>
  <c r="A64" i="32"/>
  <c r="A65" i="32"/>
  <c r="A66" i="32"/>
  <c r="A67" i="32"/>
  <c r="A68" i="32"/>
  <c r="A69" i="32"/>
  <c r="A70" i="32"/>
  <c r="A71" i="32"/>
  <c r="A72" i="32"/>
  <c r="A73" i="32"/>
  <c r="A74" i="32"/>
  <c r="A75" i="32"/>
  <c r="A76" i="32"/>
  <c r="A77" i="32"/>
  <c r="A78" i="32"/>
  <c r="A79" i="32"/>
  <c r="A80" i="32"/>
  <c r="A81" i="32"/>
  <c r="A82" i="32"/>
  <c r="A83" i="32"/>
  <c r="A84" i="32"/>
  <c r="A85" i="32"/>
  <c r="A86" i="32"/>
  <c r="A87" i="32"/>
  <c r="A88" i="32"/>
  <c r="A89" i="32"/>
  <c r="A90" i="32"/>
  <c r="A91" i="32"/>
  <c r="A92" i="32"/>
  <c r="A93" i="32"/>
  <c r="A94" i="32"/>
  <c r="A95" i="32"/>
  <c r="A96" i="32"/>
  <c r="A97" i="32"/>
  <c r="A98" i="32"/>
  <c r="A99" i="32"/>
  <c r="A100" i="32"/>
  <c r="A101" i="32"/>
  <c r="A102" i="32"/>
  <c r="A103" i="32"/>
  <c r="A104" i="32"/>
  <c r="A105" i="32"/>
  <c r="A106" i="32"/>
  <c r="A107" i="32"/>
  <c r="A108" i="32"/>
  <c r="A109" i="32"/>
  <c r="A110" i="32"/>
  <c r="A111" i="32"/>
  <c r="A112" i="32"/>
  <c r="A113" i="32"/>
  <c r="A114" i="32"/>
  <c r="A115" i="32"/>
  <c r="A116" i="32"/>
  <c r="A117" i="32"/>
  <c r="A118" i="32"/>
  <c r="A119" i="32"/>
  <c r="A120" i="32"/>
  <c r="A121" i="32"/>
  <c r="A122" i="32"/>
  <c r="A123" i="32"/>
  <c r="A124" i="32"/>
  <c r="A125" i="32"/>
  <c r="A126" i="32"/>
  <c r="A127" i="32"/>
  <c r="A128" i="32"/>
  <c r="A129" i="32"/>
  <c r="A130" i="32"/>
  <c r="A131" i="32"/>
  <c r="A132" i="32"/>
  <c r="A133" i="32"/>
  <c r="A134" i="32"/>
  <c r="A135" i="32"/>
  <c r="A136" i="32"/>
  <c r="A137" i="32"/>
  <c r="A138" i="32"/>
  <c r="A139" i="32"/>
  <c r="A140" i="32"/>
  <c r="A141" i="32"/>
  <c r="A142" i="32"/>
  <c r="A143" i="32"/>
  <c r="A144" i="32"/>
  <c r="A145" i="32"/>
  <c r="A146" i="32"/>
  <c r="A147" i="32"/>
  <c r="A148" i="32"/>
  <c r="A149" i="32"/>
  <c r="A150" i="32"/>
  <c r="A151" i="32"/>
  <c r="A152" i="32"/>
  <c r="A153" i="32"/>
  <c r="A154" i="32"/>
  <c r="A155" i="32"/>
  <c r="A156" i="32"/>
  <c r="A157" i="32"/>
  <c r="A158" i="32"/>
  <c r="A159" i="32"/>
  <c r="A160" i="32"/>
  <c r="A161" i="32"/>
  <c r="A162" i="32"/>
  <c r="A163" i="32"/>
  <c r="A164" i="32"/>
  <c r="A165" i="32"/>
  <c r="A166" i="32"/>
  <c r="A167" i="32"/>
  <c r="A168" i="32"/>
  <c r="A169" i="32"/>
  <c r="A170" i="32"/>
  <c r="A171" i="32"/>
  <c r="A172" i="32"/>
  <c r="A173" i="32"/>
  <c r="A174" i="32"/>
  <c r="A175" i="32"/>
  <c r="A176" i="32"/>
  <c r="A177" i="32"/>
  <c r="A178" i="32"/>
  <c r="A179" i="32"/>
  <c r="A180" i="32"/>
  <c r="A181" i="32"/>
  <c r="A182" i="32"/>
  <c r="A183" i="32"/>
  <c r="A184" i="32"/>
  <c r="A185" i="32"/>
  <c r="A186" i="32"/>
  <c r="A187" i="32"/>
  <c r="A188" i="32"/>
  <c r="A189" i="32"/>
  <c r="A190" i="32"/>
  <c r="A191" i="32"/>
  <c r="A192" i="32"/>
  <c r="A193" i="32"/>
  <c r="A194" i="32"/>
  <c r="A195" i="32"/>
  <c r="A196" i="32"/>
  <c r="A197" i="32"/>
  <c r="A198" i="32"/>
  <c r="A199" i="32"/>
  <c r="A200" i="32"/>
  <c r="A201" i="32"/>
  <c r="A202" i="32"/>
  <c r="A203" i="32"/>
  <c r="A204" i="32"/>
  <c r="A205" i="32"/>
  <c r="A206" i="32"/>
  <c r="A207" i="32"/>
  <c r="A208" i="32"/>
  <c r="A209" i="32"/>
  <c r="A210" i="32"/>
  <c r="A211" i="32"/>
  <c r="A212" i="32"/>
  <c r="A213" i="32"/>
  <c r="A214" i="32"/>
  <c r="A215" i="32"/>
  <c r="A216" i="32"/>
  <c r="A217" i="32"/>
  <c r="A218" i="32"/>
  <c r="A219" i="32"/>
  <c r="A220" i="32"/>
  <c r="A221" i="32"/>
  <c r="A222" i="32"/>
  <c r="A223" i="32"/>
  <c r="A224" i="32"/>
  <c r="A225" i="32"/>
  <c r="A226" i="32"/>
  <c r="A227" i="32"/>
  <c r="A228" i="32"/>
  <c r="A229" i="32"/>
  <c r="A230" i="32"/>
  <c r="A231" i="32"/>
  <c r="A232" i="32"/>
  <c r="A233" i="32"/>
  <c r="A234" i="32"/>
  <c r="A235" i="32"/>
  <c r="A236" i="32"/>
  <c r="A237" i="32"/>
  <c r="A238" i="32"/>
  <c r="A239" i="32"/>
  <c r="A240" i="32"/>
  <c r="A241" i="32"/>
  <c r="A242" i="32"/>
  <c r="A243" i="32"/>
  <c r="A244" i="32"/>
  <c r="A245" i="32"/>
  <c r="A246" i="32"/>
  <c r="A247" i="32"/>
  <c r="A248" i="32"/>
  <c r="A249" i="32"/>
  <c r="A250" i="32"/>
  <c r="A251" i="32"/>
  <c r="A252" i="32"/>
  <c r="A253" i="32"/>
  <c r="A254" i="32"/>
  <c r="A255" i="32"/>
  <c r="A256" i="32"/>
  <c r="A257" i="32"/>
  <c r="A258" i="32"/>
  <c r="A259" i="32"/>
  <c r="A260" i="32"/>
  <c r="A261" i="32"/>
  <c r="A262" i="32"/>
  <c r="A263" i="32"/>
  <c r="A264" i="32"/>
  <c r="A265" i="32"/>
  <c r="A266" i="32"/>
  <c r="A267" i="32"/>
  <c r="A268" i="32"/>
  <c r="A269" i="32"/>
  <c r="A270" i="32"/>
  <c r="A271" i="32"/>
  <c r="A272" i="32"/>
  <c r="A273" i="32"/>
  <c r="A274" i="32"/>
  <c r="A275" i="32"/>
  <c r="A276" i="32"/>
  <c r="A277" i="32"/>
  <c r="A278" i="32"/>
  <c r="A279" i="32"/>
  <c r="A280" i="32"/>
  <c r="A281" i="32"/>
  <c r="A282" i="32"/>
  <c r="A283" i="32"/>
  <c r="A284" i="32"/>
  <c r="A285" i="32"/>
  <c r="A286" i="32"/>
  <c r="A287" i="32"/>
  <c r="A288" i="32"/>
  <c r="A289" i="32"/>
  <c r="A290" i="32"/>
  <c r="A291" i="32"/>
  <c r="A292" i="32"/>
  <c r="A293" i="32"/>
  <c r="A294" i="32"/>
  <c r="A295" i="32"/>
  <c r="A296" i="32"/>
  <c r="A297" i="32"/>
  <c r="A298" i="32"/>
  <c r="A299" i="32"/>
  <c r="A300" i="32"/>
  <c r="A301" i="32"/>
  <c r="A302" i="32"/>
  <c r="A303" i="32"/>
  <c r="A304" i="32"/>
  <c r="A305" i="32"/>
  <c r="A306" i="32"/>
  <c r="A307" i="32"/>
  <c r="A308" i="32"/>
  <c r="A309" i="32"/>
  <c r="A310" i="32"/>
  <c r="A311" i="32"/>
  <c r="A312" i="32"/>
  <c r="A313" i="32"/>
  <c r="A314" i="32"/>
  <c r="A315" i="32"/>
  <c r="A316" i="32"/>
  <c r="A317" i="32"/>
  <c r="A318" i="32"/>
  <c r="A319" i="32"/>
  <c r="A320" i="32"/>
  <c r="A321" i="32"/>
  <c r="A322" i="32"/>
  <c r="A323" i="32"/>
  <c r="A324" i="32"/>
  <c r="A325" i="32"/>
  <c r="A326" i="32"/>
  <c r="A327" i="32"/>
  <c r="A328" i="32"/>
  <c r="A329" i="32"/>
  <c r="A330" i="32"/>
  <c r="A331" i="32"/>
  <c r="A332" i="32"/>
  <c r="A333" i="32"/>
  <c r="A334" i="32"/>
  <c r="A335" i="32"/>
  <c r="A336" i="32"/>
  <c r="A337" i="32"/>
  <c r="A338" i="32"/>
  <c r="A339" i="32"/>
  <c r="A340" i="32"/>
  <c r="A341" i="32"/>
  <c r="A342" i="32"/>
  <c r="A343" i="32"/>
  <c r="A344" i="32"/>
  <c r="A345" i="32"/>
  <c r="A346" i="32"/>
  <c r="A347" i="32"/>
  <c r="A348" i="32"/>
  <c r="A349" i="32"/>
  <c r="A350" i="32"/>
  <c r="A351" i="32"/>
  <c r="A352" i="32"/>
  <c r="A353" i="32"/>
  <c r="A354" i="32"/>
  <c r="A355" i="32"/>
  <c r="A356" i="32"/>
  <c r="A357" i="32"/>
  <c r="A358" i="32"/>
  <c r="A359" i="32"/>
  <c r="A360" i="32"/>
  <c r="A361" i="32"/>
  <c r="A362" i="32"/>
  <c r="A363" i="32"/>
  <c r="A364" i="32"/>
  <c r="A365" i="32"/>
  <c r="A366" i="32"/>
  <c r="A367" i="32"/>
  <c r="A368" i="32"/>
  <c r="A369" i="32"/>
  <c r="A370" i="32"/>
  <c r="A371" i="32"/>
  <c r="A372" i="32"/>
  <c r="A373" i="32"/>
  <c r="A374" i="32"/>
  <c r="A375" i="32"/>
  <c r="A376" i="32"/>
  <c r="A377" i="32"/>
  <c r="A378" i="32"/>
  <c r="A379" i="32"/>
  <c r="A380" i="32"/>
  <c r="A381" i="32"/>
  <c r="A382" i="32"/>
  <c r="A383" i="32"/>
  <c r="A384" i="32"/>
  <c r="A385" i="32"/>
  <c r="A386" i="32"/>
  <c r="A387" i="32"/>
  <c r="A388" i="32"/>
  <c r="A389" i="32"/>
  <c r="A390" i="32"/>
  <c r="A391" i="32"/>
  <c r="A392" i="32"/>
  <c r="A393" i="32"/>
  <c r="A394" i="32"/>
  <c r="A395" i="32"/>
  <c r="A396" i="32"/>
  <c r="A397" i="32"/>
  <c r="A398" i="32"/>
  <c r="A399" i="32"/>
  <c r="A400" i="32"/>
  <c r="A401" i="32"/>
  <c r="A402" i="32"/>
  <c r="A403" i="32"/>
  <c r="A404" i="32"/>
  <c r="A405" i="32"/>
  <c r="A406" i="32"/>
  <c r="A407" i="32"/>
  <c r="A408" i="32"/>
  <c r="A409" i="32"/>
  <c r="A410" i="32"/>
  <c r="A411" i="32"/>
  <c r="A412" i="32"/>
  <c r="A413" i="32"/>
  <c r="A414" i="32"/>
  <c r="A415" i="32"/>
  <c r="A416" i="32"/>
  <c r="A417" i="32"/>
  <c r="A418" i="32"/>
  <c r="A419" i="32"/>
  <c r="A420" i="32"/>
  <c r="A421" i="32"/>
  <c r="A422" i="32"/>
  <c r="A423" i="32"/>
  <c r="A424" i="32"/>
  <c r="A425" i="32"/>
  <c r="A426" i="32"/>
  <c r="A427" i="32"/>
  <c r="A428" i="32"/>
  <c r="A429" i="32"/>
  <c r="A430" i="32"/>
  <c r="A431" i="32"/>
  <c r="A432" i="32"/>
  <c r="A433" i="32"/>
  <c r="A434" i="32"/>
  <c r="A435" i="32"/>
  <c r="A436" i="32"/>
  <c r="A437" i="32"/>
  <c r="A438" i="32"/>
  <c r="A439" i="32"/>
  <c r="A440" i="32"/>
  <c r="A441" i="32"/>
  <c r="A442" i="32"/>
  <c r="A443" i="32"/>
  <c r="A444" i="32"/>
  <c r="A445" i="32"/>
  <c r="A446" i="32"/>
  <c r="A447" i="32"/>
  <c r="A448" i="32"/>
  <c r="A449" i="32"/>
  <c r="A450" i="32"/>
  <c r="A451" i="32"/>
  <c r="A452" i="32"/>
  <c r="A453" i="32"/>
  <c r="A454" i="32"/>
  <c r="A455" i="32"/>
  <c r="A456" i="32"/>
  <c r="A457" i="32"/>
  <c r="A458" i="32"/>
  <c r="A459" i="32"/>
  <c r="A460" i="32"/>
  <c r="A461" i="32"/>
  <c r="A462" i="32"/>
  <c r="A463" i="32"/>
  <c r="A464" i="32"/>
  <c r="A465" i="32"/>
  <c r="A466" i="32"/>
  <c r="A467" i="32"/>
  <c r="A468" i="32"/>
  <c r="A469" i="32"/>
  <c r="A470" i="32"/>
  <c r="A471" i="32"/>
  <c r="A472" i="32"/>
  <c r="A473" i="32"/>
  <c r="A474" i="32"/>
  <c r="A475" i="32"/>
  <c r="A476" i="32"/>
  <c r="A477" i="32"/>
  <c r="A478" i="32"/>
  <c r="A479" i="32"/>
  <c r="A480" i="32"/>
  <c r="A481" i="32"/>
  <c r="A482" i="32"/>
  <c r="A483" i="32"/>
  <c r="A484" i="32"/>
  <c r="A485" i="32"/>
  <c r="A486" i="32"/>
  <c r="A487" i="32"/>
  <c r="A488" i="32"/>
  <c r="A489" i="32"/>
  <c r="A490" i="32"/>
  <c r="A491" i="32"/>
  <c r="A492" i="32"/>
  <c r="A493" i="32"/>
  <c r="A494" i="32"/>
  <c r="A495" i="32"/>
  <c r="A496" i="32"/>
  <c r="A497" i="32"/>
  <c r="A498" i="32"/>
  <c r="A499" i="32"/>
  <c r="A500" i="32"/>
  <c r="A501" i="32"/>
  <c r="A502" i="32"/>
  <c r="A503" i="32"/>
  <c r="A504" i="32"/>
  <c r="A505" i="32"/>
  <c r="A506" i="32"/>
  <c r="A507" i="32"/>
  <c r="A508" i="32"/>
  <c r="A509" i="32"/>
  <c r="A510" i="32"/>
  <c r="A511" i="32"/>
  <c r="A512" i="32"/>
  <c r="A513" i="32"/>
  <c r="A514" i="32"/>
  <c r="A515" i="32"/>
  <c r="A516" i="32"/>
  <c r="A517" i="32"/>
  <c r="A518" i="32"/>
  <c r="A519" i="32"/>
  <c r="A520" i="32"/>
  <c r="A521" i="32"/>
  <c r="A522" i="32"/>
  <c r="A523" i="32"/>
  <c r="A524" i="32"/>
  <c r="A525" i="32"/>
  <c r="A526" i="32"/>
  <c r="A527" i="32"/>
  <c r="A528" i="32"/>
  <c r="A529" i="32"/>
  <c r="A530" i="32"/>
  <c r="A531" i="32"/>
  <c r="A532" i="32"/>
  <c r="A533" i="32"/>
  <c r="A534" i="32"/>
  <c r="A535" i="32"/>
  <c r="A536" i="32"/>
  <c r="A537" i="32"/>
  <c r="A538" i="32"/>
  <c r="A539" i="32"/>
  <c r="A540" i="32"/>
  <c r="A541" i="32"/>
  <c r="A542" i="32"/>
  <c r="A543" i="32"/>
  <c r="A544" i="32"/>
  <c r="A545" i="32"/>
  <c r="A546" i="32"/>
  <c r="A547" i="32"/>
  <c r="A548" i="32"/>
  <c r="A549" i="32"/>
  <c r="A550" i="32"/>
  <c r="A551" i="32"/>
  <c r="A552" i="32"/>
  <c r="A553" i="32"/>
  <c r="A554" i="32"/>
  <c r="A555" i="32"/>
  <c r="A556" i="32"/>
  <c r="A557" i="32"/>
  <c r="A558" i="32"/>
  <c r="A559" i="32"/>
  <c r="A560" i="32"/>
  <c r="A561" i="32"/>
  <c r="A562" i="32"/>
  <c r="A563" i="32"/>
  <c r="A564" i="32"/>
  <c r="A565" i="32"/>
  <c r="A566" i="32"/>
  <c r="A567" i="32"/>
  <c r="A568" i="32"/>
  <c r="A569" i="32"/>
  <c r="A570" i="32"/>
  <c r="A571" i="32"/>
  <c r="A572" i="32"/>
  <c r="A573" i="32"/>
  <c r="A574" i="32"/>
  <c r="A575" i="32"/>
  <c r="A576" i="32"/>
  <c r="A577" i="32"/>
  <c r="A578" i="32"/>
  <c r="A579" i="32"/>
  <c r="A580" i="32"/>
  <c r="A581" i="32"/>
  <c r="A582" i="32"/>
  <c r="A583" i="32"/>
  <c r="A584" i="32"/>
  <c r="A585" i="32"/>
  <c r="A586" i="32"/>
  <c r="A587" i="32"/>
  <c r="A588" i="32"/>
  <c r="A589" i="32"/>
  <c r="A590" i="32"/>
  <c r="A591" i="32"/>
  <c r="A592" i="32"/>
  <c r="A593" i="32"/>
  <c r="A594" i="32"/>
  <c r="A595" i="32"/>
  <c r="A596" i="32"/>
  <c r="A597" i="32"/>
  <c r="A598" i="32"/>
  <c r="A599" i="32"/>
  <c r="A600" i="32"/>
  <c r="A601" i="32"/>
  <c r="A602" i="32"/>
  <c r="A603" i="32"/>
  <c r="A604" i="32"/>
  <c r="A605" i="32"/>
  <c r="A606" i="32"/>
  <c r="A607" i="32"/>
  <c r="A608" i="32"/>
  <c r="A609" i="32"/>
  <c r="A610" i="32"/>
  <c r="A611" i="32"/>
  <c r="A612" i="32"/>
  <c r="A613" i="32"/>
  <c r="A614" i="32"/>
  <c r="A615" i="32"/>
  <c r="A616" i="32"/>
  <c r="A617" i="32"/>
  <c r="A618" i="32"/>
  <c r="A619" i="32"/>
  <c r="A620" i="32"/>
  <c r="A621" i="32"/>
  <c r="A622" i="32"/>
  <c r="A623" i="32"/>
  <c r="A624" i="32"/>
  <c r="A625" i="32"/>
  <c r="A626" i="32"/>
  <c r="A627" i="32"/>
  <c r="A628" i="32"/>
  <c r="A629" i="32"/>
  <c r="A630" i="32"/>
  <c r="A631" i="32"/>
  <c r="A632" i="32"/>
  <c r="A633" i="32"/>
  <c r="A634" i="32"/>
  <c r="A635" i="32"/>
  <c r="A636" i="32"/>
  <c r="A637" i="32"/>
  <c r="A638" i="32"/>
  <c r="A639" i="32"/>
  <c r="A640" i="32"/>
  <c r="A641" i="32"/>
  <c r="A642" i="32"/>
  <c r="A643" i="32"/>
  <c r="A644" i="32"/>
  <c r="A645" i="32"/>
  <c r="A646" i="32"/>
  <c r="A647" i="32"/>
  <c r="A648" i="32"/>
  <c r="A649" i="32"/>
  <c r="A650" i="32"/>
  <c r="A651" i="32"/>
  <c r="A652" i="32"/>
  <c r="A653" i="32"/>
  <c r="A654" i="32"/>
  <c r="A655" i="32"/>
  <c r="A656" i="32"/>
  <c r="A657" i="32"/>
  <c r="A658" i="32"/>
  <c r="A659" i="32"/>
  <c r="A660" i="32"/>
  <c r="A661" i="32"/>
  <c r="A662" i="32"/>
  <c r="A663" i="32"/>
  <c r="A664" i="32"/>
  <c r="A665" i="32"/>
  <c r="A666" i="32"/>
  <c r="A667" i="32"/>
  <c r="A668" i="32"/>
  <c r="A669" i="32"/>
  <c r="A670" i="32"/>
  <c r="A671" i="32"/>
  <c r="A672" i="32"/>
  <c r="A673" i="32"/>
  <c r="A674" i="32"/>
  <c r="A675" i="32"/>
  <c r="A676" i="32"/>
  <c r="A677" i="32"/>
  <c r="A678" i="32"/>
  <c r="A679" i="32"/>
  <c r="A680" i="32"/>
  <c r="A681" i="32"/>
  <c r="A682" i="32"/>
  <c r="A683" i="32"/>
  <c r="A684" i="32"/>
  <c r="A685" i="32"/>
  <c r="A686" i="32"/>
  <c r="A687" i="32"/>
  <c r="A688" i="32"/>
  <c r="A689" i="32"/>
  <c r="A690" i="32"/>
  <c r="A691" i="32"/>
  <c r="A692" i="32"/>
  <c r="A693" i="32"/>
  <c r="A694" i="32"/>
  <c r="A695" i="32"/>
  <c r="A696" i="32"/>
  <c r="A697" i="32"/>
  <c r="A698" i="32"/>
  <c r="A699" i="32"/>
  <c r="A700" i="32"/>
  <c r="A701" i="32"/>
  <c r="A702" i="32"/>
  <c r="A703" i="32"/>
  <c r="A704" i="32"/>
  <c r="A705" i="32"/>
  <c r="A706" i="32"/>
  <c r="A707" i="32"/>
  <c r="A708" i="32"/>
  <c r="A709" i="32"/>
  <c r="A710" i="32"/>
  <c r="A711" i="32"/>
  <c r="A712" i="32"/>
  <c r="A713" i="32"/>
  <c r="A714" i="32"/>
  <c r="A715" i="32"/>
  <c r="A716" i="32"/>
  <c r="A717" i="32"/>
  <c r="A718" i="32"/>
  <c r="A719" i="32"/>
  <c r="A720" i="32"/>
  <c r="A721" i="32"/>
  <c r="A722" i="32"/>
  <c r="A723" i="32"/>
  <c r="A724" i="32"/>
  <c r="A725" i="32"/>
  <c r="A726" i="32"/>
  <c r="A727" i="32"/>
  <c r="A728" i="32"/>
  <c r="A729" i="32"/>
  <c r="A730" i="32"/>
  <c r="A731" i="32"/>
  <c r="A732" i="32"/>
  <c r="A733" i="32"/>
  <c r="A734" i="32"/>
  <c r="A735" i="32"/>
  <c r="A736" i="32"/>
  <c r="A737" i="32"/>
  <c r="A738" i="32"/>
  <c r="A739" i="32"/>
  <c r="A740" i="32"/>
  <c r="A741" i="32"/>
  <c r="A742" i="32"/>
  <c r="A743" i="32"/>
  <c r="A744" i="32"/>
  <c r="A745" i="32"/>
  <c r="A746" i="32"/>
  <c r="A747" i="32"/>
  <c r="A748" i="32"/>
  <c r="A749" i="32"/>
  <c r="A750" i="32"/>
  <c r="A751" i="32"/>
  <c r="A752" i="32"/>
  <c r="A753" i="32"/>
  <c r="A754" i="32"/>
  <c r="A755" i="32"/>
  <c r="A756" i="32"/>
  <c r="A757" i="32"/>
  <c r="A758" i="32"/>
  <c r="A759" i="32"/>
  <c r="A760" i="32"/>
  <c r="A761" i="32"/>
  <c r="A762" i="32"/>
  <c r="A763" i="32"/>
  <c r="A764" i="32"/>
  <c r="A765" i="32"/>
  <c r="A766" i="32"/>
  <c r="A767" i="32"/>
  <c r="A768" i="32"/>
  <c r="A769" i="32"/>
  <c r="A770" i="32"/>
  <c r="A771" i="32"/>
  <c r="A772" i="32"/>
  <c r="A773" i="32"/>
  <c r="A774" i="32"/>
  <c r="A775" i="32"/>
  <c r="A776" i="32"/>
  <c r="A777" i="32"/>
  <c r="A778" i="32"/>
  <c r="A779" i="32"/>
  <c r="A780" i="32"/>
  <c r="A781" i="32"/>
  <c r="A782" i="32"/>
  <c r="A783" i="32"/>
  <c r="A784" i="32"/>
  <c r="A785" i="32"/>
  <c r="A786" i="32"/>
  <c r="A787" i="32"/>
  <c r="A788" i="32"/>
  <c r="A789" i="32"/>
  <c r="A790" i="32"/>
  <c r="A791" i="32"/>
  <c r="A792" i="32"/>
  <c r="A793" i="32"/>
  <c r="A794" i="32"/>
  <c r="A795" i="32"/>
  <c r="A796" i="32"/>
  <c r="A797" i="32"/>
  <c r="A798" i="32"/>
  <c r="A799" i="32"/>
  <c r="A800" i="32"/>
  <c r="A801" i="32"/>
  <c r="A802" i="32"/>
  <c r="A803" i="32"/>
  <c r="A804" i="32"/>
  <c r="A805" i="32"/>
  <c r="A806" i="32"/>
  <c r="A807" i="32"/>
  <c r="A808" i="32"/>
  <c r="A809" i="32"/>
  <c r="A810" i="32"/>
  <c r="A811" i="32"/>
  <c r="A812" i="32"/>
  <c r="A813" i="32"/>
  <c r="A814" i="32"/>
  <c r="A815" i="32"/>
  <c r="A816" i="32"/>
  <c r="A817" i="32"/>
  <c r="A818" i="32"/>
  <c r="A819" i="32"/>
  <c r="A820" i="32"/>
  <c r="A821" i="32"/>
  <c r="A822" i="32"/>
  <c r="A823" i="32"/>
  <c r="A824" i="32"/>
  <c r="A825" i="32"/>
  <c r="A826" i="32"/>
  <c r="A827" i="32"/>
  <c r="A828" i="32"/>
  <c r="A829" i="32"/>
  <c r="A830" i="32"/>
  <c r="A831" i="32"/>
  <c r="A832" i="32"/>
  <c r="A833" i="32"/>
  <c r="A834" i="32"/>
  <c r="A835" i="32"/>
  <c r="A836" i="32"/>
  <c r="A837" i="32"/>
  <c r="A838" i="32"/>
  <c r="A839" i="32"/>
  <c r="A840" i="32"/>
  <c r="A841" i="32"/>
  <c r="A842" i="32"/>
  <c r="A843" i="32"/>
  <c r="A844" i="32"/>
  <c r="A845" i="32"/>
  <c r="A846" i="32"/>
  <c r="A847" i="32"/>
  <c r="A848" i="32"/>
  <c r="A849" i="32"/>
  <c r="A850" i="32"/>
  <c r="A851" i="32"/>
  <c r="A852" i="32"/>
  <c r="A853" i="32"/>
  <c r="A854" i="32"/>
  <c r="A855" i="32"/>
  <c r="A856" i="32"/>
  <c r="A857" i="32"/>
  <c r="A858" i="32"/>
  <c r="A859" i="32"/>
  <c r="A860" i="32"/>
  <c r="A861" i="32"/>
  <c r="A862" i="32"/>
  <c r="A863" i="32"/>
  <c r="A864" i="32"/>
  <c r="A865" i="32"/>
  <c r="A866" i="32"/>
  <c r="A867" i="32"/>
  <c r="A868" i="32"/>
  <c r="A869" i="32"/>
  <c r="A870" i="32"/>
  <c r="A871" i="32"/>
  <c r="A872" i="32"/>
  <c r="A873" i="32"/>
  <c r="A874" i="32"/>
  <c r="A875" i="32"/>
  <c r="A876" i="32"/>
  <c r="A877" i="32"/>
  <c r="A878" i="32"/>
  <c r="A879" i="32"/>
  <c r="A880" i="32"/>
  <c r="A881" i="32"/>
  <c r="A882" i="32"/>
  <c r="A883" i="32"/>
  <c r="A884" i="32"/>
  <c r="A885" i="32"/>
  <c r="A886" i="32"/>
  <c r="A887" i="32"/>
  <c r="A888" i="32"/>
  <c r="A889" i="32"/>
  <c r="A890" i="32"/>
  <c r="A891" i="32"/>
  <c r="A892" i="32"/>
  <c r="A893" i="32"/>
  <c r="A894" i="32"/>
  <c r="A895" i="32"/>
  <c r="A896" i="32"/>
  <c r="A897" i="32"/>
  <c r="A898" i="32"/>
  <c r="A899" i="32"/>
  <c r="A900" i="32"/>
  <c r="A901" i="32"/>
  <c r="A902" i="32"/>
  <c r="A903" i="32"/>
  <c r="A904" i="32"/>
  <c r="A905" i="32"/>
  <c r="A906" i="32"/>
  <c r="A907" i="32"/>
  <c r="A908" i="32"/>
  <c r="A909" i="32"/>
  <c r="A910" i="32"/>
  <c r="A911" i="32"/>
  <c r="A912" i="32"/>
  <c r="A913" i="32"/>
  <c r="A914" i="32"/>
  <c r="A915" i="32"/>
  <c r="A916" i="32"/>
  <c r="A917" i="32"/>
  <c r="A918" i="32"/>
  <c r="A919" i="32"/>
  <c r="A920" i="32"/>
  <c r="A921" i="32"/>
  <c r="A922" i="32"/>
  <c r="A923" i="32"/>
  <c r="A924" i="32"/>
  <c r="A925" i="32"/>
  <c r="A926" i="32"/>
  <c r="A927" i="32"/>
  <c r="A928" i="32"/>
  <c r="A929" i="32"/>
  <c r="A930" i="32"/>
  <c r="A931" i="32"/>
  <c r="A932" i="32"/>
  <c r="A933" i="32"/>
  <c r="A934" i="32"/>
  <c r="A935" i="32"/>
  <c r="A936" i="32"/>
  <c r="A937" i="32"/>
  <c r="A938" i="32"/>
  <c r="A939" i="32"/>
  <c r="A940" i="32"/>
  <c r="A941" i="32"/>
  <c r="A942" i="32"/>
  <c r="A943" i="32"/>
  <c r="A944" i="32"/>
  <c r="A945" i="32"/>
  <c r="A946" i="32"/>
  <c r="A947" i="32"/>
  <c r="A948" i="32"/>
  <c r="A949" i="32"/>
  <c r="A950" i="32"/>
  <c r="A951" i="32"/>
  <c r="A952" i="32"/>
  <c r="A953" i="32"/>
  <c r="A954" i="32"/>
  <c r="A955" i="32"/>
  <c r="A956" i="32"/>
  <c r="A957" i="32"/>
  <c r="A958" i="32"/>
  <c r="A959" i="32"/>
  <c r="A960" i="32"/>
  <c r="A961" i="32"/>
  <c r="A962" i="32"/>
  <c r="A963" i="32"/>
  <c r="A964" i="32"/>
  <c r="A965" i="32"/>
  <c r="A966" i="32"/>
  <c r="A967" i="32"/>
  <c r="A968" i="32"/>
  <c r="A969" i="32"/>
  <c r="A970" i="32"/>
  <c r="A971" i="32"/>
  <c r="A972" i="32"/>
  <c r="A973" i="32"/>
  <c r="A974" i="32"/>
  <c r="A975" i="32"/>
  <c r="A976" i="32"/>
  <c r="A977" i="32"/>
  <c r="A978" i="32"/>
  <c r="A979" i="32"/>
  <c r="A980" i="32"/>
  <c r="A981" i="32"/>
  <c r="A982" i="32"/>
  <c r="A983" i="32"/>
  <c r="A984" i="32"/>
  <c r="A985" i="32"/>
  <c r="A986" i="32"/>
  <c r="A987" i="32"/>
  <c r="A988" i="32"/>
  <c r="A989" i="32"/>
  <c r="A990" i="32"/>
  <c r="A991" i="32"/>
  <c r="A992" i="32"/>
  <c r="A993" i="32"/>
  <c r="A994" i="32"/>
  <c r="A995" i="32"/>
  <c r="A996" i="32"/>
  <c r="A997" i="32"/>
  <c r="A998" i="32"/>
  <c r="A999" i="32"/>
  <c r="A1000" i="32"/>
  <c r="A1001" i="32"/>
  <c r="A1002" i="32"/>
  <c r="A1003" i="32"/>
  <c r="A1004" i="32"/>
  <c r="A1005" i="32"/>
  <c r="A1006" i="32"/>
  <c r="A1007" i="32"/>
  <c r="A1008" i="32"/>
  <c r="A1009" i="32"/>
  <c r="A1010" i="32"/>
  <c r="A1011" i="32"/>
  <c r="A1012" i="32"/>
  <c r="A1013" i="32"/>
  <c r="A1014" i="32"/>
  <c r="A1015" i="32"/>
  <c r="A1016" i="32"/>
  <c r="A1017" i="32"/>
  <c r="A1018" i="32"/>
  <c r="A1019" i="32"/>
  <c r="A1020" i="32"/>
  <c r="A1021" i="32"/>
  <c r="A1022" i="32"/>
  <c r="A1023" i="32"/>
  <c r="A1024" i="32"/>
  <c r="A1025" i="32"/>
  <c r="A1026" i="32"/>
  <c r="A1027" i="32"/>
  <c r="A1028" i="32"/>
  <c r="A1029" i="32"/>
  <c r="A1030" i="32"/>
  <c r="A1031" i="32"/>
  <c r="A1032" i="32"/>
  <c r="A1033" i="32"/>
  <c r="A1034" i="32"/>
  <c r="A1035" i="32"/>
  <c r="A1036" i="32"/>
  <c r="A1037" i="32"/>
  <c r="A1038" i="32"/>
  <c r="A1039" i="32"/>
  <c r="A1040" i="32"/>
  <c r="A1041" i="32"/>
  <c r="A1042" i="32"/>
  <c r="A1043" i="32"/>
  <c r="A1044" i="32"/>
  <c r="A1045" i="32"/>
  <c r="A1046" i="32"/>
  <c r="A1047" i="32"/>
  <c r="A1048" i="32"/>
  <c r="A1049" i="32"/>
  <c r="A1050" i="32"/>
  <c r="A1051" i="32"/>
  <c r="A1052" i="32"/>
  <c r="A1053" i="32"/>
  <c r="A1054" i="32"/>
  <c r="A1055" i="32"/>
  <c r="A1056" i="32"/>
  <c r="A1057" i="32"/>
  <c r="A1058" i="32"/>
  <c r="A1059" i="32"/>
  <c r="A1060" i="32"/>
  <c r="A1061" i="32"/>
  <c r="A1062" i="32"/>
  <c r="A1063" i="32"/>
  <c r="A1064" i="32"/>
  <c r="A1065" i="32"/>
  <c r="A1066" i="32"/>
  <c r="A1067" i="32"/>
  <c r="A1068" i="32"/>
  <c r="A1069" i="32"/>
  <c r="A1070" i="32"/>
  <c r="A1071" i="32"/>
  <c r="A1072" i="32"/>
  <c r="A1073" i="32"/>
  <c r="A1074" i="32"/>
  <c r="A1075" i="32"/>
  <c r="A1076" i="32"/>
  <c r="A1077" i="32"/>
  <c r="A1078" i="32"/>
  <c r="A1079" i="32"/>
  <c r="A1080" i="32"/>
  <c r="A1081" i="32"/>
  <c r="A1082" i="32"/>
  <c r="A1083" i="32"/>
  <c r="A1084" i="32"/>
  <c r="A1085" i="32"/>
  <c r="A1086" i="32"/>
  <c r="A1087" i="32"/>
  <c r="A1088" i="32"/>
  <c r="A1089" i="32"/>
  <c r="A1090" i="32"/>
  <c r="A1091" i="32"/>
  <c r="A1092" i="32"/>
  <c r="A1093" i="32"/>
  <c r="A1094" i="32"/>
  <c r="A1095" i="32"/>
  <c r="A1096" i="32"/>
  <c r="A1097" i="32"/>
  <c r="A1098" i="32"/>
  <c r="A1099" i="32"/>
  <c r="A1100" i="32"/>
  <c r="A1101" i="32"/>
  <c r="A1102" i="32"/>
  <c r="A1103" i="32"/>
  <c r="A1104" i="32"/>
  <c r="A1105" i="32"/>
  <c r="A1106" i="32"/>
  <c r="A1107" i="32"/>
  <c r="A1108" i="32"/>
  <c r="A1109" i="32"/>
  <c r="A1110" i="32"/>
  <c r="A1111" i="32"/>
  <c r="A1112" i="32"/>
  <c r="A1113" i="32"/>
  <c r="A1114" i="32"/>
  <c r="A1115" i="32"/>
  <c r="A1116" i="32"/>
  <c r="A1117" i="32"/>
  <c r="A1118" i="32"/>
  <c r="A1119" i="32"/>
  <c r="A1120" i="32"/>
  <c r="A1121" i="32"/>
  <c r="A1122" i="32"/>
  <c r="A1123" i="32"/>
  <c r="A1124" i="32"/>
  <c r="A1125" i="32"/>
  <c r="A1126" i="32"/>
  <c r="A1127" i="32"/>
  <c r="A1128" i="32"/>
  <c r="A1129" i="32"/>
  <c r="A1130" i="32"/>
  <c r="A1131" i="32"/>
  <c r="A1132" i="32"/>
  <c r="A1133" i="32"/>
  <c r="A1134" i="32"/>
  <c r="A1135" i="32"/>
  <c r="A1136" i="32"/>
  <c r="A1137" i="32"/>
  <c r="A1138" i="32"/>
  <c r="A1139" i="32"/>
  <c r="A1140" i="32"/>
  <c r="A1141" i="32"/>
  <c r="A1142" i="32"/>
  <c r="A1143" i="32"/>
  <c r="A1144" i="32"/>
  <c r="A1145" i="32"/>
  <c r="A1146" i="32"/>
  <c r="A1147" i="32"/>
  <c r="A1148" i="32"/>
  <c r="A1149" i="32"/>
  <c r="A1150" i="32"/>
  <c r="A1151" i="32"/>
  <c r="A1152" i="32"/>
  <c r="A1153" i="32"/>
  <c r="A1154" i="32"/>
  <c r="A1155" i="32"/>
  <c r="A1156" i="32"/>
  <c r="A1157" i="32"/>
  <c r="A1158" i="32"/>
  <c r="A1159" i="32"/>
  <c r="A1160" i="32"/>
  <c r="A1161" i="32"/>
  <c r="A1162" i="32"/>
  <c r="A1163" i="32"/>
  <c r="A1164" i="32"/>
  <c r="A1165" i="32"/>
  <c r="A1166" i="32"/>
  <c r="A1167" i="32"/>
  <c r="A1168" i="32"/>
  <c r="A1169" i="32"/>
  <c r="A1170" i="32"/>
  <c r="A1171" i="32"/>
  <c r="A1172" i="32"/>
  <c r="A1173" i="32"/>
  <c r="A1174" i="32"/>
  <c r="A1175" i="32"/>
  <c r="A1176" i="32"/>
  <c r="A1177" i="32"/>
  <c r="A1178" i="32"/>
  <c r="A1179" i="32"/>
  <c r="A1180" i="32"/>
  <c r="A1181" i="32"/>
  <c r="A1182" i="32"/>
  <c r="A1183" i="32"/>
  <c r="A1184" i="32"/>
  <c r="A1185" i="32"/>
  <c r="A1186" i="32"/>
  <c r="A1187" i="32"/>
  <c r="A1188" i="32"/>
  <c r="A1189" i="32"/>
  <c r="A1190" i="32"/>
  <c r="A1191" i="32"/>
  <c r="A1192" i="32"/>
  <c r="A1193" i="32"/>
  <c r="A1194" i="32"/>
  <c r="A1195" i="32"/>
  <c r="A1196" i="32"/>
  <c r="A1197" i="32"/>
  <c r="A1198" i="32"/>
  <c r="A1199" i="32"/>
  <c r="A1200" i="32"/>
  <c r="A1201" i="32"/>
  <c r="A1202" i="32"/>
  <c r="A1203" i="32"/>
  <c r="A1204" i="32"/>
  <c r="A1205" i="32"/>
  <c r="A1206" i="32"/>
  <c r="A1207" i="32"/>
  <c r="A1208" i="32"/>
  <c r="A1209" i="32"/>
  <c r="A1210" i="32"/>
  <c r="A1211" i="32"/>
  <c r="A1212" i="32"/>
  <c r="A1213" i="32"/>
  <c r="A1214" i="32"/>
  <c r="A1215" i="32"/>
  <c r="A1216" i="32"/>
  <c r="A1217" i="32"/>
  <c r="A1218" i="32"/>
  <c r="A1219" i="32"/>
  <c r="A1220" i="32"/>
  <c r="A1221" i="32"/>
  <c r="A1222" i="32"/>
  <c r="A1223" i="32"/>
  <c r="A1224" i="32"/>
  <c r="A1225" i="32"/>
  <c r="A1226" i="32"/>
  <c r="A1227" i="32"/>
  <c r="A1228" i="32"/>
  <c r="A1229" i="32"/>
  <c r="A1230" i="32"/>
  <c r="A1231" i="32"/>
  <c r="A1232" i="32"/>
  <c r="A1233" i="32"/>
  <c r="A1234" i="32"/>
  <c r="A1235" i="32"/>
  <c r="A1236" i="32"/>
  <c r="A1237" i="32"/>
  <c r="A1238" i="32"/>
  <c r="A1239" i="32"/>
  <c r="A1240" i="32"/>
  <c r="A1241" i="32"/>
  <c r="A1242" i="32"/>
  <c r="A1243" i="32"/>
  <c r="A1244" i="32"/>
  <c r="A1245" i="32"/>
  <c r="A1246" i="32"/>
  <c r="A1247" i="32"/>
  <c r="A1248" i="32"/>
  <c r="A1249" i="32"/>
  <c r="A1250" i="32"/>
  <c r="A1251" i="32"/>
  <c r="A1252" i="32"/>
  <c r="A1253" i="32"/>
  <c r="A1254" i="32"/>
  <c r="A1255" i="32"/>
  <c r="A1256" i="32"/>
  <c r="A1257" i="32"/>
  <c r="A1258" i="32"/>
  <c r="A1259" i="32"/>
  <c r="A1260" i="32"/>
  <c r="A1261" i="32"/>
  <c r="A1262" i="32"/>
  <c r="A1263" i="32"/>
  <c r="A1264" i="32"/>
  <c r="A1265" i="32"/>
  <c r="A1266" i="32"/>
  <c r="A1267" i="32"/>
  <c r="A1268" i="32"/>
  <c r="A1269" i="32"/>
  <c r="A1270" i="32"/>
  <c r="A1271" i="32"/>
  <c r="A1272" i="32"/>
  <c r="A1273" i="32"/>
  <c r="A1274" i="32"/>
  <c r="A1275" i="32"/>
  <c r="A1276" i="32"/>
  <c r="A1277" i="32"/>
  <c r="A1278" i="32"/>
  <c r="A1279" i="32"/>
  <c r="A1280" i="32"/>
  <c r="A1281" i="32"/>
  <c r="A1282" i="32"/>
  <c r="A1283" i="32"/>
  <c r="A1284" i="32"/>
  <c r="A1285" i="32"/>
  <c r="A1286" i="32"/>
  <c r="A1287" i="32"/>
  <c r="A1288" i="32"/>
  <c r="A1289" i="32"/>
  <c r="A1290" i="32"/>
  <c r="A1291" i="32"/>
  <c r="A1292" i="32"/>
  <c r="A1293" i="32"/>
  <c r="A1294" i="32"/>
  <c r="A1295" i="32"/>
  <c r="A1296" i="32"/>
  <c r="A1297" i="32"/>
  <c r="A1298" i="32"/>
  <c r="A1299" i="32"/>
  <c r="A1300" i="32"/>
  <c r="A1301" i="32"/>
  <c r="A1302" i="32"/>
  <c r="A1303" i="32"/>
  <c r="A1304" i="32"/>
  <c r="A1305" i="32"/>
  <c r="A1306" i="32"/>
  <c r="A1307" i="32"/>
  <c r="A1308" i="32"/>
  <c r="A1309" i="32"/>
  <c r="A1310" i="32"/>
  <c r="A1311" i="32"/>
  <c r="A1312" i="32"/>
  <c r="A1313" i="32"/>
  <c r="A1314" i="32"/>
  <c r="A1315" i="32"/>
  <c r="A1316" i="32"/>
  <c r="A1317" i="32"/>
  <c r="A1318" i="32"/>
  <c r="A1319" i="32"/>
  <c r="A1320" i="32"/>
  <c r="A1321" i="32"/>
  <c r="A1322" i="32"/>
  <c r="A1323" i="32"/>
  <c r="A1324" i="32"/>
  <c r="A1325" i="32"/>
  <c r="A1326" i="32"/>
  <c r="A1327" i="32"/>
  <c r="A1328" i="32"/>
  <c r="A1329" i="32"/>
  <c r="A1330" i="32"/>
  <c r="A1331" i="32"/>
  <c r="A1332" i="32"/>
  <c r="A1333" i="32"/>
  <c r="A1334" i="32"/>
  <c r="A1335" i="32"/>
  <c r="A1336" i="32"/>
  <c r="A1337" i="32"/>
  <c r="A1338" i="32"/>
  <c r="A1339" i="32"/>
  <c r="A1340" i="32"/>
  <c r="A1341" i="32"/>
  <c r="A1342" i="32"/>
  <c r="A1343" i="32"/>
  <c r="A1344" i="32"/>
  <c r="A1345" i="32"/>
  <c r="A1346" i="32"/>
  <c r="A1347" i="32"/>
  <c r="A1348" i="32"/>
  <c r="A1349" i="32"/>
  <c r="A1350" i="32"/>
  <c r="A1351" i="32"/>
  <c r="A1352" i="32"/>
  <c r="A1353" i="32"/>
  <c r="A1354" i="32"/>
  <c r="A1355" i="32"/>
  <c r="A1356" i="32"/>
  <c r="A1357" i="32"/>
  <c r="A1358" i="32"/>
  <c r="A1359" i="32"/>
  <c r="A1360" i="32"/>
  <c r="A1361" i="32"/>
  <c r="A1362" i="32"/>
  <c r="A1363" i="32"/>
  <c r="A1364" i="32"/>
  <c r="A1365" i="32"/>
  <c r="A1366" i="32"/>
  <c r="A1367" i="32"/>
  <c r="A1368" i="32"/>
  <c r="A1369" i="32"/>
  <c r="A1370" i="32"/>
  <c r="A1371" i="32"/>
  <c r="A1372" i="32"/>
  <c r="A1373" i="32"/>
  <c r="A1374" i="32"/>
  <c r="A1375" i="32"/>
  <c r="A1376" i="32"/>
  <c r="A1377" i="32"/>
  <c r="A1378" i="32"/>
  <c r="A1379" i="32"/>
  <c r="A1380" i="32"/>
  <c r="A1381" i="32"/>
  <c r="A1382" i="32"/>
  <c r="A1383" i="32"/>
  <c r="A1384" i="32"/>
  <c r="A1385" i="32"/>
  <c r="A1386" i="32"/>
  <c r="A1387" i="32"/>
  <c r="A1388" i="32"/>
  <c r="A1389" i="32"/>
  <c r="A1390" i="32"/>
  <c r="A1391" i="32"/>
  <c r="A1392" i="32"/>
  <c r="A1393" i="32"/>
  <c r="A1394" i="32"/>
  <c r="A1395" i="32"/>
  <c r="A1396" i="32"/>
  <c r="A1397" i="32"/>
  <c r="A1398" i="32"/>
  <c r="A1399" i="32"/>
  <c r="A1400" i="32"/>
  <c r="A1401" i="32"/>
  <c r="A1402" i="32"/>
  <c r="A1403" i="32"/>
  <c r="A1404" i="32"/>
  <c r="A1405" i="32"/>
  <c r="A1406" i="32"/>
  <c r="A1407" i="32"/>
  <c r="A1408" i="32"/>
  <c r="A1409" i="32"/>
  <c r="A1410" i="32"/>
  <c r="A1411" i="32"/>
  <c r="A1412" i="32"/>
  <c r="A1413" i="32"/>
  <c r="A1414" i="32"/>
  <c r="A1415" i="32"/>
  <c r="A1416" i="32"/>
  <c r="A1417" i="32"/>
  <c r="A1418" i="32"/>
  <c r="A1419" i="32"/>
  <c r="A1420" i="32"/>
  <c r="A1421" i="32"/>
  <c r="A1422" i="32"/>
  <c r="A1423" i="32"/>
  <c r="A1424" i="32"/>
  <c r="A1425" i="32"/>
  <c r="A1426" i="32"/>
  <c r="A1427" i="32"/>
  <c r="A1428" i="32"/>
  <c r="A1429" i="32"/>
  <c r="A1430" i="32"/>
  <c r="A1431" i="32"/>
  <c r="A1432" i="32"/>
  <c r="A1433" i="32"/>
  <c r="A1434" i="32"/>
  <c r="A1435" i="32"/>
  <c r="A1436" i="32"/>
  <c r="A1437" i="32"/>
  <c r="A1438" i="32"/>
  <c r="A1439" i="32"/>
  <c r="A1440" i="32"/>
  <c r="A1441" i="32"/>
  <c r="A1442" i="32"/>
  <c r="A1443" i="32"/>
  <c r="A1444" i="32"/>
  <c r="A1445" i="32"/>
  <c r="A1446" i="32"/>
  <c r="A1447" i="32"/>
  <c r="A1448" i="32"/>
  <c r="A1449" i="32"/>
  <c r="A1450" i="32"/>
  <c r="A1451" i="32"/>
  <c r="A1452" i="32"/>
  <c r="A1453" i="32"/>
  <c r="A1454" i="32"/>
  <c r="A1455" i="32"/>
  <c r="A1456" i="32"/>
  <c r="A1457" i="32"/>
  <c r="A1458" i="32"/>
  <c r="A1459" i="32"/>
  <c r="A1460" i="32"/>
  <c r="A1461" i="32"/>
  <c r="A1462" i="32"/>
  <c r="A1463" i="32"/>
  <c r="A1464" i="32"/>
  <c r="A1465" i="32"/>
  <c r="A1466" i="32"/>
  <c r="A1467" i="32"/>
  <c r="A1468" i="32"/>
  <c r="A1469" i="32"/>
  <c r="A1470" i="32"/>
  <c r="A1471" i="32"/>
  <c r="A1472" i="32"/>
  <c r="A1473" i="32"/>
  <c r="A1474" i="32"/>
  <c r="A1475" i="32"/>
  <c r="A1476" i="32"/>
  <c r="A1477" i="32"/>
  <c r="A1478" i="32"/>
  <c r="A1479" i="32"/>
  <c r="A1480" i="32"/>
  <c r="A1481" i="32"/>
  <c r="A1482" i="32"/>
  <c r="A1483" i="32"/>
  <c r="A1484" i="32"/>
  <c r="A1485" i="32"/>
  <c r="A1486" i="32"/>
  <c r="A1487" i="32"/>
  <c r="A1488" i="32"/>
  <c r="A1489" i="32"/>
  <c r="A1490" i="32"/>
  <c r="A1491" i="32"/>
  <c r="A1492" i="32"/>
  <c r="A1493" i="32"/>
  <c r="A1494" i="32"/>
  <c r="A1495" i="32"/>
  <c r="A1496" i="32"/>
  <c r="A1497" i="32"/>
  <c r="A1498" i="32"/>
  <c r="A1499" i="32"/>
  <c r="A1500" i="32"/>
  <c r="A1501" i="32"/>
  <c r="A1502" i="32"/>
  <c r="A1503" i="32"/>
  <c r="A1504" i="32"/>
  <c r="A1505" i="32"/>
  <c r="A1506" i="32"/>
  <c r="A1507" i="32"/>
  <c r="A1508" i="32"/>
  <c r="A1509" i="32"/>
  <c r="A1510" i="32"/>
  <c r="A1511" i="32"/>
  <c r="A1512" i="32"/>
  <c r="A1513" i="32"/>
  <c r="A1514" i="32"/>
  <c r="A1515" i="32"/>
  <c r="A1516" i="32"/>
  <c r="A1517" i="32"/>
  <c r="A1518" i="32"/>
  <c r="A1519" i="32"/>
  <c r="A1520" i="32"/>
  <c r="A1521" i="32"/>
  <c r="A1522" i="32"/>
  <c r="A1523" i="32"/>
  <c r="A1524" i="32"/>
  <c r="A1525" i="32"/>
  <c r="A1526" i="32"/>
  <c r="A1527" i="32"/>
  <c r="A1528" i="32"/>
  <c r="A1529" i="32"/>
  <c r="A1530" i="32"/>
  <c r="A1531" i="32"/>
  <c r="A1532" i="32"/>
  <c r="A1533" i="32"/>
  <c r="A1534" i="32"/>
  <c r="A1535" i="32"/>
  <c r="A1536" i="32"/>
  <c r="A1537" i="32"/>
  <c r="A1538" i="32"/>
  <c r="A1539" i="32"/>
  <c r="A1540" i="32"/>
  <c r="A1541" i="32"/>
  <c r="A1542" i="32"/>
  <c r="A1543" i="32"/>
  <c r="A1544" i="32"/>
  <c r="A1545" i="32"/>
  <c r="A1546" i="32"/>
  <c r="A1547" i="32"/>
  <c r="A1548" i="32"/>
  <c r="A1549" i="32"/>
  <c r="A1550" i="32"/>
  <c r="A1551" i="32"/>
  <c r="A1552" i="32"/>
  <c r="A1553" i="32"/>
  <c r="A1554" i="32"/>
  <c r="A1555" i="32"/>
  <c r="A1556" i="32"/>
  <c r="A1557" i="32"/>
  <c r="A1558" i="32"/>
  <c r="A1559" i="32"/>
  <c r="A1560" i="32"/>
  <c r="A1561" i="32"/>
  <c r="A1562" i="32"/>
  <c r="A1563" i="32"/>
  <c r="A1564" i="32"/>
  <c r="A1565" i="32"/>
  <c r="A1566" i="32"/>
  <c r="A1567" i="32"/>
  <c r="A1568" i="32"/>
  <c r="A1569" i="32"/>
  <c r="A1570" i="32"/>
  <c r="A1571" i="32"/>
  <c r="A1572" i="32"/>
  <c r="A1573" i="32"/>
  <c r="A1574" i="32"/>
  <c r="A1575" i="32"/>
  <c r="A1576" i="32"/>
  <c r="A1577" i="32"/>
  <c r="A1578" i="32"/>
  <c r="A1579" i="32"/>
  <c r="A1580" i="32"/>
  <c r="A1581" i="32"/>
  <c r="A1582" i="32"/>
  <c r="A1583" i="32"/>
  <c r="A1584" i="32"/>
  <c r="A1585" i="32"/>
  <c r="A1586" i="32"/>
  <c r="A1587" i="32"/>
  <c r="A1588" i="32"/>
  <c r="A1589" i="32"/>
  <c r="A1590" i="32"/>
  <c r="A1591" i="32"/>
  <c r="A1592" i="32"/>
  <c r="A1593" i="32"/>
  <c r="A1594" i="32"/>
  <c r="A1595" i="32"/>
  <c r="A1596" i="32"/>
  <c r="A1597" i="32"/>
  <c r="A1598" i="32"/>
  <c r="A1599" i="32"/>
  <c r="A1600" i="32"/>
  <c r="A1601" i="32"/>
  <c r="A1602" i="32"/>
  <c r="A1603" i="32"/>
  <c r="A1604" i="32"/>
  <c r="A1605" i="32"/>
  <c r="A1606" i="32"/>
  <c r="A1607" i="32"/>
  <c r="A1608" i="32"/>
  <c r="A1609" i="32"/>
  <c r="A1610" i="32"/>
  <c r="A1611" i="32"/>
  <c r="A1612" i="32"/>
  <c r="A1613" i="32"/>
  <c r="A1614" i="32"/>
  <c r="A1615" i="32"/>
  <c r="A1616" i="32"/>
  <c r="A1617" i="32"/>
  <c r="A1618" i="32"/>
  <c r="A1619" i="32"/>
  <c r="A1620" i="32"/>
  <c r="A1621" i="32"/>
  <c r="A1622" i="32"/>
  <c r="A1623" i="32"/>
  <c r="A1624" i="32"/>
  <c r="A1625" i="32"/>
  <c r="A1626" i="32"/>
  <c r="A1627" i="32"/>
  <c r="A1628" i="32"/>
  <c r="A1629" i="32"/>
  <c r="A1630" i="32"/>
  <c r="A1631" i="32"/>
  <c r="A1632" i="32"/>
  <c r="A1633" i="32"/>
  <c r="A1634" i="32"/>
  <c r="A1635" i="32"/>
  <c r="A1636" i="32"/>
  <c r="A1637" i="32"/>
  <c r="A1638" i="32"/>
  <c r="A1639" i="32"/>
  <c r="A1640" i="32"/>
  <c r="A1641" i="32"/>
  <c r="A1642" i="32"/>
  <c r="A1643" i="32"/>
  <c r="A1644" i="32"/>
  <c r="A1645" i="32"/>
  <c r="A1646" i="32"/>
  <c r="A1647" i="32"/>
  <c r="A1648" i="32"/>
  <c r="A1649" i="32"/>
  <c r="A1650" i="32"/>
  <c r="A1651" i="32"/>
  <c r="A1652" i="32"/>
  <c r="A1653" i="32"/>
  <c r="A1654" i="32"/>
  <c r="A1655" i="32"/>
  <c r="A1656" i="32"/>
  <c r="A1657" i="32"/>
  <c r="A1658" i="32"/>
  <c r="A1659" i="32"/>
  <c r="A1660" i="32"/>
  <c r="A1661" i="32"/>
  <c r="A1662" i="32"/>
  <c r="A1663" i="32"/>
  <c r="A1664" i="32"/>
  <c r="A1665" i="32"/>
  <c r="A1666" i="32"/>
  <c r="A1667" i="32"/>
  <c r="A1668" i="32"/>
  <c r="A1669" i="32"/>
  <c r="A1670" i="32"/>
  <c r="A1671" i="32"/>
  <c r="A1672" i="32"/>
  <c r="A1673" i="32"/>
  <c r="A1674" i="32"/>
  <c r="A1675" i="32"/>
  <c r="A1676" i="32"/>
  <c r="A1677" i="32"/>
  <c r="A1678" i="32"/>
  <c r="A1679" i="32"/>
  <c r="A1680" i="32"/>
  <c r="A1681" i="32"/>
  <c r="A1682" i="32"/>
  <c r="A1683" i="32"/>
  <c r="A1684" i="32"/>
  <c r="A1685" i="32"/>
  <c r="A1686" i="32"/>
  <c r="A1687" i="32"/>
  <c r="A1688" i="32"/>
  <c r="A1689" i="32"/>
  <c r="A1690" i="32"/>
  <c r="A1691" i="32"/>
  <c r="A1692" i="32"/>
  <c r="A1693" i="32"/>
  <c r="A1694" i="32"/>
  <c r="A1695" i="32"/>
  <c r="A1696" i="32"/>
  <c r="A1697" i="32"/>
  <c r="A1698" i="32"/>
  <c r="A1699" i="32"/>
  <c r="A1700" i="32"/>
  <c r="A1701" i="32"/>
  <c r="A1702" i="32"/>
  <c r="A1703" i="32"/>
  <c r="A1704" i="32"/>
  <c r="A1705" i="32"/>
  <c r="A1706" i="32"/>
  <c r="A1707" i="32"/>
  <c r="A1708" i="32"/>
  <c r="A1709" i="32"/>
  <c r="A1710" i="32"/>
  <c r="A1711" i="32"/>
  <c r="A1712" i="32"/>
  <c r="A1713" i="32"/>
  <c r="A1714" i="32"/>
  <c r="A1715" i="32"/>
  <c r="A1716" i="32"/>
  <c r="A1717" i="32"/>
  <c r="A1718" i="32"/>
  <c r="A1719" i="32"/>
  <c r="A1720" i="32"/>
  <c r="A1721" i="32"/>
  <c r="A1722" i="32"/>
  <c r="A1723" i="32"/>
  <c r="A1724" i="32"/>
  <c r="A1725" i="32"/>
  <c r="A1726" i="32"/>
  <c r="A1727" i="32"/>
  <c r="A1728" i="32"/>
  <c r="A1729" i="32"/>
  <c r="A1730" i="32"/>
  <c r="A1731" i="32"/>
  <c r="A1732" i="32"/>
  <c r="A1733" i="32"/>
  <c r="A1734" i="32"/>
  <c r="A1735" i="32"/>
  <c r="A1736" i="32"/>
  <c r="A1737" i="32"/>
  <c r="A1738" i="32"/>
  <c r="A1739" i="32"/>
  <c r="A1740" i="32"/>
  <c r="A1741" i="32"/>
  <c r="A1742" i="32"/>
  <c r="A1743" i="32"/>
  <c r="A1744" i="32"/>
  <c r="A1745" i="32"/>
  <c r="A1746" i="32"/>
  <c r="A1747" i="32"/>
  <c r="A1748" i="32"/>
  <c r="A1749" i="32"/>
  <c r="A1750" i="32"/>
  <c r="A1751" i="32"/>
  <c r="A1752" i="32"/>
  <c r="A1753" i="32"/>
  <c r="A1754" i="32"/>
  <c r="A1755" i="32"/>
  <c r="A1756" i="32"/>
  <c r="A1757" i="32"/>
  <c r="A1758" i="32"/>
  <c r="A1759" i="32"/>
  <c r="A1760" i="32"/>
  <c r="A1761" i="32"/>
  <c r="A1762" i="32"/>
  <c r="A1763" i="32"/>
  <c r="A1764" i="32"/>
  <c r="A1765" i="32"/>
  <c r="A1766" i="32"/>
  <c r="A1767" i="32"/>
  <c r="A1768" i="32"/>
  <c r="A1769" i="32"/>
  <c r="A1770" i="32"/>
  <c r="A1771" i="32"/>
  <c r="A1772" i="32"/>
  <c r="A1773" i="32"/>
  <c r="A1774" i="32"/>
  <c r="A1775" i="32"/>
  <c r="A1776" i="32"/>
  <c r="A1777" i="32"/>
  <c r="A1778" i="32"/>
  <c r="A1779" i="32"/>
  <c r="A1780" i="32"/>
  <c r="A1781" i="32"/>
  <c r="A1782" i="32"/>
  <c r="A1783" i="32"/>
  <c r="A1784" i="32"/>
  <c r="A1785" i="32"/>
  <c r="A1786" i="32"/>
  <c r="A1787" i="32"/>
  <c r="A1788" i="32"/>
  <c r="A1789" i="32"/>
  <c r="A1790" i="32"/>
  <c r="A1791" i="32"/>
  <c r="A1792" i="32"/>
  <c r="A1793" i="32"/>
  <c r="A1794" i="32"/>
  <c r="A1795" i="32"/>
  <c r="A1796" i="32"/>
  <c r="A1797" i="32"/>
  <c r="A1798" i="32"/>
  <c r="A1799" i="32"/>
  <c r="A1800" i="32"/>
  <c r="A1801" i="32"/>
  <c r="A1802" i="32"/>
  <c r="A1803" i="32"/>
  <c r="A1804" i="32"/>
  <c r="A1805" i="32"/>
  <c r="A1806" i="32"/>
  <c r="A1807" i="32"/>
  <c r="A1808" i="32"/>
  <c r="A1809" i="32"/>
  <c r="A1810" i="32"/>
  <c r="A1811" i="32"/>
  <c r="A1812" i="32"/>
  <c r="A1813" i="32"/>
  <c r="A1814" i="32"/>
  <c r="A1815" i="32"/>
  <c r="A1816" i="32"/>
  <c r="A1817" i="32"/>
  <c r="A1818" i="32"/>
  <c r="A1819" i="32"/>
  <c r="A1820" i="32"/>
  <c r="A1821" i="32"/>
  <c r="A1822" i="32"/>
  <c r="A1823" i="32"/>
  <c r="A1824" i="32"/>
  <c r="A1825" i="32"/>
  <c r="A1826" i="32"/>
  <c r="A1827" i="32"/>
  <c r="A1828" i="32"/>
  <c r="A1829" i="32"/>
  <c r="A1830" i="32"/>
  <c r="A1831" i="32"/>
  <c r="A1832" i="32"/>
  <c r="A1833" i="32"/>
  <c r="A1834" i="32"/>
  <c r="A1835" i="32"/>
  <c r="A1836" i="32"/>
  <c r="A1837" i="32"/>
  <c r="A1838" i="32"/>
  <c r="A1839" i="32"/>
  <c r="A1840" i="32"/>
  <c r="A1841" i="32"/>
  <c r="A1842" i="32"/>
  <c r="A1843" i="32"/>
  <c r="A1844" i="32"/>
  <c r="A1845" i="32"/>
  <c r="A1846" i="32"/>
  <c r="A1847" i="32"/>
  <c r="A1848" i="32"/>
  <c r="A1849" i="32"/>
  <c r="A1850" i="32"/>
  <c r="A1851" i="32"/>
  <c r="A1852" i="32"/>
  <c r="A1853" i="32"/>
  <c r="A1854" i="32"/>
  <c r="A1855" i="32"/>
  <c r="A1856" i="32"/>
  <c r="A1857" i="32"/>
  <c r="A1858" i="32"/>
  <c r="A1859" i="32"/>
  <c r="A1860" i="32"/>
  <c r="A1861" i="32"/>
  <c r="A1862" i="32"/>
  <c r="A1863" i="32"/>
  <c r="A1864" i="32"/>
  <c r="A1865" i="32"/>
  <c r="A1866" i="32"/>
  <c r="A1867" i="32"/>
  <c r="A1868" i="32"/>
  <c r="A1869" i="32"/>
  <c r="A1870" i="32"/>
  <c r="A1871" i="32"/>
  <c r="A1872" i="32"/>
  <c r="A1873" i="32"/>
  <c r="A1874" i="32"/>
  <c r="A1875" i="32"/>
  <c r="A1876" i="32"/>
  <c r="A1877" i="32"/>
  <c r="A1878" i="32"/>
  <c r="A1879" i="32"/>
  <c r="A1880" i="32"/>
  <c r="A1881" i="32"/>
  <c r="A1882" i="32"/>
  <c r="A1883" i="32"/>
  <c r="A1884" i="32"/>
  <c r="A1885" i="32"/>
  <c r="A1886" i="32"/>
  <c r="A1887" i="32"/>
  <c r="A1888" i="32"/>
  <c r="A1889" i="32"/>
  <c r="A1890" i="32"/>
  <c r="A1891" i="32"/>
  <c r="A1892" i="32"/>
  <c r="A1893" i="32"/>
  <c r="A1894" i="32"/>
  <c r="A1895" i="32"/>
  <c r="A1896" i="32"/>
  <c r="A1897" i="32"/>
  <c r="A1898" i="32"/>
  <c r="A1899" i="32"/>
  <c r="A1900" i="32"/>
  <c r="A1901" i="32"/>
  <c r="A1902" i="32"/>
  <c r="A1903" i="32"/>
  <c r="A1904" i="32"/>
  <c r="A1905" i="32"/>
  <c r="A1906" i="32"/>
  <c r="A1907" i="32"/>
  <c r="A1908" i="32"/>
  <c r="A1909" i="32"/>
  <c r="A1910" i="32"/>
  <c r="A1911" i="32"/>
  <c r="A1912" i="32"/>
  <c r="A1913" i="32"/>
  <c r="A1914" i="32"/>
  <c r="A1915" i="32"/>
  <c r="A1916" i="32"/>
  <c r="A1917" i="32"/>
  <c r="A1918" i="32"/>
  <c r="A1919" i="32"/>
  <c r="A1920" i="32"/>
  <c r="A1921" i="32"/>
  <c r="A1922" i="32"/>
  <c r="A1923" i="32"/>
  <c r="A1924" i="32"/>
  <c r="A1925" i="32"/>
  <c r="A1926" i="32"/>
  <c r="A1927" i="32"/>
  <c r="A1928" i="32"/>
  <c r="A1929" i="32"/>
  <c r="A1930" i="32"/>
  <c r="A1931" i="32"/>
  <c r="A1932" i="32"/>
  <c r="A1933" i="32"/>
  <c r="A1934" i="32"/>
  <c r="A1935" i="32"/>
  <c r="A1936" i="32"/>
  <c r="A1937" i="32"/>
  <c r="A1938" i="32"/>
  <c r="A1939" i="32"/>
  <c r="A1940" i="32"/>
  <c r="A1941" i="32"/>
  <c r="A1942" i="32"/>
  <c r="A1943" i="32"/>
  <c r="A1944" i="32"/>
  <c r="A1945" i="32"/>
  <c r="A1946" i="32"/>
  <c r="A1947" i="32"/>
  <c r="A1948" i="32"/>
  <c r="A1949" i="32"/>
  <c r="A1950" i="32"/>
  <c r="A1951" i="32"/>
  <c r="A1952" i="32"/>
  <c r="A1953" i="32"/>
  <c r="A1954" i="32"/>
  <c r="A1955" i="32"/>
  <c r="A1956" i="32"/>
  <c r="A1957" i="32"/>
  <c r="A1958" i="32"/>
  <c r="A1959" i="32"/>
  <c r="A1960" i="32"/>
  <c r="A1961" i="32"/>
  <c r="A1962" i="32"/>
  <c r="A1963" i="32"/>
  <c r="A1964" i="32"/>
  <c r="A1965" i="32"/>
  <c r="A1966" i="32"/>
  <c r="A1967" i="32"/>
  <c r="A1968" i="32"/>
  <c r="A1969" i="32"/>
  <c r="A1970" i="32"/>
  <c r="A1971" i="32"/>
  <c r="A1972" i="32"/>
  <c r="A1973" i="32"/>
  <c r="A1974" i="32"/>
  <c r="A1975" i="32"/>
  <c r="A1976" i="32"/>
  <c r="A1977" i="32"/>
  <c r="A1978" i="32"/>
  <c r="A1979" i="32"/>
  <c r="A1980" i="32"/>
  <c r="A1981" i="32"/>
  <c r="A1982" i="32"/>
  <c r="A1983" i="32"/>
  <c r="A1984" i="32"/>
  <c r="A1985" i="32"/>
  <c r="A1986" i="32"/>
  <c r="A1987" i="32"/>
  <c r="A1988" i="32"/>
  <c r="A1989" i="32"/>
  <c r="A1990" i="32"/>
  <c r="A1991" i="32"/>
  <c r="A1992" i="32"/>
  <c r="A1993" i="32"/>
  <c r="A1994" i="32"/>
  <c r="A1995" i="32"/>
  <c r="A1996" i="32"/>
  <c r="A1997" i="32"/>
  <c r="A1998" i="32"/>
  <c r="A3" i="32"/>
  <c r="D6145" i="30" l="1"/>
  <c r="D6146" i="30"/>
  <c r="D6147" i="30"/>
  <c r="D6148" i="30"/>
  <c r="D6149" i="30"/>
  <c r="D6150" i="30"/>
  <c r="D6151" i="30"/>
  <c r="D6144" i="30"/>
  <c r="D6009" i="30" l="1"/>
  <c r="D6061" i="30"/>
  <c r="D6062" i="30"/>
  <c r="D6063" i="30"/>
  <c r="D2937" i="30"/>
  <c r="D2938" i="30"/>
  <c r="D2939" i="30"/>
  <c r="D2940" i="30"/>
  <c r="D2941" i="30"/>
  <c r="D2886" i="30"/>
  <c r="D2887" i="30"/>
  <c r="D2888" i="30"/>
  <c r="D5963" i="30"/>
  <c r="D3" i="30" l="1"/>
  <c r="D4" i="30"/>
  <c r="D5" i="30"/>
  <c r="D6" i="30"/>
  <c r="D7" i="30"/>
  <c r="D8" i="30"/>
  <c r="D9" i="30"/>
  <c r="D10" i="30"/>
  <c r="D11" i="30"/>
  <c r="D12" i="30"/>
  <c r="D13" i="30"/>
  <c r="D14" i="30"/>
  <c r="D15" i="30"/>
  <c r="D16" i="30"/>
  <c r="D17" i="30"/>
  <c r="D18" i="30"/>
  <c r="D19" i="30"/>
  <c r="D20" i="30"/>
  <c r="D21" i="30"/>
  <c r="D22" i="30"/>
  <c r="D23" i="30"/>
  <c r="D24" i="30"/>
  <c r="D25" i="30"/>
  <c r="D26" i="30"/>
  <c r="D27" i="30"/>
  <c r="D28" i="30"/>
  <c r="D29" i="30"/>
  <c r="D30" i="30"/>
  <c r="D31" i="30"/>
  <c r="D32" i="30"/>
  <c r="D33" i="30"/>
  <c r="D34" i="30"/>
  <c r="D35" i="30"/>
  <c r="D36" i="30"/>
  <c r="D37" i="30"/>
  <c r="D38" i="30"/>
  <c r="D39" i="30"/>
  <c r="D40" i="30"/>
  <c r="D41" i="30"/>
  <c r="D42" i="30"/>
  <c r="D43" i="30"/>
  <c r="D44" i="30"/>
  <c r="D45" i="30"/>
  <c r="D46" i="30"/>
  <c r="D47" i="30"/>
  <c r="D48" i="30"/>
  <c r="D49" i="30"/>
  <c r="D50" i="30"/>
  <c r="D51" i="30"/>
  <c r="D52" i="30"/>
  <c r="D53" i="30"/>
  <c r="D54" i="30"/>
  <c r="D55" i="30"/>
  <c r="D56" i="30"/>
  <c r="D57" i="30"/>
  <c r="D58" i="30"/>
  <c r="D59" i="30"/>
  <c r="D60" i="30"/>
  <c r="D61" i="30"/>
  <c r="D62" i="30"/>
  <c r="D63" i="30"/>
  <c r="D64" i="30"/>
  <c r="D65" i="30"/>
  <c r="D66" i="30"/>
  <c r="D67" i="30"/>
  <c r="D68" i="30"/>
  <c r="D69" i="30"/>
  <c r="D70" i="30"/>
  <c r="D71" i="30"/>
  <c r="D72" i="30"/>
  <c r="D73" i="30"/>
  <c r="D74" i="30"/>
  <c r="D75" i="30"/>
  <c r="D76" i="30"/>
  <c r="D77" i="30"/>
  <c r="D78" i="30"/>
  <c r="D79" i="30"/>
  <c r="D80" i="30"/>
  <c r="D81" i="30"/>
  <c r="D82" i="30"/>
  <c r="D83" i="30"/>
  <c r="D84" i="30"/>
  <c r="D85" i="30"/>
  <c r="D86" i="30"/>
  <c r="D87" i="30"/>
  <c r="D88" i="30"/>
  <c r="D89" i="30"/>
  <c r="D90" i="30"/>
  <c r="D91" i="30"/>
  <c r="D92" i="30"/>
  <c r="D93" i="30"/>
  <c r="D94" i="30"/>
  <c r="D95" i="30"/>
  <c r="D96" i="30"/>
  <c r="D97" i="30"/>
  <c r="D98" i="30"/>
  <c r="D99" i="30"/>
  <c r="D100" i="30"/>
  <c r="D101" i="30"/>
  <c r="D102" i="30"/>
  <c r="D103" i="30"/>
  <c r="D104" i="30"/>
  <c r="D105" i="30"/>
  <c r="D106" i="30"/>
  <c r="D107" i="30"/>
  <c r="D108" i="30"/>
  <c r="D109" i="30"/>
  <c r="D110" i="30"/>
  <c r="D111" i="30"/>
  <c r="D112" i="30"/>
  <c r="D113" i="30"/>
  <c r="D114" i="30"/>
  <c r="D115" i="30"/>
  <c r="D116" i="30"/>
  <c r="D117" i="30"/>
  <c r="D118" i="30"/>
  <c r="D119" i="30"/>
  <c r="D120" i="30"/>
  <c r="D121" i="30"/>
  <c r="D122" i="30"/>
  <c r="D123" i="30"/>
  <c r="D124" i="30"/>
  <c r="D125" i="30"/>
  <c r="D126" i="30"/>
  <c r="D127" i="30"/>
  <c r="D128" i="30"/>
  <c r="D129" i="30"/>
  <c r="D130" i="30"/>
  <c r="D131" i="30"/>
  <c r="D132" i="30"/>
  <c r="D133" i="30"/>
  <c r="D134" i="30"/>
  <c r="D135" i="30"/>
  <c r="D136" i="30"/>
  <c r="D137" i="30"/>
  <c r="D138" i="30"/>
  <c r="D139" i="30"/>
  <c r="D140" i="30"/>
  <c r="D141" i="30"/>
  <c r="D142" i="30"/>
  <c r="D143" i="30"/>
  <c r="D144" i="30"/>
  <c r="D145" i="30"/>
  <c r="D146" i="30"/>
  <c r="D147" i="30"/>
  <c r="D148" i="30"/>
  <c r="D149" i="30"/>
  <c r="D150" i="30"/>
  <c r="D151" i="30"/>
  <c r="D152" i="30"/>
  <c r="D153" i="30"/>
  <c r="D154" i="30"/>
  <c r="D155" i="30"/>
  <c r="D156" i="30"/>
  <c r="D157" i="30"/>
  <c r="D158" i="30"/>
  <c r="D159" i="30"/>
  <c r="D160" i="30"/>
  <c r="D161" i="30"/>
  <c r="D162" i="30"/>
  <c r="D163" i="30"/>
  <c r="D164" i="30"/>
  <c r="D165" i="30"/>
  <c r="D166" i="30"/>
  <c r="D167" i="30"/>
  <c r="D168" i="30"/>
  <c r="D169" i="30"/>
  <c r="D170" i="30"/>
  <c r="D171" i="30"/>
  <c r="D172" i="30"/>
  <c r="D173" i="30"/>
  <c r="D174" i="30"/>
  <c r="D175" i="30"/>
  <c r="D176" i="30"/>
  <c r="D177" i="30"/>
  <c r="D178" i="30"/>
  <c r="D179" i="30"/>
  <c r="D180" i="30"/>
  <c r="D181" i="30"/>
  <c r="D182" i="30"/>
  <c r="D183" i="30"/>
  <c r="D184" i="30"/>
  <c r="D185" i="30"/>
  <c r="D186" i="30"/>
  <c r="D187" i="30"/>
  <c r="D188" i="30"/>
  <c r="D189" i="30"/>
  <c r="D190" i="30"/>
  <c r="D191" i="30"/>
  <c r="D192" i="30"/>
  <c r="D193" i="30"/>
  <c r="D194" i="30"/>
  <c r="D195" i="30"/>
  <c r="D196" i="30"/>
  <c r="D197" i="30"/>
  <c r="D198" i="30"/>
  <c r="D199" i="30"/>
  <c r="D200" i="30"/>
  <c r="D201" i="30"/>
  <c r="D202" i="30"/>
  <c r="D203" i="30"/>
  <c r="D204" i="30"/>
  <c r="D205" i="30"/>
  <c r="D206" i="30"/>
  <c r="D207" i="30"/>
  <c r="D208" i="30"/>
  <c r="D209" i="30"/>
  <c r="D210" i="30"/>
  <c r="D211" i="30"/>
  <c r="D212" i="30"/>
  <c r="D213" i="30"/>
  <c r="D214" i="30"/>
  <c r="D215" i="30"/>
  <c r="D216" i="30"/>
  <c r="D217" i="30"/>
  <c r="D218" i="30"/>
  <c r="D219" i="30"/>
  <c r="D220" i="30"/>
  <c r="D221" i="30"/>
  <c r="D222" i="30"/>
  <c r="D223" i="30"/>
  <c r="D224" i="30"/>
  <c r="D225" i="30"/>
  <c r="D226" i="30"/>
  <c r="D227" i="30"/>
  <c r="D228" i="30"/>
  <c r="D229" i="30"/>
  <c r="D230" i="30"/>
  <c r="D231" i="30"/>
  <c r="D232" i="30"/>
  <c r="D233" i="30"/>
  <c r="D234" i="30"/>
  <c r="D235" i="30"/>
  <c r="D236" i="30"/>
  <c r="D237" i="30"/>
  <c r="D238" i="30"/>
  <c r="D239" i="30"/>
  <c r="D240" i="30"/>
  <c r="D241" i="30"/>
  <c r="D242" i="30"/>
  <c r="D243" i="30"/>
  <c r="D244" i="30"/>
  <c r="D245" i="30"/>
  <c r="D246" i="30"/>
  <c r="D247" i="30"/>
  <c r="D248" i="30"/>
  <c r="D249" i="30"/>
  <c r="D250" i="30"/>
  <c r="D251" i="30"/>
  <c r="D252" i="30"/>
  <c r="D253" i="30"/>
  <c r="D254" i="30"/>
  <c r="D255" i="30"/>
  <c r="D256" i="30"/>
  <c r="D257" i="30"/>
  <c r="D258" i="30"/>
  <c r="D259" i="30"/>
  <c r="D260" i="30"/>
  <c r="D261" i="30"/>
  <c r="D262" i="30"/>
  <c r="D263" i="30"/>
  <c r="D264" i="30"/>
  <c r="D265" i="30"/>
  <c r="D266" i="30"/>
  <c r="D267" i="30"/>
  <c r="D268" i="30"/>
  <c r="D269" i="30"/>
  <c r="D270" i="30"/>
  <c r="D271" i="30"/>
  <c r="D272" i="30"/>
  <c r="D273" i="30"/>
  <c r="D274" i="30"/>
  <c r="D275" i="30"/>
  <c r="D276" i="30"/>
  <c r="D277" i="30"/>
  <c r="D278" i="30"/>
  <c r="D279" i="30"/>
  <c r="D280" i="30"/>
  <c r="D281" i="30"/>
  <c r="D282" i="30"/>
  <c r="D283" i="30"/>
  <c r="D284" i="30"/>
  <c r="D286" i="30"/>
  <c r="D287" i="30"/>
  <c r="D288" i="30"/>
  <c r="D290" i="30"/>
  <c r="D291" i="30"/>
  <c r="D292" i="30"/>
  <c r="D293" i="30"/>
  <c r="D294" i="30"/>
  <c r="D295" i="30"/>
  <c r="D296" i="30"/>
  <c r="D297" i="30"/>
  <c r="D298" i="30"/>
  <c r="D299" i="30"/>
  <c r="D300" i="30"/>
  <c r="D301" i="30"/>
  <c r="D302" i="30"/>
  <c r="D303" i="30"/>
  <c r="D304" i="30"/>
  <c r="D305" i="30"/>
  <c r="D306" i="30"/>
  <c r="D307" i="30"/>
  <c r="D308" i="30"/>
  <c r="D309" i="30"/>
  <c r="D310" i="30"/>
  <c r="D311" i="30"/>
  <c r="D312" i="30"/>
  <c r="D313" i="30"/>
  <c r="D314" i="30"/>
  <c r="D315" i="30"/>
  <c r="D316" i="30"/>
  <c r="D317" i="30"/>
  <c r="D318" i="30"/>
  <c r="D319" i="30"/>
  <c r="D320" i="30"/>
  <c r="D321" i="30"/>
  <c r="D322" i="30"/>
  <c r="D323" i="30"/>
  <c r="D324" i="30"/>
  <c r="D325" i="30"/>
  <c r="D326" i="30"/>
  <c r="D327" i="30"/>
  <c r="D328" i="30"/>
  <c r="D329" i="30"/>
  <c r="D330" i="30"/>
  <c r="D331" i="30"/>
  <c r="D332" i="30"/>
  <c r="D333" i="30"/>
  <c r="D334" i="30"/>
  <c r="D335" i="30"/>
  <c r="D336" i="30"/>
  <c r="D337" i="30"/>
  <c r="D338" i="30"/>
  <c r="D339" i="30"/>
  <c r="D340" i="30"/>
  <c r="D341" i="30"/>
  <c r="D342" i="30"/>
  <c r="D343" i="30"/>
  <c r="D344" i="30"/>
  <c r="D345" i="30"/>
  <c r="D346" i="30"/>
  <c r="D347" i="30"/>
  <c r="D348" i="30"/>
  <c r="D349" i="30"/>
  <c r="D350" i="30"/>
  <c r="D351" i="30"/>
  <c r="D352" i="30"/>
  <c r="D353" i="30"/>
  <c r="D354" i="30"/>
  <c r="D355" i="30"/>
  <c r="D356" i="30"/>
  <c r="D357" i="30"/>
  <c r="D358" i="30"/>
  <c r="D359" i="30"/>
  <c r="D360" i="30"/>
  <c r="D361" i="30"/>
  <c r="D362" i="30"/>
  <c r="D363" i="30"/>
  <c r="D364" i="30"/>
  <c r="D365" i="30"/>
  <c r="D366" i="30"/>
  <c r="D367" i="30"/>
  <c r="D368" i="30"/>
  <c r="D369" i="30"/>
  <c r="D370" i="30"/>
  <c r="D371" i="30"/>
  <c r="D372" i="30"/>
  <c r="D373" i="30"/>
  <c r="D374" i="30"/>
  <c r="D375" i="30"/>
  <c r="D376" i="30"/>
  <c r="D377" i="30"/>
  <c r="D378" i="30"/>
  <c r="D379" i="30"/>
  <c r="D380" i="30"/>
  <c r="D381" i="30"/>
  <c r="D382" i="30"/>
  <c r="D383" i="30"/>
  <c r="D384" i="30"/>
  <c r="D385" i="30"/>
  <c r="D386" i="30"/>
  <c r="D387" i="30"/>
  <c r="D388" i="30"/>
  <c r="D389" i="30"/>
  <c r="D390" i="30"/>
  <c r="D391" i="30"/>
  <c r="D392" i="30"/>
  <c r="D393" i="30"/>
  <c r="D394" i="30"/>
  <c r="D395" i="30"/>
  <c r="D396" i="30"/>
  <c r="D397" i="30"/>
  <c r="D398" i="30"/>
  <c r="D399" i="30"/>
  <c r="D400" i="30"/>
  <c r="D401" i="30"/>
  <c r="D402" i="30"/>
  <c r="D403" i="30"/>
  <c r="D404" i="30"/>
  <c r="D405" i="30"/>
  <c r="D406" i="30"/>
  <c r="D407" i="30"/>
  <c r="D408" i="30"/>
  <c r="D409" i="30"/>
  <c r="D410" i="30"/>
  <c r="D411" i="30"/>
  <c r="D412" i="30"/>
  <c r="D413" i="30"/>
  <c r="D414" i="30"/>
  <c r="D415" i="30"/>
  <c r="D416" i="30"/>
  <c r="D417" i="30"/>
  <c r="D418" i="30"/>
  <c r="D419" i="30"/>
  <c r="D420" i="30"/>
  <c r="D421" i="30"/>
  <c r="D422" i="30"/>
  <c r="D423" i="30"/>
  <c r="D424" i="30"/>
  <c r="D425" i="30"/>
  <c r="D426" i="30"/>
  <c r="D427" i="30"/>
  <c r="D428" i="30"/>
  <c r="D429" i="30"/>
  <c r="D430" i="30"/>
  <c r="D431" i="30"/>
  <c r="D432" i="30"/>
  <c r="D433" i="30"/>
  <c r="D434" i="30"/>
  <c r="D435" i="30"/>
  <c r="D436" i="30"/>
  <c r="D437" i="30"/>
  <c r="D438" i="30"/>
  <c r="D439" i="30"/>
  <c r="D440" i="30"/>
  <c r="D441" i="30"/>
  <c r="D442" i="30"/>
  <c r="D443" i="30"/>
  <c r="D444" i="30"/>
  <c r="D445" i="30"/>
  <c r="D446" i="30"/>
  <c r="D447" i="30"/>
  <c r="D448" i="30"/>
  <c r="D449" i="30"/>
  <c r="D450" i="30"/>
  <c r="D451" i="30"/>
  <c r="D452" i="30"/>
  <c r="D453" i="30"/>
  <c r="D454" i="30"/>
  <c r="D455" i="30"/>
  <c r="D456" i="30"/>
  <c r="D457" i="30"/>
  <c r="D458" i="30"/>
  <c r="D459" i="30"/>
  <c r="D460" i="30"/>
  <c r="D461" i="30"/>
  <c r="D462" i="30"/>
  <c r="D463" i="30"/>
  <c r="D464" i="30"/>
  <c r="D465" i="30"/>
  <c r="D466" i="30"/>
  <c r="D467" i="30"/>
  <c r="D468" i="30"/>
  <c r="D469" i="30"/>
  <c r="D470" i="30"/>
  <c r="D471" i="30"/>
  <c r="D472" i="30"/>
  <c r="D473" i="30"/>
  <c r="D474" i="30"/>
  <c r="D475" i="30"/>
  <c r="D476" i="30"/>
  <c r="D477" i="30"/>
  <c r="D478" i="30"/>
  <c r="D479" i="30"/>
  <c r="D480" i="30"/>
  <c r="D481" i="30"/>
  <c r="D482" i="30"/>
  <c r="D483" i="30"/>
  <c r="D484" i="30"/>
  <c r="D485" i="30"/>
  <c r="D486" i="30"/>
  <c r="D487" i="30"/>
  <c r="D488" i="30"/>
  <c r="D489" i="30"/>
  <c r="D490" i="30"/>
  <c r="D491" i="30"/>
  <c r="D492" i="30"/>
  <c r="D493" i="30"/>
  <c r="D494" i="30"/>
  <c r="D495" i="30"/>
  <c r="D496" i="30"/>
  <c r="D497" i="30"/>
  <c r="D498" i="30"/>
  <c r="D499" i="30"/>
  <c r="D500" i="30"/>
  <c r="D501" i="30"/>
  <c r="D502" i="30"/>
  <c r="D503" i="30"/>
  <c r="D504" i="30"/>
  <c r="D505" i="30"/>
  <c r="D506" i="30"/>
  <c r="D507" i="30"/>
  <c r="D508" i="30"/>
  <c r="D509" i="30"/>
  <c r="D510" i="30"/>
  <c r="D511" i="30"/>
  <c r="D512" i="30"/>
  <c r="D513" i="30"/>
  <c r="D514" i="30"/>
  <c r="D515" i="30"/>
  <c r="D516" i="30"/>
  <c r="D517" i="30"/>
  <c r="D518" i="30"/>
  <c r="D519" i="30"/>
  <c r="D520" i="30"/>
  <c r="D521" i="30"/>
  <c r="D522" i="30"/>
  <c r="D523" i="30"/>
  <c r="D524" i="30"/>
  <c r="D525" i="30"/>
  <c r="D526" i="30"/>
  <c r="D527" i="30"/>
  <c r="D528" i="30"/>
  <c r="D529" i="30"/>
  <c r="D530" i="30"/>
  <c r="D531" i="30"/>
  <c r="D532" i="30"/>
  <c r="D533" i="30"/>
  <c r="D534" i="30"/>
  <c r="D535" i="30"/>
  <c r="D536" i="30"/>
  <c r="D537" i="30"/>
  <c r="D538" i="30"/>
  <c r="D539" i="30"/>
  <c r="D540" i="30"/>
  <c r="D541" i="30"/>
  <c r="D542" i="30"/>
  <c r="D543" i="30"/>
  <c r="D544" i="30"/>
  <c r="D545" i="30"/>
  <c r="D546" i="30"/>
  <c r="D547" i="30"/>
  <c r="D548" i="30"/>
  <c r="D549" i="30"/>
  <c r="D550" i="30"/>
  <c r="D551" i="30"/>
  <c r="D552" i="30"/>
  <c r="D553" i="30"/>
  <c r="D554" i="30"/>
  <c r="D555" i="30"/>
  <c r="D556" i="30"/>
  <c r="D557" i="30"/>
  <c r="D558" i="30"/>
  <c r="D559" i="30"/>
  <c r="D560" i="30"/>
  <c r="D561" i="30"/>
  <c r="D562" i="30"/>
  <c r="D563" i="30"/>
  <c r="D564" i="30"/>
  <c r="D565" i="30"/>
  <c r="D566" i="30"/>
  <c r="D567" i="30"/>
  <c r="D568" i="30"/>
  <c r="D569" i="30"/>
  <c r="D570" i="30"/>
  <c r="D571" i="30"/>
  <c r="D572" i="30"/>
  <c r="D573" i="30"/>
  <c r="D574" i="30"/>
  <c r="D575" i="30"/>
  <c r="D576" i="30"/>
  <c r="D577" i="30"/>
  <c r="D578" i="30"/>
  <c r="D579" i="30"/>
  <c r="D580" i="30"/>
  <c r="D581" i="30"/>
  <c r="D582" i="30"/>
  <c r="D583" i="30"/>
  <c r="D584" i="30"/>
  <c r="D585" i="30"/>
  <c r="D586" i="30"/>
  <c r="D587" i="30"/>
  <c r="D588" i="30"/>
  <c r="D589" i="30"/>
  <c r="D590" i="30"/>
  <c r="D591" i="30"/>
  <c r="D592" i="30"/>
  <c r="D593" i="30"/>
  <c r="D594" i="30"/>
  <c r="D595" i="30"/>
  <c r="D596" i="30"/>
  <c r="D597" i="30"/>
  <c r="D598" i="30"/>
  <c r="D599" i="30"/>
  <c r="D600" i="30"/>
  <c r="D601" i="30"/>
  <c r="D602" i="30"/>
  <c r="D603" i="30"/>
  <c r="D604" i="30"/>
  <c r="D605" i="30"/>
  <c r="D606" i="30"/>
  <c r="D607" i="30"/>
  <c r="D608" i="30"/>
  <c r="D609" i="30"/>
  <c r="D610" i="30"/>
  <c r="D611" i="30"/>
  <c r="D612" i="30"/>
  <c r="D613" i="30"/>
  <c r="D614" i="30"/>
  <c r="D615" i="30"/>
  <c r="D616" i="30"/>
  <c r="D617" i="30"/>
  <c r="D618" i="30"/>
  <c r="D619" i="30"/>
  <c r="D620" i="30"/>
  <c r="D621" i="30"/>
  <c r="D622" i="30"/>
  <c r="D623" i="30"/>
  <c r="D624" i="30"/>
  <c r="D625" i="30"/>
  <c r="D626" i="30"/>
  <c r="D627" i="30"/>
  <c r="D628" i="30"/>
  <c r="D629" i="30"/>
  <c r="D630" i="30"/>
  <c r="D631" i="30"/>
  <c r="D632" i="30"/>
  <c r="D633" i="30"/>
  <c r="D634" i="30"/>
  <c r="D635" i="30"/>
  <c r="D636" i="30"/>
  <c r="D637" i="30"/>
  <c r="D638" i="30"/>
  <c r="D639" i="30"/>
  <c r="D640" i="30"/>
  <c r="D641" i="30"/>
  <c r="D642" i="30"/>
  <c r="D643" i="30"/>
  <c r="D644" i="30"/>
  <c r="D645" i="30"/>
  <c r="D646" i="30"/>
  <c r="D647" i="30"/>
  <c r="D648" i="30"/>
  <c r="D649" i="30"/>
  <c r="D650" i="30"/>
  <c r="D651" i="30"/>
  <c r="D652" i="30"/>
  <c r="D653" i="30"/>
  <c r="D654" i="30"/>
  <c r="D655" i="30"/>
  <c r="D656" i="30"/>
  <c r="D657" i="30"/>
  <c r="D658" i="30"/>
  <c r="D659" i="30"/>
  <c r="D660" i="30"/>
  <c r="D661" i="30"/>
  <c r="D662" i="30"/>
  <c r="D663" i="30"/>
  <c r="D664" i="30"/>
  <c r="D665" i="30"/>
  <c r="D666" i="30"/>
  <c r="D667" i="30"/>
  <c r="D668" i="30"/>
  <c r="D669" i="30"/>
  <c r="D670" i="30"/>
  <c r="D671" i="30"/>
  <c r="D672" i="30"/>
  <c r="D673" i="30"/>
  <c r="D674" i="30"/>
  <c r="D675" i="30"/>
  <c r="D676" i="30"/>
  <c r="D677" i="30"/>
  <c r="D678" i="30"/>
  <c r="D679" i="30"/>
  <c r="D680" i="30"/>
  <c r="D681" i="30"/>
  <c r="D682" i="30"/>
  <c r="D683" i="30"/>
  <c r="D684" i="30"/>
  <c r="D685" i="30"/>
  <c r="D686" i="30"/>
  <c r="D687" i="30"/>
  <c r="D688" i="30"/>
  <c r="D689" i="30"/>
  <c r="D690" i="30"/>
  <c r="D691" i="30"/>
  <c r="D692" i="30"/>
  <c r="D693" i="30"/>
  <c r="D694" i="30"/>
  <c r="D695" i="30"/>
  <c r="D696" i="30"/>
  <c r="D697" i="30"/>
  <c r="D698" i="30"/>
  <c r="D699" i="30"/>
  <c r="D700" i="30"/>
  <c r="D701" i="30"/>
  <c r="D702" i="30"/>
  <c r="D703" i="30"/>
  <c r="D704" i="30"/>
  <c r="D705" i="30"/>
  <c r="D706" i="30"/>
  <c r="D707" i="30"/>
  <c r="D708" i="30"/>
  <c r="D709" i="30"/>
  <c r="D710" i="30"/>
  <c r="D711" i="30"/>
  <c r="D712" i="30"/>
  <c r="D713" i="30"/>
  <c r="D714" i="30"/>
  <c r="D715" i="30"/>
  <c r="D716" i="30"/>
  <c r="D717" i="30"/>
  <c r="D718" i="30"/>
  <c r="D719" i="30"/>
  <c r="D720" i="30"/>
  <c r="D721" i="30"/>
  <c r="D722" i="30"/>
  <c r="D723" i="30"/>
  <c r="D724" i="30"/>
  <c r="D725" i="30"/>
  <c r="D726" i="30"/>
  <c r="D727" i="30"/>
  <c r="D728" i="30"/>
  <c r="D729" i="30"/>
  <c r="D730" i="30"/>
  <c r="D731" i="30"/>
  <c r="D732" i="30"/>
  <c r="D733" i="30"/>
  <c r="D734" i="30"/>
  <c r="D735" i="30"/>
  <c r="D736" i="30"/>
  <c r="D737" i="30"/>
  <c r="D738" i="30"/>
  <c r="D739" i="30"/>
  <c r="D740" i="30"/>
  <c r="D741" i="30"/>
  <c r="D742" i="30"/>
  <c r="D743" i="30"/>
  <c r="D744" i="30"/>
  <c r="D745" i="30"/>
  <c r="D746" i="30"/>
  <c r="D747" i="30"/>
  <c r="D748" i="30"/>
  <c r="D749" i="30"/>
  <c r="D750" i="30"/>
  <c r="D751" i="30"/>
  <c r="D752" i="30"/>
  <c r="D753" i="30"/>
  <c r="D754" i="30"/>
  <c r="D755" i="30"/>
  <c r="D756" i="30"/>
  <c r="D757" i="30"/>
  <c r="D758" i="30"/>
  <c r="D759" i="30"/>
  <c r="D760" i="30"/>
  <c r="D761" i="30"/>
  <c r="D762" i="30"/>
  <c r="D763" i="30"/>
  <c r="D764" i="30"/>
  <c r="D765" i="30"/>
  <c r="D766" i="30"/>
  <c r="D767" i="30"/>
  <c r="D768" i="30"/>
  <c r="D769" i="30"/>
  <c r="D770" i="30"/>
  <c r="D771" i="30"/>
  <c r="D772" i="30"/>
  <c r="D773" i="30"/>
  <c r="D774" i="30"/>
  <c r="D775" i="30"/>
  <c r="D776" i="30"/>
  <c r="D777" i="30"/>
  <c r="D778" i="30"/>
  <c r="D779" i="30"/>
  <c r="D780" i="30"/>
  <c r="D781" i="30"/>
  <c r="D782" i="30"/>
  <c r="D783" i="30"/>
  <c r="D784" i="30"/>
  <c r="D785" i="30"/>
  <c r="D786" i="30"/>
  <c r="D787" i="30"/>
  <c r="D788" i="30"/>
  <c r="D789" i="30"/>
  <c r="D790" i="30"/>
  <c r="D791" i="30"/>
  <c r="D792" i="30"/>
  <c r="D793" i="30"/>
  <c r="D794" i="30"/>
  <c r="D795" i="30"/>
  <c r="D796" i="30"/>
  <c r="D797" i="30"/>
  <c r="D798" i="30"/>
  <c r="D799" i="30"/>
  <c r="D800" i="30"/>
  <c r="D801" i="30"/>
  <c r="D802" i="30"/>
  <c r="D803" i="30"/>
  <c r="D804" i="30"/>
  <c r="D805" i="30"/>
  <c r="D806" i="30"/>
  <c r="D807" i="30"/>
  <c r="D808" i="30"/>
  <c r="D809" i="30"/>
  <c r="D810" i="30"/>
  <c r="D811" i="30"/>
  <c r="D812" i="30"/>
  <c r="D813" i="30"/>
  <c r="D814" i="30"/>
  <c r="D815" i="30"/>
  <c r="D816" i="30"/>
  <c r="D817" i="30"/>
  <c r="D818" i="30"/>
  <c r="D819" i="30"/>
  <c r="D820" i="30"/>
  <c r="D821" i="30"/>
  <c r="D822" i="30"/>
  <c r="D823" i="30"/>
  <c r="D824" i="30"/>
  <c r="D825" i="30"/>
  <c r="D826" i="30"/>
  <c r="D827" i="30"/>
  <c r="D828" i="30"/>
  <c r="D829" i="30"/>
  <c r="D830" i="30"/>
  <c r="D831" i="30"/>
  <c r="D832" i="30"/>
  <c r="D833" i="30"/>
  <c r="D834" i="30"/>
  <c r="D835" i="30"/>
  <c r="D836" i="30"/>
  <c r="D837" i="30"/>
  <c r="D838" i="30"/>
  <c r="D839" i="30"/>
  <c r="D840" i="30"/>
  <c r="D841" i="30"/>
  <c r="D842" i="30"/>
  <c r="D843" i="30"/>
  <c r="D844" i="30"/>
  <c r="D845" i="30"/>
  <c r="D846" i="30"/>
  <c r="D847" i="30"/>
  <c r="D848" i="30"/>
  <c r="D849" i="30"/>
  <c r="D850" i="30"/>
  <c r="D851" i="30"/>
  <c r="D852" i="30"/>
  <c r="D853" i="30"/>
  <c r="D854" i="30"/>
  <c r="D855" i="30"/>
  <c r="D856" i="30"/>
  <c r="D857" i="30"/>
  <c r="D858" i="30"/>
  <c r="D859" i="30"/>
  <c r="D860" i="30"/>
  <c r="D861" i="30"/>
  <c r="D862" i="30"/>
  <c r="D863" i="30"/>
  <c r="D864" i="30"/>
  <c r="D865" i="30"/>
  <c r="D866" i="30"/>
  <c r="D867" i="30"/>
  <c r="D868" i="30"/>
  <c r="D869" i="30"/>
  <c r="D870" i="30"/>
  <c r="D871" i="30"/>
  <c r="D872" i="30"/>
  <c r="D873" i="30"/>
  <c r="D874" i="30"/>
  <c r="D875" i="30"/>
  <c r="D876" i="30"/>
  <c r="D877" i="30"/>
  <c r="D878" i="30"/>
  <c r="D879" i="30"/>
  <c r="D880" i="30"/>
  <c r="D881" i="30"/>
  <c r="D882" i="30"/>
  <c r="D883" i="30"/>
  <c r="D884" i="30"/>
  <c r="D885" i="30"/>
  <c r="D886" i="30"/>
  <c r="D887" i="30"/>
  <c r="D888" i="30"/>
  <c r="D889" i="30"/>
  <c r="D890" i="30"/>
  <c r="D891" i="30"/>
  <c r="D892" i="30"/>
  <c r="D893" i="30"/>
  <c r="D894" i="30"/>
  <c r="D895" i="30"/>
  <c r="D896" i="30"/>
  <c r="D897" i="30"/>
  <c r="D898" i="30"/>
  <c r="D899" i="30"/>
  <c r="D900" i="30"/>
  <c r="D901" i="30"/>
  <c r="D902" i="30"/>
  <c r="D903" i="30"/>
  <c r="D904" i="30"/>
  <c r="D905" i="30"/>
  <c r="D906" i="30"/>
  <c r="D907" i="30"/>
  <c r="D908" i="30"/>
  <c r="D909" i="30"/>
  <c r="D910" i="30"/>
  <c r="D911" i="30"/>
  <c r="D912" i="30"/>
  <c r="D913" i="30"/>
  <c r="D914" i="30"/>
  <c r="D915" i="30"/>
  <c r="D916" i="30"/>
  <c r="D917" i="30"/>
  <c r="D918" i="30"/>
  <c r="D919" i="30"/>
  <c r="D920" i="30"/>
  <c r="D921" i="30"/>
  <c r="D922" i="30"/>
  <c r="D923" i="30"/>
  <c r="D924" i="30"/>
  <c r="D925" i="30"/>
  <c r="D926" i="30"/>
  <c r="D927" i="30"/>
  <c r="D928" i="30"/>
  <c r="D929" i="30"/>
  <c r="D930" i="30"/>
  <c r="D931" i="30"/>
  <c r="D932" i="30"/>
  <c r="D933" i="30"/>
  <c r="D934" i="30"/>
  <c r="D935" i="30"/>
  <c r="D936" i="30"/>
  <c r="D937" i="30"/>
  <c r="D938" i="30"/>
  <c r="D939" i="30"/>
  <c r="D940" i="30"/>
  <c r="D941" i="30"/>
  <c r="D942" i="30"/>
  <c r="D943" i="30"/>
  <c r="D944" i="30"/>
  <c r="D945" i="30"/>
  <c r="D946" i="30"/>
  <c r="D947" i="30"/>
  <c r="D948" i="30"/>
  <c r="D949" i="30"/>
  <c r="D950" i="30"/>
  <c r="D951" i="30"/>
  <c r="D952" i="30"/>
  <c r="D953" i="30"/>
  <c r="D954" i="30"/>
  <c r="D955" i="30"/>
  <c r="D956" i="30"/>
  <c r="D957" i="30"/>
  <c r="D958" i="30"/>
  <c r="D959" i="30"/>
  <c r="D960" i="30"/>
  <c r="D961" i="30"/>
  <c r="D962" i="30"/>
  <c r="D963" i="30"/>
  <c r="D964" i="30"/>
  <c r="D965" i="30"/>
  <c r="D966" i="30"/>
  <c r="D967" i="30"/>
  <c r="D968" i="30"/>
  <c r="D969" i="30"/>
  <c r="D970" i="30"/>
  <c r="D971" i="30"/>
  <c r="D972" i="30"/>
  <c r="D973" i="30"/>
  <c r="D974" i="30"/>
  <c r="D975" i="30"/>
  <c r="D976" i="30"/>
  <c r="D977" i="30"/>
  <c r="D978" i="30"/>
  <c r="D979" i="30"/>
  <c r="D980" i="30"/>
  <c r="D981" i="30"/>
  <c r="D982" i="30"/>
  <c r="D983" i="30"/>
  <c r="D984" i="30"/>
  <c r="D985" i="30"/>
  <c r="D986" i="30"/>
  <c r="D987" i="30"/>
  <c r="D988" i="30"/>
  <c r="D989" i="30"/>
  <c r="D990" i="30"/>
  <c r="D991" i="30"/>
  <c r="D992" i="30"/>
  <c r="D993" i="30"/>
  <c r="D994" i="30"/>
  <c r="D995" i="30"/>
  <c r="D996" i="30"/>
  <c r="D997" i="30"/>
  <c r="D998" i="30"/>
  <c r="D999" i="30"/>
  <c r="D1000" i="30"/>
  <c r="D1001" i="30"/>
  <c r="D1002" i="30"/>
  <c r="D1003" i="30"/>
  <c r="D1004" i="30"/>
  <c r="D1005" i="30"/>
  <c r="D1006" i="30"/>
  <c r="D1007" i="30"/>
  <c r="D1008" i="30"/>
  <c r="D1009" i="30"/>
  <c r="D1010" i="30"/>
  <c r="D1011" i="30"/>
  <c r="D1012" i="30"/>
  <c r="D1013" i="30"/>
  <c r="D1014" i="30"/>
  <c r="D1015" i="30"/>
  <c r="D1016" i="30"/>
  <c r="D1017" i="30"/>
  <c r="D1018" i="30"/>
  <c r="D1019" i="30"/>
  <c r="D1020" i="30"/>
  <c r="D1021" i="30"/>
  <c r="D1022" i="30"/>
  <c r="D1023" i="30"/>
  <c r="D1024" i="30"/>
  <c r="D1025" i="30"/>
  <c r="D1026" i="30"/>
  <c r="D1027" i="30"/>
  <c r="D1028" i="30"/>
  <c r="D1029" i="30"/>
  <c r="D1030" i="30"/>
  <c r="D1031" i="30"/>
  <c r="D1032" i="30"/>
  <c r="D1033" i="30"/>
  <c r="D1034" i="30"/>
  <c r="D1035" i="30"/>
  <c r="D1036" i="30"/>
  <c r="D1037" i="30"/>
  <c r="D1038" i="30"/>
  <c r="D1039" i="30"/>
  <c r="D1040" i="30"/>
  <c r="D1041" i="30"/>
  <c r="D1042" i="30"/>
  <c r="D1043" i="30"/>
  <c r="D1044" i="30"/>
  <c r="D1045" i="30"/>
  <c r="D1046" i="30"/>
  <c r="D1047" i="30"/>
  <c r="D1048" i="30"/>
  <c r="D1049" i="30"/>
  <c r="D1050" i="30"/>
  <c r="D1051" i="30"/>
  <c r="D1052" i="30"/>
  <c r="D1053" i="30"/>
  <c r="D1054" i="30"/>
  <c r="D1055" i="30"/>
  <c r="D1056" i="30"/>
  <c r="D1057" i="30"/>
  <c r="D1058" i="30"/>
  <c r="D1059" i="30"/>
  <c r="D1060" i="30"/>
  <c r="D1061" i="30"/>
  <c r="D1062" i="30"/>
  <c r="D1063" i="30"/>
  <c r="D1066" i="30"/>
  <c r="D1067" i="30"/>
  <c r="D1068" i="30"/>
  <c r="D1069" i="30"/>
  <c r="D1070" i="30"/>
  <c r="D1071" i="30"/>
  <c r="D1072" i="30"/>
  <c r="D1073" i="30"/>
  <c r="D1074" i="30"/>
  <c r="D1075" i="30"/>
  <c r="D1076" i="30"/>
  <c r="D1077" i="30"/>
  <c r="D1078" i="30"/>
  <c r="D1079" i="30"/>
  <c r="D1080" i="30"/>
  <c r="D1081" i="30"/>
  <c r="D1082" i="30"/>
  <c r="D1083" i="30"/>
  <c r="D1084" i="30"/>
  <c r="D1085" i="30"/>
  <c r="D1086" i="30"/>
  <c r="D1087" i="30"/>
  <c r="D1088" i="30"/>
  <c r="D1089" i="30"/>
  <c r="D1090" i="30"/>
  <c r="D1091" i="30"/>
  <c r="D1092" i="30"/>
  <c r="D1093" i="30"/>
  <c r="D1094" i="30"/>
  <c r="D1095" i="30"/>
  <c r="D1096" i="30"/>
  <c r="D1097" i="30"/>
  <c r="D1098" i="30"/>
  <c r="D1099" i="30"/>
  <c r="D1100" i="30"/>
  <c r="D1101" i="30"/>
  <c r="D1102" i="30"/>
  <c r="D1103" i="30"/>
  <c r="D1104" i="30"/>
  <c r="D1105" i="30"/>
  <c r="D1106" i="30"/>
  <c r="D1107" i="30"/>
  <c r="D1108" i="30"/>
  <c r="D1109" i="30"/>
  <c r="D1110" i="30"/>
  <c r="D1111" i="30"/>
  <c r="D1112" i="30"/>
  <c r="D1113" i="30"/>
  <c r="D1114" i="30"/>
  <c r="D1115" i="30"/>
  <c r="D1116" i="30"/>
  <c r="D1117" i="30"/>
  <c r="D1118" i="30"/>
  <c r="D1119" i="30"/>
  <c r="D1120" i="30"/>
  <c r="D1121" i="30"/>
  <c r="D1122" i="30"/>
  <c r="D1123" i="30"/>
  <c r="D1124" i="30"/>
  <c r="D1125" i="30"/>
  <c r="D1126" i="30"/>
  <c r="D1127" i="30"/>
  <c r="D1128" i="30"/>
  <c r="D1129" i="30"/>
  <c r="D1130" i="30"/>
  <c r="D1131" i="30"/>
  <c r="D1132" i="30"/>
  <c r="D1133" i="30"/>
  <c r="D1134" i="30"/>
  <c r="D1135" i="30"/>
  <c r="D1136" i="30"/>
  <c r="D1137" i="30"/>
  <c r="D1138" i="30"/>
  <c r="D1139" i="30"/>
  <c r="D1140" i="30"/>
  <c r="D1141" i="30"/>
  <c r="D1142" i="30"/>
  <c r="D1143" i="30"/>
  <c r="D1144" i="30"/>
  <c r="D1145" i="30"/>
  <c r="D1146" i="30"/>
  <c r="D1147" i="30"/>
  <c r="D1148" i="30"/>
  <c r="D1149" i="30"/>
  <c r="D1150" i="30"/>
  <c r="D1151" i="30"/>
  <c r="D1152" i="30"/>
  <c r="D1153" i="30"/>
  <c r="D1154" i="30"/>
  <c r="D1155" i="30"/>
  <c r="D1157" i="30"/>
  <c r="D1158" i="30"/>
  <c r="D1159" i="30"/>
  <c r="D1160" i="30"/>
  <c r="D1161" i="30"/>
  <c r="D1162" i="30"/>
  <c r="D1163" i="30"/>
  <c r="D1165" i="30"/>
  <c r="D1166" i="30"/>
  <c r="D1167" i="30"/>
  <c r="D1168" i="30"/>
  <c r="D1169" i="30"/>
  <c r="D1170" i="30"/>
  <c r="D1171" i="30"/>
  <c r="D1172" i="30"/>
  <c r="D1173" i="30"/>
  <c r="D1174" i="30"/>
  <c r="D1175" i="30"/>
  <c r="D1176" i="30"/>
  <c r="D1177" i="30"/>
  <c r="D1178" i="30"/>
  <c r="D1179" i="30"/>
  <c r="D1180" i="30"/>
  <c r="D1181" i="30"/>
  <c r="D1182" i="30"/>
  <c r="D1183" i="30"/>
  <c r="D1184" i="30"/>
  <c r="D1185" i="30"/>
  <c r="D1186" i="30"/>
  <c r="D1187" i="30"/>
  <c r="D1188" i="30"/>
  <c r="D1189" i="30"/>
  <c r="D1190" i="30"/>
  <c r="D1191" i="30"/>
  <c r="D1192" i="30"/>
  <c r="D1193" i="30"/>
  <c r="D1194" i="30"/>
  <c r="D1195" i="30"/>
  <c r="D1196" i="30"/>
  <c r="D1197" i="30"/>
  <c r="D1198" i="30"/>
  <c r="D1199" i="30"/>
  <c r="D1200" i="30"/>
  <c r="D1201" i="30"/>
  <c r="D1202" i="30"/>
  <c r="D1203" i="30"/>
  <c r="D1204" i="30"/>
  <c r="D1205" i="30"/>
  <c r="D1206" i="30"/>
  <c r="D1207" i="30"/>
  <c r="D1208" i="30"/>
  <c r="D1209" i="30"/>
  <c r="D1210" i="30"/>
  <c r="D1211" i="30"/>
  <c r="D1212" i="30"/>
  <c r="D1213" i="30"/>
  <c r="D1214" i="30"/>
  <c r="D1215" i="30"/>
  <c r="D1216" i="30"/>
  <c r="D1217" i="30"/>
  <c r="D1218" i="30"/>
  <c r="D1219" i="30"/>
  <c r="D1220" i="30"/>
  <c r="D1221" i="30"/>
  <c r="D1222" i="30"/>
  <c r="D1223" i="30"/>
  <c r="D1224" i="30"/>
  <c r="D1225" i="30"/>
  <c r="D1226" i="30"/>
  <c r="D1227" i="30"/>
  <c r="D1228" i="30"/>
  <c r="D1229" i="30"/>
  <c r="D1230" i="30"/>
  <c r="D1231" i="30"/>
  <c r="D1232" i="30"/>
  <c r="D1233" i="30"/>
  <c r="D1234" i="30"/>
  <c r="D1235" i="30"/>
  <c r="D1236" i="30"/>
  <c r="D1237" i="30"/>
  <c r="D1238" i="30"/>
  <c r="D1239" i="30"/>
  <c r="D1240" i="30"/>
  <c r="D1241" i="30"/>
  <c r="D1242" i="30"/>
  <c r="D1243" i="30"/>
  <c r="D1244" i="30"/>
  <c r="D1245" i="30"/>
  <c r="D1246" i="30"/>
  <c r="D1247" i="30"/>
  <c r="D1248" i="30"/>
  <c r="D1249" i="30"/>
  <c r="D1250" i="30"/>
  <c r="D1251" i="30"/>
  <c r="D1252" i="30"/>
  <c r="D1253" i="30"/>
  <c r="D1254" i="30"/>
  <c r="D1255" i="30"/>
  <c r="D1256" i="30"/>
  <c r="D1257" i="30"/>
  <c r="D1258" i="30"/>
  <c r="D1259" i="30"/>
  <c r="D1260" i="30"/>
  <c r="D1261" i="30"/>
  <c r="D1262" i="30"/>
  <c r="D1263" i="30"/>
  <c r="D1264" i="30"/>
  <c r="D1265" i="30"/>
  <c r="D1266" i="30"/>
  <c r="D1267" i="30"/>
  <c r="D1268" i="30"/>
  <c r="D1269" i="30"/>
  <c r="D1270" i="30"/>
  <c r="D1271" i="30"/>
  <c r="D1272" i="30"/>
  <c r="D1273" i="30"/>
  <c r="D1274" i="30"/>
  <c r="D1275" i="30"/>
  <c r="D1276" i="30"/>
  <c r="D1277" i="30"/>
  <c r="D1278" i="30"/>
  <c r="D1279" i="30"/>
  <c r="D1280" i="30"/>
  <c r="D1281" i="30"/>
  <c r="D1282" i="30"/>
  <c r="D1283" i="30"/>
  <c r="D1284" i="30"/>
  <c r="D1285" i="30"/>
  <c r="D1286" i="30"/>
  <c r="D1287" i="30"/>
  <c r="D1288" i="30"/>
  <c r="D1289" i="30"/>
  <c r="D1290" i="30"/>
  <c r="D1291" i="30"/>
  <c r="D1292" i="30"/>
  <c r="D1293" i="30"/>
  <c r="D1294" i="30"/>
  <c r="D1295" i="30"/>
  <c r="D1296" i="30"/>
  <c r="D1297" i="30"/>
  <c r="D1298" i="30"/>
  <c r="D1299" i="30"/>
  <c r="D1300" i="30"/>
  <c r="D1301" i="30"/>
  <c r="D1302" i="30"/>
  <c r="D1303" i="30"/>
  <c r="D1304" i="30"/>
  <c r="D1305" i="30"/>
  <c r="D1306" i="30"/>
  <c r="D1307" i="30"/>
  <c r="D1308" i="30"/>
  <c r="D1309" i="30"/>
  <c r="D1310" i="30"/>
  <c r="D1311" i="30"/>
  <c r="D1312" i="30"/>
  <c r="D1313" i="30"/>
  <c r="D1314" i="30"/>
  <c r="D1315" i="30"/>
  <c r="D1316" i="30"/>
  <c r="D1317" i="30"/>
  <c r="D1318" i="30"/>
  <c r="D1319" i="30"/>
  <c r="D1320" i="30"/>
  <c r="D1321" i="30"/>
  <c r="D1322" i="30"/>
  <c r="D1323" i="30"/>
  <c r="D1324" i="30"/>
  <c r="D1325" i="30"/>
  <c r="D1326" i="30"/>
  <c r="D1327" i="30"/>
  <c r="D1328" i="30"/>
  <c r="D1329" i="30"/>
  <c r="D1330" i="30"/>
  <c r="D1331" i="30"/>
  <c r="D1332" i="30"/>
  <c r="D1333" i="30"/>
  <c r="D1334" i="30"/>
  <c r="D1335" i="30"/>
  <c r="D1336" i="30"/>
  <c r="D1337" i="30"/>
  <c r="D1338" i="30"/>
  <c r="D1339" i="30"/>
  <c r="D1340" i="30"/>
  <c r="D1341" i="30"/>
  <c r="D1342" i="30"/>
  <c r="D1343" i="30"/>
  <c r="D1344" i="30"/>
  <c r="D1345" i="30"/>
  <c r="D1346" i="30"/>
  <c r="D1347" i="30"/>
  <c r="D1348" i="30"/>
  <c r="D1349" i="30"/>
  <c r="D1350" i="30"/>
  <c r="D1351" i="30"/>
  <c r="D1352" i="30"/>
  <c r="D1353" i="30"/>
  <c r="D1354" i="30"/>
  <c r="D1355" i="30"/>
  <c r="D1356" i="30"/>
  <c r="D1357" i="30"/>
  <c r="D1358" i="30"/>
  <c r="D1359" i="30"/>
  <c r="D1360" i="30"/>
  <c r="D1361" i="30"/>
  <c r="D1362" i="30"/>
  <c r="D1363" i="30"/>
  <c r="D1364" i="30"/>
  <c r="D1365" i="30"/>
  <c r="D1366" i="30"/>
  <c r="D1367" i="30"/>
  <c r="D1368" i="30"/>
  <c r="D1369" i="30"/>
  <c r="D1370" i="30"/>
  <c r="D1371" i="30"/>
  <c r="D1372" i="30"/>
  <c r="D1373" i="30"/>
  <c r="D1374" i="30"/>
  <c r="D1375" i="30"/>
  <c r="D1376" i="30"/>
  <c r="D1377" i="30"/>
  <c r="D1378" i="30"/>
  <c r="D1379" i="30"/>
  <c r="D1380" i="30"/>
  <c r="D1381" i="30"/>
  <c r="D1382" i="30"/>
  <c r="D1383" i="30"/>
  <c r="D1384" i="30"/>
  <c r="D1385" i="30"/>
  <c r="D1386" i="30"/>
  <c r="D1387" i="30"/>
  <c r="D1388" i="30"/>
  <c r="D1389" i="30"/>
  <c r="D1390" i="30"/>
  <c r="D1391" i="30"/>
  <c r="D1392" i="30"/>
  <c r="D1393" i="30"/>
  <c r="D1394" i="30"/>
  <c r="D1395" i="30"/>
  <c r="D1396" i="30"/>
  <c r="D1397" i="30"/>
  <c r="D1398" i="30"/>
  <c r="D1399" i="30"/>
  <c r="D1400" i="30"/>
  <c r="D1401" i="30"/>
  <c r="D1402" i="30"/>
  <c r="D1403" i="30"/>
  <c r="D1404" i="30"/>
  <c r="D1405" i="30"/>
  <c r="D1406" i="30"/>
  <c r="D1407" i="30"/>
  <c r="D1408" i="30"/>
  <c r="D1409" i="30"/>
  <c r="D1410" i="30"/>
  <c r="D1411" i="30"/>
  <c r="D1412" i="30"/>
  <c r="D1413" i="30"/>
  <c r="D1414" i="30"/>
  <c r="D1415" i="30"/>
  <c r="D1416" i="30"/>
  <c r="D1417" i="30"/>
  <c r="D1418" i="30"/>
  <c r="D1419" i="30"/>
  <c r="D1420" i="30"/>
  <c r="D1421" i="30"/>
  <c r="D1422" i="30"/>
  <c r="D1423" i="30"/>
  <c r="D1424" i="30"/>
  <c r="D1425" i="30"/>
  <c r="D1426" i="30"/>
  <c r="D1427" i="30"/>
  <c r="D1428" i="30"/>
  <c r="D1429" i="30"/>
  <c r="D1430" i="30"/>
  <c r="D1431" i="30"/>
  <c r="D1432" i="30"/>
  <c r="D1433" i="30"/>
  <c r="D1434" i="30"/>
  <c r="D1435" i="30"/>
  <c r="D1436" i="30"/>
  <c r="D1437" i="30"/>
  <c r="D1438" i="30"/>
  <c r="D1439" i="30"/>
  <c r="D1440" i="30"/>
  <c r="D1441" i="30"/>
  <c r="D1442" i="30"/>
  <c r="D1443" i="30"/>
  <c r="D1444" i="30"/>
  <c r="D1445" i="30"/>
  <c r="D1446" i="30"/>
  <c r="D1447" i="30"/>
  <c r="D1448" i="30"/>
  <c r="D1449" i="30"/>
  <c r="D1450" i="30"/>
  <c r="D1451" i="30"/>
  <c r="D1452" i="30"/>
  <c r="D1453" i="30"/>
  <c r="D1454" i="30"/>
  <c r="D1455" i="30"/>
  <c r="D1456" i="30"/>
  <c r="D1457" i="30"/>
  <c r="D1458" i="30"/>
  <c r="D1459" i="30"/>
  <c r="D1460" i="30"/>
  <c r="D1461" i="30"/>
  <c r="D1462" i="30"/>
  <c r="D1463" i="30"/>
  <c r="D1464" i="30"/>
  <c r="D1465" i="30"/>
  <c r="D1466" i="30"/>
  <c r="D1467" i="30"/>
  <c r="D1468" i="30"/>
  <c r="D1469" i="30"/>
  <c r="D1470" i="30"/>
  <c r="D1471" i="30"/>
  <c r="D1472" i="30"/>
  <c r="D1473" i="30"/>
  <c r="D1474" i="30"/>
  <c r="D1475" i="30"/>
  <c r="D1476" i="30"/>
  <c r="D1477" i="30"/>
  <c r="D1478" i="30"/>
  <c r="D1479" i="30"/>
  <c r="D1480" i="30"/>
  <c r="D1481" i="30"/>
  <c r="D1482" i="30"/>
  <c r="D1483" i="30"/>
  <c r="D1484" i="30"/>
  <c r="D1485" i="30"/>
  <c r="D1486" i="30"/>
  <c r="D1487" i="30"/>
  <c r="D1488" i="30"/>
  <c r="D1489" i="30"/>
  <c r="D1490" i="30"/>
  <c r="D1491" i="30"/>
  <c r="D1492" i="30"/>
  <c r="D1493" i="30"/>
  <c r="D1494" i="30"/>
  <c r="D1495" i="30"/>
  <c r="D1496" i="30"/>
  <c r="D1497" i="30"/>
  <c r="D1498" i="30"/>
  <c r="D1499" i="30"/>
  <c r="D1500" i="30"/>
  <c r="D1501" i="30"/>
  <c r="D1502" i="30"/>
  <c r="D1503" i="30"/>
  <c r="D1504" i="30"/>
  <c r="D1505" i="30"/>
  <c r="D1506" i="30"/>
  <c r="D1507" i="30"/>
  <c r="D1508" i="30"/>
  <c r="D1509" i="30"/>
  <c r="D1510" i="30"/>
  <c r="D1511" i="30"/>
  <c r="D1512" i="30"/>
  <c r="D1513" i="30"/>
  <c r="D1514" i="30"/>
  <c r="D1515" i="30"/>
  <c r="D1516" i="30"/>
  <c r="D1517" i="30"/>
  <c r="D1518" i="30"/>
  <c r="D1519" i="30"/>
  <c r="D1520" i="30"/>
  <c r="D1521" i="30"/>
  <c r="D1522" i="30"/>
  <c r="D1523" i="30"/>
  <c r="D1524" i="30"/>
  <c r="D1525" i="30"/>
  <c r="D1526" i="30"/>
  <c r="D1527" i="30"/>
  <c r="D1528" i="30"/>
  <c r="D1529" i="30"/>
  <c r="D1530" i="30"/>
  <c r="D1531" i="30"/>
  <c r="D1532" i="30"/>
  <c r="D1533" i="30"/>
  <c r="D1534" i="30"/>
  <c r="D1535" i="30"/>
  <c r="D1536" i="30"/>
  <c r="D1537" i="30"/>
  <c r="D1538" i="30"/>
  <c r="D1539" i="30"/>
  <c r="D1540" i="30"/>
  <c r="D1541" i="30"/>
  <c r="D1542" i="30"/>
  <c r="D1543" i="30"/>
  <c r="D1544" i="30"/>
  <c r="D1545" i="30"/>
  <c r="D1546" i="30"/>
  <c r="D1547" i="30"/>
  <c r="D1548" i="30"/>
  <c r="D1549" i="30"/>
  <c r="D1550" i="30"/>
  <c r="D1551" i="30"/>
  <c r="D1552" i="30"/>
  <c r="D1553" i="30"/>
  <c r="D1554" i="30"/>
  <c r="D1555" i="30"/>
  <c r="D1556" i="30"/>
  <c r="D1557" i="30"/>
  <c r="D1558" i="30"/>
  <c r="D1559" i="30"/>
  <c r="D1560" i="30"/>
  <c r="D1561" i="30"/>
  <c r="D1562" i="30"/>
  <c r="D1563" i="30"/>
  <c r="D1564" i="30"/>
  <c r="D1565" i="30"/>
  <c r="D1566" i="30"/>
  <c r="D1567" i="30"/>
  <c r="D1568" i="30"/>
  <c r="D1569" i="30"/>
  <c r="D1570" i="30"/>
  <c r="D1571" i="30"/>
  <c r="D1572" i="30"/>
  <c r="D1573" i="30"/>
  <c r="D1574" i="30"/>
  <c r="D1575" i="30"/>
  <c r="D1576" i="30"/>
  <c r="D1577" i="30"/>
  <c r="D1578" i="30"/>
  <c r="D1579" i="30"/>
  <c r="D1580" i="30"/>
  <c r="D1581" i="30"/>
  <c r="D1582" i="30"/>
  <c r="D1583" i="30"/>
  <c r="D1584" i="30"/>
  <c r="D1585" i="30"/>
  <c r="D1586" i="30"/>
  <c r="D1587" i="30"/>
  <c r="D1588" i="30"/>
  <c r="D1589" i="30"/>
  <c r="D1590" i="30"/>
  <c r="D1591" i="30"/>
  <c r="D1592" i="30"/>
  <c r="D1593" i="30"/>
  <c r="D1594" i="30"/>
  <c r="D1595" i="30"/>
  <c r="D1596" i="30"/>
  <c r="D1597" i="30"/>
  <c r="D1598" i="30"/>
  <c r="D1599" i="30"/>
  <c r="D1600" i="30"/>
  <c r="D1601" i="30"/>
  <c r="D1602" i="30"/>
  <c r="D1603" i="30"/>
  <c r="D1604" i="30"/>
  <c r="D1605" i="30"/>
  <c r="D1606" i="30"/>
  <c r="D1607" i="30"/>
  <c r="D1608" i="30"/>
  <c r="D1609" i="30"/>
  <c r="D1610" i="30"/>
  <c r="D1611" i="30"/>
  <c r="D1612" i="30"/>
  <c r="D1613" i="30"/>
  <c r="D1614" i="30"/>
  <c r="D1615" i="30"/>
  <c r="D1616" i="30"/>
  <c r="D1617" i="30"/>
  <c r="D1618" i="30"/>
  <c r="D1619" i="30"/>
  <c r="D1620" i="30"/>
  <c r="D1621" i="30"/>
  <c r="D1622" i="30"/>
  <c r="D1623" i="30"/>
  <c r="D1624" i="30"/>
  <c r="D1625" i="30"/>
  <c r="D1626" i="30"/>
  <c r="D1627" i="30"/>
  <c r="D1628" i="30"/>
  <c r="D1629" i="30"/>
  <c r="D1630" i="30"/>
  <c r="D1631" i="30"/>
  <c r="D1632" i="30"/>
  <c r="D1633" i="30"/>
  <c r="D1634" i="30"/>
  <c r="D1635" i="30"/>
  <c r="D1636" i="30"/>
  <c r="D1637" i="30"/>
  <c r="D1638" i="30"/>
  <c r="D1639" i="30"/>
  <c r="D1640" i="30"/>
  <c r="D1641" i="30"/>
  <c r="D1642" i="30"/>
  <c r="D1643" i="30"/>
  <c r="D1644" i="30"/>
  <c r="D1645" i="30"/>
  <c r="D1646" i="30"/>
  <c r="D1647" i="30"/>
  <c r="D1648" i="30"/>
  <c r="D1649" i="30"/>
  <c r="D1650" i="30"/>
  <c r="D1651" i="30"/>
  <c r="D1652" i="30"/>
  <c r="D1653" i="30"/>
  <c r="D1654" i="30"/>
  <c r="D1655" i="30"/>
  <c r="D1656" i="30"/>
  <c r="D1657" i="30"/>
  <c r="D1658" i="30"/>
  <c r="D1659" i="30"/>
  <c r="D1660" i="30"/>
  <c r="D1661" i="30"/>
  <c r="D1662" i="30"/>
  <c r="D1663" i="30"/>
  <c r="D1664" i="30"/>
  <c r="D1665" i="30"/>
  <c r="D1666" i="30"/>
  <c r="D1667" i="30"/>
  <c r="D1668" i="30"/>
  <c r="D1669" i="30"/>
  <c r="D1670" i="30"/>
  <c r="D1671" i="30"/>
  <c r="D1672" i="30"/>
  <c r="D1673" i="30"/>
  <c r="D1674" i="30"/>
  <c r="D1675" i="30"/>
  <c r="D1676" i="30"/>
  <c r="D1677" i="30"/>
  <c r="D1678" i="30"/>
  <c r="D1679" i="30"/>
  <c r="D1680" i="30"/>
  <c r="D1681" i="30"/>
  <c r="D1682" i="30"/>
  <c r="D1683" i="30"/>
  <c r="D1684" i="30"/>
  <c r="D1685" i="30"/>
  <c r="D1686" i="30"/>
  <c r="D1687" i="30"/>
  <c r="D1688" i="30"/>
  <c r="D1689" i="30"/>
  <c r="D1690" i="30"/>
  <c r="D1691" i="30"/>
  <c r="D1692" i="30"/>
  <c r="D1693" i="30"/>
  <c r="D1694" i="30"/>
  <c r="D1695" i="30"/>
  <c r="D1696" i="30"/>
  <c r="D1697" i="30"/>
  <c r="D1698" i="30"/>
  <c r="D1699" i="30"/>
  <c r="D1700" i="30"/>
  <c r="D1701" i="30"/>
  <c r="D1702" i="30"/>
  <c r="D1703" i="30"/>
  <c r="D1704" i="30"/>
  <c r="D1705" i="30"/>
  <c r="D1706" i="30"/>
  <c r="D1707" i="30"/>
  <c r="D1708" i="30"/>
  <c r="D1709" i="30"/>
  <c r="D1710" i="30"/>
  <c r="D1711" i="30"/>
  <c r="D1712" i="30"/>
  <c r="D1713" i="30"/>
  <c r="D1714" i="30"/>
  <c r="D1715" i="30"/>
  <c r="D1716" i="30"/>
  <c r="D1717" i="30"/>
  <c r="D1718" i="30"/>
  <c r="D1719" i="30"/>
  <c r="D1720" i="30"/>
  <c r="D1721" i="30"/>
  <c r="D1722" i="30"/>
  <c r="D1723" i="30"/>
  <c r="D1724" i="30"/>
  <c r="D1725" i="30"/>
  <c r="D1726" i="30"/>
  <c r="D1727" i="30"/>
  <c r="D1728" i="30"/>
  <c r="D1729" i="30"/>
  <c r="D1730" i="30"/>
  <c r="D1731" i="30"/>
  <c r="D1732" i="30"/>
  <c r="D1733" i="30"/>
  <c r="D1734" i="30"/>
  <c r="D1735" i="30"/>
  <c r="D1736" i="30"/>
  <c r="D1737" i="30"/>
  <c r="D1738" i="30"/>
  <c r="D1739" i="30"/>
  <c r="D1740" i="30"/>
  <c r="D1741" i="30"/>
  <c r="D1742" i="30"/>
  <c r="D1743" i="30"/>
  <c r="D1744" i="30"/>
  <c r="D1745" i="30"/>
  <c r="D1746" i="30"/>
  <c r="D1747" i="30"/>
  <c r="D1748" i="30"/>
  <c r="D1749" i="30"/>
  <c r="D1750" i="30"/>
  <c r="D1751" i="30"/>
  <c r="D1752" i="30"/>
  <c r="D1753" i="30"/>
  <c r="D1754" i="30"/>
  <c r="D1755" i="30"/>
  <c r="D1756" i="30"/>
  <c r="D1757" i="30"/>
  <c r="D1758" i="30"/>
  <c r="D1759" i="30"/>
  <c r="D1760" i="30"/>
  <c r="D1761" i="30"/>
  <c r="D1762" i="30"/>
  <c r="D1763" i="30"/>
  <c r="D1764" i="30"/>
  <c r="D1765" i="30"/>
  <c r="D1766" i="30"/>
  <c r="D1767" i="30"/>
  <c r="D1768" i="30"/>
  <c r="D1769" i="30"/>
  <c r="D1770" i="30"/>
  <c r="D1771" i="30"/>
  <c r="D1772" i="30"/>
  <c r="D1773" i="30"/>
  <c r="D1774" i="30"/>
  <c r="D1775" i="30"/>
  <c r="D1776" i="30"/>
  <c r="D1777" i="30"/>
  <c r="D1778" i="30"/>
  <c r="D1779" i="30"/>
  <c r="D1780" i="30"/>
  <c r="D1781" i="30"/>
  <c r="D1782" i="30"/>
  <c r="D1783" i="30"/>
  <c r="D1784" i="30"/>
  <c r="D1785" i="30"/>
  <c r="D1786" i="30"/>
  <c r="D1787" i="30"/>
  <c r="D1788" i="30"/>
  <c r="D1789" i="30"/>
  <c r="D1790" i="30"/>
  <c r="D1791" i="30"/>
  <c r="D1792" i="30"/>
  <c r="D1793" i="30"/>
  <c r="D1794" i="30"/>
  <c r="D1795" i="30"/>
  <c r="D1796" i="30"/>
  <c r="D1797" i="30"/>
  <c r="D1798" i="30"/>
  <c r="D1799" i="30"/>
  <c r="D1800" i="30"/>
  <c r="D1801" i="30"/>
  <c r="D1802" i="30"/>
  <c r="D1803" i="30"/>
  <c r="D1804" i="30"/>
  <c r="D1805" i="30"/>
  <c r="D1806" i="30"/>
  <c r="D1807" i="30"/>
  <c r="D1808" i="30"/>
  <c r="D1809" i="30"/>
  <c r="D1810" i="30"/>
  <c r="D1811" i="30"/>
  <c r="D1812" i="30"/>
  <c r="D1813" i="30"/>
  <c r="D1814" i="30"/>
  <c r="D1815" i="30"/>
  <c r="D1816" i="30"/>
  <c r="D1817" i="30"/>
  <c r="D1818" i="30"/>
  <c r="D1819" i="30"/>
  <c r="D1820" i="30"/>
  <c r="D1821" i="30"/>
  <c r="D1822" i="30"/>
  <c r="D1823" i="30"/>
  <c r="D1824" i="30"/>
  <c r="D1825" i="30"/>
  <c r="D1826" i="30"/>
  <c r="D1827" i="30"/>
  <c r="D1828" i="30"/>
  <c r="D1829" i="30"/>
  <c r="D1830" i="30"/>
  <c r="D1831" i="30"/>
  <c r="D1832" i="30"/>
  <c r="D1833" i="30"/>
  <c r="D1834" i="30"/>
  <c r="D1835" i="30"/>
  <c r="D1836" i="30"/>
  <c r="D1837" i="30"/>
  <c r="D1838" i="30"/>
  <c r="D1839" i="30"/>
  <c r="D1840" i="30"/>
  <c r="D1841" i="30"/>
  <c r="D1842" i="30"/>
  <c r="D1843" i="30"/>
  <c r="D1844" i="30"/>
  <c r="D1845" i="30"/>
  <c r="D1846" i="30"/>
  <c r="D1847" i="30"/>
  <c r="D1848" i="30"/>
  <c r="D1849" i="30"/>
  <c r="D1850" i="30"/>
  <c r="D1851" i="30"/>
  <c r="D1852" i="30"/>
  <c r="D1853" i="30"/>
  <c r="D1854" i="30"/>
  <c r="D1855" i="30"/>
  <c r="D1856" i="30"/>
  <c r="D1857" i="30"/>
  <c r="D1858" i="30"/>
  <c r="D1859" i="30"/>
  <c r="D1860" i="30"/>
  <c r="D1861" i="30"/>
  <c r="D1862" i="30"/>
  <c r="D1863" i="30"/>
  <c r="D1864" i="30"/>
  <c r="D1865" i="30"/>
  <c r="D1866" i="30"/>
  <c r="D1867" i="30"/>
  <c r="D1868" i="30"/>
  <c r="D1869" i="30"/>
  <c r="D1870" i="30"/>
  <c r="D1871" i="30"/>
  <c r="D1872" i="30"/>
  <c r="D1873" i="30"/>
  <c r="D1874" i="30"/>
  <c r="D1875" i="30"/>
  <c r="D1876" i="30"/>
  <c r="D1877" i="30"/>
  <c r="D1878" i="30"/>
  <c r="D1879" i="30"/>
  <c r="D1880" i="30"/>
  <c r="D1881" i="30"/>
  <c r="D1882" i="30"/>
  <c r="D1883" i="30"/>
  <c r="D1884" i="30"/>
  <c r="D1885" i="30"/>
  <c r="D1886" i="30"/>
  <c r="D1887" i="30"/>
  <c r="D1888" i="30"/>
  <c r="D1889" i="30"/>
  <c r="D1890" i="30"/>
  <c r="D1891" i="30"/>
  <c r="D1892" i="30"/>
  <c r="D1893" i="30"/>
  <c r="D1894" i="30"/>
  <c r="D1895" i="30"/>
  <c r="D1896" i="30"/>
  <c r="D1897" i="30"/>
  <c r="D1898" i="30"/>
  <c r="D1899" i="30"/>
  <c r="D1900" i="30"/>
  <c r="D1901" i="30"/>
  <c r="D1902" i="30"/>
  <c r="D1903" i="30"/>
  <c r="D1904" i="30"/>
  <c r="D1905" i="30"/>
  <c r="D1906" i="30"/>
  <c r="D1907" i="30"/>
  <c r="D1908" i="30"/>
  <c r="D1909" i="30"/>
  <c r="D1910" i="30"/>
  <c r="D1911" i="30"/>
  <c r="D1912" i="30"/>
  <c r="D1913" i="30"/>
  <c r="D1914" i="30"/>
  <c r="D1915" i="30"/>
  <c r="D1916" i="30"/>
  <c r="D1917" i="30"/>
  <c r="D1918" i="30"/>
  <c r="D1919" i="30"/>
  <c r="D1920" i="30"/>
  <c r="D1921" i="30"/>
  <c r="D1922" i="30"/>
  <c r="D1923" i="30"/>
  <c r="D1924" i="30"/>
  <c r="D1925" i="30"/>
  <c r="D1926" i="30"/>
  <c r="D1927" i="30"/>
  <c r="D1928" i="30"/>
  <c r="D1929" i="30"/>
  <c r="D1930" i="30"/>
  <c r="D1931" i="30"/>
  <c r="D1932" i="30"/>
  <c r="D1933" i="30"/>
  <c r="D1934" i="30"/>
  <c r="D1935" i="30"/>
  <c r="D1936" i="30"/>
  <c r="D1937" i="30"/>
  <c r="D1938" i="30"/>
  <c r="D1939" i="30"/>
  <c r="D1940" i="30"/>
  <c r="D1941" i="30"/>
  <c r="D1942" i="30"/>
  <c r="D1943" i="30"/>
  <c r="D1944" i="30"/>
  <c r="D1945" i="30"/>
  <c r="D1946" i="30"/>
  <c r="D1947" i="30"/>
  <c r="D1948" i="30"/>
  <c r="D1949" i="30"/>
  <c r="D1950" i="30"/>
  <c r="D1951" i="30"/>
  <c r="D1952" i="30"/>
  <c r="D1953" i="30"/>
  <c r="D1954" i="30"/>
  <c r="D1955" i="30"/>
  <c r="D1956" i="30"/>
  <c r="D1957" i="30"/>
  <c r="D1958" i="30"/>
  <c r="D1959" i="30"/>
  <c r="D1960" i="30"/>
  <c r="D1961" i="30"/>
  <c r="D1962" i="30"/>
  <c r="D1963" i="30"/>
  <c r="D1964" i="30"/>
  <c r="D1965" i="30"/>
  <c r="D1966" i="30"/>
  <c r="D1967" i="30"/>
  <c r="D1968" i="30"/>
  <c r="D1969" i="30"/>
  <c r="D1970" i="30"/>
  <c r="D1971" i="30"/>
  <c r="D1972" i="30"/>
  <c r="D1973" i="30"/>
  <c r="D1974" i="30"/>
  <c r="D1975" i="30"/>
  <c r="D1976" i="30"/>
  <c r="D1977" i="30"/>
  <c r="D1978" i="30"/>
  <c r="D1979" i="30"/>
  <c r="D1980" i="30"/>
  <c r="D1981" i="30"/>
  <c r="D1982" i="30"/>
  <c r="D1983" i="30"/>
  <c r="D1984" i="30"/>
  <c r="D1985" i="30"/>
  <c r="D1986" i="30"/>
  <c r="D1987" i="30"/>
  <c r="D1988" i="30"/>
  <c r="D1989" i="30"/>
  <c r="D1990" i="30"/>
  <c r="D1991" i="30"/>
  <c r="D1992" i="30"/>
  <c r="D1993" i="30"/>
  <c r="D1994" i="30"/>
  <c r="D1995" i="30"/>
  <c r="D1996" i="30"/>
  <c r="D1997" i="30"/>
  <c r="D1998" i="30"/>
  <c r="D1999" i="30"/>
  <c r="D2000" i="30"/>
  <c r="D2001" i="30"/>
  <c r="D2002" i="30"/>
  <c r="D2003" i="30"/>
  <c r="D2004" i="30"/>
  <c r="D2005" i="30"/>
  <c r="D2006" i="30"/>
  <c r="D2007" i="30"/>
  <c r="D2008" i="30"/>
  <c r="D2009" i="30"/>
  <c r="D2010" i="30"/>
  <c r="D2011" i="30"/>
  <c r="D2012" i="30"/>
  <c r="D2013" i="30"/>
  <c r="D2014" i="30"/>
  <c r="D2015" i="30"/>
  <c r="D2016" i="30"/>
  <c r="D2017" i="30"/>
  <c r="D2018" i="30"/>
  <c r="D2019" i="30"/>
  <c r="D2020" i="30"/>
  <c r="D2021" i="30"/>
  <c r="D2022" i="30"/>
  <c r="D2023" i="30"/>
  <c r="D2024" i="30"/>
  <c r="D2025" i="30"/>
  <c r="D2026" i="30"/>
  <c r="D2027" i="30"/>
  <c r="D2028" i="30"/>
  <c r="D2029" i="30"/>
  <c r="D2030" i="30"/>
  <c r="D2031" i="30"/>
  <c r="D2032" i="30"/>
  <c r="D2033" i="30"/>
  <c r="D2034" i="30"/>
  <c r="D2035" i="30"/>
  <c r="D2036" i="30"/>
  <c r="D2037" i="30"/>
  <c r="D2038" i="30"/>
  <c r="D2039" i="30"/>
  <c r="D2040" i="30"/>
  <c r="D2041" i="30"/>
  <c r="D2042" i="30"/>
  <c r="D2043" i="30"/>
  <c r="D2044" i="30"/>
  <c r="D2045" i="30"/>
  <c r="D2046" i="30"/>
  <c r="D2047" i="30"/>
  <c r="D2048" i="30"/>
  <c r="D2049" i="30"/>
  <c r="D2050" i="30"/>
  <c r="D2051" i="30"/>
  <c r="D2052" i="30"/>
  <c r="D2053" i="30"/>
  <c r="D2054" i="30"/>
  <c r="D2055" i="30"/>
  <c r="D2056" i="30"/>
  <c r="D2057" i="30"/>
  <c r="D2058" i="30"/>
  <c r="D2059" i="30"/>
  <c r="D2060" i="30"/>
  <c r="D2061" i="30"/>
  <c r="D2062" i="30"/>
  <c r="D2063" i="30"/>
  <c r="D2064" i="30"/>
  <c r="D2065" i="30"/>
  <c r="D2066" i="30"/>
  <c r="D2067" i="30"/>
  <c r="D2068" i="30"/>
  <c r="D2069" i="30"/>
  <c r="D2070" i="30"/>
  <c r="D2071" i="30"/>
  <c r="D2072" i="30"/>
  <c r="D2073" i="30"/>
  <c r="D2074" i="30"/>
  <c r="D2075" i="30"/>
  <c r="D2076" i="30"/>
  <c r="D2077" i="30"/>
  <c r="D2078" i="30"/>
  <c r="D2079" i="30"/>
  <c r="D2080" i="30"/>
  <c r="D2081" i="30"/>
  <c r="D2082" i="30"/>
  <c r="D2083" i="30"/>
  <c r="D2084" i="30"/>
  <c r="D2085" i="30"/>
  <c r="D2086" i="30"/>
  <c r="D2087" i="30"/>
  <c r="D2088" i="30"/>
  <c r="D2089" i="30"/>
  <c r="D2090" i="30"/>
  <c r="D2091" i="30"/>
  <c r="D2092" i="30"/>
  <c r="D2093" i="30"/>
  <c r="D2094" i="30"/>
  <c r="D2095" i="30"/>
  <c r="D2096" i="30"/>
  <c r="D2097" i="30"/>
  <c r="D2098" i="30"/>
  <c r="D2099" i="30"/>
  <c r="D2100" i="30"/>
  <c r="D2101" i="30"/>
  <c r="D2102" i="30"/>
  <c r="D2103" i="30"/>
  <c r="D2104" i="30"/>
  <c r="D2105" i="30"/>
  <c r="D2106" i="30"/>
  <c r="D2107" i="30"/>
  <c r="D2108" i="30"/>
  <c r="D2109" i="30"/>
  <c r="D2110" i="30"/>
  <c r="D2111" i="30"/>
  <c r="D2112" i="30"/>
  <c r="D2113" i="30"/>
  <c r="D2114" i="30"/>
  <c r="D2115" i="30"/>
  <c r="D2116" i="30"/>
  <c r="D2117" i="30"/>
  <c r="D2118" i="30"/>
  <c r="D2119" i="30"/>
  <c r="D2120" i="30"/>
  <c r="D2121" i="30"/>
  <c r="D2122" i="30"/>
  <c r="D2123" i="30"/>
  <c r="D2124" i="30"/>
  <c r="D2125" i="30"/>
  <c r="D2126" i="30"/>
  <c r="D2127" i="30"/>
  <c r="D2128" i="30"/>
  <c r="D2129" i="30"/>
  <c r="D2130" i="30"/>
  <c r="D2131" i="30"/>
  <c r="D2132" i="30"/>
  <c r="D2133" i="30"/>
  <c r="D2134" i="30"/>
  <c r="D2135" i="30"/>
  <c r="D2136" i="30"/>
  <c r="D2137" i="30"/>
  <c r="D2138" i="30"/>
  <c r="D2139" i="30"/>
  <c r="D2140" i="30"/>
  <c r="D2141" i="30"/>
  <c r="D2142" i="30"/>
  <c r="D2143" i="30"/>
  <c r="D2144" i="30"/>
  <c r="D2145" i="30"/>
  <c r="D2146" i="30"/>
  <c r="D2147" i="30"/>
  <c r="D2148" i="30"/>
  <c r="D2149" i="30"/>
  <c r="D2150" i="30"/>
  <c r="D2151" i="30"/>
  <c r="D2152" i="30"/>
  <c r="D2153" i="30"/>
  <c r="D2154" i="30"/>
  <c r="D2155" i="30"/>
  <c r="D2156" i="30"/>
  <c r="D2157" i="30"/>
  <c r="D2158" i="30"/>
  <c r="D2159" i="30"/>
  <c r="D2160" i="30"/>
  <c r="D2161" i="30"/>
  <c r="D2162" i="30"/>
  <c r="D2163" i="30"/>
  <c r="D2164" i="30"/>
  <c r="D2165" i="30"/>
  <c r="D2166" i="30"/>
  <c r="D2167" i="30"/>
  <c r="D2168" i="30"/>
  <c r="D2169" i="30"/>
  <c r="D2170" i="30"/>
  <c r="D2171" i="30"/>
  <c r="D2172" i="30"/>
  <c r="D2173" i="30"/>
  <c r="D2174" i="30"/>
  <c r="D2175" i="30"/>
  <c r="D2176" i="30"/>
  <c r="D2177" i="30"/>
  <c r="D2178" i="30"/>
  <c r="D2179" i="30"/>
  <c r="D2180" i="30"/>
  <c r="D2181" i="30"/>
  <c r="D2182" i="30"/>
  <c r="D2183" i="30"/>
  <c r="D2184" i="30"/>
  <c r="D2185" i="30"/>
  <c r="D2186" i="30"/>
  <c r="D2187" i="30"/>
  <c r="D2188" i="30"/>
  <c r="D2189" i="30"/>
  <c r="D2190" i="30"/>
  <c r="D2191" i="30"/>
  <c r="D2192" i="30"/>
  <c r="D2193" i="30"/>
  <c r="D2194" i="30"/>
  <c r="D2195" i="30"/>
  <c r="D2196" i="30"/>
  <c r="D2197" i="30"/>
  <c r="D2198" i="30"/>
  <c r="D2199" i="30"/>
  <c r="D2200" i="30"/>
  <c r="D2201" i="30"/>
  <c r="D2202" i="30"/>
  <c r="D2203" i="30"/>
  <c r="D2204" i="30"/>
  <c r="D2205" i="30"/>
  <c r="D2206" i="30"/>
  <c r="D2207" i="30"/>
  <c r="D2208" i="30"/>
  <c r="D2209" i="30"/>
  <c r="D2210" i="30"/>
  <c r="D2211" i="30"/>
  <c r="D2212" i="30"/>
  <c r="D2213" i="30"/>
  <c r="D2214" i="30"/>
  <c r="D2215" i="30"/>
  <c r="D2216" i="30"/>
  <c r="D2217" i="30"/>
  <c r="D2218" i="30"/>
  <c r="D2219" i="30"/>
  <c r="D2220" i="30"/>
  <c r="D2221" i="30"/>
  <c r="D2222" i="30"/>
  <c r="D2223" i="30"/>
  <c r="D2224" i="30"/>
  <c r="D2225" i="30"/>
  <c r="D2226" i="30"/>
  <c r="D2227" i="30"/>
  <c r="D2228" i="30"/>
  <c r="D2229" i="30"/>
  <c r="D2230" i="30"/>
  <c r="D2231" i="30"/>
  <c r="D2232" i="30"/>
  <c r="D2233" i="30"/>
  <c r="D2234" i="30"/>
  <c r="D2235" i="30"/>
  <c r="D2236" i="30"/>
  <c r="D2237" i="30"/>
  <c r="D2238" i="30"/>
  <c r="D2239" i="30"/>
  <c r="D2240" i="30"/>
  <c r="D2241" i="30"/>
  <c r="D2242" i="30"/>
  <c r="D2243" i="30"/>
  <c r="D2244" i="30"/>
  <c r="D2245" i="30"/>
  <c r="D2246" i="30"/>
  <c r="D2247" i="30"/>
  <c r="D2248" i="30"/>
  <c r="D2249" i="30"/>
  <c r="D2250" i="30"/>
  <c r="D2251" i="30"/>
  <c r="D2252" i="30"/>
  <c r="D2253" i="30"/>
  <c r="D2254" i="30"/>
  <c r="D2255" i="30"/>
  <c r="D2256" i="30"/>
  <c r="D2257" i="30"/>
  <c r="D2258" i="30"/>
  <c r="D2259" i="30"/>
  <c r="D2260" i="30"/>
  <c r="D2261" i="30"/>
  <c r="D2262" i="30"/>
  <c r="D2263" i="30"/>
  <c r="D2264" i="30"/>
  <c r="D2265" i="30"/>
  <c r="D2266" i="30"/>
  <c r="D2267" i="30"/>
  <c r="D2268" i="30"/>
  <c r="D2269" i="30"/>
  <c r="D2270" i="30"/>
  <c r="D2271" i="30"/>
  <c r="D2272" i="30"/>
  <c r="D2273" i="30"/>
  <c r="D2274" i="30"/>
  <c r="D2275" i="30"/>
  <c r="D2276" i="30"/>
  <c r="D2277" i="30"/>
  <c r="D2278" i="30"/>
  <c r="D2279" i="30"/>
  <c r="D2280" i="30"/>
  <c r="D2281" i="30"/>
  <c r="D2282" i="30"/>
  <c r="D2283" i="30"/>
  <c r="D2284" i="30"/>
  <c r="D2285" i="30"/>
  <c r="D2286" i="30"/>
  <c r="D2287" i="30"/>
  <c r="D2288" i="30"/>
  <c r="D2289" i="30"/>
  <c r="D2290" i="30"/>
  <c r="D2291" i="30"/>
  <c r="D2292" i="30"/>
  <c r="D2293" i="30"/>
  <c r="D2294" i="30"/>
  <c r="D2295" i="30"/>
  <c r="D2296" i="30"/>
  <c r="D2297" i="30"/>
  <c r="D2298" i="30"/>
  <c r="D2299" i="30"/>
  <c r="D2300" i="30"/>
  <c r="D2301" i="30"/>
  <c r="D2302" i="30"/>
  <c r="D2303" i="30"/>
  <c r="D2304" i="30"/>
  <c r="D2305" i="30"/>
  <c r="D2306" i="30"/>
  <c r="D2307" i="30"/>
  <c r="D2308" i="30"/>
  <c r="D2309" i="30"/>
  <c r="D2310" i="30"/>
  <c r="D2311" i="30"/>
  <c r="D2312" i="30"/>
  <c r="D2313" i="30"/>
  <c r="D2314" i="30"/>
  <c r="D2315" i="30"/>
  <c r="D2316" i="30"/>
  <c r="D2317" i="30"/>
  <c r="D2318" i="30"/>
  <c r="D2319" i="30"/>
  <c r="D2320" i="30"/>
  <c r="D2321" i="30"/>
  <c r="D2322" i="30"/>
  <c r="D2323" i="30"/>
  <c r="D2324" i="30"/>
  <c r="D2325" i="30"/>
  <c r="D2326" i="30"/>
  <c r="D2327" i="30"/>
  <c r="D2328" i="30"/>
  <c r="D2329" i="30"/>
  <c r="D2330" i="30"/>
  <c r="D2331" i="30"/>
  <c r="D2332" i="30"/>
  <c r="D2333" i="30"/>
  <c r="D2334" i="30"/>
  <c r="D2335" i="30"/>
  <c r="D2336" i="30"/>
  <c r="D2337" i="30"/>
  <c r="D2338" i="30"/>
  <c r="D2339" i="30"/>
  <c r="D2340" i="30"/>
  <c r="D2341" i="30"/>
  <c r="D2342" i="30"/>
  <c r="D2343" i="30"/>
  <c r="D2344" i="30"/>
  <c r="D2345" i="30"/>
  <c r="D2346" i="30"/>
  <c r="D2347" i="30"/>
  <c r="D2348" i="30"/>
  <c r="D2349" i="30"/>
  <c r="D2350" i="30"/>
  <c r="D2351" i="30"/>
  <c r="D2352" i="30"/>
  <c r="D2353" i="30"/>
  <c r="D2354" i="30"/>
  <c r="D2355" i="30"/>
  <c r="D2356" i="30"/>
  <c r="D2357" i="30"/>
  <c r="D2358" i="30"/>
  <c r="D2359" i="30"/>
  <c r="D2360" i="30"/>
  <c r="D2361" i="30"/>
  <c r="D2362" i="30"/>
  <c r="D2363" i="30"/>
  <c r="D2364" i="30"/>
  <c r="D2365" i="30"/>
  <c r="D2366" i="30"/>
  <c r="D2367" i="30"/>
  <c r="D2368" i="30"/>
  <c r="D2369" i="30"/>
  <c r="D2370" i="30"/>
  <c r="D2371" i="30"/>
  <c r="D2372" i="30"/>
  <c r="D2373" i="30"/>
  <c r="D2374" i="30"/>
  <c r="D2375" i="30"/>
  <c r="D2376" i="30"/>
  <c r="D2377" i="30"/>
  <c r="D2378" i="30"/>
  <c r="D2379" i="30"/>
  <c r="D2380" i="30"/>
  <c r="D2381" i="30"/>
  <c r="D2382" i="30"/>
  <c r="D2383" i="30"/>
  <c r="D2384" i="30"/>
  <c r="D2385" i="30"/>
  <c r="D2386" i="30"/>
  <c r="D2387" i="30"/>
  <c r="D2388" i="30"/>
  <c r="D2389" i="30"/>
  <c r="D2390" i="30"/>
  <c r="D2391" i="30"/>
  <c r="D2392" i="30"/>
  <c r="D2393" i="30"/>
  <c r="D2394" i="30"/>
  <c r="D2395" i="30"/>
  <c r="D2396" i="30"/>
  <c r="D2397" i="30"/>
  <c r="D2398" i="30"/>
  <c r="D2399" i="30"/>
  <c r="D2400" i="30"/>
  <c r="D2401" i="30"/>
  <c r="D2402" i="30"/>
  <c r="D2403" i="30"/>
  <c r="D2404" i="30"/>
  <c r="D2405" i="30"/>
  <c r="D2406" i="30"/>
  <c r="D2407" i="30"/>
  <c r="D2408" i="30"/>
  <c r="D2409" i="30"/>
  <c r="D2410" i="30"/>
  <c r="D2411" i="30"/>
  <c r="D2412" i="30"/>
  <c r="D2413" i="30"/>
  <c r="D2414" i="30"/>
  <c r="D2415" i="30"/>
  <c r="D2416" i="30"/>
  <c r="D2417" i="30"/>
  <c r="D2418" i="30"/>
  <c r="D2419" i="30"/>
  <c r="D2420" i="30"/>
  <c r="D2421" i="30"/>
  <c r="D2422" i="30"/>
  <c r="D2423" i="30"/>
  <c r="D2424" i="30"/>
  <c r="D2425" i="30"/>
  <c r="D2426" i="30"/>
  <c r="D2427" i="30"/>
  <c r="D2428" i="30"/>
  <c r="D2429" i="30"/>
  <c r="D2430" i="30"/>
  <c r="D2431" i="30"/>
  <c r="D2432" i="30"/>
  <c r="D2433" i="30"/>
  <c r="D2434" i="30"/>
  <c r="D2435" i="30"/>
  <c r="D2436" i="30"/>
  <c r="D2437" i="30"/>
  <c r="D2438" i="30"/>
  <c r="D2439" i="30"/>
  <c r="D2440" i="30"/>
  <c r="D2441" i="30"/>
  <c r="D2442" i="30"/>
  <c r="D2443" i="30"/>
  <c r="D2444" i="30"/>
  <c r="D2445" i="30"/>
  <c r="D2446" i="30"/>
  <c r="D2447" i="30"/>
  <c r="D2448" i="30"/>
  <c r="D2449" i="30"/>
  <c r="D2450" i="30"/>
  <c r="D2451" i="30"/>
  <c r="D2452" i="30"/>
  <c r="D2453" i="30"/>
  <c r="D2454" i="30"/>
  <c r="D2455" i="30"/>
  <c r="D2456" i="30"/>
  <c r="D2457" i="30"/>
  <c r="D2458" i="30"/>
  <c r="D2459" i="30"/>
  <c r="D2460" i="30"/>
  <c r="D2461" i="30"/>
  <c r="D2462" i="30"/>
  <c r="D2463" i="30"/>
  <c r="D2464" i="30"/>
  <c r="D2465" i="30"/>
  <c r="D2466" i="30"/>
  <c r="D2467" i="30"/>
  <c r="D2468" i="30"/>
  <c r="D2469" i="30"/>
  <c r="D2470" i="30"/>
  <c r="D2471" i="30"/>
  <c r="D2472" i="30"/>
  <c r="D2473" i="30"/>
  <c r="D2474" i="30"/>
  <c r="D2475" i="30"/>
  <c r="D2476" i="30"/>
  <c r="D2477" i="30"/>
  <c r="D2478" i="30"/>
  <c r="D2479" i="30"/>
  <c r="D2480" i="30"/>
  <c r="D2481" i="30"/>
  <c r="D2482" i="30"/>
  <c r="D2483" i="30"/>
  <c r="D2484" i="30"/>
  <c r="D2485" i="30"/>
  <c r="D2486" i="30"/>
  <c r="D2487" i="30"/>
  <c r="D2488" i="30"/>
  <c r="D2489" i="30"/>
  <c r="D2490" i="30"/>
  <c r="D2491" i="30"/>
  <c r="D2492" i="30"/>
  <c r="D2493" i="30"/>
  <c r="D2494" i="30"/>
  <c r="D2495" i="30"/>
  <c r="D2496" i="30"/>
  <c r="D2497" i="30"/>
  <c r="D2498" i="30"/>
  <c r="D2499" i="30"/>
  <c r="D2500" i="30"/>
  <c r="D2501" i="30"/>
  <c r="D2502" i="30"/>
  <c r="D2503" i="30"/>
  <c r="D2504" i="30"/>
  <c r="D2505" i="30"/>
  <c r="D2506" i="30"/>
  <c r="D2507" i="30"/>
  <c r="D2508" i="30"/>
  <c r="D2509" i="30"/>
  <c r="D2510" i="30"/>
  <c r="D2511" i="30"/>
  <c r="D2512" i="30"/>
  <c r="D2513" i="30"/>
  <c r="D2514" i="30"/>
  <c r="D2515" i="30"/>
  <c r="D2516" i="30"/>
  <c r="D2517" i="30"/>
  <c r="D2518" i="30"/>
  <c r="D2519" i="30"/>
  <c r="D2520" i="30"/>
  <c r="D2521" i="30"/>
  <c r="D2522" i="30"/>
  <c r="D2523" i="30"/>
  <c r="D2524" i="30"/>
  <c r="D2525" i="30"/>
  <c r="D2526" i="30"/>
  <c r="D2527" i="30"/>
  <c r="D2528" i="30"/>
  <c r="D2529" i="30"/>
  <c r="D2530" i="30"/>
  <c r="D2531" i="30"/>
  <c r="D2532" i="30"/>
  <c r="D2533" i="30"/>
  <c r="D2534" i="30"/>
  <c r="D2535" i="30"/>
  <c r="D2536" i="30"/>
  <c r="D2537" i="30"/>
  <c r="D2538" i="30"/>
  <c r="D2539" i="30"/>
  <c r="D2540" i="30"/>
  <c r="D2541" i="30"/>
  <c r="D2542" i="30"/>
  <c r="D2543" i="30"/>
  <c r="D2544" i="30"/>
  <c r="D2545" i="30"/>
  <c r="D2546" i="30"/>
  <c r="D2547" i="30"/>
  <c r="D2548" i="30"/>
  <c r="D2549" i="30"/>
  <c r="D2550" i="30"/>
  <c r="D2551" i="30"/>
  <c r="D2552" i="30"/>
  <c r="D2553" i="30"/>
  <c r="D2554" i="30"/>
  <c r="D2555" i="30"/>
  <c r="D2556" i="30"/>
  <c r="D2557" i="30"/>
  <c r="D2558" i="30"/>
  <c r="D2559" i="30"/>
  <c r="D2560" i="30"/>
  <c r="D2561" i="30"/>
  <c r="D2562" i="30"/>
  <c r="D2563" i="30"/>
  <c r="D2564" i="30"/>
  <c r="D2565" i="30"/>
  <c r="D2566" i="30"/>
  <c r="D2567" i="30"/>
  <c r="D2568" i="30"/>
  <c r="D2569" i="30"/>
  <c r="D2570" i="30"/>
  <c r="D2571" i="30"/>
  <c r="D2572" i="30"/>
  <c r="D2573" i="30"/>
  <c r="D2574" i="30"/>
  <c r="D2575" i="30"/>
  <c r="D2576" i="30"/>
  <c r="D2577" i="30"/>
  <c r="D2578" i="30"/>
  <c r="D2579" i="30"/>
  <c r="D2580" i="30"/>
  <c r="D2581" i="30"/>
  <c r="D2582" i="30"/>
  <c r="D2583" i="30"/>
  <c r="D2584" i="30"/>
  <c r="D2585" i="30"/>
  <c r="D2586" i="30"/>
  <c r="D2587" i="30"/>
  <c r="D2588" i="30"/>
  <c r="D2589" i="30"/>
  <c r="D2590" i="30"/>
  <c r="D2591" i="30"/>
  <c r="D2592" i="30"/>
  <c r="D2593" i="30"/>
  <c r="D2594" i="30"/>
  <c r="D2595" i="30"/>
  <c r="D2596" i="30"/>
  <c r="D2597" i="30"/>
  <c r="D2598" i="30"/>
  <c r="D2599" i="30"/>
  <c r="D2600" i="30"/>
  <c r="D2601" i="30"/>
  <c r="D2602" i="30"/>
  <c r="D2603" i="30"/>
  <c r="D2604" i="30"/>
  <c r="D2605" i="30"/>
  <c r="D2606" i="30"/>
  <c r="D2607" i="30"/>
  <c r="D2608" i="30"/>
  <c r="D2609" i="30"/>
  <c r="D2610" i="30"/>
  <c r="D2611" i="30"/>
  <c r="D2612" i="30"/>
  <c r="D2613" i="30"/>
  <c r="D2614" i="30"/>
  <c r="D2615" i="30"/>
  <c r="D2616" i="30"/>
  <c r="D2617" i="30"/>
  <c r="D2618" i="30"/>
  <c r="D2619" i="30"/>
  <c r="D2620" i="30"/>
  <c r="D2621" i="30"/>
  <c r="D2622" i="30"/>
  <c r="D2623" i="30"/>
  <c r="D2624" i="30"/>
  <c r="D2625" i="30"/>
  <c r="D2626" i="30"/>
  <c r="D2627" i="30"/>
  <c r="D2628" i="30"/>
  <c r="D2629" i="30"/>
  <c r="D2630" i="30"/>
  <c r="D2631" i="30"/>
  <c r="D2632" i="30"/>
  <c r="D2633" i="30"/>
  <c r="D2634" i="30"/>
  <c r="D2635" i="30"/>
  <c r="D2636" i="30"/>
  <c r="D2637" i="30"/>
  <c r="D2638" i="30"/>
  <c r="D2639" i="30"/>
  <c r="D2640" i="30"/>
  <c r="D2641" i="30"/>
  <c r="D2642" i="30"/>
  <c r="D2643" i="30"/>
  <c r="D2644" i="30"/>
  <c r="D2645" i="30"/>
  <c r="D2646" i="30"/>
  <c r="D2647" i="30"/>
  <c r="D2648" i="30"/>
  <c r="D2649" i="30"/>
  <c r="D2650" i="30"/>
  <c r="D2651" i="30"/>
  <c r="D2652" i="30"/>
  <c r="D2653" i="30"/>
  <c r="D2654" i="30"/>
  <c r="D2655" i="30"/>
  <c r="D2656" i="30"/>
  <c r="D2657" i="30"/>
  <c r="D2658" i="30"/>
  <c r="D2659" i="30"/>
  <c r="D2660" i="30"/>
  <c r="D2661" i="30"/>
  <c r="D2662" i="30"/>
  <c r="D2663" i="30"/>
  <c r="D2664" i="30"/>
  <c r="D2665" i="30"/>
  <c r="D2666" i="30"/>
  <c r="D2667" i="30"/>
  <c r="D2668" i="30"/>
  <c r="D2669" i="30"/>
  <c r="D2670" i="30"/>
  <c r="D2671" i="30"/>
  <c r="D2672" i="30"/>
  <c r="D2673" i="30"/>
  <c r="D2674" i="30"/>
  <c r="D2675" i="30"/>
  <c r="D2676" i="30"/>
  <c r="D2677" i="30"/>
  <c r="D2678" i="30"/>
  <c r="D2679" i="30"/>
  <c r="D2680" i="30"/>
  <c r="D2681" i="30"/>
  <c r="D2682" i="30"/>
  <c r="D2683" i="30"/>
  <c r="D2684" i="30"/>
  <c r="D2685" i="30"/>
  <c r="D2686" i="30"/>
  <c r="D2687" i="30"/>
  <c r="D2688" i="30"/>
  <c r="D2689" i="30"/>
  <c r="D2690" i="30"/>
  <c r="D2691" i="30"/>
  <c r="D2692" i="30"/>
  <c r="D2693" i="30"/>
  <c r="D2694" i="30"/>
  <c r="D2695" i="30"/>
  <c r="D2696" i="30"/>
  <c r="D2697" i="30"/>
  <c r="D2698" i="30"/>
  <c r="D2699" i="30"/>
  <c r="D2700" i="30"/>
  <c r="D2701" i="30"/>
  <c r="D2702" i="30"/>
  <c r="D2703" i="30"/>
  <c r="D2704" i="30"/>
  <c r="D2705" i="30"/>
  <c r="D2706" i="30"/>
  <c r="D2707" i="30"/>
  <c r="D2708" i="30"/>
  <c r="D2709" i="30"/>
  <c r="D2710" i="30"/>
  <c r="D2711" i="30"/>
  <c r="D2712" i="30"/>
  <c r="D2713" i="30"/>
  <c r="D2714" i="30"/>
  <c r="D2715" i="30"/>
  <c r="D2716" i="30"/>
  <c r="D2717" i="30"/>
  <c r="D2718" i="30"/>
  <c r="D2719" i="30"/>
  <c r="D2720" i="30"/>
  <c r="D2721" i="30"/>
  <c r="D2722" i="30"/>
  <c r="D2723" i="30"/>
  <c r="D2724" i="30"/>
  <c r="D2725" i="30"/>
  <c r="D2726" i="30"/>
  <c r="D2727" i="30"/>
  <c r="D2728" i="30"/>
  <c r="D2729" i="30"/>
  <c r="D2730" i="30"/>
  <c r="D2731" i="30"/>
  <c r="D2732" i="30"/>
  <c r="D2733" i="30"/>
  <c r="D2734" i="30"/>
  <c r="D2735" i="30"/>
  <c r="D2736" i="30"/>
  <c r="D2737" i="30"/>
  <c r="D2738" i="30"/>
  <c r="D2739" i="30"/>
  <c r="D2740" i="30"/>
  <c r="D2741" i="30"/>
  <c r="D2742" i="30"/>
  <c r="D2743" i="30"/>
  <c r="D2744" i="30"/>
  <c r="D2745" i="30"/>
  <c r="D2746" i="30"/>
  <c r="D2747" i="30"/>
  <c r="D2748" i="30"/>
  <c r="D2749" i="30"/>
  <c r="D2750" i="30"/>
  <c r="D2751" i="30"/>
  <c r="D2752" i="30"/>
  <c r="D2753" i="30"/>
  <c r="D2754" i="30"/>
  <c r="D2755" i="30"/>
  <c r="D2756" i="30"/>
  <c r="D2757" i="30"/>
  <c r="D2758" i="30"/>
  <c r="D2759" i="30"/>
  <c r="D2760" i="30"/>
  <c r="D2761" i="30"/>
  <c r="D2762" i="30"/>
  <c r="D2763" i="30"/>
  <c r="D2764" i="30"/>
  <c r="D2765" i="30"/>
  <c r="D2766" i="30"/>
  <c r="D2767" i="30"/>
  <c r="D2768" i="30"/>
  <c r="D2769" i="30"/>
  <c r="D2770" i="30"/>
  <c r="D2771" i="30"/>
  <c r="D2772" i="30"/>
  <c r="D2773" i="30"/>
  <c r="D2774" i="30"/>
  <c r="D2775" i="30"/>
  <c r="D2776" i="30"/>
  <c r="D2777" i="30"/>
  <c r="D2778" i="30"/>
  <c r="D2779" i="30"/>
  <c r="D2780" i="30"/>
  <c r="D2781" i="30"/>
  <c r="D2782" i="30"/>
  <c r="D2783" i="30"/>
  <c r="D2784" i="30"/>
  <c r="D2785" i="30"/>
  <c r="D2786" i="30"/>
  <c r="D2787" i="30"/>
  <c r="D2788" i="30"/>
  <c r="D2789" i="30"/>
  <c r="D2790" i="30"/>
  <c r="D2791" i="30"/>
  <c r="D2792" i="30"/>
  <c r="D2793" i="30"/>
  <c r="D2794" i="30"/>
  <c r="D2795" i="30"/>
  <c r="D2796" i="30"/>
  <c r="D2797" i="30"/>
  <c r="D2798" i="30"/>
  <c r="D2799" i="30"/>
  <c r="D2800" i="30"/>
  <c r="D2801" i="30"/>
  <c r="D2802" i="30"/>
  <c r="D2803" i="30"/>
  <c r="D2804" i="30"/>
  <c r="D2805" i="30"/>
  <c r="D2806" i="30"/>
  <c r="D2807" i="30"/>
  <c r="D2808" i="30"/>
  <c r="D2809" i="30"/>
  <c r="D2810" i="30"/>
  <c r="D2811" i="30"/>
  <c r="D2812" i="30"/>
  <c r="D2813" i="30"/>
  <c r="D2814" i="30"/>
  <c r="D2815" i="30"/>
  <c r="D2816" i="30"/>
  <c r="D2817" i="30"/>
  <c r="D2818" i="30"/>
  <c r="D2819" i="30"/>
  <c r="D2820" i="30"/>
  <c r="D2821" i="30"/>
  <c r="D2822" i="30"/>
  <c r="D2823" i="30"/>
  <c r="D2824" i="30"/>
  <c r="D2825" i="30"/>
  <c r="D2826" i="30"/>
  <c r="D2827" i="30"/>
  <c r="D2828" i="30"/>
  <c r="D2829" i="30"/>
  <c r="D2830" i="30"/>
  <c r="D2831" i="30"/>
  <c r="D2832" i="30"/>
  <c r="D2833" i="30"/>
  <c r="D2834" i="30"/>
  <c r="D2835" i="30"/>
  <c r="D2836" i="30"/>
  <c r="D2837" i="30"/>
  <c r="D2838" i="30"/>
  <c r="D2839" i="30"/>
  <c r="D2840" i="30"/>
  <c r="D2841" i="30"/>
  <c r="D2842" i="30"/>
  <c r="D2843" i="30"/>
  <c r="D2844" i="30"/>
  <c r="D2845" i="30"/>
  <c r="D2846" i="30"/>
  <c r="D2847" i="30"/>
  <c r="D2848" i="30"/>
  <c r="D2849" i="30"/>
  <c r="D2850" i="30"/>
  <c r="D2851" i="30"/>
  <c r="D2852" i="30"/>
  <c r="D2853" i="30"/>
  <c r="D2854" i="30"/>
  <c r="D2855" i="30"/>
  <c r="D2856" i="30"/>
  <c r="D2857" i="30"/>
  <c r="D2858" i="30"/>
  <c r="D2859" i="30"/>
  <c r="D2860" i="30"/>
  <c r="D2861" i="30"/>
  <c r="D2862" i="30"/>
  <c r="D2863" i="30"/>
  <c r="D2864" i="30"/>
  <c r="D2865" i="30"/>
  <c r="D2866" i="30"/>
  <c r="D2867" i="30"/>
  <c r="D2868" i="30"/>
  <c r="D2869" i="30"/>
  <c r="D2870" i="30"/>
  <c r="D2871" i="30"/>
  <c r="D2872" i="30"/>
  <c r="D2873" i="30"/>
  <c r="D2874" i="30"/>
  <c r="D2875" i="30"/>
  <c r="D2876" i="30"/>
  <c r="D2877" i="30"/>
  <c r="D2878" i="30"/>
  <c r="D2879" i="30"/>
  <c r="D2880" i="30"/>
  <c r="D2881" i="30"/>
  <c r="D2882" i="30"/>
  <c r="D2883" i="30"/>
  <c r="D2884" i="30"/>
  <c r="D2885" i="30"/>
  <c r="D2889" i="30"/>
  <c r="D2890" i="30"/>
  <c r="D2891" i="30"/>
  <c r="D2892" i="30"/>
  <c r="D2893" i="30"/>
  <c r="D2894" i="30"/>
  <c r="D2895" i="30"/>
  <c r="D2896" i="30"/>
  <c r="D2897" i="30"/>
  <c r="D2898" i="30"/>
  <c r="D2899" i="30"/>
  <c r="D2900" i="30"/>
  <c r="D2901" i="30"/>
  <c r="D2902" i="30"/>
  <c r="D2903" i="30"/>
  <c r="D2904" i="30"/>
  <c r="D2905" i="30"/>
  <c r="D2906" i="30"/>
  <c r="D2907" i="30"/>
  <c r="D2908" i="30"/>
  <c r="D2909" i="30"/>
  <c r="D2910" i="30"/>
  <c r="D2911" i="30"/>
  <c r="D2912" i="30"/>
  <c r="D2913" i="30"/>
  <c r="D2914" i="30"/>
  <c r="D2915" i="30"/>
  <c r="D2916" i="30"/>
  <c r="D2917" i="30"/>
  <c r="D2918" i="30"/>
  <c r="D2919" i="30"/>
  <c r="D2920" i="30"/>
  <c r="D2921" i="30"/>
  <c r="D2922" i="30"/>
  <c r="D2923" i="30"/>
  <c r="D2924" i="30"/>
  <c r="D2925" i="30"/>
  <c r="D2926" i="30"/>
  <c r="D2927" i="30"/>
  <c r="D2928" i="30"/>
  <c r="D2929" i="30"/>
  <c r="D2930" i="30"/>
  <c r="D2931" i="30"/>
  <c r="D2932" i="30"/>
  <c r="D2933" i="30"/>
  <c r="D2934" i="30"/>
  <c r="D2935" i="30"/>
  <c r="D2936" i="30"/>
  <c r="D2942" i="30"/>
  <c r="D2943" i="30"/>
  <c r="D2944" i="30"/>
  <c r="D2945" i="30"/>
  <c r="D2946" i="30"/>
  <c r="D2947" i="30"/>
  <c r="D2948" i="30"/>
  <c r="D2949" i="30"/>
  <c r="D2950" i="30"/>
  <c r="D2951" i="30"/>
  <c r="D2952" i="30"/>
  <c r="D2953" i="30"/>
  <c r="D2954" i="30"/>
  <c r="D2955" i="30"/>
  <c r="D2956" i="30"/>
  <c r="D2957" i="30"/>
  <c r="D2958" i="30"/>
  <c r="D2959" i="30"/>
  <c r="D2960" i="30"/>
  <c r="D2961" i="30"/>
  <c r="D2962" i="30"/>
  <c r="D2963" i="30"/>
  <c r="D2964" i="30"/>
  <c r="D2965" i="30"/>
  <c r="D2966" i="30"/>
  <c r="D2967" i="30"/>
  <c r="D2968" i="30"/>
  <c r="D2969" i="30"/>
  <c r="D2970" i="30"/>
  <c r="D2971" i="30"/>
  <c r="D2972" i="30"/>
  <c r="D2973" i="30"/>
  <c r="D2974" i="30"/>
  <c r="D2975" i="30"/>
  <c r="D2976" i="30"/>
  <c r="D2977" i="30"/>
  <c r="D2978" i="30"/>
  <c r="D2979" i="30"/>
  <c r="D2980" i="30"/>
  <c r="D2981" i="30"/>
  <c r="D2982" i="30"/>
  <c r="D2983" i="30"/>
  <c r="D2984" i="30"/>
  <c r="D2985" i="30"/>
  <c r="D2986" i="30"/>
  <c r="D2987" i="30"/>
  <c r="D2988" i="30"/>
  <c r="D2989" i="30"/>
  <c r="D2990" i="30"/>
  <c r="D2991" i="30"/>
  <c r="D2992" i="30"/>
  <c r="D2993" i="30"/>
  <c r="D2994" i="30"/>
  <c r="D2995" i="30"/>
  <c r="D2996" i="30"/>
  <c r="D2997" i="30"/>
  <c r="D2998" i="30"/>
  <c r="D2999" i="30"/>
  <c r="D3000" i="30"/>
  <c r="D3001" i="30"/>
  <c r="D3002" i="30"/>
  <c r="D3003" i="30"/>
  <c r="D3004" i="30"/>
  <c r="D3005" i="30"/>
  <c r="D3006" i="30"/>
  <c r="D3007" i="30"/>
  <c r="D3008" i="30"/>
  <c r="D3009" i="30"/>
  <c r="D3010" i="30"/>
  <c r="D3011" i="30"/>
  <c r="D3012" i="30"/>
  <c r="D3013" i="30"/>
  <c r="D3014" i="30"/>
  <c r="D3015" i="30"/>
  <c r="D3016" i="30"/>
  <c r="D3017" i="30"/>
  <c r="D3018" i="30"/>
  <c r="D3019" i="30"/>
  <c r="D3020" i="30"/>
  <c r="D3021" i="30"/>
  <c r="D3022" i="30"/>
  <c r="D3023" i="30"/>
  <c r="D3024" i="30"/>
  <c r="D3025" i="30"/>
  <c r="D3026" i="30"/>
  <c r="D3027" i="30"/>
  <c r="D3028" i="30"/>
  <c r="D3029" i="30"/>
  <c r="D3030" i="30"/>
  <c r="D3031" i="30"/>
  <c r="D3032" i="30"/>
  <c r="D3033" i="30"/>
  <c r="D3034" i="30"/>
  <c r="D3035" i="30"/>
  <c r="D3036" i="30"/>
  <c r="D3037" i="30"/>
  <c r="D3038" i="30"/>
  <c r="D3039" i="30"/>
  <c r="D3040" i="30"/>
  <c r="D3041" i="30"/>
  <c r="D3042" i="30"/>
  <c r="D3043" i="30"/>
  <c r="D3044" i="30"/>
  <c r="D3045" i="30"/>
  <c r="D3046" i="30"/>
  <c r="D3047" i="30"/>
  <c r="D3048" i="30"/>
  <c r="D3049" i="30"/>
  <c r="D3050" i="30"/>
  <c r="D3051" i="30"/>
  <c r="D3052" i="30"/>
  <c r="D3053" i="30"/>
  <c r="D3054" i="30"/>
  <c r="D3055" i="30"/>
  <c r="D3056" i="30"/>
  <c r="D3057" i="30"/>
  <c r="D3058" i="30"/>
  <c r="D3059" i="30"/>
  <c r="D3060" i="30"/>
  <c r="D3061" i="30"/>
  <c r="D3062" i="30"/>
  <c r="D3063" i="30"/>
  <c r="D3064" i="30"/>
  <c r="D3065" i="30"/>
  <c r="D3066" i="30"/>
  <c r="D3067" i="30"/>
  <c r="D3068" i="30"/>
  <c r="D3069" i="30"/>
  <c r="D3070" i="30"/>
  <c r="D3071" i="30"/>
  <c r="D3072" i="30"/>
  <c r="D3073" i="30"/>
  <c r="D3074" i="30"/>
  <c r="D3075" i="30"/>
  <c r="D3076" i="30"/>
  <c r="D3077" i="30"/>
  <c r="D3078" i="30"/>
  <c r="D3079" i="30"/>
  <c r="D3080" i="30"/>
  <c r="D3081" i="30"/>
  <c r="D3082" i="30"/>
  <c r="D3083" i="30"/>
  <c r="D3084" i="30"/>
  <c r="D3085" i="30"/>
  <c r="D3086" i="30"/>
  <c r="D3087" i="30"/>
  <c r="D3088" i="30"/>
  <c r="D3089" i="30"/>
  <c r="D3090" i="30"/>
  <c r="D3091" i="30"/>
  <c r="D3092" i="30"/>
  <c r="D3093" i="30"/>
  <c r="D3094" i="30"/>
  <c r="D3095" i="30"/>
  <c r="D3096" i="30"/>
  <c r="D3097" i="30"/>
  <c r="D3098" i="30"/>
  <c r="D3099" i="30"/>
  <c r="D3100" i="30"/>
  <c r="D3101" i="30"/>
  <c r="D3102" i="30"/>
  <c r="D3103" i="30"/>
  <c r="D3104" i="30"/>
  <c r="D3105" i="30"/>
  <c r="D3106" i="30"/>
  <c r="D3107" i="30"/>
  <c r="D3108" i="30"/>
  <c r="D3109" i="30"/>
  <c r="D3110" i="30"/>
  <c r="D3111" i="30"/>
  <c r="D3112" i="30"/>
  <c r="D3113" i="30"/>
  <c r="D3114" i="30"/>
  <c r="D3115" i="30"/>
  <c r="D3116" i="30"/>
  <c r="D3117" i="30"/>
  <c r="D3118" i="30"/>
  <c r="D3119" i="30"/>
  <c r="D3120" i="30"/>
  <c r="D3121" i="30"/>
  <c r="D3122" i="30"/>
  <c r="D3123" i="30"/>
  <c r="D3124" i="30"/>
  <c r="D3125" i="30"/>
  <c r="D3126" i="30"/>
  <c r="D3127" i="30"/>
  <c r="D3128" i="30"/>
  <c r="D3129" i="30"/>
  <c r="D3130" i="30"/>
  <c r="D3131" i="30"/>
  <c r="D3132" i="30"/>
  <c r="D3133" i="30"/>
  <c r="D3134" i="30"/>
  <c r="D3135" i="30"/>
  <c r="D3136" i="30"/>
  <c r="D3137" i="30"/>
  <c r="D3138" i="30"/>
  <c r="D3139" i="30"/>
  <c r="D3140" i="30"/>
  <c r="D3141" i="30"/>
  <c r="D3142" i="30"/>
  <c r="D3143" i="30"/>
  <c r="D3144" i="30"/>
  <c r="D3145" i="30"/>
  <c r="D3146" i="30"/>
  <c r="D3147" i="30"/>
  <c r="D3148" i="30"/>
  <c r="D3149" i="30"/>
  <c r="D3150" i="30"/>
  <c r="D3151" i="30"/>
  <c r="D3152" i="30"/>
  <c r="D3153" i="30"/>
  <c r="D3154" i="30"/>
  <c r="D3155" i="30"/>
  <c r="D3156" i="30"/>
  <c r="D3157" i="30"/>
  <c r="D3158" i="30"/>
  <c r="D3159" i="30"/>
  <c r="D3160" i="30"/>
  <c r="D3161" i="30"/>
  <c r="D3162" i="30"/>
  <c r="D3163" i="30"/>
  <c r="D3164" i="30"/>
  <c r="D3165" i="30"/>
  <c r="D3166" i="30"/>
  <c r="D3167" i="30"/>
  <c r="D3168" i="30"/>
  <c r="D3169" i="30"/>
  <c r="D3170" i="30"/>
  <c r="D3171" i="30"/>
  <c r="D3172" i="30"/>
  <c r="D3173" i="30"/>
  <c r="D3174" i="30"/>
  <c r="D3175" i="30"/>
  <c r="D3176" i="30"/>
  <c r="D3177" i="30"/>
  <c r="D3178" i="30"/>
  <c r="D3179" i="30"/>
  <c r="D3180" i="30"/>
  <c r="D3181" i="30"/>
  <c r="D3182" i="30"/>
  <c r="D3183" i="30"/>
  <c r="D3184" i="30"/>
  <c r="D3185" i="30"/>
  <c r="D3186" i="30"/>
  <c r="D3187" i="30"/>
  <c r="D3188" i="30"/>
  <c r="D3189" i="30"/>
  <c r="D3190" i="30"/>
  <c r="D3191" i="30"/>
  <c r="D3192" i="30"/>
  <c r="D3193" i="30"/>
  <c r="D3194" i="30"/>
  <c r="D3195" i="30"/>
  <c r="D3196" i="30"/>
  <c r="D3197" i="30"/>
  <c r="D3198" i="30"/>
  <c r="D3199" i="30"/>
  <c r="D3200" i="30"/>
  <c r="D3201" i="30"/>
  <c r="D3202" i="30"/>
  <c r="D3203" i="30"/>
  <c r="D3204" i="30"/>
  <c r="D3205" i="30"/>
  <c r="D3206" i="30"/>
  <c r="D3207" i="30"/>
  <c r="D3208" i="30"/>
  <c r="D3209" i="30"/>
  <c r="D3210" i="30"/>
  <c r="D3211" i="30"/>
  <c r="D3212" i="30"/>
  <c r="D3213" i="30"/>
  <c r="D3214" i="30"/>
  <c r="D3215" i="30"/>
  <c r="D3216" i="30"/>
  <c r="D3217" i="30"/>
  <c r="D3218" i="30"/>
  <c r="D3219" i="30"/>
  <c r="D3220" i="30"/>
  <c r="D3221" i="30"/>
  <c r="D3222" i="30"/>
  <c r="D3223" i="30"/>
  <c r="D3224" i="30"/>
  <c r="D3225" i="30"/>
  <c r="D3226" i="30"/>
  <c r="D3227" i="30"/>
  <c r="D3228" i="30"/>
  <c r="D3229" i="30"/>
  <c r="D3230" i="30"/>
  <c r="D3231" i="30"/>
  <c r="D3232" i="30"/>
  <c r="D3233" i="30"/>
  <c r="D3234" i="30"/>
  <c r="D3235" i="30"/>
  <c r="D3236" i="30"/>
  <c r="D3237" i="30"/>
  <c r="D3238" i="30"/>
  <c r="D3239" i="30"/>
  <c r="D3240" i="30"/>
  <c r="D3241" i="30"/>
  <c r="D3242" i="30"/>
  <c r="D3243" i="30"/>
  <c r="D3244" i="30"/>
  <c r="D3245" i="30"/>
  <c r="D3246" i="30"/>
  <c r="D3247" i="30"/>
  <c r="D3248" i="30"/>
  <c r="D3249" i="30"/>
  <c r="D3250" i="30"/>
  <c r="D3251" i="30"/>
  <c r="D3252" i="30"/>
  <c r="D3253" i="30"/>
  <c r="D3254" i="30"/>
  <c r="D3255" i="30"/>
  <c r="D3256" i="30"/>
  <c r="D3257" i="30"/>
  <c r="D3258" i="30"/>
  <c r="D3259" i="30"/>
  <c r="D3260" i="30"/>
  <c r="D3261" i="30"/>
  <c r="D3262" i="30"/>
  <c r="D3263" i="30"/>
  <c r="D3264" i="30"/>
  <c r="D3265" i="30"/>
  <c r="D3266" i="30"/>
  <c r="D3267" i="30"/>
  <c r="D3268" i="30"/>
  <c r="D3269" i="30"/>
  <c r="D3270" i="30"/>
  <c r="D3271" i="30"/>
  <c r="D3272" i="30"/>
  <c r="D3273" i="30"/>
  <c r="D3274" i="30"/>
  <c r="D3275" i="30"/>
  <c r="D3276" i="30"/>
  <c r="D3277" i="30"/>
  <c r="D3278" i="30"/>
  <c r="D3279" i="30"/>
  <c r="D3280" i="30"/>
  <c r="D3281" i="30"/>
  <c r="D3282" i="30"/>
  <c r="D3283" i="30"/>
  <c r="D3284" i="30"/>
  <c r="D3285" i="30"/>
  <c r="D3286" i="30"/>
  <c r="D3287" i="30"/>
  <c r="D3288" i="30"/>
  <c r="D3289" i="30"/>
  <c r="D3290" i="30"/>
  <c r="D3291" i="30"/>
  <c r="D3292" i="30"/>
  <c r="D3293" i="30"/>
  <c r="D3294" i="30"/>
  <c r="D3295" i="30"/>
  <c r="D3296" i="30"/>
  <c r="D3297" i="30"/>
  <c r="D3298" i="30"/>
  <c r="D3299" i="30"/>
  <c r="D3300" i="30"/>
  <c r="D3301" i="30"/>
  <c r="D3302" i="30"/>
  <c r="D3303" i="30"/>
  <c r="D3304" i="30"/>
  <c r="D3305" i="30"/>
  <c r="D3306" i="30"/>
  <c r="D3307" i="30"/>
  <c r="D3308" i="30"/>
  <c r="D3309" i="30"/>
  <c r="D3310" i="30"/>
  <c r="D3311" i="30"/>
  <c r="D3312" i="30"/>
  <c r="D3313" i="30"/>
  <c r="D3314" i="30"/>
  <c r="D3315" i="30"/>
  <c r="D3316" i="30"/>
  <c r="D3317" i="30"/>
  <c r="D3318" i="30"/>
  <c r="D3319" i="30"/>
  <c r="D3320" i="30"/>
  <c r="D3321" i="30"/>
  <c r="D3322" i="30"/>
  <c r="D3323" i="30"/>
  <c r="D3324" i="30"/>
  <c r="D3325" i="30"/>
  <c r="D3326" i="30"/>
  <c r="D3327" i="30"/>
  <c r="D3328" i="30"/>
  <c r="D3329" i="30"/>
  <c r="D3330" i="30"/>
  <c r="D3331" i="30"/>
  <c r="D3332" i="30"/>
  <c r="D3333" i="30"/>
  <c r="D3334" i="30"/>
  <c r="D3335" i="30"/>
  <c r="D3336" i="30"/>
  <c r="D3337" i="30"/>
  <c r="D3338" i="30"/>
  <c r="D3339" i="30"/>
  <c r="D3340" i="30"/>
  <c r="D3341" i="30"/>
  <c r="D3342" i="30"/>
  <c r="D3343" i="30"/>
  <c r="D3344" i="30"/>
  <c r="D3345" i="30"/>
  <c r="D3346" i="30"/>
  <c r="D3347" i="30"/>
  <c r="D3348" i="30"/>
  <c r="D3349" i="30"/>
  <c r="D3350" i="30"/>
  <c r="D3351" i="30"/>
  <c r="D3352" i="30"/>
  <c r="D3353" i="30"/>
  <c r="D3354" i="30"/>
  <c r="D3355" i="30"/>
  <c r="D3356" i="30"/>
  <c r="D3357" i="30"/>
  <c r="D3358" i="30"/>
  <c r="D3359" i="30"/>
  <c r="D3360" i="30"/>
  <c r="D3361" i="30"/>
  <c r="D3362" i="30"/>
  <c r="D3363" i="30"/>
  <c r="D3364" i="30"/>
  <c r="D3365" i="30"/>
  <c r="D3366" i="30"/>
  <c r="D3367" i="30"/>
  <c r="D3368" i="30"/>
  <c r="D3369" i="30"/>
  <c r="D3370" i="30"/>
  <c r="D3371" i="30"/>
  <c r="D3372" i="30"/>
  <c r="D3373" i="30"/>
  <c r="D3374" i="30"/>
  <c r="D3375" i="30"/>
  <c r="D3376" i="30"/>
  <c r="D3377" i="30"/>
  <c r="D3378" i="30"/>
  <c r="D3379" i="30"/>
  <c r="D3380" i="30"/>
  <c r="D3381" i="30"/>
  <c r="D3382" i="30"/>
  <c r="D3383" i="30"/>
  <c r="D3384" i="30"/>
  <c r="D3385" i="30"/>
  <c r="D3386" i="30"/>
  <c r="D3387" i="30"/>
  <c r="D3388" i="30"/>
  <c r="D3389" i="30"/>
  <c r="D3390" i="30"/>
  <c r="D3391" i="30"/>
  <c r="D3392" i="30"/>
  <c r="D3393" i="30"/>
  <c r="D3394" i="30"/>
  <c r="D3395" i="30"/>
  <c r="D3396" i="30"/>
  <c r="D3397" i="30"/>
  <c r="D3398" i="30"/>
  <c r="D3399" i="30"/>
  <c r="D3400" i="30"/>
  <c r="D3401" i="30"/>
  <c r="D3402" i="30"/>
  <c r="D3403" i="30"/>
  <c r="D3404" i="30"/>
  <c r="D3405" i="30"/>
  <c r="D3406" i="30"/>
  <c r="D3407" i="30"/>
  <c r="D3408" i="30"/>
  <c r="D3409" i="30"/>
  <c r="D3410" i="30"/>
  <c r="D3411" i="30"/>
  <c r="D3412" i="30"/>
  <c r="D3413" i="30"/>
  <c r="D3414" i="30"/>
  <c r="D3415" i="30"/>
  <c r="D3416" i="30"/>
  <c r="D3417" i="30"/>
  <c r="D3418" i="30"/>
  <c r="D3419" i="30"/>
  <c r="D3420" i="30"/>
  <c r="D3421" i="30"/>
  <c r="D3422" i="30"/>
  <c r="D3423" i="30"/>
  <c r="D3424" i="30"/>
  <c r="D3425" i="30"/>
  <c r="D3426" i="30"/>
  <c r="D3427" i="30"/>
  <c r="D3428" i="30"/>
  <c r="D3429" i="30"/>
  <c r="D3430" i="30"/>
  <c r="D3431" i="30"/>
  <c r="D3432" i="30"/>
  <c r="D3433" i="30"/>
  <c r="D3434" i="30"/>
  <c r="D3435" i="30"/>
  <c r="D3436" i="30"/>
  <c r="D3437" i="30"/>
  <c r="D3438" i="30"/>
  <c r="D3439" i="30"/>
  <c r="D3440" i="30"/>
  <c r="D3441" i="30"/>
  <c r="D3442" i="30"/>
  <c r="D3443" i="30"/>
  <c r="D3444" i="30"/>
  <c r="D3445" i="30"/>
  <c r="D3446" i="30"/>
  <c r="D3447" i="30"/>
  <c r="D3448" i="30"/>
  <c r="D3449" i="30"/>
  <c r="D3450" i="30"/>
  <c r="D3451" i="30"/>
  <c r="D3452" i="30"/>
  <c r="D3453" i="30"/>
  <c r="D3454" i="30"/>
  <c r="D3455" i="30"/>
  <c r="D3456" i="30"/>
  <c r="D3457" i="30"/>
  <c r="D3458" i="30"/>
  <c r="D3459" i="30"/>
  <c r="D3460" i="30"/>
  <c r="D3461" i="30"/>
  <c r="D3462" i="30"/>
  <c r="D3463" i="30"/>
  <c r="D3464" i="30"/>
  <c r="D3465" i="30"/>
  <c r="D3466" i="30"/>
  <c r="D3467" i="30"/>
  <c r="D3468" i="30"/>
  <c r="D3469" i="30"/>
  <c r="D3470" i="30"/>
  <c r="D3471" i="30"/>
  <c r="D3472" i="30"/>
  <c r="D3473" i="30"/>
  <c r="D3474" i="30"/>
  <c r="D3475" i="30"/>
  <c r="D3476" i="30"/>
  <c r="D3477" i="30"/>
  <c r="D3478" i="30"/>
  <c r="D3479" i="30"/>
  <c r="D3480" i="30"/>
  <c r="D3481" i="30"/>
  <c r="D3482" i="30"/>
  <c r="D3483" i="30"/>
  <c r="D3484" i="30"/>
  <c r="D3485" i="30"/>
  <c r="D3486" i="30"/>
  <c r="D3487" i="30"/>
  <c r="D3488" i="30"/>
  <c r="D3489" i="30"/>
  <c r="D3490" i="30"/>
  <c r="D3491" i="30"/>
  <c r="D3492" i="30"/>
  <c r="D3493" i="30"/>
  <c r="D3494" i="30"/>
  <c r="D3495" i="30"/>
  <c r="D3496" i="30"/>
  <c r="D3497" i="30"/>
  <c r="D3498" i="30"/>
  <c r="D3499" i="30"/>
  <c r="D3500" i="30"/>
  <c r="D3501" i="30"/>
  <c r="D3502" i="30"/>
  <c r="D3503" i="30"/>
  <c r="D3504" i="30"/>
  <c r="D3505" i="30"/>
  <c r="D3506" i="30"/>
  <c r="D3507" i="30"/>
  <c r="D3508" i="30"/>
  <c r="D3509" i="30"/>
  <c r="D3510" i="30"/>
  <c r="D3511" i="30"/>
  <c r="D3512" i="30"/>
  <c r="D3513" i="30"/>
  <c r="D3514" i="30"/>
  <c r="D3515" i="30"/>
  <c r="D3516" i="30"/>
  <c r="D3517" i="30"/>
  <c r="D3518" i="30"/>
  <c r="D3519" i="30"/>
  <c r="D3520" i="30"/>
  <c r="D3521" i="30"/>
  <c r="D3522" i="30"/>
  <c r="D3523" i="30"/>
  <c r="D3524" i="30"/>
  <c r="D3525" i="30"/>
  <c r="D3526" i="30"/>
  <c r="D3527" i="30"/>
  <c r="D3528" i="30"/>
  <c r="D3529" i="30"/>
  <c r="D3530" i="30"/>
  <c r="D3531" i="30"/>
  <c r="D3532" i="30"/>
  <c r="D3533" i="30"/>
  <c r="D3534" i="30"/>
  <c r="D3535" i="30"/>
  <c r="D3536" i="30"/>
  <c r="D3537" i="30"/>
  <c r="D3538" i="30"/>
  <c r="D3539" i="30"/>
  <c r="D3540" i="30"/>
  <c r="D3541" i="30"/>
  <c r="D3542" i="30"/>
  <c r="D3543" i="30"/>
  <c r="D3544" i="30"/>
  <c r="D3545" i="30"/>
  <c r="D3546" i="30"/>
  <c r="D3547" i="30"/>
  <c r="D3548" i="30"/>
  <c r="D3549" i="30"/>
  <c r="D3550" i="30"/>
  <c r="D3551" i="30"/>
  <c r="D3552" i="30"/>
  <c r="D3553" i="30"/>
  <c r="D3554" i="30"/>
  <c r="D3555" i="30"/>
  <c r="D3556" i="30"/>
  <c r="D3557" i="30"/>
  <c r="D3558" i="30"/>
  <c r="D3559" i="30"/>
  <c r="D3560" i="30"/>
  <c r="D3561" i="30"/>
  <c r="D3562" i="30"/>
  <c r="D3563" i="30"/>
  <c r="D3564" i="30"/>
  <c r="D3565" i="30"/>
  <c r="D3566" i="30"/>
  <c r="D3567" i="30"/>
  <c r="D3568" i="30"/>
  <c r="D3569" i="30"/>
  <c r="D3570" i="30"/>
  <c r="D3571" i="30"/>
  <c r="D3572" i="30"/>
  <c r="D3573" i="30"/>
  <c r="D3574" i="30"/>
  <c r="D3575" i="30"/>
  <c r="D3576" i="30"/>
  <c r="D3577" i="30"/>
  <c r="D3578" i="30"/>
  <c r="D3579" i="30"/>
  <c r="D3580" i="30"/>
  <c r="D3581" i="30"/>
  <c r="D3582" i="30"/>
  <c r="D3583" i="30"/>
  <c r="D3584" i="30"/>
  <c r="D3585" i="30"/>
  <c r="D3586" i="30"/>
  <c r="D3587" i="30"/>
  <c r="D3588" i="30"/>
  <c r="D3589" i="30"/>
  <c r="D3590" i="30"/>
  <c r="D3591" i="30"/>
  <c r="D3592" i="30"/>
  <c r="D3593" i="30"/>
  <c r="D3594" i="30"/>
  <c r="D3595" i="30"/>
  <c r="D3596" i="30"/>
  <c r="D3597" i="30"/>
  <c r="D3598" i="30"/>
  <c r="D3599" i="30"/>
  <c r="D3600" i="30"/>
  <c r="D3601" i="30"/>
  <c r="D3602" i="30"/>
  <c r="D3603" i="30"/>
  <c r="D3604" i="30"/>
  <c r="D3605" i="30"/>
  <c r="D3606" i="30"/>
  <c r="D3607" i="30"/>
  <c r="D3608" i="30"/>
  <c r="D3609" i="30"/>
  <c r="D3610" i="30"/>
  <c r="D3611" i="30"/>
  <c r="D3612" i="30"/>
  <c r="D3613" i="30"/>
  <c r="D3614" i="30"/>
  <c r="D3615" i="30"/>
  <c r="D3616" i="30"/>
  <c r="D3617" i="30"/>
  <c r="D3618" i="30"/>
  <c r="D3619" i="30"/>
  <c r="D3620" i="30"/>
  <c r="D3621" i="30"/>
  <c r="D3622" i="30"/>
  <c r="D3623" i="30"/>
  <c r="D3624" i="30"/>
  <c r="D3625" i="30"/>
  <c r="D3626" i="30"/>
  <c r="D3627" i="30"/>
  <c r="D3628" i="30"/>
  <c r="D3629" i="30"/>
  <c r="D3630" i="30"/>
  <c r="D3631" i="30"/>
  <c r="D3632" i="30"/>
  <c r="D3633" i="30"/>
  <c r="D3634" i="30"/>
  <c r="D3635" i="30"/>
  <c r="D3636" i="30"/>
  <c r="D3637" i="30"/>
  <c r="D3638" i="30"/>
  <c r="D3639" i="30"/>
  <c r="D3640" i="30"/>
  <c r="D3641" i="30"/>
  <c r="D3642" i="30"/>
  <c r="D3643" i="30"/>
  <c r="D3644" i="30"/>
  <c r="D3645" i="30"/>
  <c r="D3646" i="30"/>
  <c r="D3647" i="30"/>
  <c r="D3648" i="30"/>
  <c r="D3649" i="30"/>
  <c r="D3650" i="30"/>
  <c r="D3651" i="30"/>
  <c r="D3652" i="30"/>
  <c r="D3653" i="30"/>
  <c r="D3654" i="30"/>
  <c r="D3655" i="30"/>
  <c r="D3656" i="30"/>
  <c r="D3657" i="30"/>
  <c r="D3658" i="30"/>
  <c r="D3659" i="30"/>
  <c r="D3660" i="30"/>
  <c r="D3661" i="30"/>
  <c r="D3662" i="30"/>
  <c r="D3663" i="30"/>
  <c r="D3664" i="30"/>
  <c r="D3665" i="30"/>
  <c r="D3666" i="30"/>
  <c r="D3667" i="30"/>
  <c r="D3668" i="30"/>
  <c r="D3669" i="30"/>
  <c r="D3670" i="30"/>
  <c r="D3671" i="30"/>
  <c r="D3672" i="30"/>
  <c r="D3673" i="30"/>
  <c r="D3674" i="30"/>
  <c r="D3675" i="30"/>
  <c r="D3676" i="30"/>
  <c r="D3677" i="30"/>
  <c r="D3678" i="30"/>
  <c r="D3679" i="30"/>
  <c r="D3680" i="30"/>
  <c r="D3681" i="30"/>
  <c r="D3682" i="30"/>
  <c r="D3683" i="30"/>
  <c r="D3684" i="30"/>
  <c r="D3685" i="30"/>
  <c r="D3686" i="30"/>
  <c r="D3687" i="30"/>
  <c r="D3688" i="30"/>
  <c r="D3689" i="30"/>
  <c r="D3690" i="30"/>
  <c r="D3691" i="30"/>
  <c r="D3692" i="30"/>
  <c r="D3693" i="30"/>
  <c r="D3694" i="30"/>
  <c r="D3695" i="30"/>
  <c r="D3696" i="30"/>
  <c r="D3697" i="30"/>
  <c r="D3698" i="30"/>
  <c r="D3699" i="30"/>
  <c r="D3700" i="30"/>
  <c r="D3701" i="30"/>
  <c r="D3702" i="30"/>
  <c r="D3703" i="30"/>
  <c r="D3704" i="30"/>
  <c r="D3705" i="30"/>
  <c r="D3706" i="30"/>
  <c r="D3707" i="30"/>
  <c r="D3708" i="30"/>
  <c r="D3709" i="30"/>
  <c r="D3710" i="30"/>
  <c r="D3711" i="30"/>
  <c r="D3712" i="30"/>
  <c r="D3713" i="30"/>
  <c r="D3714" i="30"/>
  <c r="D3715" i="30"/>
  <c r="D3716" i="30"/>
  <c r="D3717" i="30"/>
  <c r="D3718" i="30"/>
  <c r="D3719" i="30"/>
  <c r="D3720" i="30"/>
  <c r="D3721" i="30"/>
  <c r="D3722" i="30"/>
  <c r="D3723" i="30"/>
  <c r="D3724" i="30"/>
  <c r="D3725" i="30"/>
  <c r="D3726" i="30"/>
  <c r="D3727" i="30"/>
  <c r="D3728" i="30"/>
  <c r="D3729" i="30"/>
  <c r="D3730" i="30"/>
  <c r="D3731" i="30"/>
  <c r="D3732" i="30"/>
  <c r="D3733" i="30"/>
  <c r="D3734" i="30"/>
  <c r="D3735" i="30"/>
  <c r="D3736" i="30"/>
  <c r="D3737" i="30"/>
  <c r="D3738" i="30"/>
  <c r="D3739" i="30"/>
  <c r="D3740" i="30"/>
  <c r="D3741" i="30"/>
  <c r="D3742" i="30"/>
  <c r="D3743" i="30"/>
  <c r="D3744" i="30"/>
  <c r="D3745" i="30"/>
  <c r="D3746" i="30"/>
  <c r="D3747" i="30"/>
  <c r="D3748" i="30"/>
  <c r="D3749" i="30"/>
  <c r="D3750" i="30"/>
  <c r="D3751" i="30"/>
  <c r="D3752" i="30"/>
  <c r="D3753" i="30"/>
  <c r="D3754" i="30"/>
  <c r="D3755" i="30"/>
  <c r="D3756" i="30"/>
  <c r="D3757" i="30"/>
  <c r="D3758" i="30"/>
  <c r="D3759" i="30"/>
  <c r="D3760" i="30"/>
  <c r="D3761" i="30"/>
  <c r="D3762" i="30"/>
  <c r="D3763" i="30"/>
  <c r="D3764" i="30"/>
  <c r="D3765" i="30"/>
  <c r="D3766" i="30"/>
  <c r="D3767" i="30"/>
  <c r="D3768" i="30"/>
  <c r="D3769" i="30"/>
  <c r="D3770" i="30"/>
  <c r="D3771" i="30"/>
  <c r="D3772" i="30"/>
  <c r="D3773" i="30"/>
  <c r="D3774" i="30"/>
  <c r="D3775" i="30"/>
  <c r="D3776" i="30"/>
  <c r="D3777" i="30"/>
  <c r="D3778" i="30"/>
  <c r="D3779" i="30"/>
  <c r="D3780" i="30"/>
  <c r="D3781" i="30"/>
  <c r="D3782" i="30"/>
  <c r="D3783" i="30"/>
  <c r="D3784" i="30"/>
  <c r="D3785" i="30"/>
  <c r="D3786" i="30"/>
  <c r="D3787" i="30"/>
  <c r="D3788" i="30"/>
  <c r="D3789" i="30"/>
  <c r="D3790" i="30"/>
  <c r="D3791" i="30"/>
  <c r="D3792" i="30"/>
  <c r="D3793" i="30"/>
  <c r="D3794" i="30"/>
  <c r="D3795" i="30"/>
  <c r="D3796" i="30"/>
  <c r="D3797" i="30"/>
  <c r="D3798" i="30"/>
  <c r="D3799" i="30"/>
  <c r="D3800" i="30"/>
  <c r="D3801" i="30"/>
  <c r="D3802" i="30"/>
  <c r="D3803" i="30"/>
  <c r="D3804" i="30"/>
  <c r="D3805" i="30"/>
  <c r="D3806" i="30"/>
  <c r="D3807" i="30"/>
  <c r="D3808" i="30"/>
  <c r="D3809" i="30"/>
  <c r="D3810" i="30"/>
  <c r="D3811" i="30"/>
  <c r="D3812" i="30"/>
  <c r="D3813" i="30"/>
  <c r="D3814" i="30"/>
  <c r="D3815" i="30"/>
  <c r="D3816" i="30"/>
  <c r="D3817" i="30"/>
  <c r="D3818" i="30"/>
  <c r="D3819" i="30"/>
  <c r="D3820" i="30"/>
  <c r="D3821" i="30"/>
  <c r="D3822" i="30"/>
  <c r="D3823" i="30"/>
  <c r="D3824" i="30"/>
  <c r="D3825" i="30"/>
  <c r="D3826" i="30"/>
  <c r="D3827" i="30"/>
  <c r="D3828" i="30"/>
  <c r="D3829" i="30"/>
  <c r="D3830" i="30"/>
  <c r="D3831" i="30"/>
  <c r="D3832" i="30"/>
  <c r="D3833" i="30"/>
  <c r="D3834" i="30"/>
  <c r="D3835" i="30"/>
  <c r="D3836" i="30"/>
  <c r="D3837" i="30"/>
  <c r="D3838" i="30"/>
  <c r="D3839" i="30"/>
  <c r="D3840" i="30"/>
  <c r="D3841" i="30"/>
  <c r="D3842" i="30"/>
  <c r="D3843" i="30"/>
  <c r="D3844" i="30"/>
  <c r="D3845" i="30"/>
  <c r="D3846" i="30"/>
  <c r="D3847" i="30"/>
  <c r="D3848" i="30"/>
  <c r="D3849" i="30"/>
  <c r="D3850" i="30"/>
  <c r="D3851" i="30"/>
  <c r="D3852" i="30"/>
  <c r="D3853" i="30"/>
  <c r="D3854" i="30"/>
  <c r="D3855" i="30"/>
  <c r="D3856" i="30"/>
  <c r="D3857" i="30"/>
  <c r="D3858" i="30"/>
  <c r="D3859" i="30"/>
  <c r="D3860" i="30"/>
  <c r="D3861" i="30"/>
  <c r="D3862" i="30"/>
  <c r="D3863" i="30"/>
  <c r="D3864" i="30"/>
  <c r="D3865" i="30"/>
  <c r="D3866" i="30"/>
  <c r="D3867" i="30"/>
  <c r="D3868" i="30"/>
  <c r="D3869" i="30"/>
  <c r="D3870" i="30"/>
  <c r="D3871" i="30"/>
  <c r="D3872" i="30"/>
  <c r="D3873" i="30"/>
  <c r="D3874" i="30"/>
  <c r="D3875" i="30"/>
  <c r="D3876" i="30"/>
  <c r="D3877" i="30"/>
  <c r="D3878" i="30"/>
  <c r="D3879" i="30"/>
  <c r="D3880" i="30"/>
  <c r="D3881" i="30"/>
  <c r="D3882" i="30"/>
  <c r="D3883" i="30"/>
  <c r="D3884" i="30"/>
  <c r="D3885" i="30"/>
  <c r="D3886" i="30"/>
  <c r="D3887" i="30"/>
  <c r="D3888" i="30"/>
  <c r="D3889" i="30"/>
  <c r="D3890" i="30"/>
  <c r="D3891" i="30"/>
  <c r="D3892" i="30"/>
  <c r="D3893" i="30"/>
  <c r="D3894" i="30"/>
  <c r="D3895" i="30"/>
  <c r="D3896" i="30"/>
  <c r="D3897" i="30"/>
  <c r="D3898" i="30"/>
  <c r="D3899" i="30"/>
  <c r="D3900" i="30"/>
  <c r="D3901" i="30"/>
  <c r="D3902" i="30"/>
  <c r="D3903" i="30"/>
  <c r="D3904" i="30"/>
  <c r="D3905" i="30"/>
  <c r="D3906" i="30"/>
  <c r="D3907" i="30"/>
  <c r="D3908" i="30"/>
  <c r="D3909" i="30"/>
  <c r="D3910" i="30"/>
  <c r="D3911" i="30"/>
  <c r="D3912" i="30"/>
  <c r="D3913" i="30"/>
  <c r="D3914" i="30"/>
  <c r="D3915" i="30"/>
  <c r="D3916" i="30"/>
  <c r="D3917" i="30"/>
  <c r="D3918" i="30"/>
  <c r="D3919" i="30"/>
  <c r="D3920" i="30"/>
  <c r="D3921" i="30"/>
  <c r="D3922" i="30"/>
  <c r="D3923" i="30"/>
  <c r="D3924" i="30"/>
  <c r="D3925" i="30"/>
  <c r="D3926" i="30"/>
  <c r="D3927" i="30"/>
  <c r="D3928" i="30"/>
  <c r="D3929" i="30"/>
  <c r="D3930" i="30"/>
  <c r="D3931" i="30"/>
  <c r="D3932" i="30"/>
  <c r="D3933" i="30"/>
  <c r="D3934" i="30"/>
  <c r="D3935" i="30"/>
  <c r="D3936" i="30"/>
  <c r="D3937" i="30"/>
  <c r="D3938" i="30"/>
  <c r="D3939" i="30"/>
  <c r="D3940" i="30"/>
  <c r="D3941" i="30"/>
  <c r="D3942" i="30"/>
  <c r="D3943" i="30"/>
  <c r="D3944" i="30"/>
  <c r="D3945" i="30"/>
  <c r="D3946" i="30"/>
  <c r="D3947" i="30"/>
  <c r="D3948" i="30"/>
  <c r="D3949" i="30"/>
  <c r="D3950" i="30"/>
  <c r="D3951" i="30"/>
  <c r="D3952" i="30"/>
  <c r="D3953" i="30"/>
  <c r="D3954" i="30"/>
  <c r="D3955" i="30"/>
  <c r="D3956" i="30"/>
  <c r="D3957" i="30"/>
  <c r="D3958" i="30"/>
  <c r="D3959" i="30"/>
  <c r="D3960" i="30"/>
  <c r="D3961" i="30"/>
  <c r="D3962" i="30"/>
  <c r="D3963" i="30"/>
  <c r="D3964" i="30"/>
  <c r="D3965" i="30"/>
  <c r="D3966" i="30"/>
  <c r="D3967" i="30"/>
  <c r="D3968" i="30"/>
  <c r="D3969" i="30"/>
  <c r="D3970" i="30"/>
  <c r="D3971" i="30"/>
  <c r="D3972" i="30"/>
  <c r="D3973" i="30"/>
  <c r="D3974" i="30"/>
  <c r="D3975" i="30"/>
  <c r="D3976" i="30"/>
  <c r="D3977" i="30"/>
  <c r="D3978" i="30"/>
  <c r="D3979" i="30"/>
  <c r="D3980" i="30"/>
  <c r="D3981" i="30"/>
  <c r="D3982" i="30"/>
  <c r="D3983" i="30"/>
  <c r="D3984" i="30"/>
  <c r="D3985" i="30"/>
  <c r="D3986" i="30"/>
  <c r="D3987" i="30"/>
  <c r="D3988" i="30"/>
  <c r="D3989" i="30"/>
  <c r="D3990" i="30"/>
  <c r="D3991" i="30"/>
  <c r="D3992" i="30"/>
  <c r="D3993" i="30"/>
  <c r="D3994" i="30"/>
  <c r="D3995" i="30"/>
  <c r="D3996" i="30"/>
  <c r="D3997" i="30"/>
  <c r="D3998" i="30"/>
  <c r="D3999" i="30"/>
  <c r="D4000" i="30"/>
  <c r="D4001" i="30"/>
  <c r="D4002" i="30"/>
  <c r="D4003" i="30"/>
  <c r="D4004" i="30"/>
  <c r="D4005" i="30"/>
  <c r="D4006" i="30"/>
  <c r="D4007" i="30"/>
  <c r="D4008" i="30"/>
  <c r="D4009" i="30"/>
  <c r="D4010" i="30"/>
  <c r="D4011" i="30"/>
  <c r="D4012" i="30"/>
  <c r="D4013" i="30"/>
  <c r="D4014" i="30"/>
  <c r="D4015" i="30"/>
  <c r="D4016" i="30"/>
  <c r="D4017" i="30"/>
  <c r="D4018" i="30"/>
  <c r="D4019" i="30"/>
  <c r="D4020" i="30"/>
  <c r="D4021" i="30"/>
  <c r="D4022" i="30"/>
  <c r="D4023" i="30"/>
  <c r="D4024" i="30"/>
  <c r="D4025" i="30"/>
  <c r="D4026" i="30"/>
  <c r="D4027" i="30"/>
  <c r="D4028" i="30"/>
  <c r="D4029" i="30"/>
  <c r="D4030" i="30"/>
  <c r="D4031" i="30"/>
  <c r="D4032" i="30"/>
  <c r="D4033" i="30"/>
  <c r="D4034" i="30"/>
  <c r="D4035" i="30"/>
  <c r="D4036" i="30"/>
  <c r="D4037" i="30"/>
  <c r="D4038" i="30"/>
  <c r="D4039" i="30"/>
  <c r="D4040" i="30"/>
  <c r="D4041" i="30"/>
  <c r="D4042" i="30"/>
  <c r="D4043" i="30"/>
  <c r="D4044" i="30"/>
  <c r="D4045" i="30"/>
  <c r="D4046" i="30"/>
  <c r="D4047" i="30"/>
  <c r="D4048" i="30"/>
  <c r="D4049" i="30"/>
  <c r="D4050" i="30"/>
  <c r="D4051" i="30"/>
  <c r="D4052" i="30"/>
  <c r="D4053" i="30"/>
  <c r="D4054" i="30"/>
  <c r="D4055" i="30"/>
  <c r="D4056" i="30"/>
  <c r="D4057" i="30"/>
  <c r="D4058" i="30"/>
  <c r="D4059" i="30"/>
  <c r="D4060" i="30"/>
  <c r="D4061" i="30"/>
  <c r="D4062" i="30"/>
  <c r="D4063" i="30"/>
  <c r="D4064" i="30"/>
  <c r="D4065" i="30"/>
  <c r="D4066" i="30"/>
  <c r="D4067" i="30"/>
  <c r="D4068" i="30"/>
  <c r="D4069" i="30"/>
  <c r="D4070" i="30"/>
  <c r="D4071" i="30"/>
  <c r="D4072" i="30"/>
  <c r="D4073" i="30"/>
  <c r="D4074" i="30"/>
  <c r="D4075" i="30"/>
  <c r="D4076" i="30"/>
  <c r="D4077" i="30"/>
  <c r="D4078" i="30"/>
  <c r="D4079" i="30"/>
  <c r="D4080" i="30"/>
  <c r="D4081" i="30"/>
  <c r="D4082" i="30"/>
  <c r="D4083" i="30"/>
  <c r="D4084" i="30"/>
  <c r="D4085" i="30"/>
  <c r="D4086" i="30"/>
  <c r="D4087" i="30"/>
  <c r="D4088" i="30"/>
  <c r="D4089" i="30"/>
  <c r="D4090" i="30"/>
  <c r="D4091" i="30"/>
  <c r="D4092" i="30"/>
  <c r="D4093" i="30"/>
  <c r="D4094" i="30"/>
  <c r="D4095" i="30"/>
  <c r="D4096" i="30"/>
  <c r="D4097" i="30"/>
  <c r="D4098" i="30"/>
  <c r="D4099" i="30"/>
  <c r="D4100" i="30"/>
  <c r="D4101" i="30"/>
  <c r="D4102" i="30"/>
  <c r="D4103" i="30"/>
  <c r="D4104" i="30"/>
  <c r="D4105" i="30"/>
  <c r="D4106" i="30"/>
  <c r="D4107" i="30"/>
  <c r="D4108" i="30"/>
  <c r="D4109" i="30"/>
  <c r="D4110" i="30"/>
  <c r="D4111" i="30"/>
  <c r="D4112" i="30"/>
  <c r="D4113" i="30"/>
  <c r="D4114" i="30"/>
  <c r="D4115" i="30"/>
  <c r="D4116" i="30"/>
  <c r="D4117" i="30"/>
  <c r="D4118" i="30"/>
  <c r="D4119" i="30"/>
  <c r="D4120" i="30"/>
  <c r="D4121" i="30"/>
  <c r="D4122" i="30"/>
  <c r="D4123" i="30"/>
  <c r="D4125" i="30"/>
  <c r="D4126" i="30"/>
  <c r="D4127" i="30"/>
  <c r="D4128" i="30"/>
  <c r="D4129" i="30"/>
  <c r="D4130" i="30"/>
  <c r="D4131" i="30"/>
  <c r="D4132" i="30"/>
  <c r="D4133" i="30"/>
  <c r="D4134" i="30"/>
  <c r="D4135" i="30"/>
  <c r="D4136" i="30"/>
  <c r="D4137" i="30"/>
  <c r="D4138" i="30"/>
  <c r="D4139" i="30"/>
  <c r="D4140" i="30"/>
  <c r="D4141" i="30"/>
  <c r="D4142" i="30"/>
  <c r="D4143" i="30"/>
  <c r="D4144" i="30"/>
  <c r="D4145" i="30"/>
  <c r="D4146" i="30"/>
  <c r="D4147" i="30"/>
  <c r="D4148" i="30"/>
  <c r="D4149" i="30"/>
  <c r="D4150" i="30"/>
  <c r="D4151" i="30"/>
  <c r="D4152" i="30"/>
  <c r="D4153" i="30"/>
  <c r="D4154" i="30"/>
  <c r="D4155" i="30"/>
  <c r="D4156" i="30"/>
  <c r="D4157" i="30"/>
  <c r="D4158" i="30"/>
  <c r="D4159" i="30"/>
  <c r="D4160" i="30"/>
  <c r="D4161" i="30"/>
  <c r="D4162" i="30"/>
  <c r="D4163" i="30"/>
  <c r="D4164" i="30"/>
  <c r="D4165" i="30"/>
  <c r="D4166" i="30"/>
  <c r="D4167" i="30"/>
  <c r="D4168" i="30"/>
  <c r="D4169" i="30"/>
  <c r="D4170" i="30"/>
  <c r="D4171" i="30"/>
  <c r="D4172" i="30"/>
  <c r="D4173" i="30"/>
  <c r="D4174" i="30"/>
  <c r="D4175" i="30"/>
  <c r="D4176" i="30"/>
  <c r="D4177" i="30"/>
  <c r="D4178" i="30"/>
  <c r="D4179" i="30"/>
  <c r="D4180" i="30"/>
  <c r="D4181" i="30"/>
  <c r="D4182" i="30"/>
  <c r="D4183" i="30"/>
  <c r="D4184" i="30"/>
  <c r="D4185" i="30"/>
  <c r="D4186" i="30"/>
  <c r="D4187" i="30"/>
  <c r="D4188" i="30"/>
  <c r="D4189" i="30"/>
  <c r="D4190" i="30"/>
  <c r="D4191" i="30"/>
  <c r="D4192" i="30"/>
  <c r="D4193" i="30"/>
  <c r="D4194" i="30"/>
  <c r="D4195" i="30"/>
  <c r="D4196" i="30"/>
  <c r="D4197" i="30"/>
  <c r="D4198" i="30"/>
  <c r="D4199" i="30"/>
  <c r="D4200" i="30"/>
  <c r="D4201" i="30"/>
  <c r="D4202" i="30"/>
  <c r="D4203" i="30"/>
  <c r="D4204" i="30"/>
  <c r="D4205" i="30"/>
  <c r="D4206" i="30"/>
  <c r="D4207" i="30"/>
  <c r="D4208" i="30"/>
  <c r="D4209" i="30"/>
  <c r="D4210" i="30"/>
  <c r="D4211" i="30"/>
  <c r="D4212" i="30"/>
  <c r="D4213" i="30"/>
  <c r="D4214" i="30"/>
  <c r="D4215" i="30"/>
  <c r="D4217" i="30"/>
  <c r="D4218" i="30"/>
  <c r="D4219" i="30"/>
  <c r="D4220" i="30"/>
  <c r="D4221" i="30"/>
  <c r="D4222" i="30"/>
  <c r="D4223" i="30"/>
  <c r="D4224" i="30"/>
  <c r="D4225" i="30"/>
  <c r="D4226" i="30"/>
  <c r="D4227" i="30"/>
  <c r="D4228" i="30"/>
  <c r="D4229" i="30"/>
  <c r="D4230" i="30"/>
  <c r="D4231" i="30"/>
  <c r="D4232" i="30"/>
  <c r="D4233" i="30"/>
  <c r="D4234" i="30"/>
  <c r="D4235" i="30"/>
  <c r="D4236" i="30"/>
  <c r="D4237" i="30"/>
  <c r="D4238" i="30"/>
  <c r="D4239" i="30"/>
  <c r="D4240" i="30"/>
  <c r="D4241" i="30"/>
  <c r="D4242" i="30"/>
  <c r="D4243" i="30"/>
  <c r="D4244" i="30"/>
  <c r="D4245" i="30"/>
  <c r="D4246" i="30"/>
  <c r="D4247" i="30"/>
  <c r="D4248" i="30"/>
  <c r="D4249" i="30"/>
  <c r="D4250" i="30"/>
  <c r="D4251" i="30"/>
  <c r="D4252" i="30"/>
  <c r="D4253" i="30"/>
  <c r="D4254" i="30"/>
  <c r="D4255" i="30"/>
  <c r="D4256" i="30"/>
  <c r="D4257" i="30"/>
  <c r="D4258" i="30"/>
  <c r="D4259" i="30"/>
  <c r="D4260" i="30"/>
  <c r="D4261" i="30"/>
  <c r="D4262" i="30"/>
  <c r="D4263" i="30"/>
  <c r="D4264" i="30"/>
  <c r="D4265" i="30"/>
  <c r="D4266" i="30"/>
  <c r="D4267" i="30"/>
  <c r="D4268" i="30"/>
  <c r="D4269" i="30"/>
  <c r="D4270" i="30"/>
  <c r="D4271" i="30"/>
  <c r="D4272" i="30"/>
  <c r="D4273" i="30"/>
  <c r="D4274" i="30"/>
  <c r="D4275" i="30"/>
  <c r="D4276" i="30"/>
  <c r="D4277" i="30"/>
  <c r="D4278" i="30"/>
  <c r="D4279" i="30"/>
  <c r="D4280" i="30"/>
  <c r="D4281" i="30"/>
  <c r="D4282" i="30"/>
  <c r="D4283" i="30"/>
  <c r="D4284" i="30"/>
  <c r="D4285" i="30"/>
  <c r="D4286" i="30"/>
  <c r="D4287" i="30"/>
  <c r="D4288" i="30"/>
  <c r="D4289" i="30"/>
  <c r="D4290" i="30"/>
  <c r="D4291" i="30"/>
  <c r="D4292" i="30"/>
  <c r="D4293" i="30"/>
  <c r="D4294" i="30"/>
  <c r="D4295" i="30"/>
  <c r="D4296" i="30"/>
  <c r="D4297" i="30"/>
  <c r="D4298" i="30"/>
  <c r="D4299" i="30"/>
  <c r="D4300" i="30"/>
  <c r="D4301" i="30"/>
  <c r="D4302" i="30"/>
  <c r="D4303" i="30"/>
  <c r="D4304" i="30"/>
  <c r="D4305" i="30"/>
  <c r="D4306" i="30"/>
  <c r="D4307" i="30"/>
  <c r="D4308" i="30"/>
  <c r="D4309" i="30"/>
  <c r="D4310" i="30"/>
  <c r="D4311" i="30"/>
  <c r="D4312" i="30"/>
  <c r="D4313" i="30"/>
  <c r="D4314" i="30"/>
  <c r="D4315" i="30"/>
  <c r="D4316" i="30"/>
  <c r="D4317" i="30"/>
  <c r="D4318" i="30"/>
  <c r="D4319" i="30"/>
  <c r="D4320" i="30"/>
  <c r="D4325" i="30"/>
  <c r="D4326" i="30"/>
  <c r="D4327" i="30"/>
  <c r="D4328" i="30"/>
  <c r="D4329" i="30"/>
  <c r="D4330" i="30"/>
  <c r="D4331" i="30"/>
  <c r="D4332" i="30"/>
  <c r="D4333" i="30"/>
  <c r="D4334" i="30"/>
  <c r="D4335" i="30"/>
  <c r="D4336" i="30"/>
  <c r="D4337" i="30"/>
  <c r="D4338" i="30"/>
  <c r="D4339" i="30"/>
  <c r="D4340" i="30"/>
  <c r="D4341" i="30"/>
  <c r="D4342" i="30"/>
  <c r="D4343" i="30"/>
  <c r="D4344" i="30"/>
  <c r="D4345" i="30"/>
  <c r="D4346" i="30"/>
  <c r="D4347" i="30"/>
  <c r="D4348" i="30"/>
  <c r="D4349" i="30"/>
  <c r="D4350" i="30"/>
  <c r="D4351" i="30"/>
  <c r="D4352" i="30"/>
  <c r="D4353" i="30"/>
  <c r="D4354" i="30"/>
  <c r="D4355" i="30"/>
  <c r="D4356" i="30"/>
  <c r="D4357" i="30"/>
  <c r="D4358" i="30"/>
  <c r="D4359" i="30"/>
  <c r="D4360" i="30"/>
  <c r="D4361" i="30"/>
  <c r="D4362" i="30"/>
  <c r="D4363" i="30"/>
  <c r="D4364" i="30"/>
  <c r="D4365" i="30"/>
  <c r="D4366" i="30"/>
  <c r="D4367" i="30"/>
  <c r="D4368" i="30"/>
  <c r="D4369" i="30"/>
  <c r="D4370" i="30"/>
  <c r="D4371" i="30"/>
  <c r="D4372" i="30"/>
  <c r="D4373" i="30"/>
  <c r="D4374" i="30"/>
  <c r="D4375" i="30"/>
  <c r="D4376" i="30"/>
  <c r="D4377" i="30"/>
  <c r="D4378" i="30"/>
  <c r="D4379" i="30"/>
  <c r="D4380" i="30"/>
  <c r="D4381" i="30"/>
  <c r="D4382" i="30"/>
  <c r="D4383" i="30"/>
  <c r="D4384" i="30"/>
  <c r="D4385" i="30"/>
  <c r="D4386" i="30"/>
  <c r="D4387" i="30"/>
  <c r="D4388" i="30"/>
  <c r="D4389" i="30"/>
  <c r="D4390" i="30"/>
  <c r="D4391" i="30"/>
  <c r="D4392" i="30"/>
  <c r="D4393" i="30"/>
  <c r="D4394" i="30"/>
  <c r="D4395" i="30"/>
  <c r="D4396" i="30"/>
  <c r="D4397" i="30"/>
  <c r="D4398" i="30"/>
  <c r="D4399" i="30"/>
  <c r="D4400" i="30"/>
  <c r="D4401" i="30"/>
  <c r="D4402" i="30"/>
  <c r="D4403" i="30"/>
  <c r="D4404" i="30"/>
  <c r="D4405" i="30"/>
  <c r="D4406" i="30"/>
  <c r="D4407" i="30"/>
  <c r="D4408" i="30"/>
  <c r="D4409" i="30"/>
  <c r="D4410" i="30"/>
  <c r="D4411" i="30"/>
  <c r="D4412" i="30"/>
  <c r="D4413" i="30"/>
  <c r="D4415" i="30"/>
  <c r="D4416" i="30"/>
  <c r="D4417" i="30"/>
  <c r="D4418" i="30"/>
  <c r="D4419" i="30"/>
  <c r="D4420" i="30"/>
  <c r="D4421" i="30"/>
  <c r="D4422" i="30"/>
  <c r="D4423" i="30"/>
  <c r="D4424" i="30"/>
  <c r="D4425" i="30"/>
  <c r="D4426" i="30"/>
  <c r="D4427" i="30"/>
  <c r="D4428" i="30"/>
  <c r="D4429" i="30"/>
  <c r="D4430" i="30"/>
  <c r="D4431" i="30"/>
  <c r="D4432" i="30"/>
  <c r="D4433" i="30"/>
  <c r="D4434" i="30"/>
  <c r="D4435" i="30"/>
  <c r="D4436" i="30"/>
  <c r="D4437" i="30"/>
  <c r="D4438" i="30"/>
  <c r="D4439" i="30"/>
  <c r="D4440" i="30"/>
  <c r="D4441" i="30"/>
  <c r="D4442" i="30"/>
  <c r="D4443" i="30"/>
  <c r="D4444" i="30"/>
  <c r="D4445" i="30"/>
  <c r="D4446" i="30"/>
  <c r="D4447" i="30"/>
  <c r="D4448" i="30"/>
  <c r="D4449" i="30"/>
  <c r="D4450" i="30"/>
  <c r="D4451" i="30"/>
  <c r="D4452" i="30"/>
  <c r="D4453" i="30"/>
  <c r="D4454" i="30"/>
  <c r="D4455" i="30"/>
  <c r="D4456" i="30"/>
  <c r="D4457" i="30"/>
  <c r="D4458" i="30"/>
  <c r="D4459" i="30"/>
  <c r="D4460" i="30"/>
  <c r="D4461" i="30"/>
  <c r="D4462" i="30"/>
  <c r="D4463" i="30"/>
  <c r="D4464" i="30"/>
  <c r="D4465" i="30"/>
  <c r="D4466" i="30"/>
  <c r="D4467" i="30"/>
  <c r="D4468" i="30"/>
  <c r="D4469" i="30"/>
  <c r="D4470" i="30"/>
  <c r="D4471" i="30"/>
  <c r="D4472" i="30"/>
  <c r="D4473" i="30"/>
  <c r="D4474" i="30"/>
  <c r="D4475" i="30"/>
  <c r="D4476" i="30"/>
  <c r="D4477" i="30"/>
  <c r="D4478" i="30"/>
  <c r="D4479" i="30"/>
  <c r="D4480" i="30"/>
  <c r="D4481" i="30"/>
  <c r="D4482" i="30"/>
  <c r="D4483" i="30"/>
  <c r="D4484" i="30"/>
  <c r="D4485" i="30"/>
  <c r="D4486" i="30"/>
  <c r="D4487" i="30"/>
  <c r="D4488" i="30"/>
  <c r="D4489" i="30"/>
  <c r="D4490" i="30"/>
  <c r="D4491" i="30"/>
  <c r="D4492" i="30"/>
  <c r="D4493" i="30"/>
  <c r="D4494" i="30"/>
  <c r="D4495" i="30"/>
  <c r="D4496" i="30"/>
  <c r="D4497" i="30"/>
  <c r="D4498" i="30"/>
  <c r="D4499" i="30"/>
  <c r="D4500" i="30"/>
  <c r="D4501" i="30"/>
  <c r="D4502" i="30"/>
  <c r="D4503" i="30"/>
  <c r="D4504" i="30"/>
  <c r="D4505" i="30"/>
  <c r="D4506" i="30"/>
  <c r="D4507" i="30"/>
  <c r="D4508" i="30"/>
  <c r="D4509" i="30"/>
  <c r="D4510" i="30"/>
  <c r="D4513" i="30"/>
  <c r="D4514" i="30"/>
  <c r="D4515" i="30"/>
  <c r="D4516" i="30"/>
  <c r="D4517" i="30"/>
  <c r="D4518" i="30"/>
  <c r="D4519" i="30"/>
  <c r="D4520" i="30"/>
  <c r="D4521" i="30"/>
  <c r="D4522" i="30"/>
  <c r="D4523" i="30"/>
  <c r="D4524" i="30"/>
  <c r="D4525" i="30"/>
  <c r="D4526" i="30"/>
  <c r="D4527" i="30"/>
  <c r="D4528" i="30"/>
  <c r="D4529" i="30"/>
  <c r="D4530" i="30"/>
  <c r="D4531" i="30"/>
  <c r="D4532" i="30"/>
  <c r="D4533" i="30"/>
  <c r="D4534" i="30"/>
  <c r="D4535" i="30"/>
  <c r="D4536" i="30"/>
  <c r="D4537" i="30"/>
  <c r="D4538" i="30"/>
  <c r="D4539" i="30"/>
  <c r="D4540" i="30"/>
  <c r="D4541" i="30"/>
  <c r="D4542" i="30"/>
  <c r="D4543" i="30"/>
  <c r="D4544" i="30"/>
  <c r="D4545" i="30"/>
  <c r="D4546" i="30"/>
  <c r="D4547" i="30"/>
  <c r="D4548" i="30"/>
  <c r="D4549" i="30"/>
  <c r="D4550" i="30"/>
  <c r="D4551" i="30"/>
  <c r="D4552" i="30"/>
  <c r="D4553" i="30"/>
  <c r="D4554" i="30"/>
  <c r="D4555" i="30"/>
  <c r="D4556" i="30"/>
  <c r="D4557" i="30"/>
  <c r="D4558" i="30"/>
  <c r="D4559" i="30"/>
  <c r="D4560" i="30"/>
  <c r="D4561" i="30"/>
  <c r="D4562" i="30"/>
  <c r="D4563" i="30"/>
  <c r="D4564" i="30"/>
  <c r="D4565" i="30"/>
  <c r="D4566" i="30"/>
  <c r="D4567" i="30"/>
  <c r="D4568" i="30"/>
  <c r="D4569" i="30"/>
  <c r="D4570" i="30"/>
  <c r="D4571" i="30"/>
  <c r="D4572" i="30"/>
  <c r="D4573" i="30"/>
  <c r="D4574" i="30"/>
  <c r="D4575" i="30"/>
  <c r="D4576" i="30"/>
  <c r="D4577" i="30"/>
  <c r="D4578" i="30"/>
  <c r="D4579" i="30"/>
  <c r="D4580" i="30"/>
  <c r="D4581" i="30"/>
  <c r="D4582" i="30"/>
  <c r="D4583" i="30"/>
  <c r="D4584" i="30"/>
  <c r="D4585" i="30"/>
  <c r="D4592" i="30"/>
  <c r="D4593" i="30"/>
  <c r="D4594" i="30"/>
  <c r="D4595" i="30"/>
  <c r="D4596" i="30"/>
  <c r="D4597" i="30"/>
  <c r="D4598" i="30"/>
  <c r="D4599" i="30"/>
  <c r="D4600" i="30"/>
  <c r="D4601" i="30"/>
  <c r="D4602" i="30"/>
  <c r="D4603" i="30"/>
  <c r="D4604" i="30"/>
  <c r="D4605" i="30"/>
  <c r="D4606" i="30"/>
  <c r="D4607" i="30"/>
  <c r="D4608" i="30"/>
  <c r="D4609" i="30"/>
  <c r="D4610" i="30"/>
  <c r="D4611" i="30"/>
  <c r="D4612" i="30"/>
  <c r="D4613" i="30"/>
  <c r="D4614" i="30"/>
  <c r="D4615" i="30"/>
  <c r="D4616" i="30"/>
  <c r="D4617" i="30"/>
  <c r="D4618" i="30"/>
  <c r="D4619" i="30"/>
  <c r="D4620" i="30"/>
  <c r="D4621" i="30"/>
  <c r="D4622" i="30"/>
  <c r="D4623" i="30"/>
  <c r="D4624" i="30"/>
  <c r="D4625" i="30"/>
  <c r="D4626" i="30"/>
  <c r="D4627" i="30"/>
  <c r="D4628" i="30"/>
  <c r="D4629" i="30"/>
  <c r="D4630" i="30"/>
  <c r="D4631" i="30"/>
  <c r="D4632" i="30"/>
  <c r="D4633" i="30"/>
  <c r="D4634" i="30"/>
  <c r="D4635" i="30"/>
  <c r="D4636" i="30"/>
  <c r="D4637" i="30"/>
  <c r="D4638" i="30"/>
  <c r="D4639" i="30"/>
  <c r="D4640" i="30"/>
  <c r="D4641" i="30"/>
  <c r="D4642" i="30"/>
  <c r="D4643" i="30"/>
  <c r="D4644" i="30"/>
  <c r="D4645" i="30"/>
  <c r="D4646" i="30"/>
  <c r="D4647" i="30"/>
  <c r="D4648" i="30"/>
  <c r="D4649" i="30"/>
  <c r="D4650" i="30"/>
  <c r="D4651" i="30"/>
  <c r="D4652" i="30"/>
  <c r="D4653" i="30"/>
  <c r="D4654" i="30"/>
  <c r="D4655" i="30"/>
  <c r="D4656" i="30"/>
  <c r="D4657" i="30"/>
  <c r="D4658" i="30"/>
  <c r="D4659" i="30"/>
  <c r="D4660" i="30"/>
  <c r="D4661" i="30"/>
  <c r="D4662" i="30"/>
  <c r="D4663" i="30"/>
  <c r="D4664" i="30"/>
  <c r="D4665" i="30"/>
  <c r="D4666" i="30"/>
  <c r="D4667" i="30"/>
  <c r="D4668" i="30"/>
  <c r="D4669" i="30"/>
  <c r="D4670" i="30"/>
  <c r="D4671" i="30"/>
  <c r="D4672" i="30"/>
  <c r="D4673" i="30"/>
  <c r="D4674" i="30"/>
  <c r="D4675" i="30"/>
  <c r="D4676" i="30"/>
  <c r="D4677" i="30"/>
  <c r="D4678" i="30"/>
  <c r="D4679" i="30"/>
  <c r="D4680" i="30"/>
  <c r="D4681" i="30"/>
  <c r="D4682" i="30"/>
  <c r="D4683" i="30"/>
  <c r="D4684" i="30"/>
  <c r="D4685" i="30"/>
  <c r="D4686" i="30"/>
  <c r="D4687" i="30"/>
  <c r="D4688" i="30"/>
  <c r="D4689" i="30"/>
  <c r="D4690" i="30"/>
  <c r="D4691" i="30"/>
  <c r="D4692" i="30"/>
  <c r="D4693" i="30"/>
  <c r="D4694" i="30"/>
  <c r="D4695" i="30"/>
  <c r="D4696" i="30"/>
  <c r="D4697" i="30"/>
  <c r="D4698" i="30"/>
  <c r="D4699" i="30"/>
  <c r="D4700" i="30"/>
  <c r="D4701" i="30"/>
  <c r="D4702" i="30"/>
  <c r="D4703" i="30"/>
  <c r="D4704" i="30"/>
  <c r="D4705" i="30"/>
  <c r="D4706" i="30"/>
  <c r="D4707" i="30"/>
  <c r="D4708" i="30"/>
  <c r="D4709" i="30"/>
  <c r="D4710" i="30"/>
  <c r="D4711" i="30"/>
  <c r="D4712" i="30"/>
  <c r="D4713" i="30"/>
  <c r="D4714" i="30"/>
  <c r="D4715" i="30"/>
  <c r="D4716" i="30"/>
  <c r="D4717" i="30"/>
  <c r="D4718" i="30"/>
  <c r="D4719" i="30"/>
  <c r="D4720" i="30"/>
  <c r="D4721" i="30"/>
  <c r="D4722" i="30"/>
  <c r="D4723" i="30"/>
  <c r="D4724" i="30"/>
  <c r="D4725" i="30"/>
  <c r="D4726" i="30"/>
  <c r="D4727" i="30"/>
  <c r="D4728" i="30"/>
  <c r="D4729" i="30"/>
  <c r="D4730" i="30"/>
  <c r="D4731" i="30"/>
  <c r="D4732" i="30"/>
  <c r="D4733" i="30"/>
  <c r="D4734" i="30"/>
  <c r="D4735" i="30"/>
  <c r="D4736" i="30"/>
  <c r="D4737" i="30"/>
  <c r="D4738" i="30"/>
  <c r="D4739" i="30"/>
  <c r="D4740" i="30"/>
  <c r="D4741" i="30"/>
  <c r="D4742" i="30"/>
  <c r="D4743" i="30"/>
  <c r="D4744" i="30"/>
  <c r="D4745" i="30"/>
  <c r="D4746" i="30"/>
  <c r="D4747" i="30"/>
  <c r="D4748" i="30"/>
  <c r="D4749" i="30"/>
  <c r="D4750" i="30"/>
  <c r="D4751" i="30"/>
  <c r="D4752" i="30"/>
  <c r="D4753" i="30"/>
  <c r="D4754" i="30"/>
  <c r="D4755" i="30"/>
  <c r="D4756" i="30"/>
  <c r="D4757" i="30"/>
  <c r="D4758" i="30"/>
  <c r="D4759" i="30"/>
  <c r="D4760" i="30"/>
  <c r="D4761" i="30"/>
  <c r="D4762" i="30"/>
  <c r="D4763" i="30"/>
  <c r="D4764" i="30"/>
  <c r="D4765" i="30"/>
  <c r="D4766" i="30"/>
  <c r="D4767" i="30"/>
  <c r="D4768" i="30"/>
  <c r="D4769" i="30"/>
  <c r="D4770" i="30"/>
  <c r="D4771" i="30"/>
  <c r="D4772" i="30"/>
  <c r="D4773" i="30"/>
  <c r="D4774" i="30"/>
  <c r="D4775" i="30"/>
  <c r="D4776" i="30"/>
  <c r="D4777" i="30"/>
  <c r="D4778" i="30"/>
  <c r="D4779" i="30"/>
  <c r="D4780" i="30"/>
  <c r="D4781" i="30"/>
  <c r="D4782" i="30"/>
  <c r="D4783" i="30"/>
  <c r="D4784" i="30"/>
  <c r="D4785" i="30"/>
  <c r="D4786" i="30"/>
  <c r="D4787" i="30"/>
  <c r="D4788" i="30"/>
  <c r="D4789" i="30"/>
  <c r="D4790" i="30"/>
  <c r="D4791" i="30"/>
  <c r="D4792" i="30"/>
  <c r="D4793" i="30"/>
  <c r="D4794" i="30"/>
  <c r="D4795" i="30"/>
  <c r="D4796" i="30"/>
  <c r="D4797" i="30"/>
  <c r="D4798" i="30"/>
  <c r="D4799" i="30"/>
  <c r="D4800" i="30"/>
  <c r="D4801" i="30"/>
  <c r="D4802" i="30"/>
  <c r="D4803" i="30"/>
  <c r="D4804" i="30"/>
  <c r="D4805" i="30"/>
  <c r="D4806" i="30"/>
  <c r="D4807" i="30"/>
  <c r="D4808" i="30"/>
  <c r="D4809" i="30"/>
  <c r="D4810" i="30"/>
  <c r="D4811" i="30"/>
  <c r="D4812" i="30"/>
  <c r="D4813" i="30"/>
  <c r="D4814" i="30"/>
  <c r="D4815" i="30"/>
  <c r="D4816" i="30"/>
  <c r="D4817" i="30"/>
  <c r="D4818" i="30"/>
  <c r="D4819" i="30"/>
  <c r="D4820" i="30"/>
  <c r="D4821" i="30"/>
  <c r="D4822" i="30"/>
  <c r="D4823" i="30"/>
  <c r="D4824" i="30"/>
  <c r="D4825" i="30"/>
  <c r="D4826" i="30"/>
  <c r="D4827" i="30"/>
  <c r="D4828" i="30"/>
  <c r="D4829" i="30"/>
  <c r="D4830" i="30"/>
  <c r="D4831" i="30"/>
  <c r="D4832" i="30"/>
  <c r="D4833" i="30"/>
  <c r="D4834" i="30"/>
  <c r="D4835" i="30"/>
  <c r="D4836" i="30"/>
  <c r="D4837" i="30"/>
  <c r="D4838" i="30"/>
  <c r="D4839" i="30"/>
  <c r="D4840" i="30"/>
  <c r="D4841" i="30"/>
  <c r="D4842" i="30"/>
  <c r="D4843" i="30"/>
  <c r="D4844" i="30"/>
  <c r="D4845" i="30"/>
  <c r="D4846" i="30"/>
  <c r="D4847" i="30"/>
  <c r="D4848" i="30"/>
  <c r="D4849" i="30"/>
  <c r="D4850" i="30"/>
  <c r="D4851" i="30"/>
  <c r="D4852" i="30"/>
  <c r="D4853" i="30"/>
  <c r="D4854" i="30"/>
  <c r="D4855" i="30"/>
  <c r="D4856" i="30"/>
  <c r="D4857" i="30"/>
  <c r="D4858" i="30"/>
  <c r="D4859" i="30"/>
  <c r="D4860" i="30"/>
  <c r="D4861" i="30"/>
  <c r="D4862" i="30"/>
  <c r="D4863" i="30"/>
  <c r="D4864" i="30"/>
  <c r="D4865" i="30"/>
  <c r="D4866" i="30"/>
  <c r="D4867" i="30"/>
  <c r="D4868" i="30"/>
  <c r="D4869" i="30"/>
  <c r="D4870" i="30"/>
  <c r="D4871" i="30"/>
  <c r="D4872" i="30"/>
  <c r="D4873" i="30"/>
  <c r="D4874" i="30"/>
  <c r="D4875" i="30"/>
  <c r="D4876" i="30"/>
  <c r="D4877" i="30"/>
  <c r="D4878" i="30"/>
  <c r="D4879" i="30"/>
  <c r="D4880" i="30"/>
  <c r="D4881" i="30"/>
  <c r="D4882" i="30"/>
  <c r="D4883" i="30"/>
  <c r="D4884" i="30"/>
  <c r="D4885" i="30"/>
  <c r="D4886" i="30"/>
  <c r="D4887" i="30"/>
  <c r="D4888" i="30"/>
  <c r="D4889" i="30"/>
  <c r="D4890" i="30"/>
  <c r="D4891" i="30"/>
  <c r="D4892" i="30"/>
  <c r="D4893" i="30"/>
  <c r="D4894" i="30"/>
  <c r="D4895" i="30"/>
  <c r="D4896" i="30"/>
  <c r="D4897" i="30"/>
  <c r="D4898" i="30"/>
  <c r="D4899" i="30"/>
  <c r="D4900" i="30"/>
  <c r="D4901" i="30"/>
  <c r="D4902" i="30"/>
  <c r="D4903" i="30"/>
  <c r="D4904" i="30"/>
  <c r="D4905" i="30"/>
  <c r="D4906" i="30"/>
  <c r="D4907" i="30"/>
  <c r="D4908" i="30"/>
  <c r="D4909" i="30"/>
  <c r="D4910" i="30"/>
  <c r="D4911" i="30"/>
  <c r="D4912" i="30"/>
  <c r="D4913" i="30"/>
  <c r="D4914" i="30"/>
  <c r="D4915" i="30"/>
  <c r="D4916" i="30"/>
  <c r="D4917" i="30"/>
  <c r="D4918" i="30"/>
  <c r="D4919" i="30"/>
  <c r="D4920" i="30"/>
  <c r="D4921" i="30"/>
  <c r="D4922" i="30"/>
  <c r="D4923" i="30"/>
  <c r="D4924" i="30"/>
  <c r="D4925" i="30"/>
  <c r="D4926" i="30"/>
  <c r="D4927" i="30"/>
  <c r="D4928" i="30"/>
  <c r="D4929" i="30"/>
  <c r="D4930" i="30"/>
  <c r="D4931" i="30"/>
  <c r="D4932" i="30"/>
  <c r="D4933" i="30"/>
  <c r="D4934" i="30"/>
  <c r="D4935" i="30"/>
  <c r="D4936" i="30"/>
  <c r="D4937" i="30"/>
  <c r="D4938" i="30"/>
  <c r="D4939" i="30"/>
  <c r="D4940" i="30"/>
  <c r="D4941" i="30"/>
  <c r="D4942" i="30"/>
  <c r="D4943" i="30"/>
  <c r="D4944" i="30"/>
  <c r="D4945" i="30"/>
  <c r="D4946" i="30"/>
  <c r="D4947" i="30"/>
  <c r="D4948" i="30"/>
  <c r="D4949" i="30"/>
  <c r="D4950" i="30"/>
  <c r="D4951" i="30"/>
  <c r="D4952" i="30"/>
  <c r="D4953" i="30"/>
  <c r="D4954" i="30"/>
  <c r="D4955" i="30"/>
  <c r="D4956" i="30"/>
  <c r="D4957" i="30"/>
  <c r="D4958" i="30"/>
  <c r="D4959" i="30"/>
  <c r="D4960" i="30"/>
  <c r="D4961" i="30"/>
  <c r="D4962" i="30"/>
  <c r="D4963" i="30"/>
  <c r="D4964" i="30"/>
  <c r="D4965" i="30"/>
  <c r="D4966" i="30"/>
  <c r="D4967" i="30"/>
  <c r="D4968" i="30"/>
  <c r="D4969" i="30"/>
  <c r="D4970" i="30"/>
  <c r="D4971" i="30"/>
  <c r="D4972" i="30"/>
  <c r="D4973" i="30"/>
  <c r="D4974" i="30"/>
  <c r="D4975" i="30"/>
  <c r="D4976" i="30"/>
  <c r="D4977" i="30"/>
  <c r="D4978" i="30"/>
  <c r="D4979" i="30"/>
  <c r="D4980" i="30"/>
  <c r="D4981" i="30"/>
  <c r="D4982" i="30"/>
  <c r="D4983" i="30"/>
  <c r="D4984" i="30"/>
  <c r="D4985" i="30"/>
  <c r="D4986" i="30"/>
  <c r="D4987" i="30"/>
  <c r="D4988" i="30"/>
  <c r="D4989" i="30"/>
  <c r="D4990" i="30"/>
  <c r="D4991" i="30"/>
  <c r="D4992" i="30"/>
  <c r="D4993" i="30"/>
  <c r="D4994" i="30"/>
  <c r="D4995" i="30"/>
  <c r="D4996" i="30"/>
  <c r="D4997" i="30"/>
  <c r="D4998" i="30"/>
  <c r="D4999" i="30"/>
  <c r="D5000" i="30"/>
  <c r="D5001" i="30"/>
  <c r="D5002" i="30"/>
  <c r="D5003" i="30"/>
  <c r="D5004" i="30"/>
  <c r="D5005" i="30"/>
  <c r="D5006" i="30"/>
  <c r="D5007" i="30"/>
  <c r="D5008" i="30"/>
  <c r="D5009" i="30"/>
  <c r="D5010" i="30"/>
  <c r="D5011" i="30"/>
  <c r="D5012" i="30"/>
  <c r="D5013" i="30"/>
  <c r="D5014" i="30"/>
  <c r="D5015" i="30"/>
  <c r="D5016" i="30"/>
  <c r="D5017" i="30"/>
  <c r="D5018" i="30"/>
  <c r="D5020" i="30"/>
  <c r="D5021" i="30"/>
  <c r="D5022" i="30"/>
  <c r="D5023" i="30"/>
  <c r="D5024" i="30"/>
  <c r="D5025" i="30"/>
  <c r="D5026" i="30"/>
  <c r="D5027" i="30"/>
  <c r="D5028" i="30"/>
  <c r="D5029" i="30"/>
  <c r="D5030" i="30"/>
  <c r="D5031" i="30"/>
  <c r="D5032" i="30"/>
  <c r="D5033" i="30"/>
  <c r="D5034" i="30"/>
  <c r="D5035" i="30"/>
  <c r="D5036" i="30"/>
  <c r="D5037" i="30"/>
  <c r="D5038" i="30"/>
  <c r="D5039" i="30"/>
  <c r="D5040" i="30"/>
  <c r="D5041" i="30"/>
  <c r="D5042" i="30"/>
  <c r="D5043" i="30"/>
  <c r="D5044" i="30"/>
  <c r="D5045" i="30"/>
  <c r="D5046" i="30"/>
  <c r="D5047" i="30"/>
  <c r="D5048" i="30"/>
  <c r="D5049" i="30"/>
  <c r="D5050" i="30"/>
  <c r="D5051" i="30"/>
  <c r="D5052" i="30"/>
  <c r="D5053" i="30"/>
  <c r="D5054" i="30"/>
  <c r="D5055" i="30"/>
  <c r="D5056" i="30"/>
  <c r="D5057" i="30"/>
  <c r="D5058" i="30"/>
  <c r="D5059" i="30"/>
  <c r="D5060" i="30"/>
  <c r="D5061" i="30"/>
  <c r="D5062" i="30"/>
  <c r="D5063" i="30"/>
  <c r="D5064" i="30"/>
  <c r="D5065" i="30"/>
  <c r="D5066" i="30"/>
  <c r="D5067" i="30"/>
  <c r="D5068" i="30"/>
  <c r="D5069" i="30"/>
  <c r="D5070" i="30"/>
  <c r="D5071" i="30"/>
  <c r="D5072" i="30"/>
  <c r="D5073" i="30"/>
  <c r="D5074" i="30"/>
  <c r="D5075" i="30"/>
  <c r="D5076" i="30"/>
  <c r="D5077" i="30"/>
  <c r="D5078" i="30"/>
  <c r="D5079" i="30"/>
  <c r="D5080" i="30"/>
  <c r="D5081" i="30"/>
  <c r="D5082" i="30"/>
  <c r="D5083" i="30"/>
  <c r="D5084" i="30"/>
  <c r="D5085" i="30"/>
  <c r="D5086" i="30"/>
  <c r="D5087" i="30"/>
  <c r="D5088" i="30"/>
  <c r="D5089" i="30"/>
  <c r="D5090" i="30"/>
  <c r="D5091" i="30"/>
  <c r="D5092" i="30"/>
  <c r="D5093" i="30"/>
  <c r="D5094" i="30"/>
  <c r="D5095" i="30"/>
  <c r="D5096" i="30"/>
  <c r="D5097" i="30"/>
  <c r="D5098" i="30"/>
  <c r="D5099" i="30"/>
  <c r="D5100" i="30"/>
  <c r="D5101" i="30"/>
  <c r="D5102" i="30"/>
  <c r="D5103" i="30"/>
  <c r="D5104" i="30"/>
  <c r="D5105" i="30"/>
  <c r="D5106" i="30"/>
  <c r="D5107" i="30"/>
  <c r="D5108" i="30"/>
  <c r="D5109" i="30"/>
  <c r="D5110" i="30"/>
  <c r="D5111" i="30"/>
  <c r="D5112" i="30"/>
  <c r="D5113" i="30"/>
  <c r="D5114" i="30"/>
  <c r="D5115" i="30"/>
  <c r="D5116" i="30"/>
  <c r="D5117" i="30"/>
  <c r="D5118" i="30"/>
  <c r="D5119" i="30"/>
  <c r="D5120" i="30"/>
  <c r="D5121" i="30"/>
  <c r="D5122" i="30"/>
  <c r="D5123" i="30"/>
  <c r="D5124" i="30"/>
  <c r="D5125" i="30"/>
  <c r="D5126" i="30"/>
  <c r="D5127" i="30"/>
  <c r="D5128" i="30"/>
  <c r="D5129" i="30"/>
  <c r="D5130" i="30"/>
  <c r="D5131" i="30"/>
  <c r="D5132" i="30"/>
  <c r="D5133" i="30"/>
  <c r="D5134" i="30"/>
  <c r="D5135" i="30"/>
  <c r="D5136" i="30"/>
  <c r="D5137" i="30"/>
  <c r="D5138" i="30"/>
  <c r="D5139" i="30"/>
  <c r="D5140" i="30"/>
  <c r="D5141" i="30"/>
  <c r="D5142" i="30"/>
  <c r="D5143" i="30"/>
  <c r="D5144" i="30"/>
  <c r="D5145" i="30"/>
  <c r="D5146" i="30"/>
  <c r="D5147" i="30"/>
  <c r="D5148" i="30"/>
  <c r="D5149" i="30"/>
  <c r="D5157" i="30"/>
  <c r="D5158" i="30"/>
  <c r="D5159" i="30"/>
  <c r="D5160" i="30"/>
  <c r="D5161" i="30"/>
  <c r="D5162" i="30"/>
  <c r="D5163" i="30"/>
  <c r="D5164" i="30"/>
  <c r="D5165" i="30"/>
  <c r="D5166" i="30"/>
  <c r="D5167" i="30"/>
  <c r="D5168" i="30"/>
  <c r="D5169" i="30"/>
  <c r="D5170" i="30"/>
  <c r="D5171" i="30"/>
  <c r="D5172" i="30"/>
  <c r="D5173" i="30"/>
  <c r="D5174" i="30"/>
  <c r="D5175" i="30"/>
  <c r="D5176" i="30"/>
  <c r="D5177" i="30"/>
  <c r="D5178" i="30"/>
  <c r="D5179" i="30"/>
  <c r="D5180" i="30"/>
  <c r="D5181" i="30"/>
  <c r="D5182" i="30"/>
  <c r="D5183" i="30"/>
  <c r="D5184" i="30"/>
  <c r="D5185" i="30"/>
  <c r="D5186" i="30"/>
  <c r="D5187" i="30"/>
  <c r="D5188" i="30"/>
  <c r="D5189" i="30"/>
  <c r="D5190" i="30"/>
  <c r="D5191" i="30"/>
  <c r="D5192" i="30"/>
  <c r="D5193" i="30"/>
  <c r="D5194" i="30"/>
  <c r="D5195" i="30"/>
  <c r="D5196" i="30"/>
  <c r="D5197" i="30"/>
  <c r="D5198" i="30"/>
  <c r="D5199" i="30"/>
  <c r="D5200" i="30"/>
  <c r="D5201" i="30"/>
  <c r="D5202" i="30"/>
  <c r="D5203" i="30"/>
  <c r="D5204" i="30"/>
  <c r="D5205" i="30"/>
  <c r="D5206" i="30"/>
  <c r="D5207" i="30"/>
  <c r="D5208" i="30"/>
  <c r="D5209" i="30"/>
  <c r="D5210" i="30"/>
  <c r="D5211" i="30"/>
  <c r="D5212" i="30"/>
  <c r="D5213" i="30"/>
  <c r="D5214" i="30"/>
  <c r="D5215" i="30"/>
  <c r="D5216" i="30"/>
  <c r="D5217" i="30"/>
  <c r="D5218" i="30"/>
  <c r="D5219" i="30"/>
  <c r="D5220" i="30"/>
  <c r="D5221" i="30"/>
  <c r="D5222" i="30"/>
  <c r="D5223" i="30"/>
  <c r="D5224" i="30"/>
  <c r="D5225" i="30"/>
  <c r="D5226" i="30"/>
  <c r="D5227" i="30"/>
  <c r="D5228" i="30"/>
  <c r="D5229" i="30"/>
  <c r="D5230" i="30"/>
  <c r="D5231" i="30"/>
  <c r="D5232" i="30"/>
  <c r="D5233" i="30"/>
  <c r="D5234" i="30"/>
  <c r="D5235" i="30"/>
  <c r="D5236" i="30"/>
  <c r="D5237" i="30"/>
  <c r="D5238" i="30"/>
  <c r="D5239" i="30"/>
  <c r="D5240" i="30"/>
  <c r="D5241" i="30"/>
  <c r="D5242" i="30"/>
  <c r="D5243" i="30"/>
  <c r="D5244" i="30"/>
  <c r="D5245" i="30"/>
  <c r="D5246" i="30"/>
  <c r="D5247" i="30"/>
  <c r="D5248" i="30"/>
  <c r="D5249" i="30"/>
  <c r="D5250" i="30"/>
  <c r="D5251" i="30"/>
  <c r="D5252" i="30"/>
  <c r="D5253" i="30"/>
  <c r="D5254" i="30"/>
  <c r="D5255" i="30"/>
  <c r="D5256" i="30"/>
  <c r="D5257" i="30"/>
  <c r="D5258" i="30"/>
  <c r="D5259" i="30"/>
  <c r="D5260" i="30"/>
  <c r="D5261" i="30"/>
  <c r="D5262" i="30"/>
  <c r="D5263" i="30"/>
  <c r="D5264" i="30"/>
  <c r="D5265" i="30"/>
  <c r="D5266" i="30"/>
  <c r="D5267" i="30"/>
  <c r="D5268" i="30"/>
  <c r="D5269" i="30"/>
  <c r="D5270" i="30"/>
  <c r="D5271" i="30"/>
  <c r="D5272" i="30"/>
  <c r="D5273" i="30"/>
  <c r="D5274" i="30"/>
  <c r="D5275" i="30"/>
  <c r="D5276" i="30"/>
  <c r="D5277" i="30"/>
  <c r="D5278" i="30"/>
  <c r="D5279" i="30"/>
  <c r="D5280" i="30"/>
  <c r="D5281" i="30"/>
  <c r="D5282" i="30"/>
  <c r="D5283" i="30"/>
  <c r="D5284" i="30"/>
  <c r="D5285" i="30"/>
  <c r="D5286" i="30"/>
  <c r="D5287" i="30"/>
  <c r="D5288" i="30"/>
  <c r="D5289" i="30"/>
  <c r="D5290" i="30"/>
  <c r="D5291" i="30"/>
  <c r="D5292" i="30"/>
  <c r="D5293" i="30"/>
  <c r="D5294" i="30"/>
  <c r="D5295" i="30"/>
  <c r="D5296" i="30"/>
  <c r="D5297" i="30"/>
  <c r="D5298" i="30"/>
  <c r="D5299" i="30"/>
  <c r="D5300" i="30"/>
  <c r="D5301" i="30"/>
  <c r="D5302" i="30"/>
  <c r="D5303" i="30"/>
  <c r="D5304" i="30"/>
  <c r="D5305" i="30"/>
  <c r="D5306" i="30"/>
  <c r="D5307" i="30"/>
  <c r="D5308" i="30"/>
  <c r="D5309" i="30"/>
  <c r="D5310" i="30"/>
  <c r="D5311" i="30"/>
  <c r="D5312" i="30"/>
  <c r="D5313" i="30"/>
  <c r="D5314" i="30"/>
  <c r="D5315" i="30"/>
  <c r="D5316" i="30"/>
  <c r="D5317" i="30"/>
  <c r="D5318" i="30"/>
  <c r="D5319" i="30"/>
  <c r="D5320" i="30"/>
  <c r="D5321" i="30"/>
  <c r="D5322" i="30"/>
  <c r="D5323" i="30"/>
  <c r="D5324" i="30"/>
  <c r="D5325" i="30"/>
  <c r="D5326" i="30"/>
  <c r="D5327" i="30"/>
  <c r="D5328" i="30"/>
  <c r="D5329" i="30"/>
  <c r="D5330" i="30"/>
  <c r="D5331" i="30"/>
  <c r="D5332" i="30"/>
  <c r="D5333" i="30"/>
  <c r="D5334" i="30"/>
  <c r="D5335" i="30"/>
  <c r="D5336" i="30"/>
  <c r="D5337" i="30"/>
  <c r="D5338" i="30"/>
  <c r="D5339" i="30"/>
  <c r="D5340" i="30"/>
  <c r="D5341" i="30"/>
  <c r="D5342" i="30"/>
  <c r="D5343" i="30"/>
  <c r="D5344" i="30"/>
  <c r="D5345" i="30"/>
  <c r="D5346" i="30"/>
  <c r="D5347" i="30"/>
  <c r="D5348" i="30"/>
  <c r="D5349" i="30"/>
  <c r="D5350" i="30"/>
  <c r="D5351" i="30"/>
  <c r="D5352" i="30"/>
  <c r="D5353" i="30"/>
  <c r="D5354" i="30"/>
  <c r="D5355" i="30"/>
  <c r="D5356" i="30"/>
  <c r="D5357" i="30"/>
  <c r="D5358" i="30"/>
  <c r="D5359" i="30"/>
  <c r="D5360" i="30"/>
  <c r="D5361" i="30"/>
  <c r="D5362" i="30"/>
  <c r="D5363" i="30"/>
  <c r="D5364" i="30"/>
  <c r="D5365" i="30"/>
  <c r="D5366" i="30"/>
  <c r="D5367" i="30"/>
  <c r="D5368" i="30"/>
  <c r="D5369" i="30"/>
  <c r="D5370" i="30"/>
  <c r="D5371" i="30"/>
  <c r="D5372" i="30"/>
  <c r="D5373" i="30"/>
  <c r="D5374" i="30"/>
  <c r="D5375" i="30"/>
  <c r="D5376" i="30"/>
  <c r="D5377" i="30"/>
  <c r="D5378" i="30"/>
  <c r="D5379" i="30"/>
  <c r="D5380" i="30"/>
  <c r="D5381" i="30"/>
  <c r="D5382" i="30"/>
  <c r="D5383" i="30"/>
  <c r="D5384" i="30"/>
  <c r="D5385" i="30"/>
  <c r="D5386" i="30"/>
  <c r="D5387" i="30"/>
  <c r="D5388" i="30"/>
  <c r="D5389" i="30"/>
  <c r="D5390" i="30"/>
  <c r="D5391" i="30"/>
  <c r="D5392" i="30"/>
  <c r="D5393" i="30"/>
  <c r="D5394" i="30"/>
  <c r="D5395" i="30"/>
  <c r="D5396" i="30"/>
  <c r="D5397" i="30"/>
  <c r="D5398" i="30"/>
  <c r="D5399" i="30"/>
  <c r="D5400" i="30"/>
  <c r="D5401" i="30"/>
  <c r="D5402" i="30"/>
  <c r="D5403" i="30"/>
  <c r="D5404" i="30"/>
  <c r="D5405" i="30"/>
  <c r="D5406" i="30"/>
  <c r="D5407" i="30"/>
  <c r="D5408" i="30"/>
  <c r="D5409" i="30"/>
  <c r="D5410" i="30"/>
  <c r="D5411" i="30"/>
  <c r="D5412" i="30"/>
  <c r="D5413" i="30"/>
  <c r="D5414" i="30"/>
  <c r="D5415" i="30"/>
  <c r="D5416" i="30"/>
  <c r="D5417" i="30"/>
  <c r="D5418" i="30"/>
  <c r="D5419" i="30"/>
  <c r="D5420" i="30"/>
  <c r="D5421" i="30"/>
  <c r="D5422" i="30"/>
  <c r="D5423" i="30"/>
  <c r="D5424" i="30"/>
  <c r="D5425" i="30"/>
  <c r="D5426" i="30"/>
  <c r="D5427" i="30"/>
  <c r="D5428" i="30"/>
  <c r="D5429" i="30"/>
  <c r="D5430" i="30"/>
  <c r="D5431" i="30"/>
  <c r="D5432" i="30"/>
  <c r="D5433" i="30"/>
  <c r="D5434" i="30"/>
  <c r="D5435" i="30"/>
  <c r="D5436" i="30"/>
  <c r="D5437" i="30"/>
  <c r="D5438" i="30"/>
  <c r="D5439" i="30"/>
  <c r="D5440" i="30"/>
  <c r="D5441" i="30"/>
  <c r="D5442" i="30"/>
  <c r="D5443" i="30"/>
  <c r="D5444" i="30"/>
  <c r="D5445" i="30"/>
  <c r="D5446" i="30"/>
  <c r="D5447" i="30"/>
  <c r="D5448" i="30"/>
  <c r="D5449" i="30"/>
  <c r="D5450" i="30"/>
  <c r="D5451" i="30"/>
  <c r="D5452" i="30"/>
  <c r="D5453" i="30"/>
  <c r="D5454" i="30"/>
  <c r="D5455" i="30"/>
  <c r="D5456" i="30"/>
  <c r="D5457" i="30"/>
  <c r="D5458" i="30"/>
  <c r="D5459" i="30"/>
  <c r="D5460" i="30"/>
  <c r="D5461" i="30"/>
  <c r="D5462" i="30"/>
  <c r="D5463" i="30"/>
  <c r="D5464" i="30"/>
  <c r="D5465" i="30"/>
  <c r="D5466" i="30"/>
  <c r="D5467" i="30"/>
  <c r="D5468" i="30"/>
  <c r="D5469" i="30"/>
  <c r="D5470" i="30"/>
  <c r="D5471" i="30"/>
  <c r="D5472" i="30"/>
  <c r="D5473" i="30"/>
  <c r="D5474" i="30"/>
  <c r="D5475" i="30"/>
  <c r="D5476" i="30"/>
  <c r="D5477" i="30"/>
  <c r="D5478" i="30"/>
  <c r="D5479" i="30"/>
  <c r="D5480" i="30"/>
  <c r="D5481" i="30"/>
  <c r="D5482" i="30"/>
  <c r="D5483" i="30"/>
  <c r="D5484" i="30"/>
  <c r="D5485" i="30"/>
  <c r="D5486" i="30"/>
  <c r="D5487" i="30"/>
  <c r="D5488" i="30"/>
  <c r="D5489" i="30"/>
  <c r="D5490" i="30"/>
  <c r="D5491" i="30"/>
  <c r="D5492" i="30"/>
  <c r="D5493" i="30"/>
  <c r="D5494" i="30"/>
  <c r="D5495" i="30"/>
  <c r="D5496" i="30"/>
  <c r="D5497" i="30"/>
  <c r="D5498" i="30"/>
  <c r="D5499" i="30"/>
  <c r="D5500" i="30"/>
  <c r="D5501" i="30"/>
  <c r="D5502" i="30"/>
  <c r="D5503" i="30"/>
  <c r="D5504" i="30"/>
  <c r="D5505" i="30"/>
  <c r="D5506" i="30"/>
  <c r="D5507" i="30"/>
  <c r="D5508" i="30"/>
  <c r="D5509" i="30"/>
  <c r="D5510" i="30"/>
  <c r="D5511" i="30"/>
  <c r="D5512" i="30"/>
  <c r="D5513" i="30"/>
  <c r="D5514" i="30"/>
  <c r="D5515" i="30"/>
  <c r="D5516" i="30"/>
  <c r="D5517" i="30"/>
  <c r="D5518" i="30"/>
  <c r="D5519" i="30"/>
  <c r="D5520" i="30"/>
  <c r="D5521" i="30"/>
  <c r="D5522" i="30"/>
  <c r="D5523" i="30"/>
  <c r="D5524" i="30"/>
  <c r="D5525" i="30"/>
  <c r="D5526" i="30"/>
  <c r="D5527" i="30"/>
  <c r="D5528" i="30"/>
  <c r="D5529" i="30"/>
  <c r="D5530" i="30"/>
  <c r="D5531" i="30"/>
  <c r="D5532" i="30"/>
  <c r="D5533" i="30"/>
  <c r="D5534" i="30"/>
  <c r="D5535" i="30"/>
  <c r="D5536" i="30"/>
  <c r="D5537" i="30"/>
  <c r="D5538" i="30"/>
  <c r="D5539" i="30"/>
  <c r="D5540" i="30"/>
  <c r="D5541" i="30"/>
  <c r="D5542" i="30"/>
  <c r="D5543" i="30"/>
  <c r="D5544" i="30"/>
  <c r="D5545" i="30"/>
  <c r="D5546" i="30"/>
  <c r="D5547" i="30"/>
  <c r="D5548" i="30"/>
  <c r="D5549" i="30"/>
  <c r="D5550" i="30"/>
  <c r="D5551" i="30"/>
  <c r="D5552" i="30"/>
  <c r="D5553" i="30"/>
  <c r="D5554" i="30"/>
  <c r="D5555" i="30"/>
  <c r="D5556" i="30"/>
  <c r="D5557" i="30"/>
  <c r="D5558" i="30"/>
  <c r="D5559" i="30"/>
  <c r="D5560" i="30"/>
  <c r="D5561" i="30"/>
  <c r="D5562" i="30"/>
  <c r="D5563" i="30"/>
  <c r="D5564" i="30"/>
  <c r="D5565" i="30"/>
  <c r="D5566" i="30"/>
  <c r="D5567" i="30"/>
  <c r="D5568" i="30"/>
  <c r="D5569" i="30"/>
  <c r="D5570" i="30"/>
  <c r="D5571" i="30"/>
  <c r="D5572" i="30"/>
  <c r="D5573" i="30"/>
  <c r="D5574" i="30"/>
  <c r="D5575" i="30"/>
  <c r="D5576" i="30"/>
  <c r="D5577" i="30"/>
  <c r="D5578" i="30"/>
  <c r="D5579" i="30"/>
  <c r="D5580" i="30"/>
  <c r="D5581" i="30"/>
  <c r="D5582" i="30"/>
  <c r="D5583" i="30"/>
  <c r="D5584" i="30"/>
  <c r="D5585" i="30"/>
  <c r="D5586" i="30"/>
  <c r="D5587" i="30"/>
  <c r="D5588" i="30"/>
  <c r="D5589" i="30"/>
  <c r="D5590" i="30"/>
  <c r="D5591" i="30"/>
  <c r="D5592" i="30"/>
  <c r="D5593" i="30"/>
  <c r="D5594" i="30"/>
  <c r="D5595" i="30"/>
  <c r="D5596" i="30"/>
  <c r="D5597" i="30"/>
  <c r="D5598" i="30"/>
  <c r="D5599" i="30"/>
  <c r="D5600" i="30"/>
  <c r="D5601" i="30"/>
  <c r="D5602" i="30"/>
  <c r="D5603" i="30"/>
  <c r="D5604" i="30"/>
  <c r="D5605" i="30"/>
  <c r="D5606" i="30"/>
  <c r="D5607" i="30"/>
  <c r="D5608" i="30"/>
  <c r="D5609" i="30"/>
  <c r="D5610" i="30"/>
  <c r="D5611" i="30"/>
  <c r="D5612" i="30"/>
  <c r="D5613" i="30"/>
  <c r="D5614" i="30"/>
  <c r="D5615" i="30"/>
  <c r="D5616" i="30"/>
  <c r="D5617" i="30"/>
  <c r="D5618" i="30"/>
  <c r="D5619" i="30"/>
  <c r="D5620" i="30"/>
  <c r="D5621" i="30"/>
  <c r="D5622" i="30"/>
  <c r="D5623" i="30"/>
  <c r="D5624" i="30"/>
  <c r="D5625" i="30"/>
  <c r="D5626" i="30"/>
  <c r="D5627" i="30"/>
  <c r="D5628" i="30"/>
  <c r="D5629" i="30"/>
  <c r="D5630" i="30"/>
  <c r="D5631" i="30"/>
  <c r="D5632" i="30"/>
  <c r="D5633" i="30"/>
  <c r="D5634" i="30"/>
  <c r="D5635" i="30"/>
  <c r="D5636" i="30"/>
  <c r="D5637" i="30"/>
  <c r="D5638" i="30"/>
  <c r="D5639" i="30"/>
  <c r="D5640" i="30"/>
  <c r="D5641" i="30"/>
  <c r="D5642" i="30"/>
  <c r="D5643" i="30"/>
  <c r="D5644" i="30"/>
  <c r="D5645" i="30"/>
  <c r="D5646" i="30"/>
  <c r="D5647" i="30"/>
  <c r="D5648" i="30"/>
  <c r="D5649" i="30"/>
  <c r="D5650" i="30"/>
  <c r="D5651" i="30"/>
  <c r="D5652" i="30"/>
  <c r="D5653" i="30"/>
  <c r="D5654" i="30"/>
  <c r="D5655" i="30"/>
  <c r="D5656" i="30"/>
  <c r="D5657" i="30"/>
  <c r="D5658" i="30"/>
  <c r="D5659" i="30"/>
  <c r="D5660" i="30"/>
  <c r="D5661" i="30"/>
  <c r="D5662" i="30"/>
  <c r="D5663" i="30"/>
  <c r="D5664" i="30"/>
  <c r="D5665" i="30"/>
  <c r="D5666" i="30"/>
  <c r="D5667" i="30"/>
  <c r="D5668" i="30"/>
  <c r="D5669" i="30"/>
  <c r="D5670" i="30"/>
  <c r="D5671" i="30"/>
  <c r="D5672" i="30"/>
  <c r="D5673" i="30"/>
  <c r="D5674" i="30"/>
  <c r="D5675" i="30"/>
  <c r="D5676" i="30"/>
  <c r="D5677" i="30"/>
  <c r="D5678" i="30"/>
  <c r="D5679" i="30"/>
  <c r="D5680" i="30"/>
  <c r="D5681" i="30"/>
  <c r="D5682" i="30"/>
  <c r="D5683" i="30"/>
  <c r="D5684" i="30"/>
  <c r="D5685" i="30"/>
  <c r="D5686" i="30"/>
  <c r="D5687" i="30"/>
  <c r="D5688" i="30"/>
  <c r="D5689" i="30"/>
  <c r="D5690" i="30"/>
  <c r="D5691" i="30"/>
  <c r="D5692" i="30"/>
  <c r="D5693" i="30"/>
  <c r="D5694" i="30"/>
  <c r="D5695" i="30"/>
  <c r="D5696" i="30"/>
  <c r="D5697" i="30"/>
  <c r="D5698" i="30"/>
  <c r="D5699" i="30"/>
  <c r="D5700" i="30"/>
  <c r="D5701" i="30"/>
  <c r="D5702" i="30"/>
  <c r="D5703" i="30"/>
  <c r="D5704" i="30"/>
  <c r="D5705" i="30"/>
  <c r="D5706" i="30"/>
  <c r="D5707" i="30"/>
  <c r="D5708" i="30"/>
  <c r="D5709" i="30"/>
  <c r="D5710" i="30"/>
  <c r="D5711" i="30"/>
  <c r="D5712" i="30"/>
  <c r="D5713" i="30"/>
  <c r="D5714" i="30"/>
  <c r="D5715" i="30"/>
  <c r="D5716" i="30"/>
  <c r="D5717" i="30"/>
  <c r="D5718" i="30"/>
  <c r="D5719" i="30"/>
  <c r="D5720" i="30"/>
  <c r="D5721" i="30"/>
  <c r="D5722" i="30"/>
  <c r="D5723" i="30"/>
  <c r="D5724" i="30"/>
  <c r="D5725" i="30"/>
  <c r="D5726" i="30"/>
  <c r="D5727" i="30"/>
  <c r="D5728" i="30"/>
  <c r="D5729" i="30"/>
  <c r="D5730" i="30"/>
  <c r="D5731" i="30"/>
  <c r="D5732" i="30"/>
  <c r="D5733" i="30"/>
  <c r="D5734" i="30"/>
  <c r="D5735" i="30"/>
  <c r="D5736" i="30"/>
  <c r="D5737" i="30"/>
  <c r="D5738" i="30"/>
  <c r="D5739" i="30"/>
  <c r="D5740" i="30"/>
  <c r="D5741" i="30"/>
  <c r="D5742" i="30"/>
  <c r="D5743" i="30"/>
  <c r="D5744" i="30"/>
  <c r="D5745" i="30"/>
  <c r="D5746" i="30"/>
  <c r="D5747" i="30"/>
  <c r="D5748" i="30"/>
  <c r="D5749" i="30"/>
  <c r="D5750" i="30"/>
  <c r="D5751" i="30"/>
  <c r="D5752" i="30"/>
  <c r="D5753" i="30"/>
  <c r="D5754" i="30"/>
  <c r="D5755" i="30"/>
  <c r="D5756" i="30"/>
  <c r="D5757" i="30"/>
  <c r="D5758" i="30"/>
  <c r="D5759" i="30"/>
  <c r="D5760" i="30"/>
  <c r="D5761" i="30"/>
  <c r="D5762" i="30"/>
  <c r="D5763" i="30"/>
  <c r="D5764" i="30"/>
  <c r="D5765" i="30"/>
  <c r="D5766" i="30"/>
  <c r="D5767" i="30"/>
  <c r="D5768" i="30"/>
  <c r="D5769" i="30"/>
  <c r="D5770" i="30"/>
  <c r="D5771" i="30"/>
  <c r="D5772" i="30"/>
  <c r="D5773" i="30"/>
  <c r="D5774" i="30"/>
  <c r="D5775" i="30"/>
  <c r="D5776" i="30"/>
  <c r="D5777" i="30"/>
  <c r="D5778" i="30"/>
  <c r="D5779" i="30"/>
  <c r="D5780" i="30"/>
  <c r="D5781" i="30"/>
  <c r="D5782" i="30"/>
  <c r="D5783" i="30"/>
  <c r="D5784" i="30"/>
  <c r="D5785" i="30"/>
  <c r="D5786" i="30"/>
  <c r="D5787" i="30"/>
  <c r="D5788" i="30"/>
  <c r="D5789" i="30"/>
  <c r="D5790" i="30"/>
  <c r="D5791" i="30"/>
  <c r="D5792" i="30"/>
  <c r="D5793" i="30"/>
  <c r="D5794" i="30"/>
  <c r="D5795" i="30"/>
  <c r="D5796" i="30"/>
  <c r="D5797" i="30"/>
  <c r="D5798" i="30"/>
  <c r="D5799" i="30"/>
  <c r="D5800" i="30"/>
  <c r="D5801" i="30"/>
  <c r="D5802" i="30"/>
  <c r="D5803" i="30"/>
  <c r="D5804" i="30"/>
  <c r="D5805" i="30"/>
  <c r="D5806" i="30"/>
  <c r="D5807" i="30"/>
  <c r="D5808" i="30"/>
  <c r="D5809" i="30"/>
  <c r="D5810" i="30"/>
  <c r="D5811" i="30"/>
  <c r="D5812" i="30"/>
  <c r="D5813" i="30"/>
  <c r="D5814" i="30"/>
  <c r="D5815" i="30"/>
  <c r="D5816" i="30"/>
  <c r="D5817" i="30"/>
  <c r="D5818" i="30"/>
  <c r="D5819" i="30"/>
  <c r="D5820" i="30"/>
  <c r="D5821" i="30"/>
  <c r="D5822" i="30"/>
  <c r="D5823" i="30"/>
  <c r="D5824" i="30"/>
  <c r="D5825" i="30"/>
  <c r="D5826" i="30"/>
  <c r="D5827" i="30"/>
  <c r="D5828" i="30"/>
  <c r="D5829" i="30"/>
  <c r="D5830" i="30"/>
  <c r="D5831" i="30"/>
  <c r="D5832" i="30"/>
  <c r="D5833" i="30"/>
  <c r="D5834" i="30"/>
  <c r="D5836" i="30"/>
  <c r="D5837" i="30"/>
  <c r="D5838" i="30"/>
  <c r="D5839" i="30"/>
  <c r="D5840" i="30"/>
  <c r="D5841" i="30"/>
  <c r="D5842" i="30"/>
  <c r="D5843" i="30"/>
  <c r="D5844" i="30"/>
  <c r="D5845" i="30"/>
  <c r="D5846" i="30"/>
  <c r="D5847" i="30"/>
  <c r="D5848" i="30"/>
  <c r="D5849" i="30"/>
  <c r="D5850" i="30"/>
  <c r="D5851" i="30"/>
  <c r="D5852" i="30"/>
  <c r="D5853" i="30"/>
  <c r="D5854" i="30"/>
  <c r="D5855" i="30"/>
  <c r="D5856" i="30"/>
  <c r="D5857" i="30"/>
  <c r="D5858" i="30"/>
  <c r="D5859" i="30"/>
  <c r="D5860" i="30"/>
  <c r="D5861" i="30"/>
  <c r="D5862" i="30"/>
  <c r="D5863" i="30"/>
  <c r="D5864" i="30"/>
  <c r="D5865" i="30"/>
  <c r="D5866" i="30"/>
  <c r="D5867" i="30"/>
  <c r="D5868" i="30"/>
  <c r="D5869" i="30"/>
  <c r="D5870" i="30"/>
  <c r="D5871" i="30"/>
  <c r="D5872" i="30"/>
  <c r="D5873" i="30"/>
  <c r="D5874" i="30"/>
  <c r="D5875" i="30"/>
  <c r="D5876" i="30"/>
  <c r="D5877" i="30"/>
  <c r="D5878" i="30"/>
  <c r="D5879" i="30"/>
  <c r="D5880" i="30"/>
  <c r="D5881" i="30"/>
  <c r="D5882" i="30"/>
  <c r="D5883" i="30"/>
  <c r="D5884" i="30"/>
  <c r="D5885" i="30"/>
  <c r="D5886" i="30"/>
  <c r="D5887" i="30"/>
  <c r="D5888" i="30"/>
  <c r="D5889" i="30"/>
  <c r="D5890" i="30"/>
  <c r="D5891" i="30"/>
  <c r="D5892" i="30"/>
  <c r="D5893" i="30"/>
  <c r="D5894" i="30"/>
  <c r="D5895" i="30"/>
  <c r="D5896" i="30"/>
  <c r="D5897" i="30"/>
  <c r="D5898" i="30"/>
  <c r="D5899" i="30"/>
  <c r="D5900" i="30"/>
  <c r="D5901" i="30"/>
  <c r="D5902" i="30"/>
  <c r="D5903" i="30"/>
  <c r="D5904" i="30"/>
  <c r="D5905" i="30"/>
  <c r="D5906" i="30"/>
  <c r="D5907" i="30"/>
  <c r="D5908" i="30"/>
  <c r="D5909" i="30"/>
  <c r="D5910" i="30"/>
  <c r="D5911" i="30"/>
  <c r="D5912" i="30"/>
  <c r="D5913" i="30"/>
  <c r="D5914" i="30"/>
  <c r="D5915" i="30"/>
  <c r="D5916" i="30"/>
  <c r="D5917" i="30"/>
  <c r="D5918" i="30"/>
  <c r="D5919" i="30"/>
  <c r="D5920" i="30"/>
  <c r="D5921" i="30"/>
  <c r="D5922" i="30"/>
  <c r="D5923" i="30"/>
  <c r="D5924" i="30"/>
  <c r="D5925" i="30"/>
  <c r="D5926" i="30"/>
  <c r="D5927" i="30"/>
  <c r="D5928" i="30"/>
  <c r="D5929" i="30"/>
  <c r="D5930" i="30"/>
  <c r="D5931" i="30"/>
  <c r="D5932" i="30"/>
  <c r="D5933" i="30"/>
  <c r="D5934" i="30"/>
  <c r="D5935" i="30"/>
  <c r="D5936" i="30"/>
  <c r="D5937" i="30"/>
  <c r="D5938" i="30"/>
  <c r="D5939" i="30"/>
  <c r="D5940" i="30"/>
  <c r="D5941" i="30"/>
  <c r="D5942" i="30"/>
  <c r="D5943" i="30"/>
  <c r="D5944" i="30"/>
  <c r="D5945" i="30"/>
  <c r="D5946" i="30"/>
  <c r="D5947" i="30"/>
  <c r="D5948" i="30"/>
  <c r="D5949" i="30"/>
  <c r="D5950" i="30"/>
  <c r="D5951" i="30"/>
  <c r="D5952" i="30"/>
  <c r="D5953" i="30"/>
  <c r="D5954" i="30"/>
  <c r="D5955" i="30"/>
  <c r="D5956" i="30"/>
  <c r="D5957" i="30"/>
  <c r="D5958" i="30"/>
  <c r="D5959" i="30"/>
  <c r="D5960" i="30"/>
  <c r="D5961" i="30"/>
  <c r="D5962" i="30"/>
  <c r="D5964" i="30"/>
  <c r="D5965" i="30"/>
  <c r="D5966" i="30"/>
  <c r="D5967" i="30"/>
  <c r="D5968" i="30"/>
  <c r="D5969" i="30"/>
  <c r="D5970" i="30"/>
  <c r="D5971" i="30"/>
  <c r="D5972" i="30"/>
  <c r="D5973" i="30"/>
  <c r="D5974" i="30"/>
  <c r="D5975" i="30"/>
  <c r="D5976" i="30"/>
  <c r="D5977" i="30"/>
  <c r="D5978" i="30"/>
  <c r="D5979" i="30"/>
  <c r="D5980" i="30"/>
  <c r="D5981" i="30"/>
  <c r="D5982" i="30"/>
  <c r="D5983" i="30"/>
  <c r="D5984" i="30"/>
  <c r="D5985" i="30"/>
  <c r="D5986" i="30"/>
  <c r="D5987" i="30"/>
  <c r="D5988" i="30"/>
  <c r="D5989" i="30"/>
  <c r="D5990" i="30"/>
  <c r="D5991" i="30"/>
  <c r="D5992" i="30"/>
  <c r="D5993" i="30"/>
  <c r="D5994" i="30"/>
  <c r="D5995" i="30"/>
  <c r="D5996" i="30"/>
  <c r="D5997" i="30"/>
  <c r="D5998" i="30"/>
  <c r="D5999" i="30"/>
  <c r="D6000" i="30"/>
  <c r="D6001" i="30"/>
  <c r="D6002" i="30"/>
  <c r="D6003" i="30"/>
  <c r="D6004" i="30"/>
  <c r="D6005" i="30"/>
  <c r="D6006" i="30"/>
  <c r="D6010" i="30"/>
  <c r="D6011" i="30"/>
  <c r="D6012" i="30"/>
  <c r="D6013" i="30"/>
  <c r="D6014" i="30"/>
  <c r="D6015" i="30"/>
  <c r="D6016" i="30"/>
  <c r="D6017" i="30"/>
  <c r="D6018" i="30"/>
  <c r="D6019" i="30"/>
  <c r="D6020" i="30"/>
  <c r="D6021" i="30"/>
  <c r="D6022" i="30"/>
  <c r="D6023" i="30"/>
  <c r="D6024" i="30"/>
  <c r="D6025" i="30"/>
  <c r="D6026" i="30"/>
  <c r="D6027" i="30"/>
  <c r="D6028" i="30"/>
  <c r="D6029" i="30"/>
  <c r="D6030" i="30"/>
  <c r="D6031" i="30"/>
  <c r="D6032" i="30"/>
  <c r="D6033" i="30"/>
  <c r="D6034" i="30"/>
  <c r="D6035" i="30"/>
  <c r="D6036" i="30"/>
  <c r="D6037" i="30"/>
  <c r="D6038" i="30"/>
  <c r="D6039" i="30"/>
  <c r="D6040" i="30"/>
  <c r="D6041" i="30"/>
  <c r="D6042" i="30"/>
  <c r="D6043" i="30"/>
  <c r="D6044" i="30"/>
  <c r="D6045" i="30"/>
  <c r="D6046" i="30"/>
  <c r="D6047" i="30"/>
  <c r="D6048" i="30"/>
  <c r="D6049" i="30"/>
  <c r="D6050" i="30"/>
  <c r="D6051" i="30"/>
  <c r="D6052" i="30"/>
  <c r="D6053" i="30"/>
  <c r="D6054" i="30"/>
  <c r="D6055" i="30"/>
  <c r="D6056" i="30"/>
  <c r="D6057" i="30"/>
  <c r="D6058" i="30"/>
  <c r="D6059" i="30"/>
  <c r="D6060" i="30"/>
  <c r="D6064" i="30"/>
  <c r="D6065" i="30"/>
  <c r="D6066" i="30"/>
  <c r="D6067" i="30"/>
  <c r="D6068" i="30"/>
  <c r="D6069" i="30"/>
  <c r="D6070" i="30"/>
  <c r="D6071" i="30"/>
  <c r="D6072" i="30"/>
  <c r="D6073" i="30"/>
  <c r="D6074" i="30"/>
  <c r="D6075" i="30"/>
  <c r="D6076" i="30"/>
  <c r="D6077" i="30"/>
  <c r="D6078" i="30"/>
  <c r="D6079" i="30"/>
  <c r="D6080" i="30"/>
  <c r="D6081" i="30"/>
  <c r="D6082" i="30"/>
  <c r="D6083" i="30"/>
  <c r="D6084" i="30"/>
  <c r="D6085" i="30"/>
  <c r="D6086" i="30"/>
  <c r="D6087" i="30"/>
  <c r="D6088" i="30"/>
  <c r="D6089" i="30"/>
  <c r="D6090" i="30"/>
  <c r="D6091" i="30"/>
  <c r="D6092" i="30"/>
  <c r="D6093" i="30"/>
  <c r="D6094" i="30"/>
  <c r="D6095" i="30"/>
  <c r="D6096" i="30"/>
  <c r="D6097" i="30"/>
  <c r="D6098" i="30"/>
  <c r="D6099" i="30"/>
  <c r="D6100" i="30"/>
  <c r="D6101" i="30"/>
  <c r="D6102" i="30"/>
  <c r="D6103" i="30"/>
  <c r="D6104" i="30"/>
  <c r="D6105" i="30"/>
  <c r="D6106" i="30"/>
  <c r="D6107" i="30"/>
  <c r="D6108" i="30"/>
  <c r="D6109" i="30"/>
  <c r="D6110" i="30"/>
  <c r="D6111" i="30"/>
  <c r="D6112" i="30"/>
  <c r="D6113" i="30"/>
  <c r="D6114" i="30"/>
  <c r="D6115" i="30"/>
  <c r="D6116" i="30"/>
  <c r="D6117" i="30"/>
  <c r="D6118" i="30"/>
  <c r="D6119" i="30"/>
  <c r="D6120" i="30"/>
  <c r="D6121" i="30"/>
  <c r="D6122" i="30"/>
  <c r="D6123" i="30"/>
  <c r="D6124" i="30"/>
  <c r="D6125" i="30"/>
  <c r="D6126" i="30"/>
  <c r="D6127" i="30"/>
  <c r="D6128" i="30"/>
  <c r="D6129" i="30"/>
  <c r="D6130" i="30"/>
  <c r="D6131" i="30"/>
  <c r="D6132" i="30"/>
  <c r="D6133" i="30"/>
  <c r="D6134" i="30"/>
  <c r="D6135" i="30"/>
  <c r="D6136" i="30"/>
  <c r="D6137" i="30"/>
  <c r="D6138" i="30"/>
  <c r="D6139" i="30"/>
  <c r="D6140" i="30"/>
  <c r="D6141" i="30"/>
  <c r="D6142" i="30"/>
  <c r="D6143" i="30"/>
  <c r="D6152" i="30"/>
  <c r="D6153" i="30"/>
  <c r="D6154" i="30"/>
  <c r="D6155" i="30"/>
  <c r="D6156" i="30"/>
  <c r="D6157" i="30"/>
  <c r="D6158" i="30"/>
  <c r="D6159" i="30"/>
  <c r="D6160" i="30"/>
  <c r="D6161" i="30"/>
  <c r="D6162" i="30"/>
  <c r="D6163" i="30"/>
  <c r="D6164" i="30"/>
  <c r="D6165" i="30"/>
  <c r="D6166" i="30"/>
  <c r="D6167" i="30"/>
  <c r="D6168" i="30"/>
  <c r="D6169" i="30"/>
  <c r="D6170" i="30"/>
  <c r="D6171" i="30"/>
  <c r="D6172" i="30"/>
  <c r="D6173" i="30"/>
  <c r="D6174" i="30"/>
  <c r="D6175" i="30"/>
  <c r="D6176" i="30"/>
  <c r="D6177" i="30"/>
  <c r="D6178" i="30"/>
  <c r="D6179" i="30"/>
  <c r="D6180" i="30"/>
  <c r="D6181" i="30"/>
  <c r="D6182" i="30"/>
  <c r="D6183" i="30"/>
  <c r="D6184" i="30"/>
  <c r="D6185" i="30"/>
  <c r="D6186" i="30"/>
  <c r="D6187" i="30"/>
  <c r="D6188" i="30"/>
  <c r="D6189" i="30"/>
  <c r="D6190" i="30"/>
  <c r="D6191" i="30"/>
  <c r="D6192" i="30"/>
  <c r="D6193" i="30"/>
  <c r="D6194" i="30"/>
  <c r="D6195" i="30"/>
  <c r="D6196" i="30"/>
  <c r="D6197" i="30"/>
  <c r="D6198" i="30"/>
  <c r="D6199" i="30"/>
  <c r="D6200" i="30"/>
  <c r="D6201" i="30"/>
  <c r="D6202" i="30"/>
  <c r="D6203" i="30"/>
  <c r="D6204" i="30"/>
  <c r="D6205" i="30"/>
  <c r="D6206" i="30"/>
  <c r="D6207" i="30"/>
  <c r="D6208" i="30"/>
  <c r="D6209" i="30"/>
  <c r="D6210" i="30"/>
  <c r="D6211" i="30"/>
  <c r="D6212" i="30"/>
  <c r="D6213" i="30"/>
  <c r="D6214" i="30"/>
  <c r="D6215" i="30"/>
  <c r="D6216" i="30"/>
  <c r="D6217" i="30"/>
  <c r="D6218" i="30"/>
  <c r="D6219" i="30"/>
  <c r="D6220" i="30"/>
  <c r="D6221" i="30"/>
  <c r="D6222" i="30"/>
  <c r="D6223" i="30"/>
  <c r="D6224" i="30"/>
  <c r="D6225" i="30"/>
  <c r="D6226" i="30"/>
  <c r="D6227" i="30"/>
  <c r="D6228" i="30"/>
  <c r="D6229" i="30"/>
  <c r="D6230" i="30"/>
  <c r="D6231" i="30"/>
  <c r="D6232" i="30"/>
  <c r="D6233" i="30"/>
  <c r="D6234" i="30"/>
  <c r="D6235" i="30"/>
  <c r="D6236" i="30"/>
  <c r="D6237" i="30"/>
  <c r="D6238" i="30"/>
  <c r="D6239" i="30"/>
  <c r="D6240" i="30"/>
  <c r="D6241" i="30"/>
  <c r="D6242" i="30"/>
  <c r="D6243" i="30"/>
  <c r="D6244" i="30"/>
  <c r="D6245" i="30"/>
  <c r="D6246" i="30"/>
  <c r="D6247" i="30"/>
  <c r="D6248" i="30"/>
  <c r="D6249" i="30"/>
  <c r="D6250" i="30"/>
  <c r="D6251" i="30"/>
  <c r="D6252" i="30"/>
  <c r="D6253" i="30"/>
  <c r="D6254" i="30"/>
  <c r="D6255" i="30"/>
  <c r="D6256" i="30"/>
  <c r="D6257" i="30"/>
  <c r="D6258" i="30"/>
  <c r="D6259" i="30"/>
  <c r="D6260" i="30"/>
  <c r="D6261" i="30"/>
  <c r="D6262" i="30"/>
  <c r="D6263" i="30"/>
  <c r="D6264" i="30"/>
  <c r="D6265" i="30"/>
  <c r="D6266" i="30"/>
  <c r="D6267" i="30"/>
  <c r="D6268" i="30"/>
  <c r="D6269" i="30"/>
  <c r="D6270" i="30"/>
  <c r="D6271" i="30"/>
  <c r="D6272" i="30"/>
  <c r="D6273" i="30"/>
  <c r="D6274" i="30"/>
  <c r="D6275" i="30"/>
  <c r="D6276" i="30"/>
  <c r="D6277" i="30"/>
  <c r="D6278" i="30"/>
  <c r="D6279" i="30"/>
  <c r="D6280" i="30"/>
  <c r="D6281" i="30"/>
  <c r="D6282" i="30"/>
  <c r="D6283" i="30"/>
  <c r="D6284" i="30"/>
  <c r="D6285" i="30"/>
  <c r="D6286" i="30"/>
  <c r="D6287" i="30"/>
  <c r="D6288" i="30"/>
  <c r="D6289" i="30"/>
  <c r="D6290" i="30"/>
  <c r="D6291" i="30"/>
  <c r="D6292" i="30"/>
  <c r="D6293" i="30"/>
  <c r="D6294" i="30"/>
  <c r="D6295" i="30"/>
  <c r="D6296" i="30"/>
  <c r="D6297" i="30"/>
  <c r="D6298" i="30"/>
  <c r="D6299" i="30"/>
  <c r="D6300" i="30"/>
  <c r="D6301" i="30"/>
  <c r="D6302" i="30"/>
  <c r="D6303" i="30"/>
  <c r="D6304" i="30"/>
  <c r="D6305" i="30"/>
  <c r="D6306" i="30"/>
  <c r="D6307" i="30"/>
  <c r="D6308" i="30"/>
  <c r="D6309" i="30"/>
  <c r="D6310" i="30"/>
  <c r="D6311" i="30"/>
  <c r="D6312" i="30"/>
  <c r="D6313" i="30"/>
  <c r="D6314" i="30"/>
  <c r="D6315" i="30"/>
  <c r="D6316" i="30"/>
  <c r="D6317" i="30"/>
  <c r="D6318" i="30"/>
  <c r="D6319" i="30"/>
  <c r="D6320" i="30"/>
  <c r="D6321" i="30"/>
  <c r="D6322" i="30"/>
  <c r="D6323" i="30"/>
  <c r="D6324" i="30"/>
  <c r="D6325" i="30"/>
  <c r="D6326" i="30"/>
  <c r="D6327" i="30"/>
  <c r="D6328" i="30"/>
  <c r="D6329" i="30"/>
  <c r="D6330" i="30"/>
  <c r="D6331" i="30"/>
  <c r="D6332" i="30"/>
  <c r="D6333" i="30"/>
  <c r="D6334" i="30"/>
  <c r="D6335" i="30"/>
  <c r="D6336" i="30"/>
  <c r="D6337" i="30"/>
  <c r="D6338" i="30"/>
  <c r="D6339" i="30"/>
  <c r="D6340" i="30"/>
  <c r="D6341" i="30"/>
  <c r="D6342" i="30"/>
  <c r="D6343" i="30"/>
  <c r="D6344" i="30"/>
  <c r="D6345" i="30"/>
  <c r="D6346" i="30"/>
  <c r="D6347" i="30"/>
  <c r="D6348" i="30"/>
  <c r="D6349" i="30"/>
  <c r="D6350" i="30"/>
  <c r="D6351" i="30"/>
  <c r="D6352" i="30"/>
  <c r="D6353" i="30"/>
  <c r="D6354" i="30"/>
  <c r="D6355" i="30"/>
  <c r="D6356" i="30"/>
  <c r="D6357" i="30"/>
  <c r="D6358" i="30"/>
  <c r="D6359" i="30"/>
  <c r="D6360" i="30"/>
  <c r="D6361" i="30"/>
  <c r="D6362" i="30"/>
  <c r="D6363" i="30"/>
  <c r="D6364" i="30"/>
  <c r="D6365" i="30"/>
  <c r="D6366" i="30"/>
  <c r="D6367" i="30"/>
  <c r="D6368" i="30"/>
  <c r="D6369" i="30"/>
  <c r="D6370" i="30"/>
  <c r="D6371" i="30"/>
  <c r="D6372" i="30"/>
  <c r="D6373" i="30"/>
  <c r="D6374" i="30"/>
  <c r="D6375" i="30"/>
  <c r="D6376" i="30"/>
  <c r="D6377" i="30"/>
  <c r="D6378" i="30"/>
  <c r="D6379" i="30"/>
  <c r="D6380" i="30"/>
  <c r="D6381" i="30"/>
  <c r="D6382" i="30"/>
  <c r="D6383" i="30"/>
  <c r="D6384" i="30"/>
  <c r="D6385" i="30"/>
  <c r="D6386" i="30"/>
  <c r="D6387" i="30"/>
  <c r="D6388" i="30"/>
  <c r="D6389" i="30"/>
  <c r="D6390" i="30"/>
  <c r="D6391" i="30"/>
  <c r="D6392" i="30"/>
  <c r="D6393" i="30"/>
  <c r="D6394" i="30"/>
  <c r="D6395" i="30"/>
  <c r="D6396" i="30"/>
  <c r="D6397" i="30"/>
  <c r="D6398" i="30"/>
  <c r="D6399" i="30"/>
  <c r="D6400" i="30"/>
  <c r="D6401" i="30"/>
  <c r="D6402" i="30"/>
  <c r="D6403" i="30"/>
  <c r="D6404" i="30"/>
  <c r="D6405" i="30"/>
  <c r="D6406" i="30"/>
  <c r="D6407" i="30"/>
  <c r="D6408" i="30"/>
  <c r="D6409" i="30"/>
  <c r="D6410" i="30"/>
  <c r="D6411" i="30"/>
  <c r="D6412" i="30"/>
  <c r="D6413" i="30"/>
  <c r="D6414" i="30"/>
  <c r="D6415" i="30"/>
  <c r="D6416" i="30"/>
  <c r="D6417" i="30"/>
  <c r="D6418" i="30"/>
  <c r="D6419" i="30"/>
  <c r="D6420" i="30"/>
  <c r="D6421" i="30"/>
  <c r="D6422" i="30"/>
  <c r="D6423" i="30"/>
  <c r="D6424" i="30"/>
  <c r="D6425" i="30"/>
  <c r="D6426" i="30"/>
  <c r="D6427" i="30"/>
  <c r="D6428" i="30"/>
  <c r="D6429" i="30"/>
  <c r="D6430" i="30"/>
  <c r="D6431" i="30"/>
  <c r="D6432" i="30"/>
  <c r="D6433" i="30"/>
  <c r="D6434" i="30"/>
  <c r="D6435" i="30"/>
  <c r="D6436" i="30"/>
  <c r="D6437" i="30"/>
  <c r="D6438" i="30"/>
  <c r="D6439" i="30"/>
  <c r="D6440" i="30"/>
  <c r="D6441" i="30"/>
  <c r="D6442" i="30"/>
  <c r="D6443" i="30"/>
  <c r="D6444" i="30"/>
  <c r="D6445" i="30"/>
  <c r="D6446" i="30"/>
  <c r="D6447" i="30"/>
  <c r="D6448" i="30"/>
  <c r="D6449" i="30"/>
  <c r="D6450" i="30"/>
  <c r="D6451" i="30"/>
  <c r="D6452" i="30"/>
  <c r="D6453" i="30"/>
  <c r="D6454" i="30"/>
  <c r="D6455" i="30"/>
  <c r="D6456" i="30"/>
  <c r="D6457" i="30"/>
  <c r="D6458" i="30"/>
  <c r="D6459" i="30"/>
  <c r="D6460" i="30"/>
  <c r="D6461" i="30"/>
  <c r="D6462" i="30"/>
  <c r="D6463" i="30"/>
  <c r="D6464" i="30"/>
  <c r="D6465" i="30"/>
  <c r="D6466" i="30"/>
  <c r="D6467" i="30"/>
  <c r="D6468" i="30"/>
  <c r="D6469" i="30"/>
  <c r="D6470" i="30"/>
  <c r="D6471" i="30"/>
  <c r="D6472" i="30"/>
  <c r="D6473" i="30"/>
  <c r="D6474" i="30"/>
  <c r="D6475" i="30"/>
  <c r="D6476" i="30"/>
  <c r="D6477" i="30"/>
  <c r="D6478" i="30"/>
  <c r="D6479" i="30"/>
  <c r="D6480" i="30"/>
  <c r="D6481" i="30"/>
  <c r="D6482" i="30"/>
  <c r="D6483" i="30"/>
  <c r="D6484" i="30"/>
  <c r="D6485" i="30"/>
  <c r="D6486" i="30"/>
  <c r="D6487" i="30"/>
  <c r="D6488" i="30"/>
  <c r="D6489" i="30"/>
  <c r="D6490" i="30"/>
  <c r="D6491" i="30"/>
  <c r="D6492" i="30"/>
  <c r="D6493" i="30"/>
  <c r="D6494" i="30"/>
  <c r="D6495" i="30"/>
  <c r="D6496" i="30"/>
  <c r="D6497" i="30"/>
  <c r="D6498" i="30"/>
  <c r="D6499" i="30"/>
  <c r="D6500" i="30"/>
  <c r="D6501" i="30"/>
  <c r="D6502" i="30"/>
  <c r="D6503" i="30"/>
  <c r="D6504" i="30"/>
  <c r="D6505" i="30"/>
  <c r="D6506" i="30"/>
  <c r="D6507" i="30"/>
  <c r="D6508" i="30"/>
  <c r="D6509" i="30"/>
  <c r="D6510" i="30"/>
  <c r="D6511" i="30"/>
  <c r="D6512" i="30"/>
  <c r="D6513" i="30"/>
  <c r="D6514" i="30"/>
  <c r="D6515" i="30"/>
  <c r="D6516" i="30"/>
  <c r="D6517" i="30"/>
  <c r="D6518" i="30"/>
  <c r="D6519" i="30"/>
  <c r="D6520" i="30"/>
  <c r="D6521" i="30"/>
  <c r="D6522" i="30"/>
  <c r="D6523" i="30"/>
  <c r="D6524" i="30"/>
  <c r="D6525" i="30"/>
  <c r="D6526" i="30"/>
  <c r="D6527" i="30"/>
  <c r="D6528" i="30"/>
  <c r="D6529" i="30"/>
  <c r="D6530" i="30"/>
  <c r="D6531" i="30"/>
  <c r="D6532" i="30"/>
  <c r="D6533" i="30"/>
  <c r="D6534" i="30"/>
  <c r="D6535" i="30"/>
  <c r="D6536" i="30"/>
  <c r="D6537" i="30"/>
  <c r="D6538" i="30"/>
  <c r="D6539" i="30"/>
  <c r="D6540" i="30"/>
  <c r="D6541" i="30"/>
  <c r="D6542" i="30"/>
  <c r="D6543" i="30"/>
  <c r="D6544" i="30"/>
  <c r="D6545" i="30"/>
  <c r="D6546" i="30"/>
  <c r="D6547" i="30"/>
  <c r="D6548" i="30"/>
  <c r="D6549" i="30"/>
  <c r="D6550" i="30"/>
  <c r="D6551" i="30"/>
  <c r="D6552" i="30"/>
  <c r="D6553" i="30"/>
  <c r="D6554" i="30"/>
  <c r="D6555" i="30"/>
  <c r="D6556" i="30"/>
  <c r="D6557" i="30"/>
  <c r="D6558" i="30"/>
  <c r="D6559" i="30"/>
  <c r="D6560" i="30"/>
  <c r="D6561" i="30"/>
  <c r="D6562" i="30"/>
  <c r="D6563" i="30"/>
  <c r="D6564" i="30"/>
  <c r="D6565" i="30"/>
  <c r="D6566" i="30"/>
  <c r="D6567" i="30"/>
  <c r="D6568" i="30"/>
  <c r="D6569" i="30"/>
  <c r="D6570" i="30"/>
  <c r="D6571" i="30"/>
  <c r="D6572" i="30"/>
  <c r="D6573" i="30"/>
  <c r="D6574" i="30"/>
  <c r="D6575" i="30"/>
  <c r="D6576" i="30"/>
  <c r="D6577" i="30"/>
  <c r="D6578" i="30"/>
  <c r="D6579" i="30"/>
  <c r="D6580" i="30"/>
  <c r="D6581" i="30"/>
  <c r="D6582" i="30"/>
  <c r="D6583" i="30"/>
  <c r="D6584" i="30"/>
  <c r="D6585" i="30"/>
  <c r="D6586" i="30"/>
  <c r="D6587" i="30"/>
  <c r="D6588" i="30"/>
  <c r="D6589" i="30"/>
  <c r="D6590" i="30"/>
  <c r="D6591" i="30"/>
  <c r="D6592" i="30"/>
  <c r="D6593" i="30"/>
  <c r="D6594" i="30"/>
  <c r="D6595" i="30"/>
  <c r="D6596" i="30"/>
  <c r="D6597" i="30"/>
  <c r="D6598" i="30"/>
  <c r="D6599" i="30"/>
  <c r="D6600" i="30"/>
  <c r="D6601" i="30"/>
  <c r="D6602" i="30"/>
  <c r="D6603" i="30"/>
  <c r="D6604" i="30"/>
  <c r="D6605" i="30"/>
  <c r="D6606" i="30"/>
  <c r="D6607" i="30"/>
  <c r="D6608" i="30"/>
  <c r="D6609" i="30"/>
  <c r="D6610" i="30"/>
  <c r="D6611" i="30"/>
  <c r="D6612" i="30"/>
  <c r="D6613" i="30"/>
  <c r="D6614" i="30"/>
  <c r="D6615" i="30"/>
  <c r="D6616" i="30"/>
  <c r="D6617" i="30"/>
  <c r="D6618" i="30"/>
  <c r="D6619" i="30"/>
  <c r="D6620" i="30"/>
  <c r="D6621" i="30"/>
  <c r="D6622" i="30"/>
  <c r="D6623" i="30"/>
  <c r="D6624" i="30"/>
  <c r="D6625" i="30"/>
  <c r="D6626" i="30"/>
  <c r="D6627" i="30"/>
  <c r="D6628" i="30"/>
  <c r="D6629" i="30"/>
  <c r="D6630" i="30"/>
  <c r="D6631" i="30"/>
  <c r="D6632" i="30"/>
  <c r="D6633" i="30"/>
  <c r="D6634" i="30"/>
  <c r="D6635" i="30"/>
  <c r="D6636" i="30"/>
  <c r="D6637" i="30"/>
  <c r="D6638" i="30"/>
  <c r="D6639" i="30"/>
  <c r="D6640" i="30"/>
  <c r="D6641" i="30"/>
  <c r="D6642" i="30"/>
  <c r="D6643" i="30"/>
  <c r="D6644" i="30"/>
  <c r="D6645" i="30"/>
  <c r="D6646" i="30"/>
  <c r="D6647" i="30"/>
  <c r="D6648" i="30"/>
  <c r="D6649" i="30"/>
  <c r="D6650" i="30"/>
  <c r="D6651" i="30"/>
  <c r="D6652" i="30"/>
  <c r="D6653" i="30"/>
  <c r="D6654" i="30"/>
  <c r="D6655" i="30"/>
  <c r="D6656" i="30"/>
  <c r="D6657" i="30"/>
  <c r="D6658" i="30"/>
  <c r="D6659" i="30"/>
  <c r="D6660" i="30"/>
  <c r="D6661" i="30"/>
  <c r="D6662" i="30"/>
  <c r="D6663" i="30"/>
  <c r="D6664" i="30"/>
  <c r="D6665" i="30"/>
  <c r="D6666" i="30"/>
  <c r="D6667" i="30"/>
  <c r="D6668" i="30"/>
  <c r="D6669" i="30"/>
  <c r="D6670" i="30"/>
  <c r="D6671" i="30"/>
  <c r="D6672" i="30"/>
  <c r="D6673" i="30"/>
  <c r="D6674" i="30"/>
  <c r="D6675" i="30"/>
  <c r="D6676" i="30"/>
  <c r="D6677" i="30"/>
  <c r="D6682" i="30"/>
  <c r="D6683" i="30"/>
  <c r="D6684" i="30"/>
  <c r="D6685" i="30"/>
  <c r="D6686" i="30"/>
  <c r="D6687" i="30"/>
  <c r="D6688" i="30"/>
  <c r="D6689" i="30"/>
  <c r="D6690" i="30"/>
  <c r="D6691" i="30"/>
  <c r="D6692" i="30"/>
  <c r="D6693" i="30"/>
  <c r="D6694" i="30"/>
  <c r="D6695" i="30"/>
  <c r="D6696" i="30"/>
  <c r="D6697" i="30"/>
  <c r="D6698" i="30"/>
  <c r="D6699" i="30"/>
  <c r="D6700" i="30"/>
  <c r="D6701" i="30"/>
  <c r="D6702" i="30"/>
  <c r="D6703" i="30"/>
  <c r="D6704" i="30"/>
  <c r="D6705" i="30"/>
  <c r="D6706" i="30"/>
  <c r="D6708" i="30"/>
  <c r="D6709" i="30"/>
  <c r="D6710" i="30"/>
  <c r="D6711" i="30"/>
  <c r="D6712" i="30"/>
  <c r="D6713" i="30"/>
  <c r="D6714" i="30"/>
  <c r="D6715" i="30"/>
  <c r="D6716" i="30"/>
  <c r="D6717" i="30"/>
  <c r="D6718" i="30"/>
  <c r="D6719" i="30"/>
  <c r="D6720" i="30"/>
  <c r="D6721" i="30"/>
  <c r="D6722" i="30"/>
  <c r="D6723" i="30"/>
  <c r="D6724" i="30"/>
  <c r="D6725" i="30"/>
  <c r="D6726" i="30"/>
  <c r="D6727" i="30"/>
  <c r="D6728" i="30"/>
  <c r="D6729" i="30"/>
  <c r="D6730" i="30"/>
  <c r="D6731" i="30"/>
  <c r="D6732" i="30"/>
  <c r="D6733" i="30"/>
  <c r="D6734" i="30"/>
  <c r="D6735" i="30"/>
  <c r="D6736" i="30"/>
  <c r="D6737" i="30"/>
  <c r="D6738" i="30"/>
  <c r="D6739" i="30"/>
  <c r="D6740" i="30"/>
  <c r="D6741" i="30"/>
  <c r="D6742" i="30"/>
  <c r="D6743" i="30"/>
  <c r="D6744" i="30"/>
  <c r="D6745" i="30"/>
  <c r="D6746" i="30"/>
  <c r="D6747" i="30"/>
  <c r="D6748" i="30"/>
  <c r="D6749" i="30"/>
  <c r="D6750" i="30"/>
  <c r="D6751" i="30"/>
  <c r="D6752" i="30"/>
  <c r="D6753" i="30"/>
  <c r="D6754" i="30"/>
  <c r="D6755" i="30"/>
  <c r="D6756" i="30"/>
  <c r="D6757" i="30"/>
  <c r="D6758" i="30"/>
  <c r="D6759" i="30"/>
  <c r="D6760" i="30"/>
  <c r="D6761" i="30"/>
  <c r="D6762" i="30"/>
  <c r="D6763" i="30"/>
  <c r="D6764" i="30"/>
  <c r="D6765" i="30"/>
  <c r="D6766" i="30"/>
  <c r="D6767" i="30"/>
  <c r="D6768" i="30"/>
  <c r="D6769" i="30"/>
  <c r="D6770" i="30"/>
  <c r="D6771" i="30"/>
  <c r="D6772" i="30"/>
  <c r="D6773" i="30"/>
  <c r="D6774" i="30"/>
  <c r="D6775" i="30"/>
  <c r="D6776" i="30"/>
  <c r="D6777" i="30"/>
  <c r="D6778" i="30"/>
  <c r="D6779" i="30"/>
  <c r="D6780" i="30"/>
  <c r="D6781" i="30"/>
  <c r="D6782" i="30"/>
  <c r="D6783" i="30"/>
  <c r="D6784" i="30"/>
  <c r="D6785" i="30"/>
  <c r="D6786" i="30"/>
  <c r="D6787" i="30"/>
  <c r="D6788" i="30"/>
  <c r="D6789" i="30"/>
  <c r="D6790" i="30"/>
  <c r="D6791" i="30"/>
  <c r="D6792" i="30"/>
  <c r="D6793" i="30"/>
  <c r="D6794" i="30"/>
  <c r="D6795" i="30"/>
  <c r="D6796" i="30"/>
  <c r="D6797" i="30"/>
  <c r="D6798" i="30"/>
  <c r="D6799" i="30"/>
  <c r="D4511" i="30"/>
  <c r="D4512" i="30"/>
  <c r="D4586" i="30"/>
  <c r="D4587" i="30"/>
  <c r="D4588" i="30"/>
  <c r="D4589" i="30"/>
  <c r="D4590" i="30"/>
  <c r="D4591" i="30"/>
  <c r="D5019" i="30"/>
  <c r="D5150" i="30"/>
  <c r="D5151" i="30"/>
  <c r="D5152" i="30"/>
  <c r="D5153" i="30"/>
  <c r="D5154" i="30"/>
  <c r="D5155" i="30"/>
  <c r="D5835" i="30"/>
  <c r="D6678" i="30"/>
  <c r="D6679" i="30"/>
  <c r="D6680" i="30"/>
  <c r="D6681" i="30"/>
  <c r="D1164" i="30"/>
  <c r="D5156" i="30"/>
  <c r="D1064" i="30"/>
  <c r="D1065" i="30"/>
  <c r="D4321" i="30"/>
  <c r="D4322" i="30"/>
  <c r="D4323" i="30"/>
  <c r="D4324" i="30"/>
  <c r="D4216" i="30"/>
  <c r="D4414" i="30"/>
  <c r="D4124" i="30"/>
  <c r="D6007" i="30"/>
  <c r="D6008" i="30"/>
  <c r="D2" i="30"/>
  <c r="K3" i="28" l="1"/>
  <c r="K260" i="28"/>
  <c r="K4" i="28"/>
  <c r="K5" i="28"/>
  <c r="K6" i="28"/>
  <c r="K7" i="28"/>
  <c r="K8" i="28"/>
  <c r="K9" i="28"/>
  <c r="K10" i="28"/>
  <c r="K11" i="28"/>
  <c r="K12" i="28"/>
  <c r="K13" i="28"/>
  <c r="K14" i="28"/>
  <c r="K15" i="28"/>
  <c r="K271" i="28"/>
  <c r="K16" i="28"/>
  <c r="K17" i="28"/>
  <c r="K18" i="28"/>
  <c r="K19" i="28"/>
  <c r="K20" i="28"/>
  <c r="K21" i="28"/>
  <c r="K22" i="28"/>
  <c r="K23" i="28"/>
  <c r="K24" i="28"/>
  <c r="K25" i="28"/>
  <c r="K26" i="28"/>
  <c r="K27" i="28"/>
  <c r="K28" i="28"/>
  <c r="K29" i="28"/>
  <c r="K30" i="28"/>
  <c r="K31" i="28"/>
  <c r="K32" i="28"/>
  <c r="K33" i="28"/>
  <c r="K34" i="28"/>
  <c r="K35" i="28"/>
  <c r="K36" i="28"/>
  <c r="K37" i="28"/>
  <c r="K38" i="28"/>
  <c r="K39" i="28"/>
  <c r="K40" i="28"/>
  <c r="K41" i="28"/>
  <c r="K42" i="28"/>
  <c r="K43" i="28"/>
  <c r="K44" i="28"/>
  <c r="K45" i="28"/>
  <c r="K46" i="28"/>
  <c r="K47" i="28"/>
  <c r="K48" i="28"/>
  <c r="K49" i="28"/>
  <c r="K50" i="28"/>
  <c r="K51" i="28"/>
  <c r="K52" i="28"/>
  <c r="K53" i="28"/>
  <c r="K54" i="28"/>
  <c r="K55" i="28"/>
  <c r="K56" i="28"/>
  <c r="K57" i="28"/>
  <c r="K58" i="28"/>
  <c r="K59" i="28"/>
  <c r="K60" i="28"/>
  <c r="K61" i="28"/>
  <c r="K62" i="28"/>
  <c r="K63" i="28"/>
  <c r="K64" i="28"/>
  <c r="K65" i="28"/>
  <c r="K66" i="28"/>
  <c r="K67" i="28"/>
  <c r="K68" i="28"/>
  <c r="K69" i="28"/>
  <c r="K70" i="28"/>
  <c r="K71" i="28"/>
  <c r="K72" i="28"/>
  <c r="K73" i="28"/>
  <c r="K74" i="28"/>
  <c r="K75" i="28"/>
  <c r="K76" i="28"/>
  <c r="K77" i="28"/>
  <c r="K78" i="28"/>
  <c r="K79" i="28"/>
  <c r="K80" i="28"/>
  <c r="K81" i="28"/>
  <c r="K82" i="28"/>
  <c r="K83" i="28"/>
  <c r="K84" i="28"/>
  <c r="K85" i="28"/>
  <c r="K86" i="28"/>
  <c r="K87" i="28"/>
  <c r="K88" i="28"/>
  <c r="K89" i="28"/>
  <c r="K90" i="28"/>
  <c r="K91" i="28"/>
  <c r="K92" i="28"/>
  <c r="K93" i="28"/>
  <c r="K94" i="28"/>
  <c r="K95" i="28"/>
  <c r="K96" i="28"/>
  <c r="K97" i="28"/>
  <c r="K98" i="28"/>
  <c r="K99" i="28"/>
  <c r="K100" i="28"/>
  <c r="K101" i="28"/>
  <c r="K102" i="28"/>
  <c r="K103" i="28"/>
  <c r="K104" i="28"/>
  <c r="K105" i="28"/>
  <c r="K106" i="28"/>
  <c r="K107" i="28"/>
  <c r="K108" i="28"/>
  <c r="K109" i="28"/>
  <c r="K110" i="28"/>
  <c r="K111" i="28"/>
  <c r="K112" i="28"/>
  <c r="K113" i="28"/>
  <c r="K114" i="28"/>
  <c r="K115" i="28"/>
  <c r="K116" i="28"/>
  <c r="K117" i="28"/>
  <c r="K118" i="28"/>
  <c r="K119" i="28"/>
  <c r="K120" i="28"/>
  <c r="K121" i="28"/>
  <c r="K122" i="28"/>
  <c r="K123" i="28"/>
  <c r="K124" i="28"/>
  <c r="K125" i="28"/>
  <c r="K126" i="28"/>
  <c r="K127" i="28"/>
  <c r="K128" i="28"/>
  <c r="K129" i="28"/>
  <c r="K130" i="28"/>
  <c r="K131" i="28"/>
  <c r="K132" i="28"/>
  <c r="K133" i="28"/>
  <c r="K134" i="28"/>
  <c r="K135" i="28"/>
  <c r="K136" i="28"/>
  <c r="K137" i="28"/>
  <c r="K138" i="28"/>
  <c r="K139" i="28"/>
  <c r="K140" i="28"/>
  <c r="K141" i="28"/>
  <c r="K142" i="28"/>
  <c r="K143" i="28"/>
  <c r="K144" i="28"/>
  <c r="K145" i="28"/>
  <c r="K146" i="28"/>
  <c r="K147" i="28"/>
  <c r="K148" i="28"/>
  <c r="K149" i="28"/>
  <c r="K150" i="28"/>
  <c r="K151" i="28"/>
  <c r="K152" i="28"/>
  <c r="K153" i="28"/>
  <c r="K154" i="28"/>
  <c r="K155" i="28"/>
  <c r="K156" i="28"/>
  <c r="K157" i="28"/>
  <c r="K158" i="28"/>
  <c r="K159" i="28"/>
  <c r="K160" i="28"/>
  <c r="K161" i="28"/>
  <c r="K162" i="28"/>
  <c r="K163" i="28"/>
  <c r="K164" i="28"/>
  <c r="K165" i="28"/>
  <c r="K166" i="28"/>
  <c r="K167" i="28"/>
  <c r="K168" i="28"/>
  <c r="K169" i="28"/>
  <c r="K170" i="28"/>
  <c r="K171" i="28"/>
  <c r="K172" i="28"/>
  <c r="K173" i="28"/>
  <c r="K174" i="28"/>
  <c r="K175" i="28"/>
  <c r="K176" i="28"/>
  <c r="K177" i="28"/>
  <c r="K178" i="28"/>
  <c r="K179" i="28"/>
  <c r="K180" i="28"/>
  <c r="K181" i="28"/>
  <c r="K182" i="28"/>
  <c r="K183" i="28"/>
  <c r="K184" i="28"/>
  <c r="K185" i="28"/>
  <c r="K186" i="28"/>
  <c r="K187" i="28"/>
  <c r="K188" i="28"/>
  <c r="K189" i="28"/>
  <c r="K190" i="28"/>
  <c r="K191" i="28"/>
  <c r="K192" i="28"/>
  <c r="K193" i="28"/>
  <c r="K194" i="28"/>
  <c r="K195" i="28"/>
  <c r="K196" i="28"/>
  <c r="K197" i="28"/>
  <c r="K198" i="28"/>
  <c r="K199" i="28"/>
  <c r="K200" i="28"/>
  <c r="K201" i="28"/>
  <c r="K202" i="28"/>
  <c r="K203" i="28"/>
  <c r="K204" i="28"/>
  <c r="K205" i="28"/>
  <c r="K206" i="28"/>
  <c r="K207" i="28"/>
  <c r="K208" i="28"/>
  <c r="K209" i="28"/>
  <c r="K210" i="28"/>
  <c r="K211" i="28"/>
  <c r="K212" i="28"/>
  <c r="K213" i="28"/>
  <c r="K214" i="28"/>
  <c r="K215" i="28"/>
  <c r="K216" i="28"/>
  <c r="K217" i="28"/>
  <c r="K218" i="28"/>
  <c r="K219" i="28"/>
  <c r="K220" i="28"/>
  <c r="K221" i="28"/>
  <c r="K222" i="28"/>
  <c r="K223" i="28"/>
  <c r="K224" i="28"/>
  <c r="K225" i="28"/>
  <c r="K226" i="28"/>
  <c r="K227" i="28"/>
  <c r="K228" i="28"/>
  <c r="K229" i="28"/>
  <c r="K230" i="28"/>
  <c r="K231" i="28"/>
  <c r="K232" i="28"/>
  <c r="K233" i="28"/>
  <c r="K234" i="28"/>
  <c r="K235" i="28"/>
  <c r="K236" i="28"/>
  <c r="K237" i="28"/>
  <c r="K238" i="28"/>
  <c r="K239" i="28"/>
  <c r="K240" i="28"/>
  <c r="K241" i="28"/>
  <c r="K242" i="28"/>
  <c r="K243" i="28"/>
  <c r="K244" i="28"/>
  <c r="K245" i="28"/>
  <c r="K246" i="28"/>
  <c r="K247" i="28"/>
  <c r="K248" i="28"/>
  <c r="K249" i="28"/>
  <c r="K250" i="28"/>
  <c r="K251" i="28"/>
  <c r="K252" i="28"/>
  <c r="K253" i="28"/>
  <c r="K254" i="28"/>
  <c r="K255" i="28"/>
  <c r="K256" i="28"/>
  <c r="K257" i="28"/>
  <c r="K258" i="28"/>
  <c r="K259" i="28"/>
  <c r="K261" i="28"/>
  <c r="K262" i="28"/>
  <c r="K263" i="28"/>
  <c r="K264" i="28"/>
  <c r="K265" i="28"/>
  <c r="K266" i="28"/>
  <c r="K267" i="28"/>
  <c r="K268" i="28"/>
  <c r="K269" i="28"/>
  <c r="K270" i="28"/>
  <c r="K272" i="28"/>
  <c r="K273" i="28"/>
  <c r="K274" i="28"/>
  <c r="K275" i="28"/>
  <c r="K276" i="28"/>
  <c r="K277" i="28"/>
  <c r="K278" i="28"/>
  <c r="K279" i="28"/>
  <c r="K280" i="28"/>
  <c r="K281" i="28"/>
  <c r="K282" i="28"/>
  <c r="K283" i="28"/>
  <c r="K284" i="28"/>
  <c r="K285" i="28"/>
  <c r="K286" i="28"/>
  <c r="K287" i="28"/>
  <c r="K288" i="28"/>
  <c r="K289" i="28"/>
  <c r="K290" i="28"/>
  <c r="K291" i="28"/>
  <c r="K292" i="28"/>
  <c r="K293" i="28"/>
  <c r="K294" i="28"/>
  <c r="K295" i="28"/>
  <c r="K296" i="28"/>
  <c r="K297" i="28"/>
  <c r="K298" i="28"/>
  <c r="K299" i="28"/>
  <c r="K300" i="28"/>
  <c r="K301" i="28"/>
  <c r="K302" i="28"/>
  <c r="K303" i="28"/>
  <c r="K304" i="28"/>
  <c r="K305" i="28"/>
  <c r="K306" i="28"/>
  <c r="K307" i="28"/>
  <c r="K308" i="28"/>
  <c r="K309" i="28"/>
  <c r="K310" i="28"/>
  <c r="K311" i="28"/>
  <c r="K312" i="28"/>
  <c r="K313" i="28"/>
  <c r="K314" i="28"/>
  <c r="K315" i="28"/>
  <c r="K316" i="28"/>
  <c r="V4" i="28"/>
  <c r="V15" i="26"/>
  <c r="V14" i="26"/>
  <c r="V13" i="26"/>
  <c r="V12" i="26"/>
  <c r="V11" i="26"/>
  <c r="V10" i="26"/>
  <c r="V9" i="26"/>
  <c r="V8" i="26"/>
  <c r="V7" i="26"/>
  <c r="V6" i="26"/>
  <c r="V5" i="26"/>
  <c r="V4" i="26"/>
  <c r="V3" i="26"/>
  <c r="V316" i="28"/>
  <c r="V315" i="28"/>
  <c r="V314" i="28"/>
  <c r="V313" i="28"/>
  <c r="V312" i="28"/>
  <c r="V311" i="28"/>
  <c r="V310" i="28"/>
  <c r="V309" i="28"/>
  <c r="V308" i="28"/>
  <c r="V307" i="28"/>
  <c r="V306" i="28"/>
  <c r="V305" i="28"/>
  <c r="V304" i="28"/>
  <c r="V303" i="28"/>
  <c r="V302" i="28"/>
  <c r="V301" i="28"/>
  <c r="V300" i="28"/>
  <c r="V299" i="28"/>
  <c r="V298" i="28"/>
  <c r="V297" i="28"/>
  <c r="V296" i="28"/>
  <c r="V295" i="28"/>
  <c r="V294" i="28"/>
  <c r="V293" i="28"/>
  <c r="V292" i="28"/>
  <c r="V291" i="28"/>
  <c r="V290" i="28"/>
  <c r="V289" i="28"/>
  <c r="V288" i="28"/>
  <c r="V287" i="28"/>
  <c r="V286" i="28"/>
  <c r="V285" i="28"/>
  <c r="V284" i="28"/>
  <c r="V283" i="28"/>
  <c r="V282" i="28"/>
  <c r="V281" i="28"/>
  <c r="V280" i="28"/>
  <c r="V279" i="28"/>
  <c r="V278" i="28"/>
  <c r="V277" i="28"/>
  <c r="V276" i="28"/>
  <c r="V275" i="28"/>
  <c r="V274" i="28"/>
  <c r="V273" i="28"/>
  <c r="V272" i="28"/>
  <c r="V270" i="28"/>
  <c r="V269" i="28"/>
  <c r="V268" i="28"/>
  <c r="V267" i="28"/>
  <c r="V266" i="28"/>
  <c r="V265" i="28"/>
  <c r="V264" i="28"/>
  <c r="V263" i="28"/>
  <c r="V262" i="28"/>
  <c r="V261" i="28"/>
  <c r="V259" i="28"/>
  <c r="V258" i="28"/>
  <c r="V257" i="28"/>
  <c r="V256" i="28"/>
  <c r="V255" i="28"/>
  <c r="V254" i="28"/>
  <c r="V253" i="28"/>
  <c r="V252" i="28"/>
  <c r="V251" i="28"/>
  <c r="V250" i="28"/>
  <c r="V249" i="28"/>
  <c r="V248" i="28"/>
  <c r="V247" i="28"/>
  <c r="V246" i="28"/>
  <c r="V245" i="28"/>
  <c r="V244" i="28"/>
  <c r="V243" i="28"/>
  <c r="V242" i="28"/>
  <c r="V241" i="28"/>
  <c r="V240" i="28"/>
  <c r="V239" i="28"/>
  <c r="V238" i="28"/>
  <c r="V237" i="28"/>
  <c r="V236" i="28"/>
  <c r="V235" i="28"/>
  <c r="V234" i="28"/>
  <c r="V233" i="28"/>
  <c r="V232" i="28"/>
  <c r="V231" i="28"/>
  <c r="V230" i="28"/>
  <c r="V229" i="28"/>
  <c r="V228" i="28"/>
  <c r="V227" i="28"/>
  <c r="V226" i="28"/>
  <c r="V225" i="28"/>
  <c r="V224" i="28"/>
  <c r="V223" i="28"/>
  <c r="V222" i="28"/>
  <c r="V221" i="28"/>
  <c r="V220" i="28"/>
  <c r="V219" i="28"/>
  <c r="V218" i="28"/>
  <c r="V217" i="28"/>
  <c r="V216" i="28"/>
  <c r="V215" i="28"/>
  <c r="V214" i="28"/>
  <c r="V213" i="28"/>
  <c r="V212" i="28"/>
  <c r="V211" i="28"/>
  <c r="V210" i="28"/>
  <c r="V209" i="28"/>
  <c r="V208" i="28"/>
  <c r="V207" i="28"/>
  <c r="V206" i="28"/>
  <c r="V205" i="28"/>
  <c r="V204" i="28"/>
  <c r="V203" i="28"/>
  <c r="V201" i="28"/>
  <c r="V200" i="28"/>
  <c r="V199" i="28"/>
  <c r="V198" i="28"/>
  <c r="V197" i="28"/>
  <c r="V196" i="28"/>
  <c r="V195" i="28"/>
  <c r="V194" i="28"/>
  <c r="V193" i="28"/>
  <c r="V192" i="28"/>
  <c r="V191" i="28"/>
  <c r="V190" i="28"/>
  <c r="V189" i="28"/>
  <c r="V188" i="28"/>
  <c r="V187" i="28"/>
  <c r="V186" i="28"/>
  <c r="V185" i="28"/>
  <c r="V184" i="28"/>
  <c r="V183" i="28"/>
  <c r="V182" i="28"/>
  <c r="V181" i="28"/>
  <c r="V180" i="28"/>
  <c r="V179" i="28"/>
  <c r="V178" i="28"/>
  <c r="V177" i="28"/>
  <c r="V176" i="28"/>
  <c r="V175" i="28"/>
  <c r="V174" i="28"/>
  <c r="V173" i="28"/>
  <c r="V172" i="28"/>
  <c r="V171" i="28"/>
  <c r="V170" i="28"/>
  <c r="V169" i="28"/>
  <c r="V168" i="28"/>
  <c r="V167" i="28"/>
  <c r="V166" i="28"/>
  <c r="V165" i="28"/>
  <c r="V164" i="28"/>
  <c r="V163" i="28"/>
  <c r="V162" i="28"/>
  <c r="V161" i="28"/>
  <c r="V160" i="28"/>
  <c r="V159" i="28"/>
  <c r="V158" i="28"/>
  <c r="V157" i="28"/>
  <c r="V156" i="28"/>
  <c r="V155" i="28"/>
  <c r="V154" i="28"/>
  <c r="V153" i="28"/>
  <c r="V152" i="28"/>
  <c r="V151" i="28"/>
  <c r="V150" i="28"/>
  <c r="V149" i="28"/>
  <c r="V148" i="28"/>
  <c r="V147" i="28"/>
  <c r="V146" i="28"/>
  <c r="V145" i="28"/>
  <c r="V144" i="28"/>
  <c r="V143" i="28"/>
  <c r="V142" i="28"/>
  <c r="V141" i="28"/>
  <c r="V140" i="28"/>
  <c r="V139" i="28"/>
  <c r="V138" i="28"/>
  <c r="V137" i="28"/>
  <c r="V136" i="28"/>
  <c r="V135" i="28"/>
  <c r="V134" i="28"/>
  <c r="V133" i="28"/>
  <c r="V132" i="28"/>
  <c r="V131" i="28"/>
  <c r="V130" i="28"/>
  <c r="V129" i="28"/>
  <c r="V128" i="28"/>
  <c r="V127" i="28"/>
  <c r="V126" i="28"/>
  <c r="V125" i="28"/>
  <c r="V124" i="28"/>
  <c r="V123" i="28"/>
  <c r="V122" i="28"/>
  <c r="V121" i="28"/>
  <c r="V120" i="28"/>
  <c r="V119" i="28"/>
  <c r="V118" i="28"/>
  <c r="V117" i="28"/>
  <c r="V116" i="28"/>
  <c r="V115" i="28"/>
  <c r="V114" i="28"/>
  <c r="V113" i="28"/>
  <c r="V112" i="28"/>
  <c r="V111" i="28"/>
  <c r="V110" i="28"/>
  <c r="V109" i="28"/>
  <c r="V108" i="28"/>
  <c r="V107" i="28"/>
  <c r="V106" i="28"/>
  <c r="V105" i="28"/>
  <c r="V104" i="28"/>
  <c r="V103" i="28"/>
  <c r="V102" i="28"/>
  <c r="V101" i="28"/>
  <c r="V100" i="28"/>
  <c r="V99" i="28"/>
  <c r="V98" i="28"/>
  <c r="V97" i="28"/>
  <c r="V96" i="28"/>
  <c r="V95" i="28"/>
  <c r="V94" i="28"/>
  <c r="V93" i="28"/>
  <c r="V92" i="28"/>
  <c r="V91" i="28"/>
  <c r="V90" i="28"/>
  <c r="V89" i="28"/>
  <c r="V88" i="28"/>
  <c r="V87" i="28"/>
  <c r="V86" i="28"/>
  <c r="V85" i="28"/>
  <c r="V84" i="28"/>
  <c r="V83" i="28"/>
  <c r="V82" i="28"/>
  <c r="V81" i="28"/>
  <c r="V80" i="28"/>
  <c r="V79" i="28"/>
  <c r="V78" i="28"/>
  <c r="V77" i="28"/>
  <c r="V76" i="28"/>
  <c r="V75" i="28"/>
  <c r="V74" i="28"/>
  <c r="V73" i="28"/>
  <c r="V72" i="28"/>
  <c r="V71" i="28"/>
  <c r="V70" i="28"/>
  <c r="V69" i="28"/>
  <c r="V68" i="28"/>
  <c r="V67" i="28"/>
  <c r="V66" i="28"/>
  <c r="V65" i="28"/>
  <c r="V64" i="28"/>
  <c r="V63" i="28"/>
  <c r="V62" i="28"/>
  <c r="V61" i="28"/>
  <c r="V60" i="28"/>
  <c r="V59" i="28"/>
  <c r="V58" i="28"/>
  <c r="V57" i="28"/>
  <c r="V56" i="28"/>
  <c r="V55" i="28"/>
  <c r="V54" i="28"/>
  <c r="V53" i="28"/>
  <c r="V52" i="28"/>
  <c r="V51" i="28"/>
  <c r="V50" i="28"/>
  <c r="V49" i="28"/>
  <c r="V48" i="28"/>
  <c r="V47" i="28"/>
  <c r="V46" i="28"/>
  <c r="V45" i="28"/>
  <c r="V44" i="28"/>
  <c r="V43" i="28"/>
  <c r="V42" i="28"/>
  <c r="V41" i="28"/>
  <c r="V40" i="28"/>
  <c r="V39" i="28"/>
  <c r="V38" i="28"/>
  <c r="V37" i="28"/>
  <c r="V36" i="28"/>
  <c r="V35" i="28"/>
  <c r="V34" i="28"/>
  <c r="V33" i="28"/>
  <c r="V32" i="28"/>
  <c r="V31" i="28"/>
  <c r="V30" i="28"/>
  <c r="V29" i="28"/>
  <c r="V28" i="28"/>
  <c r="V27" i="28"/>
  <c r="V26" i="28"/>
  <c r="V25" i="28"/>
  <c r="V24" i="28"/>
  <c r="V23" i="28"/>
  <c r="V22" i="28"/>
  <c r="V21" i="28"/>
  <c r="V20" i="28"/>
  <c r="V19" i="28"/>
  <c r="V18" i="28"/>
  <c r="V17" i="28"/>
  <c r="V16" i="28"/>
  <c r="V15" i="28"/>
  <c r="V14" i="28"/>
  <c r="V13" i="28"/>
  <c r="V12" i="28"/>
  <c r="V11" i="28"/>
  <c r="V10" i="28"/>
  <c r="V9" i="28"/>
  <c r="V8" i="28"/>
  <c r="V7" i="28"/>
  <c r="V6" i="28"/>
  <c r="V5" i="28"/>
  <c r="V3" i="28"/>
  <c r="E3" i="26"/>
  <c r="G3" i="26"/>
  <c r="J3" i="26"/>
  <c r="M3" i="26"/>
  <c r="E4" i="26"/>
  <c r="G4" i="26"/>
  <c r="J4" i="26"/>
  <c r="E5" i="26"/>
  <c r="G5" i="26"/>
  <c r="J5" i="26"/>
  <c r="E6" i="26"/>
  <c r="G6" i="26"/>
  <c r="J6" i="26"/>
  <c r="E7" i="26"/>
  <c r="G7" i="26"/>
  <c r="J7" i="26"/>
  <c r="E8" i="26"/>
  <c r="G8" i="26"/>
  <c r="J8" i="26"/>
  <c r="E9" i="26"/>
  <c r="G9" i="26"/>
  <c r="J9" i="26"/>
  <c r="E10" i="26"/>
  <c r="G10" i="26"/>
  <c r="J10" i="26"/>
  <c r="E11" i="26"/>
  <c r="G11" i="26"/>
  <c r="J11" i="26"/>
  <c r="E12" i="26"/>
  <c r="G12" i="26"/>
  <c r="J12" i="26"/>
  <c r="E13" i="26"/>
  <c r="G13" i="26"/>
  <c r="J13" i="26"/>
  <c r="E14" i="26"/>
  <c r="G14" i="26"/>
  <c r="J14" i="26"/>
  <c r="E15" i="26"/>
  <c r="G15" i="26"/>
  <c r="J15" i="26"/>
  <c r="E16" i="26"/>
  <c r="G16" i="26"/>
  <c r="J16" i="26"/>
  <c r="E17" i="26"/>
  <c r="G17" i="26"/>
  <c r="J17" i="26"/>
  <c r="E18" i="26"/>
  <c r="G18" i="26"/>
  <c r="J18" i="26"/>
  <c r="E19" i="26"/>
  <c r="G19" i="26"/>
  <c r="J19" i="26"/>
  <c r="E20" i="26"/>
  <c r="G20" i="26"/>
  <c r="J20" i="26"/>
  <c r="E21" i="26"/>
  <c r="G21" i="26"/>
  <c r="J21" i="26"/>
  <c r="E22" i="26"/>
  <c r="G22" i="26"/>
  <c r="J22" i="26"/>
  <c r="E23" i="26"/>
  <c r="G23" i="26"/>
  <c r="J23" i="26"/>
  <c r="E24" i="26"/>
  <c r="G24" i="26"/>
  <c r="J24" i="26"/>
  <c r="E25" i="26"/>
  <c r="G25" i="26"/>
  <c r="J25" i="26"/>
  <c r="E26" i="26"/>
  <c r="G26" i="26"/>
  <c r="J26" i="26"/>
  <c r="E27" i="26"/>
  <c r="G27" i="26"/>
  <c r="J27" i="26"/>
  <c r="E28" i="26"/>
  <c r="G28" i="26"/>
  <c r="J28" i="26"/>
  <c r="E29" i="26"/>
  <c r="G29" i="26"/>
  <c r="J29" i="26"/>
  <c r="E30" i="26"/>
  <c r="G30" i="26"/>
  <c r="J30" i="26"/>
  <c r="E31" i="26"/>
  <c r="G31" i="26"/>
  <c r="J31" i="26"/>
  <c r="E32" i="26"/>
  <c r="G32" i="26"/>
  <c r="J32" i="26"/>
  <c r="E33" i="26"/>
  <c r="G33" i="26"/>
  <c r="J33" i="26"/>
  <c r="E34" i="26"/>
  <c r="G34" i="26"/>
  <c r="J34" i="26"/>
  <c r="E35" i="26"/>
  <c r="G35" i="26"/>
  <c r="J35" i="26"/>
  <c r="E36" i="26"/>
  <c r="G36" i="26"/>
  <c r="J36" i="26"/>
  <c r="E37" i="26"/>
  <c r="G37" i="26"/>
  <c r="J37" i="26"/>
  <c r="E38" i="26"/>
  <c r="G38" i="26"/>
  <c r="J38" i="26"/>
  <c r="E39" i="26"/>
  <c r="G39" i="26"/>
  <c r="J39" i="26"/>
  <c r="E40" i="26"/>
  <c r="G40" i="26"/>
  <c r="J40" i="26"/>
  <c r="E41" i="26"/>
  <c r="G41" i="26"/>
  <c r="J41" i="26"/>
  <c r="E42" i="26"/>
  <c r="G42" i="26"/>
  <c r="J42" i="26"/>
  <c r="E43" i="26"/>
  <c r="G43" i="26"/>
  <c r="J43" i="26"/>
  <c r="E44" i="26"/>
  <c r="G44" i="26"/>
  <c r="J44" i="26"/>
  <c r="E45" i="26"/>
  <c r="G45" i="26"/>
  <c r="J45" i="26"/>
  <c r="E46" i="26"/>
  <c r="G46" i="26"/>
  <c r="J46" i="26"/>
  <c r="E47" i="26"/>
  <c r="G47" i="26"/>
  <c r="J47" i="26"/>
  <c r="E48" i="26"/>
  <c r="G48" i="26"/>
  <c r="J48" i="26"/>
  <c r="E49" i="26"/>
  <c r="G49" i="26"/>
  <c r="J49" i="26"/>
  <c r="E50" i="26"/>
  <c r="G50" i="26"/>
  <c r="J50" i="26"/>
  <c r="E51" i="26"/>
  <c r="G51" i="26"/>
  <c r="J51" i="26"/>
  <c r="E52" i="26"/>
  <c r="G52" i="26"/>
  <c r="J52" i="26"/>
  <c r="E53" i="26"/>
  <c r="G53" i="26"/>
  <c r="J53" i="26"/>
  <c r="E54" i="26"/>
  <c r="G54" i="26"/>
  <c r="J54" i="26"/>
  <c r="E55" i="26"/>
  <c r="G55" i="26"/>
  <c r="J55" i="26"/>
  <c r="E56" i="26"/>
  <c r="G56" i="26"/>
  <c r="J56" i="26"/>
  <c r="E57" i="26"/>
  <c r="G57" i="26"/>
  <c r="J57" i="26"/>
  <c r="E58" i="26"/>
  <c r="G58" i="26"/>
  <c r="J58" i="26"/>
  <c r="E59" i="26"/>
  <c r="G59" i="26"/>
  <c r="J59" i="26"/>
  <c r="E60" i="26"/>
  <c r="G60" i="26"/>
  <c r="J60" i="26"/>
  <c r="E61" i="26"/>
  <c r="G61" i="26"/>
  <c r="J61" i="26"/>
  <c r="E62" i="26"/>
  <c r="G62" i="26"/>
  <c r="J62" i="26"/>
  <c r="E63" i="26"/>
  <c r="G63" i="26"/>
  <c r="J63" i="26"/>
  <c r="E64" i="26"/>
  <c r="G64" i="26"/>
  <c r="J64" i="26"/>
  <c r="E65" i="26"/>
  <c r="G65" i="26"/>
  <c r="J65" i="26"/>
  <c r="E66" i="26"/>
  <c r="G66" i="26"/>
  <c r="J66" i="26"/>
  <c r="E67" i="26"/>
  <c r="G67" i="26"/>
  <c r="J67" i="26"/>
  <c r="E68" i="26"/>
  <c r="G68" i="26"/>
  <c r="J68" i="26"/>
  <c r="E69" i="26"/>
  <c r="G69" i="26"/>
  <c r="J69" i="26"/>
  <c r="E70" i="26"/>
  <c r="G70" i="26"/>
  <c r="J70" i="26"/>
  <c r="E71" i="26"/>
  <c r="G71" i="26"/>
  <c r="J71" i="26"/>
  <c r="E72" i="26"/>
  <c r="G72" i="26"/>
  <c r="J72" i="26"/>
  <c r="E73" i="26"/>
  <c r="G73" i="26"/>
  <c r="J73" i="26"/>
  <c r="E74" i="26"/>
  <c r="G74" i="26"/>
  <c r="J74" i="26"/>
  <c r="E75" i="26"/>
  <c r="G75" i="26"/>
  <c r="J75" i="26"/>
  <c r="E76" i="26"/>
  <c r="G76" i="26"/>
  <c r="J76" i="26"/>
  <c r="E77" i="26"/>
  <c r="G77" i="26"/>
  <c r="J77" i="26"/>
  <c r="E78" i="26"/>
  <c r="G78" i="26"/>
  <c r="J78" i="26"/>
  <c r="E79" i="26"/>
  <c r="G79" i="26"/>
  <c r="J79" i="26"/>
  <c r="E80" i="26"/>
  <c r="G80" i="26"/>
  <c r="J80" i="26"/>
  <c r="E81" i="26"/>
  <c r="G81" i="26"/>
  <c r="J81" i="26"/>
  <c r="E82" i="26"/>
  <c r="G82" i="26"/>
  <c r="J82" i="26"/>
  <c r="E83" i="26"/>
  <c r="G83" i="26"/>
  <c r="J83" i="26"/>
  <c r="E84" i="26"/>
  <c r="G84" i="26"/>
  <c r="J84" i="26"/>
  <c r="E85" i="26"/>
  <c r="G85" i="26"/>
  <c r="J85" i="26"/>
  <c r="E86" i="26"/>
  <c r="G86" i="26"/>
  <c r="J86" i="26"/>
  <c r="E87" i="26"/>
  <c r="G87" i="26"/>
  <c r="J87" i="26"/>
  <c r="E88" i="26"/>
  <c r="G88" i="26"/>
  <c r="J88" i="26"/>
  <c r="E89" i="26"/>
  <c r="G89" i="26"/>
  <c r="J89" i="26"/>
  <c r="E90" i="26"/>
  <c r="G90" i="26"/>
  <c r="J90" i="26"/>
  <c r="E91" i="26"/>
  <c r="G91" i="26"/>
  <c r="J91" i="26"/>
  <c r="E92" i="26"/>
  <c r="G92" i="26"/>
  <c r="J92" i="26"/>
  <c r="E93" i="26"/>
  <c r="G93" i="26"/>
  <c r="J93" i="26"/>
  <c r="E94" i="26"/>
  <c r="G94" i="26"/>
  <c r="J94" i="26"/>
  <c r="E95" i="26"/>
  <c r="G95" i="26"/>
  <c r="J95" i="26"/>
  <c r="E96" i="26"/>
  <c r="G96" i="26"/>
  <c r="J96" i="26"/>
  <c r="E97" i="26"/>
  <c r="G97" i="26"/>
  <c r="J97" i="26"/>
  <c r="E98" i="26"/>
  <c r="G98" i="26"/>
  <c r="J98" i="26"/>
  <c r="E99" i="26"/>
  <c r="G99" i="26"/>
  <c r="J99" i="26"/>
  <c r="E100" i="26"/>
  <c r="G100" i="26"/>
  <c r="J100" i="26"/>
  <c r="E101" i="26"/>
  <c r="G101" i="26"/>
  <c r="J101" i="26"/>
  <c r="E102" i="26"/>
  <c r="G102" i="26"/>
  <c r="J102" i="26"/>
  <c r="E103" i="26"/>
  <c r="G103" i="26"/>
  <c r="J103" i="26"/>
  <c r="E104" i="26"/>
  <c r="G104" i="26"/>
  <c r="J104" i="26"/>
  <c r="E105" i="26"/>
  <c r="G105" i="26"/>
  <c r="J105" i="26"/>
  <c r="E106" i="26"/>
  <c r="G106" i="26"/>
  <c r="J106" i="26"/>
  <c r="E107" i="26"/>
  <c r="G107" i="26"/>
  <c r="J107" i="26"/>
  <c r="E108" i="26"/>
  <c r="G108" i="26"/>
  <c r="J108" i="26"/>
  <c r="E109" i="26"/>
  <c r="G109" i="26"/>
  <c r="J109" i="26"/>
  <c r="E110" i="26"/>
  <c r="G110" i="26"/>
  <c r="J110" i="26"/>
  <c r="E111" i="26"/>
  <c r="G111" i="26"/>
  <c r="J111" i="26"/>
  <c r="E112" i="26"/>
  <c r="G112" i="26"/>
  <c r="J112" i="26"/>
  <c r="E113" i="26"/>
  <c r="G113" i="26"/>
  <c r="J113" i="26"/>
  <c r="E114" i="26"/>
  <c r="G114" i="26"/>
  <c r="J114" i="26"/>
  <c r="E115" i="26"/>
  <c r="G115" i="26"/>
  <c r="J115" i="26"/>
  <c r="E116" i="26"/>
  <c r="G116" i="26"/>
  <c r="J116" i="26"/>
  <c r="E117" i="26"/>
  <c r="G117" i="26"/>
  <c r="J117" i="26"/>
  <c r="E118" i="26"/>
  <c r="G118" i="26"/>
  <c r="J118" i="26"/>
  <c r="E119" i="26"/>
  <c r="G119" i="26"/>
  <c r="J119" i="26"/>
  <c r="E120" i="26"/>
  <c r="G120" i="26"/>
  <c r="J120" i="26"/>
  <c r="E121" i="26"/>
  <c r="G121" i="26"/>
  <c r="J121" i="26"/>
  <c r="E122" i="26"/>
  <c r="G122" i="26"/>
  <c r="J122" i="26"/>
  <c r="E123" i="26"/>
  <c r="G123" i="26"/>
  <c r="J123" i="26"/>
  <c r="E124" i="26"/>
  <c r="G124" i="26"/>
  <c r="J124" i="26"/>
  <c r="E125" i="26"/>
  <c r="G125" i="26"/>
  <c r="J125" i="26"/>
  <c r="E126" i="26"/>
  <c r="G126" i="26"/>
  <c r="J126" i="26"/>
  <c r="E127" i="26"/>
  <c r="G127" i="26"/>
  <c r="J127" i="26"/>
  <c r="E128" i="26"/>
  <c r="G128" i="26"/>
  <c r="J128" i="26"/>
  <c r="E129" i="26"/>
  <c r="G129" i="26"/>
  <c r="J129" i="26"/>
  <c r="E130" i="26"/>
  <c r="G130" i="26"/>
  <c r="J130" i="26"/>
  <c r="E131" i="26"/>
  <c r="G131" i="26"/>
  <c r="J131" i="26"/>
  <c r="E132" i="26"/>
  <c r="G132" i="26"/>
  <c r="J132" i="26"/>
  <c r="E133" i="26"/>
  <c r="G133" i="26"/>
  <c r="J133" i="26"/>
  <c r="E134" i="26"/>
  <c r="G134" i="26"/>
  <c r="J134" i="26"/>
  <c r="E135" i="26"/>
  <c r="G135" i="26"/>
  <c r="J135" i="26"/>
  <c r="E136" i="26"/>
  <c r="G136" i="26"/>
  <c r="J136" i="26"/>
  <c r="E137" i="26"/>
  <c r="G137" i="26"/>
  <c r="J137" i="26"/>
  <c r="E138" i="26"/>
  <c r="G138" i="26"/>
  <c r="J138" i="26"/>
  <c r="E139" i="26"/>
  <c r="G139" i="26"/>
  <c r="J139" i="26"/>
  <c r="E140" i="26"/>
  <c r="G140" i="26"/>
  <c r="J140" i="26"/>
  <c r="E141" i="26"/>
  <c r="G141" i="26"/>
  <c r="J141" i="26"/>
  <c r="E142" i="26"/>
  <c r="G142" i="26"/>
  <c r="J142" i="26"/>
  <c r="E143" i="26"/>
  <c r="G143" i="26"/>
  <c r="J143" i="26"/>
  <c r="E144" i="26"/>
  <c r="G144" i="26"/>
  <c r="J144" i="26"/>
  <c r="E145" i="26"/>
  <c r="G145" i="26"/>
  <c r="J145" i="26"/>
  <c r="E146" i="26"/>
  <c r="G146" i="26"/>
  <c r="J146" i="26"/>
  <c r="E147" i="26"/>
  <c r="G147" i="26"/>
  <c r="J147" i="26"/>
  <c r="E148" i="26"/>
  <c r="G148" i="26"/>
  <c r="J148" i="26"/>
  <c r="E149" i="26"/>
  <c r="G149" i="26"/>
  <c r="J149" i="26"/>
  <c r="E150" i="26"/>
  <c r="G150" i="26"/>
  <c r="J150" i="26"/>
  <c r="E151" i="26"/>
  <c r="G151" i="26"/>
  <c r="J151" i="26"/>
  <c r="E152" i="26"/>
  <c r="G152" i="26"/>
  <c r="J152" i="26"/>
  <c r="E153" i="26"/>
  <c r="G153" i="26"/>
  <c r="J153" i="26"/>
  <c r="E154" i="26"/>
  <c r="G154" i="26"/>
  <c r="J154" i="26"/>
  <c r="E155" i="26"/>
  <c r="G155" i="26"/>
  <c r="J155" i="26"/>
  <c r="E156" i="26"/>
  <c r="G156" i="26"/>
  <c r="J156" i="26"/>
  <c r="E157" i="26"/>
  <c r="G157" i="26"/>
  <c r="J157" i="26"/>
  <c r="E158" i="26"/>
  <c r="G158" i="26"/>
  <c r="J158" i="26"/>
  <c r="E159" i="26"/>
  <c r="G159" i="26"/>
  <c r="J159" i="26"/>
  <c r="E160" i="26"/>
  <c r="G160" i="26"/>
  <c r="J160" i="26"/>
  <c r="E161" i="26"/>
  <c r="G161" i="26"/>
  <c r="J161" i="26"/>
  <c r="E162" i="26"/>
  <c r="G162" i="26"/>
  <c r="J162" i="26"/>
  <c r="E163" i="26"/>
  <c r="G163" i="26"/>
  <c r="J163" i="26"/>
  <c r="E164" i="26"/>
  <c r="G164" i="26"/>
  <c r="J164" i="26"/>
  <c r="E165" i="26"/>
  <c r="G165" i="26"/>
  <c r="J165" i="26"/>
  <c r="E166" i="26"/>
  <c r="G166" i="26"/>
  <c r="J166" i="26"/>
  <c r="E167" i="26"/>
  <c r="G167" i="26"/>
  <c r="J167" i="26"/>
  <c r="E168" i="26"/>
  <c r="G168" i="26"/>
  <c r="J168" i="26"/>
  <c r="E169" i="26"/>
  <c r="G169" i="26"/>
  <c r="J169" i="26"/>
  <c r="E170" i="26"/>
  <c r="G170" i="26"/>
  <c r="J170" i="26"/>
  <c r="E171" i="26"/>
  <c r="G171" i="26"/>
  <c r="J171" i="26"/>
  <c r="E172" i="26"/>
  <c r="G172" i="26"/>
  <c r="J172" i="26"/>
  <c r="E173" i="26"/>
  <c r="G173" i="26"/>
  <c r="J173" i="26"/>
  <c r="E174" i="26"/>
  <c r="G174" i="26"/>
  <c r="J174" i="26"/>
  <c r="E175" i="26"/>
  <c r="G175" i="26"/>
  <c r="J175" i="26"/>
  <c r="E176" i="26"/>
  <c r="G176" i="26"/>
  <c r="J176" i="26"/>
  <c r="E177" i="26"/>
  <c r="G177" i="26"/>
  <c r="J177" i="26"/>
  <c r="E178" i="26"/>
  <c r="G178" i="26"/>
  <c r="J178" i="26"/>
  <c r="E179" i="26"/>
  <c r="G179" i="26"/>
  <c r="J179" i="26"/>
  <c r="E180" i="26"/>
  <c r="G180" i="26"/>
  <c r="J180" i="26"/>
  <c r="E181" i="26"/>
  <c r="G181" i="26"/>
  <c r="J181" i="26"/>
  <c r="E182" i="26"/>
  <c r="G182" i="26"/>
  <c r="J182" i="26"/>
  <c r="E183" i="26"/>
  <c r="G183" i="26"/>
  <c r="J183" i="26"/>
  <c r="E184" i="26"/>
  <c r="G184" i="26"/>
  <c r="J184" i="26"/>
  <c r="E185" i="26"/>
  <c r="G185" i="26"/>
  <c r="J185" i="26"/>
  <c r="E186" i="26"/>
  <c r="G186" i="26"/>
  <c r="J186" i="26"/>
  <c r="E187" i="26"/>
  <c r="G187" i="26"/>
  <c r="J187" i="26"/>
  <c r="E188" i="26"/>
  <c r="G188" i="26"/>
  <c r="J188" i="26"/>
  <c r="E189" i="26"/>
  <c r="G189" i="26"/>
  <c r="J189" i="26"/>
  <c r="E190" i="26"/>
  <c r="G190" i="26"/>
  <c r="J190" i="26"/>
  <c r="E191" i="26"/>
  <c r="G191" i="26"/>
  <c r="J191" i="26"/>
  <c r="E192" i="26"/>
  <c r="G192" i="26"/>
  <c r="J192" i="26"/>
  <c r="E193" i="26"/>
  <c r="G193" i="26"/>
  <c r="J193" i="26"/>
  <c r="E194" i="26"/>
  <c r="G194" i="26"/>
  <c r="J194" i="26"/>
  <c r="E195" i="26"/>
  <c r="G195" i="26"/>
  <c r="J195" i="26"/>
  <c r="E196" i="26"/>
  <c r="G196" i="26"/>
  <c r="J196" i="26"/>
  <c r="E197" i="26"/>
  <c r="G197" i="26"/>
  <c r="J197" i="26"/>
  <c r="E198" i="26"/>
  <c r="G198" i="26"/>
  <c r="J198" i="26"/>
  <c r="E199" i="26"/>
  <c r="G199" i="26"/>
  <c r="J199" i="26"/>
  <c r="E200" i="26"/>
  <c r="G200" i="26"/>
  <c r="J200" i="26"/>
  <c r="E201" i="26"/>
  <c r="G201" i="26"/>
  <c r="J201" i="26"/>
  <c r="E202" i="26"/>
  <c r="G202" i="26"/>
  <c r="J202" i="26"/>
  <c r="E203" i="26"/>
  <c r="G203" i="26"/>
  <c r="J203" i="26"/>
  <c r="E204" i="26"/>
  <c r="G204" i="26"/>
  <c r="J204" i="26"/>
  <c r="E205" i="26"/>
  <c r="G205" i="26"/>
  <c r="J205" i="26"/>
  <c r="E206" i="26"/>
  <c r="G206" i="26"/>
  <c r="J206" i="26"/>
  <c r="E207" i="26"/>
  <c r="G207" i="26"/>
  <c r="J207" i="26"/>
  <c r="E208" i="26"/>
  <c r="G208" i="26"/>
  <c r="J208" i="26"/>
  <c r="E209" i="26"/>
  <c r="G209" i="26"/>
  <c r="J209" i="26"/>
  <c r="E210" i="26"/>
  <c r="G210" i="26"/>
  <c r="J210" i="26"/>
  <c r="E211" i="26"/>
  <c r="G211" i="26"/>
  <c r="J211" i="26"/>
  <c r="E212" i="26"/>
  <c r="G212" i="26"/>
  <c r="J212" i="26"/>
  <c r="E213" i="26"/>
  <c r="G213" i="26"/>
  <c r="J213" i="26"/>
  <c r="E214" i="26"/>
  <c r="G214" i="26"/>
  <c r="J214" i="26"/>
  <c r="E215" i="26"/>
  <c r="G215" i="26"/>
  <c r="J215" i="26"/>
  <c r="E216" i="26"/>
  <c r="G216" i="26"/>
  <c r="J216" i="26"/>
  <c r="E217" i="26"/>
  <c r="G217" i="26"/>
  <c r="J217" i="26"/>
  <c r="E218" i="26"/>
  <c r="G218" i="26"/>
  <c r="J218" i="26"/>
  <c r="E219" i="26"/>
  <c r="G219" i="26"/>
  <c r="J219" i="26"/>
  <c r="E220" i="26"/>
  <c r="G220" i="26"/>
  <c r="J220" i="26"/>
  <c r="E221" i="26"/>
  <c r="G221" i="26"/>
  <c r="J221" i="26"/>
  <c r="E222" i="26"/>
  <c r="G222" i="26"/>
  <c r="J222" i="26"/>
  <c r="E223" i="26"/>
  <c r="G223" i="26"/>
  <c r="J223" i="26"/>
  <c r="E224" i="26"/>
  <c r="G224" i="26"/>
  <c r="J224" i="26"/>
  <c r="E225" i="26"/>
  <c r="G225" i="26"/>
  <c r="J225" i="26"/>
  <c r="E226" i="26"/>
  <c r="G226" i="26"/>
  <c r="J226" i="26"/>
  <c r="E227" i="26"/>
  <c r="G227" i="26"/>
  <c r="J227" i="26"/>
  <c r="E228" i="26"/>
  <c r="G228" i="26"/>
  <c r="J228" i="26"/>
  <c r="E229" i="26"/>
  <c r="G229" i="26"/>
  <c r="J229" i="26"/>
  <c r="E230" i="26"/>
  <c r="G230" i="26"/>
  <c r="J230" i="26"/>
  <c r="E231" i="26"/>
  <c r="G231" i="26"/>
  <c r="J231" i="26"/>
  <c r="E232" i="26"/>
  <c r="G232" i="26"/>
  <c r="J232" i="26"/>
  <c r="E233" i="26"/>
  <c r="G233" i="26"/>
  <c r="J233" i="26"/>
  <c r="E234" i="26"/>
  <c r="G234" i="26"/>
  <c r="J234" i="26"/>
  <c r="E235" i="26"/>
  <c r="G235" i="26"/>
  <c r="J235" i="26"/>
  <c r="E236" i="26"/>
  <c r="G236" i="26"/>
  <c r="J236" i="26"/>
  <c r="E237" i="26"/>
  <c r="G237" i="26"/>
  <c r="J237" i="26"/>
  <c r="E238" i="26"/>
  <c r="G238" i="26"/>
  <c r="J238" i="26"/>
  <c r="E239" i="26"/>
  <c r="G239" i="26"/>
  <c r="J239" i="26"/>
  <c r="E240" i="26"/>
  <c r="G240" i="26"/>
  <c r="J240" i="26"/>
  <c r="E241" i="26"/>
  <c r="G241" i="26"/>
  <c r="J241" i="26"/>
  <c r="E242" i="26"/>
  <c r="G242" i="26"/>
  <c r="J242" i="26"/>
  <c r="E243" i="26"/>
  <c r="G243" i="26"/>
  <c r="J243" i="26"/>
  <c r="E244" i="26"/>
  <c r="G244" i="26"/>
  <c r="J244" i="26"/>
  <c r="E245" i="26"/>
  <c r="G245" i="26"/>
  <c r="J245" i="26"/>
  <c r="E246" i="26"/>
  <c r="G246" i="26"/>
  <c r="J246" i="26"/>
  <c r="E247" i="26"/>
  <c r="G247" i="26"/>
  <c r="J247" i="26"/>
  <c r="E248" i="26"/>
  <c r="G248" i="26"/>
  <c r="J248" i="26"/>
  <c r="E249" i="26"/>
  <c r="G249" i="26"/>
  <c r="J249" i="26"/>
  <c r="E250" i="26"/>
  <c r="G250" i="26"/>
  <c r="J250" i="26"/>
  <c r="E251" i="26"/>
  <c r="G251" i="26"/>
  <c r="J251" i="26"/>
  <c r="E252" i="26"/>
  <c r="G252" i="26"/>
  <c r="J252" i="26"/>
  <c r="E253" i="26"/>
  <c r="G253" i="26"/>
  <c r="J253" i="26"/>
  <c r="E254" i="26"/>
  <c r="G254" i="26"/>
  <c r="J254" i="26"/>
  <c r="E255" i="26"/>
  <c r="G255" i="26"/>
  <c r="J255" i="26"/>
  <c r="E256" i="26"/>
  <c r="G256" i="26"/>
  <c r="J256" i="26"/>
  <c r="E257" i="26"/>
  <c r="G257" i="26"/>
  <c r="J257" i="26"/>
  <c r="E258" i="26"/>
  <c r="G258" i="26"/>
  <c r="J258" i="26"/>
  <c r="E259" i="26"/>
  <c r="G259" i="26"/>
  <c r="J259" i="26"/>
  <c r="E260" i="26"/>
  <c r="G260" i="26"/>
  <c r="J260" i="26"/>
  <c r="E261" i="26"/>
  <c r="G261" i="26"/>
  <c r="J261" i="26"/>
  <c r="E262" i="26"/>
  <c r="G262" i="26"/>
  <c r="J262" i="26"/>
  <c r="E263" i="26"/>
  <c r="G263" i="26"/>
  <c r="J263" i="26"/>
  <c r="E264" i="26"/>
  <c r="G264" i="26"/>
  <c r="J264" i="26"/>
  <c r="E265" i="26"/>
  <c r="G265" i="26"/>
  <c r="J265" i="26"/>
  <c r="E266" i="26"/>
  <c r="G266" i="26"/>
  <c r="J266" i="26"/>
  <c r="E267" i="26"/>
  <c r="G267" i="26"/>
  <c r="J267" i="26"/>
  <c r="E268" i="26"/>
  <c r="G268" i="26"/>
  <c r="J268" i="26"/>
  <c r="E269" i="26"/>
  <c r="G269" i="26"/>
  <c r="J269" i="26"/>
  <c r="E270" i="26"/>
  <c r="G270" i="26"/>
  <c r="J270" i="26"/>
  <c r="E271" i="26"/>
  <c r="G271" i="26"/>
  <c r="J271" i="26"/>
  <c r="E272" i="26"/>
  <c r="G272" i="26"/>
  <c r="J272" i="26"/>
  <c r="E273" i="26"/>
  <c r="G273" i="26"/>
  <c r="J273" i="26"/>
  <c r="E274" i="26"/>
  <c r="G274" i="26"/>
  <c r="J274" i="26"/>
  <c r="E275" i="26"/>
  <c r="G275" i="26"/>
  <c r="J275" i="26"/>
  <c r="E276" i="26"/>
  <c r="G276" i="26"/>
  <c r="J276" i="26"/>
  <c r="E277" i="26"/>
  <c r="G277" i="26"/>
  <c r="J277" i="26"/>
  <c r="E278" i="26"/>
  <c r="G278" i="26"/>
  <c r="J278" i="26"/>
  <c r="E279" i="26"/>
  <c r="G279" i="26"/>
  <c r="J279" i="26"/>
  <c r="E280" i="26"/>
  <c r="G280" i="26"/>
  <c r="J280" i="26"/>
  <c r="E281" i="26"/>
  <c r="G281" i="26"/>
  <c r="J281" i="26"/>
  <c r="E282" i="26"/>
  <c r="G282" i="26"/>
  <c r="J282" i="26"/>
  <c r="E283" i="26"/>
  <c r="G283" i="26"/>
  <c r="J283" i="26"/>
  <c r="E284" i="26"/>
  <c r="G284" i="26"/>
  <c r="J284" i="26"/>
  <c r="E285" i="26"/>
  <c r="G285" i="26"/>
  <c r="J285" i="26"/>
  <c r="E286" i="26"/>
  <c r="G286" i="26"/>
  <c r="J286" i="26"/>
  <c r="E287" i="26"/>
  <c r="G287" i="26"/>
  <c r="J287" i="26"/>
  <c r="E288" i="26"/>
  <c r="G288" i="26"/>
  <c r="J288" i="26"/>
  <c r="E289" i="26"/>
  <c r="G289" i="26"/>
  <c r="J289" i="26"/>
  <c r="E290" i="26"/>
  <c r="G290" i="26"/>
  <c r="J290" i="26"/>
  <c r="E291" i="26"/>
  <c r="G291" i="26"/>
  <c r="J291" i="26"/>
  <c r="E292" i="26"/>
  <c r="G292" i="26"/>
  <c r="J292" i="26"/>
  <c r="E293" i="26"/>
  <c r="G293" i="26"/>
  <c r="J293" i="26"/>
  <c r="E294" i="26"/>
  <c r="G294" i="26"/>
  <c r="J294" i="26"/>
  <c r="E295" i="26"/>
  <c r="G295" i="26"/>
  <c r="J295" i="26"/>
  <c r="E296" i="26"/>
  <c r="G296" i="26"/>
  <c r="J296" i="26"/>
  <c r="E297" i="26"/>
  <c r="G297" i="26"/>
  <c r="J297" i="26"/>
  <c r="E298" i="26"/>
  <c r="G298" i="26"/>
  <c r="J298" i="26"/>
  <c r="E299" i="26"/>
  <c r="G299" i="26"/>
  <c r="J299" i="26"/>
  <c r="E300" i="26"/>
  <c r="G300" i="26"/>
  <c r="J300" i="26"/>
  <c r="E301" i="26"/>
  <c r="G301" i="26"/>
  <c r="J301" i="26"/>
  <c r="E302" i="26"/>
  <c r="G302" i="26"/>
  <c r="J302" i="26"/>
  <c r="E303" i="26"/>
  <c r="G303" i="26"/>
  <c r="J303" i="26"/>
  <c r="E304" i="26"/>
  <c r="G304" i="26"/>
  <c r="J304" i="26"/>
  <c r="E305" i="26"/>
  <c r="G305" i="26"/>
  <c r="J305" i="26"/>
  <c r="E306" i="26"/>
  <c r="G306" i="26"/>
  <c r="J306" i="26"/>
  <c r="E307" i="26"/>
  <c r="G307" i="26"/>
  <c r="J307" i="26"/>
  <c r="E308" i="26"/>
  <c r="G308" i="26"/>
  <c r="J308" i="26"/>
  <c r="E309" i="26"/>
  <c r="G309" i="26"/>
  <c r="J309" i="26"/>
  <c r="E310" i="26"/>
  <c r="G310" i="26"/>
  <c r="J310" i="26"/>
  <c r="E311" i="26"/>
  <c r="G311" i="26"/>
  <c r="J311" i="26"/>
  <c r="E312" i="26"/>
  <c r="G312" i="26"/>
  <c r="J312" i="26"/>
  <c r="E313" i="26"/>
  <c r="G313" i="26"/>
  <c r="J313" i="26"/>
  <c r="E314" i="26"/>
  <c r="G314" i="26"/>
  <c r="J314" i="26"/>
  <c r="E315" i="26"/>
  <c r="G315" i="26"/>
  <c r="J315" i="26"/>
  <c r="E316" i="26"/>
  <c r="G316" i="26"/>
  <c r="J316" i="26"/>
  <c r="E317" i="26"/>
  <c r="G317" i="26"/>
  <c r="J317" i="26"/>
  <c r="E318" i="26"/>
  <c r="G318" i="26"/>
  <c r="J318" i="26"/>
  <c r="E319" i="26"/>
  <c r="G319" i="26"/>
  <c r="J319" i="26"/>
  <c r="E320" i="26"/>
  <c r="G320" i="26"/>
  <c r="J320" i="26"/>
  <c r="E321" i="26"/>
  <c r="G321" i="26"/>
  <c r="J321" i="26"/>
  <c r="E322" i="26"/>
  <c r="G322" i="26"/>
  <c r="J322" i="26"/>
  <c r="E323" i="26"/>
  <c r="G323" i="26"/>
  <c r="J323" i="26"/>
  <c r="E324" i="26"/>
  <c r="G324" i="26"/>
  <c r="J324" i="26"/>
  <c r="E325" i="26"/>
  <c r="G325" i="26"/>
  <c r="J325" i="26"/>
  <c r="E326" i="26"/>
  <c r="G326" i="26"/>
  <c r="J326" i="26"/>
  <c r="E327" i="26"/>
  <c r="G327" i="26"/>
  <c r="J327" i="26"/>
  <c r="E328" i="26"/>
  <c r="G328" i="26"/>
  <c r="J328" i="26"/>
  <c r="E329" i="26"/>
  <c r="G329" i="26"/>
  <c r="J329" i="26"/>
  <c r="E330" i="26"/>
  <c r="G330" i="26"/>
  <c r="J330" i="26"/>
  <c r="E331" i="26"/>
  <c r="G331" i="26"/>
  <c r="J331" i="26"/>
  <c r="E332" i="26"/>
  <c r="G332" i="26"/>
  <c r="J332" i="26"/>
  <c r="E333" i="26"/>
  <c r="G333" i="26"/>
  <c r="J333" i="26"/>
  <c r="E334" i="26"/>
  <c r="G334" i="26"/>
  <c r="J334" i="26"/>
  <c r="E335" i="26"/>
  <c r="G335" i="26"/>
  <c r="J335" i="26"/>
  <c r="E336" i="26"/>
  <c r="G336" i="26"/>
  <c r="J336" i="26"/>
  <c r="E337" i="26"/>
  <c r="G337" i="26"/>
  <c r="J337" i="26"/>
  <c r="E338" i="26"/>
  <c r="G338" i="26"/>
  <c r="J338" i="26"/>
  <c r="E339" i="26"/>
  <c r="G339" i="26"/>
  <c r="J339" i="26"/>
  <c r="E340" i="26"/>
  <c r="G340" i="26"/>
  <c r="J340" i="26"/>
  <c r="E341" i="26"/>
  <c r="G341" i="26"/>
  <c r="J341" i="26"/>
  <c r="E342" i="26"/>
  <c r="G342" i="26"/>
  <c r="J342" i="26"/>
  <c r="E343" i="26"/>
  <c r="G343" i="26"/>
  <c r="J343" i="26"/>
  <c r="E344" i="26"/>
  <c r="G344" i="26"/>
  <c r="J344" i="26"/>
  <c r="E345" i="26"/>
  <c r="G345" i="26"/>
  <c r="J345" i="26"/>
  <c r="E346" i="26"/>
  <c r="G346" i="26"/>
  <c r="J346" i="26"/>
  <c r="E347" i="26"/>
  <c r="G347" i="26"/>
  <c r="J347" i="26"/>
  <c r="E348" i="26"/>
  <c r="G348" i="26"/>
  <c r="J348" i="26"/>
  <c r="E349" i="26"/>
  <c r="G349" i="26"/>
  <c r="J349" i="26"/>
  <c r="E350" i="26"/>
  <c r="G350" i="26"/>
  <c r="J350" i="26"/>
  <c r="E351" i="26"/>
  <c r="G351" i="26"/>
  <c r="J351" i="26"/>
  <c r="E352" i="26"/>
  <c r="G352" i="26"/>
  <c r="J352" i="26"/>
  <c r="E353" i="26"/>
  <c r="G353" i="26"/>
  <c r="J353" i="26"/>
  <c r="E354" i="26"/>
  <c r="G354" i="26"/>
  <c r="J354" i="26"/>
  <c r="E355" i="26"/>
  <c r="G355" i="26"/>
  <c r="J355" i="26"/>
  <c r="E356" i="26"/>
  <c r="G356" i="26"/>
  <c r="J356" i="26"/>
  <c r="E357" i="26"/>
  <c r="G357" i="26"/>
  <c r="J357" i="26"/>
  <c r="E358" i="26"/>
  <c r="G358" i="26"/>
  <c r="J358" i="26"/>
  <c r="E359" i="26"/>
  <c r="G359" i="26"/>
  <c r="J359" i="26"/>
  <c r="E360" i="26"/>
  <c r="G360" i="26"/>
  <c r="J360" i="26"/>
  <c r="E361" i="26"/>
  <c r="G361" i="26"/>
  <c r="J361" i="26"/>
  <c r="E362" i="26"/>
  <c r="G362" i="26"/>
  <c r="J362" i="26"/>
  <c r="E363" i="26"/>
  <c r="G363" i="26"/>
  <c r="J363" i="26"/>
  <c r="E364" i="26"/>
  <c r="G364" i="26"/>
  <c r="J364" i="26"/>
  <c r="E365" i="26"/>
  <c r="G365" i="26"/>
  <c r="J365" i="26"/>
  <c r="E366" i="26"/>
  <c r="G366" i="26"/>
  <c r="J366" i="26"/>
  <c r="E367" i="26"/>
  <c r="G367" i="26"/>
  <c r="J367" i="26"/>
  <c r="E368" i="26"/>
  <c r="G368" i="26"/>
  <c r="J368" i="26"/>
  <c r="E369" i="26"/>
  <c r="G369" i="26"/>
  <c r="J369" i="26"/>
  <c r="E370" i="26"/>
  <c r="G370" i="26"/>
  <c r="J370" i="26"/>
  <c r="E371" i="26"/>
  <c r="G371" i="26"/>
  <c r="J371" i="26"/>
  <c r="E372" i="26"/>
  <c r="G372" i="26"/>
  <c r="J372" i="26"/>
  <c r="E373" i="26"/>
  <c r="G373" i="26"/>
  <c r="J373" i="26"/>
  <c r="E374" i="26"/>
  <c r="G374" i="26"/>
  <c r="J374" i="26"/>
  <c r="E375" i="26"/>
  <c r="G375" i="26"/>
  <c r="J375" i="26"/>
  <c r="E376" i="26"/>
  <c r="G376" i="26"/>
  <c r="J376" i="26"/>
  <c r="E377" i="26"/>
  <c r="G377" i="26"/>
  <c r="J377" i="26"/>
  <c r="E378" i="26"/>
  <c r="G378" i="26"/>
  <c r="J378" i="26"/>
  <c r="E379" i="26"/>
  <c r="G379" i="26"/>
  <c r="J379" i="26"/>
  <c r="E380" i="26"/>
  <c r="G380" i="26"/>
  <c r="J380" i="26"/>
  <c r="E381" i="26"/>
  <c r="G381" i="26"/>
  <c r="J381" i="26"/>
  <c r="E382" i="26"/>
  <c r="G382" i="26"/>
  <c r="J382" i="26"/>
  <c r="E383" i="26"/>
  <c r="G383" i="26"/>
  <c r="J383" i="26"/>
  <c r="E384" i="26"/>
  <c r="G384" i="26"/>
  <c r="J384" i="26"/>
  <c r="E385" i="26"/>
  <c r="G385" i="26"/>
  <c r="J385" i="26"/>
  <c r="E386" i="26"/>
  <c r="G386" i="26"/>
  <c r="J386" i="26"/>
  <c r="E387" i="26"/>
  <c r="G387" i="26"/>
  <c r="J387" i="26"/>
  <c r="E388" i="26"/>
  <c r="G388" i="26"/>
  <c r="J388" i="26"/>
  <c r="E389" i="26"/>
  <c r="G389" i="26"/>
  <c r="J389" i="26"/>
  <c r="E390" i="26"/>
  <c r="G390" i="26"/>
  <c r="J390" i="26"/>
  <c r="E391" i="26"/>
  <c r="G391" i="26"/>
  <c r="J391" i="26"/>
  <c r="E392" i="26"/>
  <c r="G392" i="26"/>
  <c r="J392" i="26"/>
  <c r="E393" i="26"/>
  <c r="G393" i="26"/>
  <c r="J393" i="26"/>
  <c r="E394" i="26"/>
  <c r="G394" i="26"/>
  <c r="J394" i="26"/>
  <c r="E395" i="26"/>
  <c r="G395" i="26"/>
  <c r="J395" i="26"/>
  <c r="E396" i="26"/>
  <c r="G396" i="26"/>
  <c r="J396" i="26"/>
  <c r="E397" i="26"/>
  <c r="G397" i="26"/>
  <c r="J397" i="26"/>
  <c r="E398" i="26"/>
  <c r="G398" i="26"/>
  <c r="J398" i="26"/>
  <c r="E399" i="26"/>
  <c r="G399" i="26"/>
  <c r="J399" i="26"/>
  <c r="E400" i="26"/>
  <c r="G400" i="26"/>
  <c r="J400" i="26"/>
  <c r="E401" i="26"/>
  <c r="G401" i="26"/>
  <c r="J401" i="26"/>
  <c r="E402" i="26"/>
  <c r="G402" i="26"/>
  <c r="J402" i="26"/>
  <c r="E403" i="26"/>
  <c r="G403" i="26"/>
  <c r="J403" i="26"/>
  <c r="E404" i="26"/>
  <c r="G404" i="26"/>
  <c r="J404" i="26"/>
  <c r="E405" i="26"/>
  <c r="G405" i="26"/>
  <c r="J405" i="26"/>
  <c r="E406" i="26"/>
  <c r="G406" i="26"/>
  <c r="J406" i="26"/>
  <c r="E407" i="26"/>
  <c r="G407" i="26"/>
  <c r="J407" i="26"/>
  <c r="E408" i="26"/>
  <c r="G408" i="26"/>
  <c r="J408" i="26"/>
  <c r="E409" i="26"/>
  <c r="G409" i="26"/>
  <c r="J409" i="26"/>
  <c r="E410" i="26"/>
  <c r="G410" i="26"/>
  <c r="J410" i="26"/>
  <c r="E411" i="26"/>
  <c r="G411" i="26"/>
  <c r="J411" i="26"/>
  <c r="E412" i="26"/>
  <c r="G412" i="26"/>
  <c r="J412" i="26"/>
  <c r="E413" i="26"/>
  <c r="G413" i="26"/>
  <c r="J413" i="26"/>
  <c r="E414" i="26"/>
  <c r="G414" i="26"/>
  <c r="J414" i="26"/>
  <c r="E415" i="26"/>
  <c r="G415" i="26"/>
  <c r="J415" i="26"/>
  <c r="E416" i="26"/>
  <c r="G416" i="26"/>
  <c r="J416" i="26"/>
  <c r="E417" i="26"/>
  <c r="G417" i="26"/>
  <c r="J417" i="26"/>
  <c r="E418" i="26"/>
  <c r="G418" i="26"/>
  <c r="J418" i="26"/>
  <c r="E419" i="26"/>
  <c r="G419" i="26"/>
  <c r="J419" i="26"/>
  <c r="E420" i="26"/>
  <c r="G420" i="26"/>
  <c r="J420" i="26"/>
  <c r="E421" i="26"/>
  <c r="G421" i="26"/>
  <c r="J421" i="26"/>
  <c r="E422" i="26"/>
  <c r="G422" i="26"/>
  <c r="J422" i="26"/>
  <c r="E423" i="26"/>
  <c r="G423" i="26"/>
  <c r="J423" i="26"/>
  <c r="E424" i="26"/>
  <c r="G424" i="26"/>
  <c r="J424" i="26"/>
  <c r="E425" i="26"/>
  <c r="G425" i="26"/>
  <c r="J425" i="26"/>
  <c r="E426" i="26"/>
  <c r="G426" i="26"/>
  <c r="J426" i="26"/>
  <c r="E427" i="26"/>
  <c r="G427" i="26"/>
  <c r="J427" i="26"/>
  <c r="E428" i="26"/>
  <c r="G428" i="26"/>
  <c r="J428" i="26"/>
  <c r="E429" i="26"/>
  <c r="G429" i="26"/>
  <c r="J429" i="26"/>
  <c r="E430" i="26"/>
  <c r="G430" i="26"/>
  <c r="J430" i="26"/>
  <c r="E431" i="26"/>
  <c r="G431" i="26"/>
  <c r="J431" i="26"/>
  <c r="E432" i="26"/>
  <c r="G432" i="26"/>
  <c r="J432" i="26"/>
  <c r="E433" i="26"/>
  <c r="G433" i="26"/>
  <c r="J433" i="26"/>
  <c r="E434" i="26"/>
  <c r="G434" i="26"/>
  <c r="J434" i="26"/>
  <c r="E435" i="26"/>
  <c r="G435" i="26"/>
  <c r="J435" i="26"/>
  <c r="E436" i="26"/>
  <c r="G436" i="26"/>
  <c r="J436" i="26"/>
  <c r="E437" i="26"/>
  <c r="G437" i="26"/>
  <c r="J437" i="26"/>
  <c r="E438" i="26"/>
  <c r="G438" i="26"/>
  <c r="J438" i="26"/>
  <c r="E439" i="26"/>
  <c r="G439" i="26"/>
  <c r="J439" i="26"/>
  <c r="E440" i="26"/>
  <c r="G440" i="26"/>
  <c r="J440" i="26"/>
  <c r="E441" i="26"/>
  <c r="G441" i="26"/>
  <c r="J441" i="26"/>
  <c r="E442" i="26"/>
  <c r="G442" i="26"/>
  <c r="J442" i="26"/>
  <c r="E443" i="26"/>
  <c r="G443" i="26"/>
  <c r="J443" i="26"/>
  <c r="E444" i="26"/>
  <c r="G444" i="26"/>
  <c r="J444" i="26"/>
  <c r="E445" i="26"/>
  <c r="G445" i="26"/>
  <c r="J445" i="26"/>
  <c r="E446" i="26"/>
  <c r="G446" i="26"/>
  <c r="J446" i="26"/>
  <c r="E447" i="26"/>
  <c r="G447" i="26"/>
  <c r="J447" i="26"/>
  <c r="E448" i="26"/>
  <c r="G448" i="26"/>
  <c r="J448" i="26"/>
  <c r="E449" i="26"/>
  <c r="G449" i="26"/>
  <c r="J449" i="26"/>
  <c r="E450" i="26"/>
  <c r="G450" i="26"/>
  <c r="J450" i="26"/>
  <c r="E451" i="26"/>
  <c r="G451" i="26"/>
  <c r="J451" i="26"/>
  <c r="E452" i="26"/>
  <c r="G452" i="26"/>
  <c r="J452" i="26"/>
  <c r="E453" i="26"/>
  <c r="G453" i="26"/>
  <c r="J453" i="26"/>
  <c r="E454" i="26"/>
  <c r="G454" i="26"/>
  <c r="J454" i="26"/>
  <c r="E455" i="26"/>
  <c r="G455" i="26"/>
  <c r="J455" i="26"/>
  <c r="E456" i="26"/>
  <c r="G456" i="26"/>
  <c r="J456" i="26"/>
  <c r="E457" i="26"/>
  <c r="G457" i="26"/>
  <c r="J457" i="26"/>
  <c r="E458" i="26"/>
  <c r="G458" i="26"/>
  <c r="J458" i="26"/>
  <c r="E459" i="26"/>
  <c r="G459" i="26"/>
  <c r="J459" i="26"/>
  <c r="E460" i="26"/>
  <c r="G460" i="26"/>
  <c r="J460" i="26"/>
  <c r="E461" i="26"/>
  <c r="G461" i="26"/>
  <c r="J461" i="26"/>
  <c r="E462" i="26"/>
  <c r="G462" i="26"/>
  <c r="J462" i="26"/>
  <c r="E463" i="26"/>
  <c r="G463" i="26"/>
  <c r="J463" i="26"/>
  <c r="E464" i="26"/>
  <c r="G464" i="26"/>
  <c r="J464" i="26"/>
  <c r="E465" i="26"/>
  <c r="G465" i="26"/>
  <c r="J465" i="26"/>
  <c r="E466" i="26"/>
  <c r="G466" i="26"/>
  <c r="J466" i="26"/>
  <c r="E467" i="26"/>
  <c r="G467" i="26"/>
  <c r="J467" i="26"/>
  <c r="E468" i="26"/>
  <c r="G468" i="26"/>
  <c r="J468" i="26"/>
  <c r="E469" i="26"/>
  <c r="G469" i="26"/>
  <c r="J469" i="26"/>
  <c r="E470" i="26"/>
  <c r="G470" i="26"/>
  <c r="J470" i="26"/>
  <c r="E471" i="26"/>
  <c r="G471" i="26"/>
  <c r="J471" i="26"/>
  <c r="E472" i="26"/>
  <c r="G472" i="26"/>
  <c r="J472" i="26"/>
  <c r="E473" i="26"/>
  <c r="G473" i="26"/>
  <c r="J473" i="26"/>
  <c r="E474" i="26"/>
  <c r="G474" i="26"/>
  <c r="J474" i="26"/>
  <c r="E475" i="26"/>
  <c r="G475" i="26"/>
  <c r="J475" i="26"/>
  <c r="E476" i="26"/>
  <c r="G476" i="26"/>
  <c r="J476" i="26"/>
  <c r="E477" i="26"/>
  <c r="G477" i="26"/>
  <c r="J477" i="26"/>
  <c r="E478" i="26"/>
  <c r="G478" i="26"/>
  <c r="J478" i="26"/>
  <c r="E479" i="26"/>
  <c r="G479" i="26"/>
  <c r="J479" i="26"/>
  <c r="E480" i="26"/>
  <c r="G480" i="26"/>
  <c r="J480" i="26"/>
  <c r="E481" i="26"/>
  <c r="G481" i="26"/>
  <c r="J481" i="26"/>
  <c r="E482" i="26"/>
  <c r="G482" i="26"/>
  <c r="J482" i="26"/>
  <c r="E483" i="26"/>
  <c r="G483" i="26"/>
  <c r="J483" i="26"/>
  <c r="E484" i="26"/>
  <c r="G484" i="26"/>
  <c r="J484" i="26"/>
  <c r="E485" i="26"/>
  <c r="G485" i="26"/>
  <c r="J485" i="26"/>
  <c r="E486" i="26"/>
  <c r="G486" i="26"/>
  <c r="J486" i="26"/>
  <c r="E487" i="26"/>
  <c r="G487" i="26"/>
  <c r="J487" i="26"/>
  <c r="E488" i="26"/>
  <c r="G488" i="26"/>
  <c r="J488" i="26"/>
  <c r="E489" i="26"/>
  <c r="G489" i="26"/>
  <c r="J489" i="26"/>
  <c r="E490" i="26"/>
  <c r="G490" i="26"/>
  <c r="J490" i="26"/>
  <c r="E491" i="26"/>
  <c r="G491" i="26"/>
  <c r="J491" i="26"/>
  <c r="E492" i="26"/>
  <c r="G492" i="26"/>
  <c r="J492" i="26"/>
  <c r="E493" i="26"/>
  <c r="G493" i="26"/>
  <c r="J493" i="26"/>
  <c r="E494" i="26"/>
  <c r="G494" i="26"/>
  <c r="J494" i="26"/>
  <c r="E495" i="26"/>
  <c r="G495" i="26"/>
  <c r="J495" i="26"/>
  <c r="E496" i="26"/>
  <c r="G496" i="26"/>
  <c r="J496" i="26"/>
  <c r="E497" i="26"/>
  <c r="G497" i="26"/>
  <c r="J497" i="26"/>
  <c r="E498" i="26"/>
  <c r="G498" i="26"/>
  <c r="J498" i="26"/>
  <c r="E499" i="26"/>
  <c r="G499" i="26"/>
  <c r="J499" i="26"/>
  <c r="E500" i="26"/>
  <c r="G500" i="26"/>
  <c r="J500" i="26"/>
  <c r="E501" i="26"/>
  <c r="G501" i="26"/>
  <c r="J501" i="26"/>
  <c r="W15" i="13" l="1"/>
  <c r="N15" i="13"/>
  <c r="K15" i="13"/>
  <c r="G15" i="13"/>
  <c r="E15" i="13"/>
  <c r="W8" i="13"/>
  <c r="N8" i="13"/>
  <c r="K8" i="13"/>
  <c r="G8" i="13"/>
  <c r="E8" i="13"/>
  <c r="W3" i="13"/>
  <c r="N3" i="13"/>
  <c r="K3" i="13"/>
  <c r="G3" i="13"/>
  <c r="E3" i="13"/>
  <c r="W2" i="13"/>
  <c r="N2" i="13"/>
  <c r="K2" i="13"/>
  <c r="G2" i="13"/>
  <c r="E2" i="13"/>
  <c r="W4" i="13"/>
  <c r="N4" i="13"/>
  <c r="K4" i="13"/>
  <c r="G4" i="13"/>
  <c r="E4" i="13"/>
  <c r="G19" i="13"/>
  <c r="E19" i="13"/>
  <c r="W7" i="13"/>
  <c r="N7" i="13"/>
  <c r="K7" i="13"/>
  <c r="G7" i="13"/>
  <c r="E7" i="13"/>
  <c r="W12" i="13"/>
  <c r="N12" i="13"/>
  <c r="K12" i="13"/>
  <c r="G12" i="13"/>
  <c r="E12" i="13"/>
  <c r="W14" i="13"/>
  <c r="N14" i="13"/>
  <c r="K14" i="13"/>
  <c r="G14" i="13"/>
  <c r="E14" i="13"/>
  <c r="W9" i="13"/>
  <c r="N9" i="13"/>
  <c r="K9" i="13"/>
  <c r="G9" i="13"/>
  <c r="E9" i="13"/>
  <c r="W6" i="13"/>
  <c r="N6" i="13"/>
  <c r="K6" i="13"/>
  <c r="G6" i="13"/>
  <c r="E6" i="13"/>
  <c r="G5" i="13"/>
  <c r="G13" i="13"/>
  <c r="W215" i="13"/>
  <c r="N215" i="13"/>
  <c r="K215" i="13"/>
  <c r="G215" i="13"/>
  <c r="E215" i="13"/>
  <c r="W214" i="13"/>
  <c r="N214" i="13"/>
  <c r="K214" i="13"/>
  <c r="G214" i="13"/>
  <c r="E214" i="13"/>
  <c r="W213" i="13"/>
  <c r="N213" i="13"/>
  <c r="K213" i="13"/>
  <c r="G213" i="13"/>
  <c r="E213" i="13"/>
  <c r="W212" i="13"/>
  <c r="N212" i="13"/>
  <c r="K212" i="13"/>
  <c r="G212" i="13"/>
  <c r="E212" i="13"/>
  <c r="W211" i="13"/>
  <c r="N211" i="13"/>
  <c r="K211" i="13"/>
  <c r="G211" i="13"/>
  <c r="E211" i="13"/>
  <c r="W210" i="13"/>
  <c r="N210" i="13"/>
  <c r="K210" i="13"/>
  <c r="G210" i="13"/>
  <c r="E210" i="13"/>
  <c r="W209" i="13"/>
  <c r="N209" i="13"/>
  <c r="K209" i="13"/>
  <c r="G209" i="13"/>
  <c r="E209" i="13"/>
  <c r="W208" i="13"/>
  <c r="N208" i="13"/>
  <c r="K208" i="13"/>
  <c r="G208" i="13"/>
  <c r="E208" i="13"/>
  <c r="W207" i="13"/>
  <c r="N207" i="13"/>
  <c r="K207" i="13"/>
  <c r="G207" i="13"/>
  <c r="E207" i="13"/>
  <c r="W206" i="13"/>
  <c r="N206" i="13"/>
  <c r="K206" i="13"/>
  <c r="G206" i="13"/>
  <c r="E206" i="13"/>
  <c r="W205" i="13"/>
  <c r="N205" i="13"/>
  <c r="K205" i="13"/>
  <c r="G205" i="13"/>
  <c r="E205" i="13"/>
  <c r="W204" i="13"/>
  <c r="N204" i="13"/>
  <c r="K204" i="13"/>
  <c r="G204" i="13"/>
  <c r="E204" i="13"/>
  <c r="W203" i="13"/>
  <c r="N203" i="13"/>
  <c r="K203" i="13"/>
  <c r="G203" i="13"/>
  <c r="E203" i="13"/>
  <c r="W202" i="13"/>
  <c r="N202" i="13"/>
  <c r="K202" i="13"/>
  <c r="G202" i="13"/>
  <c r="E202" i="13"/>
  <c r="W201" i="13"/>
  <c r="N201" i="13"/>
  <c r="K201" i="13"/>
  <c r="G201" i="13"/>
  <c r="E201" i="13"/>
  <c r="W200" i="13"/>
  <c r="N200" i="13"/>
  <c r="K200" i="13"/>
  <c r="G200" i="13"/>
  <c r="E200" i="13"/>
  <c r="W199" i="13"/>
  <c r="N199" i="13"/>
  <c r="K199" i="13"/>
  <c r="G199" i="13"/>
  <c r="E199" i="13"/>
  <c r="W198" i="13"/>
  <c r="N198" i="13"/>
  <c r="K198" i="13"/>
  <c r="G198" i="13"/>
  <c r="E198" i="13"/>
  <c r="W197" i="13"/>
  <c r="N197" i="13"/>
  <c r="K197" i="13"/>
  <c r="G197" i="13"/>
  <c r="E197" i="13"/>
  <c r="W196" i="13"/>
  <c r="N196" i="13"/>
  <c r="K196" i="13"/>
  <c r="G196" i="13"/>
  <c r="E196" i="13"/>
  <c r="W195" i="13"/>
  <c r="N195" i="13"/>
  <c r="K195" i="13"/>
  <c r="G195" i="13"/>
  <c r="E195" i="13"/>
  <c r="W194" i="13"/>
  <c r="N194" i="13"/>
  <c r="K194" i="13"/>
  <c r="G194" i="13"/>
  <c r="E194" i="13"/>
  <c r="W193" i="13"/>
  <c r="N193" i="13"/>
  <c r="K193" i="13"/>
  <c r="G193" i="13"/>
  <c r="E193" i="13"/>
  <c r="W192" i="13"/>
  <c r="N192" i="13"/>
  <c r="K192" i="13"/>
  <c r="G192" i="13"/>
  <c r="E192" i="13"/>
  <c r="W191" i="13"/>
  <c r="N191" i="13"/>
  <c r="K191" i="13"/>
  <c r="G191" i="13"/>
  <c r="E191" i="13"/>
  <c r="W190" i="13"/>
  <c r="N190" i="13"/>
  <c r="K190" i="13"/>
  <c r="G190" i="13"/>
  <c r="E190" i="13"/>
  <c r="W189" i="13"/>
  <c r="N189" i="13"/>
  <c r="K189" i="13"/>
  <c r="G189" i="13"/>
  <c r="E189" i="13"/>
  <c r="W188" i="13"/>
  <c r="N188" i="13"/>
  <c r="K188" i="13"/>
  <c r="G188" i="13"/>
  <c r="E188" i="13"/>
  <c r="W187" i="13"/>
  <c r="N187" i="13"/>
  <c r="K187" i="13"/>
  <c r="G187" i="13"/>
  <c r="E187" i="13"/>
  <c r="W186" i="13"/>
  <c r="N186" i="13"/>
  <c r="K186" i="13"/>
  <c r="G186" i="13"/>
  <c r="E186" i="13"/>
  <c r="W185" i="13"/>
  <c r="N185" i="13"/>
  <c r="K185" i="13"/>
  <c r="G185" i="13"/>
  <c r="E185" i="13"/>
  <c r="W184" i="13"/>
  <c r="N184" i="13"/>
  <c r="K184" i="13"/>
  <c r="G184" i="13"/>
  <c r="E184" i="13"/>
  <c r="W183" i="13"/>
  <c r="N183" i="13"/>
  <c r="K183" i="13"/>
  <c r="G183" i="13"/>
  <c r="E183" i="13"/>
  <c r="W182" i="13"/>
  <c r="N182" i="13"/>
  <c r="K182" i="13"/>
  <c r="G182" i="13"/>
  <c r="E182" i="13"/>
  <c r="W181" i="13"/>
  <c r="N181" i="13"/>
  <c r="K181" i="13"/>
  <c r="G181" i="13"/>
  <c r="E181" i="13"/>
  <c r="W180" i="13"/>
  <c r="N180" i="13"/>
  <c r="K180" i="13"/>
  <c r="G180" i="13"/>
  <c r="E180" i="13"/>
  <c r="W179" i="13"/>
  <c r="N179" i="13"/>
  <c r="K179" i="13"/>
  <c r="G179" i="13"/>
  <c r="E179" i="13"/>
  <c r="W178" i="13"/>
  <c r="N178" i="13"/>
  <c r="K178" i="13"/>
  <c r="G178" i="13"/>
  <c r="E178" i="13"/>
  <c r="W177" i="13"/>
  <c r="N177" i="13"/>
  <c r="K177" i="13"/>
  <c r="G177" i="13"/>
  <c r="E177" i="13"/>
  <c r="W176" i="13"/>
  <c r="N176" i="13"/>
  <c r="K176" i="13"/>
  <c r="G176" i="13"/>
  <c r="E176" i="13"/>
  <c r="W175" i="13"/>
  <c r="N175" i="13"/>
  <c r="K175" i="13"/>
  <c r="G175" i="13"/>
  <c r="E175" i="13"/>
  <c r="W174" i="13"/>
  <c r="N174" i="13"/>
  <c r="K174" i="13"/>
  <c r="G174" i="13"/>
  <c r="E174" i="13"/>
  <c r="W173" i="13"/>
  <c r="N173" i="13"/>
  <c r="K173" i="13"/>
  <c r="G173" i="13"/>
  <c r="E173" i="13"/>
  <c r="W172" i="13"/>
  <c r="N172" i="13"/>
  <c r="K172" i="13"/>
  <c r="G172" i="13"/>
  <c r="E172" i="13"/>
  <c r="W171" i="13"/>
  <c r="N171" i="13"/>
  <c r="K171" i="13"/>
  <c r="G171" i="13"/>
  <c r="E171" i="13"/>
  <c r="W170" i="13"/>
  <c r="N170" i="13"/>
  <c r="K170" i="13"/>
  <c r="G170" i="13"/>
  <c r="E170" i="13"/>
  <c r="W169" i="13"/>
  <c r="N169" i="13"/>
  <c r="K169" i="13"/>
  <c r="G169" i="13"/>
  <c r="E169" i="13"/>
  <c r="W168" i="13"/>
  <c r="N168" i="13"/>
  <c r="K168" i="13"/>
  <c r="G168" i="13"/>
  <c r="E168" i="13"/>
  <c r="W167" i="13"/>
  <c r="N167" i="13"/>
  <c r="K167" i="13"/>
  <c r="G167" i="13"/>
  <c r="E167" i="13"/>
  <c r="W166" i="13"/>
  <c r="N166" i="13"/>
  <c r="K166" i="13"/>
  <c r="G166" i="13"/>
  <c r="E166" i="13"/>
  <c r="W165" i="13"/>
  <c r="N165" i="13"/>
  <c r="K165" i="13"/>
  <c r="G165" i="13"/>
  <c r="E165" i="13"/>
  <c r="W164" i="13"/>
  <c r="N164" i="13"/>
  <c r="K164" i="13"/>
  <c r="G164" i="13"/>
  <c r="E164" i="13"/>
  <c r="W163" i="13"/>
  <c r="N163" i="13"/>
  <c r="K163" i="13"/>
  <c r="G163" i="13"/>
  <c r="E163" i="13"/>
  <c r="W162" i="13"/>
  <c r="N162" i="13"/>
  <c r="K162" i="13"/>
  <c r="G162" i="13"/>
  <c r="E162" i="13"/>
  <c r="W161" i="13"/>
  <c r="N161" i="13"/>
  <c r="K161" i="13"/>
  <c r="G161" i="13"/>
  <c r="E161" i="13"/>
  <c r="W160" i="13"/>
  <c r="N160" i="13"/>
  <c r="K160" i="13"/>
  <c r="G160" i="13"/>
  <c r="E160" i="13"/>
  <c r="W159" i="13"/>
  <c r="N159" i="13"/>
  <c r="K159" i="13"/>
  <c r="G159" i="13"/>
  <c r="E159" i="13"/>
  <c r="W158" i="13"/>
  <c r="N158" i="13"/>
  <c r="K158" i="13"/>
  <c r="G158" i="13"/>
  <c r="E158" i="13"/>
  <c r="W157" i="13"/>
  <c r="N157" i="13"/>
  <c r="K157" i="13"/>
  <c r="G157" i="13"/>
  <c r="E157" i="13"/>
  <c r="W156" i="13"/>
  <c r="N156" i="13"/>
  <c r="K156" i="13"/>
  <c r="G156" i="13"/>
  <c r="E156" i="13"/>
  <c r="W155" i="13"/>
  <c r="N155" i="13"/>
  <c r="K155" i="13"/>
  <c r="G155" i="13"/>
  <c r="E155" i="13"/>
  <c r="W154" i="13"/>
  <c r="N154" i="13"/>
  <c r="K154" i="13"/>
  <c r="G154" i="13"/>
  <c r="E154" i="13"/>
  <c r="W153" i="13"/>
  <c r="N153" i="13"/>
  <c r="K153" i="13"/>
  <c r="G153" i="13"/>
  <c r="E153" i="13"/>
  <c r="W152" i="13"/>
  <c r="N152" i="13"/>
  <c r="K152" i="13"/>
  <c r="G152" i="13"/>
  <c r="E152" i="13"/>
  <c r="W151" i="13"/>
  <c r="N151" i="13"/>
  <c r="K151" i="13"/>
  <c r="G151" i="13"/>
  <c r="E151" i="13"/>
  <c r="W150" i="13"/>
  <c r="N150" i="13"/>
  <c r="K150" i="13"/>
  <c r="G150" i="13"/>
  <c r="E150" i="13"/>
  <c r="W149" i="13"/>
  <c r="N149" i="13"/>
  <c r="K149" i="13"/>
  <c r="G149" i="13"/>
  <c r="E149" i="13"/>
  <c r="W148" i="13"/>
  <c r="N148" i="13"/>
  <c r="K148" i="13"/>
  <c r="G148" i="13"/>
  <c r="E148" i="13"/>
  <c r="W147" i="13"/>
  <c r="N147" i="13"/>
  <c r="K147" i="13"/>
  <c r="G147" i="13"/>
  <c r="E147" i="13"/>
  <c r="W146" i="13"/>
  <c r="N146" i="13"/>
  <c r="K146" i="13"/>
  <c r="G146" i="13"/>
  <c r="E146" i="13"/>
  <c r="W145" i="13"/>
  <c r="N145" i="13"/>
  <c r="K145" i="13"/>
  <c r="G145" i="13"/>
  <c r="E145" i="13"/>
  <c r="W144" i="13"/>
  <c r="N144" i="13"/>
  <c r="K144" i="13"/>
  <c r="G144" i="13"/>
  <c r="E144" i="13"/>
  <c r="W143" i="13"/>
  <c r="N143" i="13"/>
  <c r="K143" i="13"/>
  <c r="G143" i="13"/>
  <c r="E143" i="13"/>
  <c r="W142" i="13"/>
  <c r="N142" i="13"/>
  <c r="K142" i="13"/>
  <c r="G142" i="13"/>
  <c r="E142" i="13"/>
  <c r="W141" i="13"/>
  <c r="N141" i="13"/>
  <c r="K141" i="13"/>
  <c r="G141" i="13"/>
  <c r="E141" i="13"/>
  <c r="W140" i="13"/>
  <c r="N140" i="13"/>
  <c r="K140" i="13"/>
  <c r="G140" i="13"/>
  <c r="E140" i="13"/>
  <c r="W139" i="13"/>
  <c r="N139" i="13"/>
  <c r="K139" i="13"/>
  <c r="G139" i="13"/>
  <c r="E139" i="13"/>
  <c r="W138" i="13"/>
  <c r="N138" i="13"/>
  <c r="K138" i="13"/>
  <c r="G138" i="13"/>
  <c r="E138" i="13"/>
  <c r="W137" i="13"/>
  <c r="N137" i="13"/>
  <c r="K137" i="13"/>
  <c r="G137" i="13"/>
  <c r="E137" i="13"/>
  <c r="W136" i="13"/>
  <c r="N136" i="13"/>
  <c r="K136" i="13"/>
  <c r="G136" i="13"/>
  <c r="E136" i="13"/>
  <c r="W135" i="13"/>
  <c r="N135" i="13"/>
  <c r="K135" i="13"/>
  <c r="G135" i="13"/>
  <c r="E135" i="13"/>
  <c r="W134" i="13"/>
  <c r="N134" i="13"/>
  <c r="K134" i="13"/>
  <c r="G134" i="13"/>
  <c r="E134" i="13"/>
  <c r="W133" i="13"/>
  <c r="N133" i="13"/>
  <c r="K133" i="13"/>
  <c r="G133" i="13"/>
  <c r="E133" i="13"/>
  <c r="W132" i="13"/>
  <c r="N132" i="13"/>
  <c r="K132" i="13"/>
  <c r="G132" i="13"/>
  <c r="E132" i="13"/>
  <c r="W131" i="13"/>
  <c r="N131" i="13"/>
  <c r="K131" i="13"/>
  <c r="G131" i="13"/>
  <c r="E131" i="13"/>
  <c r="W130" i="13"/>
  <c r="N130" i="13"/>
  <c r="K130" i="13"/>
  <c r="G130" i="13"/>
  <c r="E130" i="13"/>
  <c r="W129" i="13"/>
  <c r="N129" i="13"/>
  <c r="K129" i="13"/>
  <c r="G129" i="13"/>
  <c r="E129" i="13"/>
  <c r="W128" i="13"/>
  <c r="N128" i="13"/>
  <c r="K128" i="13"/>
  <c r="G128" i="13"/>
  <c r="E128" i="13"/>
  <c r="W127" i="13"/>
  <c r="N127" i="13"/>
  <c r="K127" i="13"/>
  <c r="G127" i="13"/>
  <c r="E127" i="13"/>
  <c r="W126" i="13"/>
  <c r="N126" i="13"/>
  <c r="K126" i="13"/>
  <c r="G126" i="13"/>
  <c r="E126" i="13"/>
  <c r="W125" i="13"/>
  <c r="N125" i="13"/>
  <c r="K125" i="13"/>
  <c r="G125" i="13"/>
  <c r="E125" i="13"/>
  <c r="W124" i="13"/>
  <c r="N124" i="13"/>
  <c r="K124" i="13"/>
  <c r="G124" i="13"/>
  <c r="E124" i="13"/>
  <c r="W123" i="13"/>
  <c r="N123" i="13"/>
  <c r="K123" i="13"/>
  <c r="G123" i="13"/>
  <c r="E123" i="13"/>
  <c r="W122" i="13"/>
  <c r="N122" i="13"/>
  <c r="K122" i="13"/>
  <c r="G122" i="13"/>
  <c r="E122" i="13"/>
  <c r="W121" i="13"/>
  <c r="N121" i="13"/>
  <c r="K121" i="13"/>
  <c r="G121" i="13"/>
  <c r="E121" i="13"/>
  <c r="W120" i="13"/>
  <c r="N120" i="13"/>
  <c r="K120" i="13"/>
  <c r="G120" i="13"/>
  <c r="E120" i="13"/>
  <c r="W119" i="13"/>
  <c r="N119" i="13"/>
  <c r="K119" i="13"/>
  <c r="G119" i="13"/>
  <c r="E119" i="13"/>
  <c r="W118" i="13"/>
  <c r="N118" i="13"/>
  <c r="K118" i="13"/>
  <c r="G118" i="13"/>
  <c r="E118" i="13"/>
  <c r="W117" i="13"/>
  <c r="N117" i="13"/>
  <c r="K117" i="13"/>
  <c r="G117" i="13"/>
  <c r="E117" i="13"/>
  <c r="W116" i="13"/>
  <c r="N116" i="13"/>
  <c r="K116" i="13"/>
  <c r="G116" i="13"/>
  <c r="E116" i="13"/>
  <c r="W115" i="13"/>
  <c r="N115" i="13"/>
  <c r="K115" i="13"/>
  <c r="G115" i="13"/>
  <c r="E115" i="13"/>
  <c r="W114" i="13"/>
  <c r="N114" i="13"/>
  <c r="K114" i="13"/>
  <c r="G114" i="13"/>
  <c r="E114" i="13"/>
  <c r="W113" i="13"/>
  <c r="N113" i="13"/>
  <c r="K113" i="13"/>
  <c r="G113" i="13"/>
  <c r="E113" i="13"/>
  <c r="W112" i="13"/>
  <c r="N112" i="13"/>
  <c r="K112" i="13"/>
  <c r="G112" i="13"/>
  <c r="E112" i="13"/>
  <c r="W111" i="13"/>
  <c r="N111" i="13"/>
  <c r="K111" i="13"/>
  <c r="G111" i="13"/>
  <c r="E111" i="13"/>
  <c r="W110" i="13"/>
  <c r="N110" i="13"/>
  <c r="K110" i="13"/>
  <c r="G110" i="13"/>
  <c r="E110" i="13"/>
  <c r="W109" i="13"/>
  <c r="N109" i="13"/>
  <c r="K109" i="13"/>
  <c r="G109" i="13"/>
  <c r="E109" i="13"/>
  <c r="W108" i="13"/>
  <c r="N108" i="13"/>
  <c r="K108" i="13"/>
  <c r="G108" i="13"/>
  <c r="E108" i="13"/>
  <c r="W107" i="13"/>
  <c r="N107" i="13"/>
  <c r="K107" i="13"/>
  <c r="G107" i="13"/>
  <c r="E107" i="13"/>
  <c r="W106" i="13"/>
  <c r="N106" i="13"/>
  <c r="K106" i="13"/>
  <c r="G106" i="13"/>
  <c r="E106" i="13"/>
  <c r="W105" i="13"/>
  <c r="N105" i="13"/>
  <c r="K105" i="13"/>
  <c r="G105" i="13"/>
  <c r="E105" i="13"/>
  <c r="W104" i="13"/>
  <c r="N104" i="13"/>
  <c r="K104" i="13"/>
  <c r="G104" i="13"/>
  <c r="E104" i="13"/>
  <c r="W103" i="13"/>
  <c r="N103" i="13"/>
  <c r="K103" i="13"/>
  <c r="G103" i="13"/>
  <c r="E103" i="13"/>
  <c r="W102" i="13"/>
  <c r="N102" i="13"/>
  <c r="K102" i="13"/>
  <c r="G102" i="13"/>
  <c r="E102" i="13"/>
  <c r="W101" i="13"/>
  <c r="N101" i="13"/>
  <c r="K101" i="13"/>
  <c r="G101" i="13"/>
  <c r="E101" i="13"/>
  <c r="W100" i="13"/>
  <c r="N100" i="13"/>
  <c r="K100" i="13"/>
  <c r="G100" i="13"/>
  <c r="E100" i="13"/>
  <c r="W99" i="13"/>
  <c r="N99" i="13"/>
  <c r="K99" i="13"/>
  <c r="G99" i="13"/>
  <c r="E99" i="13"/>
  <c r="W98" i="13"/>
  <c r="N98" i="13"/>
  <c r="K98" i="13"/>
  <c r="G98" i="13"/>
  <c r="E98" i="13"/>
  <c r="W97" i="13"/>
  <c r="N97" i="13"/>
  <c r="K97" i="13"/>
  <c r="G97" i="13"/>
  <c r="E97" i="13"/>
  <c r="W96" i="13"/>
  <c r="N96" i="13"/>
  <c r="K96" i="13"/>
  <c r="G96" i="13"/>
  <c r="E96" i="13"/>
  <c r="W95" i="13"/>
  <c r="N95" i="13"/>
  <c r="K95" i="13"/>
  <c r="G95" i="13"/>
  <c r="E95" i="13"/>
  <c r="W94" i="13"/>
  <c r="N94" i="13"/>
  <c r="K94" i="13"/>
  <c r="G94" i="13"/>
  <c r="E94" i="13"/>
  <c r="W93" i="13"/>
  <c r="N93" i="13"/>
  <c r="K93" i="13"/>
  <c r="G93" i="13"/>
  <c r="E93" i="13"/>
  <c r="W92" i="13"/>
  <c r="N92" i="13"/>
  <c r="K92" i="13"/>
  <c r="G92" i="13"/>
  <c r="E92" i="13"/>
  <c r="W91" i="13"/>
  <c r="N91" i="13"/>
  <c r="K91" i="13"/>
  <c r="G91" i="13"/>
  <c r="E91" i="13"/>
  <c r="W90" i="13"/>
  <c r="N90" i="13"/>
  <c r="K90" i="13"/>
  <c r="G90" i="13"/>
  <c r="E90" i="13"/>
  <c r="W89" i="13"/>
  <c r="N89" i="13"/>
  <c r="K89" i="13"/>
  <c r="G89" i="13"/>
  <c r="E89" i="13"/>
  <c r="W88" i="13"/>
  <c r="N88" i="13"/>
  <c r="K88" i="13"/>
  <c r="G88" i="13"/>
  <c r="E88" i="13"/>
  <c r="W87" i="13"/>
  <c r="N87" i="13"/>
  <c r="K87" i="13"/>
  <c r="G87" i="13"/>
  <c r="E87" i="13"/>
  <c r="W86" i="13"/>
  <c r="N86" i="13"/>
  <c r="K86" i="13"/>
  <c r="G86" i="13"/>
  <c r="E86" i="13"/>
  <c r="W85" i="13"/>
  <c r="N85" i="13"/>
  <c r="K85" i="13"/>
  <c r="G85" i="13"/>
  <c r="E85" i="13"/>
  <c r="W84" i="13"/>
  <c r="N84" i="13"/>
  <c r="K84" i="13"/>
  <c r="G84" i="13"/>
  <c r="E84" i="13"/>
  <c r="W83" i="13"/>
  <c r="N83" i="13"/>
  <c r="K83" i="13"/>
  <c r="G83" i="13"/>
  <c r="E83" i="13"/>
  <c r="W82" i="13"/>
  <c r="N82" i="13"/>
  <c r="K82" i="13"/>
  <c r="G82" i="13"/>
  <c r="E82" i="13"/>
  <c r="W81" i="13"/>
  <c r="N81" i="13"/>
  <c r="K81" i="13"/>
  <c r="G81" i="13"/>
  <c r="E81" i="13"/>
  <c r="W80" i="13"/>
  <c r="N80" i="13"/>
  <c r="K80" i="13"/>
  <c r="G80" i="13"/>
  <c r="E80" i="13"/>
  <c r="W79" i="13"/>
  <c r="N79" i="13"/>
  <c r="K79" i="13"/>
  <c r="G79" i="13"/>
  <c r="E79" i="13"/>
  <c r="W78" i="13"/>
  <c r="N78" i="13"/>
  <c r="K78" i="13"/>
  <c r="G78" i="13"/>
  <c r="E78" i="13"/>
  <c r="W77" i="13"/>
  <c r="N77" i="13"/>
  <c r="K77" i="13"/>
  <c r="G77" i="13"/>
  <c r="E77" i="13"/>
  <c r="W76" i="13"/>
  <c r="N76" i="13"/>
  <c r="K76" i="13"/>
  <c r="G76" i="13"/>
  <c r="E76" i="13"/>
  <c r="W75" i="13"/>
  <c r="N75" i="13"/>
  <c r="K75" i="13"/>
  <c r="G75" i="13"/>
  <c r="E75" i="13"/>
  <c r="W74" i="13"/>
  <c r="N74" i="13"/>
  <c r="K74" i="13"/>
  <c r="G74" i="13"/>
  <c r="E74" i="13"/>
  <c r="W73" i="13"/>
  <c r="N73" i="13"/>
  <c r="K73" i="13"/>
  <c r="G73" i="13"/>
  <c r="E73" i="13"/>
  <c r="W72" i="13"/>
  <c r="N72" i="13"/>
  <c r="K72" i="13"/>
  <c r="G72" i="13"/>
  <c r="E72" i="13"/>
  <c r="W71" i="13"/>
  <c r="N71" i="13"/>
  <c r="K71" i="13"/>
  <c r="G71" i="13"/>
  <c r="E71" i="13"/>
  <c r="W70" i="13"/>
  <c r="N70" i="13"/>
  <c r="K70" i="13"/>
  <c r="G70" i="13"/>
  <c r="E70" i="13"/>
  <c r="W69" i="13"/>
  <c r="N69" i="13"/>
  <c r="K69" i="13"/>
  <c r="G69" i="13"/>
  <c r="E69" i="13"/>
  <c r="W68" i="13"/>
  <c r="N68" i="13"/>
  <c r="K68" i="13"/>
  <c r="G68" i="13"/>
  <c r="E68" i="13"/>
  <c r="W67" i="13"/>
  <c r="N67" i="13"/>
  <c r="K67" i="13"/>
  <c r="G67" i="13"/>
  <c r="E67" i="13"/>
  <c r="W66" i="13"/>
  <c r="N66" i="13"/>
  <c r="K66" i="13"/>
  <c r="G66" i="13"/>
  <c r="E66" i="13"/>
  <c r="W65" i="13"/>
  <c r="N65" i="13"/>
  <c r="K65" i="13"/>
  <c r="G65" i="13"/>
  <c r="E65" i="13"/>
  <c r="W64" i="13"/>
  <c r="N64" i="13"/>
  <c r="K64" i="13"/>
  <c r="G64" i="13"/>
  <c r="E64" i="13"/>
  <c r="W63" i="13"/>
  <c r="N63" i="13"/>
  <c r="K63" i="13"/>
  <c r="G63" i="13"/>
  <c r="E63" i="13"/>
  <c r="W62" i="13"/>
  <c r="N62" i="13"/>
  <c r="K62" i="13"/>
  <c r="G62" i="13"/>
  <c r="E62" i="13"/>
  <c r="W61" i="13"/>
  <c r="N61" i="13"/>
  <c r="K61" i="13"/>
  <c r="G61" i="13"/>
  <c r="E61" i="13"/>
  <c r="W60" i="13"/>
  <c r="N60" i="13"/>
  <c r="K60" i="13"/>
  <c r="G60" i="13"/>
  <c r="E60" i="13"/>
  <c r="W59" i="13"/>
  <c r="N59" i="13"/>
  <c r="K59" i="13"/>
  <c r="G59" i="13"/>
  <c r="E59" i="13"/>
  <c r="W58" i="13"/>
  <c r="N58" i="13"/>
  <c r="K58" i="13"/>
  <c r="G58" i="13"/>
  <c r="E58" i="13"/>
  <c r="W57" i="13"/>
  <c r="N57" i="13"/>
  <c r="K57" i="13"/>
  <c r="G57" i="13"/>
  <c r="E57" i="13"/>
  <c r="W56" i="13"/>
  <c r="N56" i="13"/>
  <c r="K56" i="13"/>
  <c r="G56" i="13"/>
  <c r="E56" i="13"/>
  <c r="W55" i="13"/>
  <c r="N55" i="13"/>
  <c r="K55" i="13"/>
  <c r="G55" i="13"/>
  <c r="E55" i="13"/>
  <c r="W54" i="13"/>
  <c r="N54" i="13"/>
  <c r="K54" i="13"/>
  <c r="G54" i="13"/>
  <c r="E54" i="13"/>
  <c r="W53" i="13"/>
  <c r="N53" i="13"/>
  <c r="K53" i="13"/>
  <c r="G53" i="13"/>
  <c r="E53" i="13"/>
  <c r="W52" i="13"/>
  <c r="N52" i="13"/>
  <c r="K52" i="13"/>
  <c r="G52" i="13"/>
  <c r="E52" i="13"/>
  <c r="W51" i="13"/>
  <c r="N51" i="13"/>
  <c r="K51" i="13"/>
  <c r="G51" i="13"/>
  <c r="E51" i="13"/>
  <c r="W50" i="13"/>
  <c r="N50" i="13"/>
  <c r="K50" i="13"/>
  <c r="G50" i="13"/>
  <c r="E50" i="13"/>
  <c r="W49" i="13"/>
  <c r="N49" i="13"/>
  <c r="K49" i="13"/>
  <c r="G49" i="13"/>
  <c r="E49" i="13"/>
  <c r="W48" i="13"/>
  <c r="N48" i="13"/>
  <c r="K48" i="13"/>
  <c r="G48" i="13"/>
  <c r="E48" i="13"/>
  <c r="W47" i="13"/>
  <c r="N47" i="13"/>
  <c r="K47" i="13"/>
  <c r="G47" i="13"/>
  <c r="E47" i="13"/>
  <c r="W46" i="13"/>
  <c r="N46" i="13"/>
  <c r="K46" i="13"/>
  <c r="G46" i="13"/>
  <c r="E46" i="13"/>
  <c r="W45" i="13"/>
  <c r="N45" i="13"/>
  <c r="K45" i="13"/>
  <c r="G45" i="13"/>
  <c r="E45" i="13"/>
  <c r="W44" i="13"/>
  <c r="N44" i="13"/>
  <c r="K44" i="13"/>
  <c r="G44" i="13"/>
  <c r="E44" i="13"/>
  <c r="W43" i="13"/>
  <c r="N43" i="13"/>
  <c r="K43" i="13"/>
  <c r="G43" i="13"/>
  <c r="E43" i="13"/>
  <c r="W42" i="13"/>
  <c r="N42" i="13"/>
  <c r="K42" i="13"/>
  <c r="G42" i="13"/>
  <c r="E42" i="13"/>
  <c r="W41" i="13"/>
  <c r="N41" i="13"/>
  <c r="K41" i="13"/>
  <c r="G41" i="13"/>
  <c r="E41" i="13"/>
  <c r="W40" i="13"/>
  <c r="N40" i="13"/>
  <c r="K40" i="13"/>
  <c r="G40" i="13"/>
  <c r="E40" i="13"/>
  <c r="W39" i="13"/>
  <c r="N39" i="13"/>
  <c r="K39" i="13"/>
  <c r="G39" i="13"/>
  <c r="E39" i="13"/>
  <c r="W38" i="13"/>
  <c r="N38" i="13"/>
  <c r="K38" i="13"/>
  <c r="G38" i="13"/>
  <c r="E38" i="13"/>
  <c r="W37" i="13"/>
  <c r="N37" i="13"/>
  <c r="K37" i="13"/>
  <c r="G37" i="13"/>
  <c r="E37" i="13"/>
  <c r="W36" i="13"/>
  <c r="N36" i="13"/>
  <c r="K36" i="13"/>
  <c r="G36" i="13"/>
  <c r="E36" i="13"/>
  <c r="W35" i="13"/>
  <c r="N35" i="13"/>
  <c r="K35" i="13"/>
  <c r="G35" i="13"/>
  <c r="E35" i="13"/>
  <c r="W34" i="13"/>
  <c r="N34" i="13"/>
  <c r="K34" i="13"/>
  <c r="G34" i="13"/>
  <c r="E34" i="13"/>
  <c r="W33" i="13"/>
  <c r="N33" i="13"/>
  <c r="K33" i="13"/>
  <c r="G33" i="13"/>
  <c r="E33" i="13"/>
  <c r="W32" i="13"/>
  <c r="N32" i="13"/>
  <c r="K32" i="13"/>
  <c r="G32" i="13"/>
  <c r="E32" i="13"/>
  <c r="W31" i="13"/>
  <c r="N31" i="13"/>
  <c r="K31" i="13"/>
  <c r="G31" i="13"/>
  <c r="E31" i="13"/>
  <c r="W30" i="13"/>
  <c r="N30" i="13"/>
  <c r="K30" i="13"/>
  <c r="G30" i="13"/>
  <c r="E30" i="13"/>
  <c r="W29" i="13"/>
  <c r="N29" i="13"/>
  <c r="K29" i="13"/>
  <c r="G29" i="13"/>
  <c r="E29" i="13"/>
  <c r="W28" i="13"/>
  <c r="N28" i="13"/>
  <c r="K28" i="13"/>
  <c r="G28" i="13"/>
  <c r="E28" i="13"/>
  <c r="W27" i="13"/>
  <c r="N27" i="13"/>
  <c r="K27" i="13"/>
  <c r="G27" i="13"/>
  <c r="E27" i="13"/>
  <c r="W26" i="13"/>
  <c r="N26" i="13"/>
  <c r="K26" i="13"/>
  <c r="G26" i="13"/>
  <c r="E26" i="13"/>
  <c r="W25" i="13"/>
  <c r="N25" i="13"/>
  <c r="K25" i="13"/>
  <c r="G25" i="13"/>
  <c r="E25" i="13"/>
  <c r="W24" i="13"/>
  <c r="N24" i="13"/>
  <c r="K24" i="13"/>
  <c r="G24" i="13"/>
  <c r="E24" i="13"/>
  <c r="W23" i="13"/>
  <c r="N23" i="13"/>
  <c r="K23" i="13"/>
  <c r="G23" i="13"/>
  <c r="E23" i="13"/>
  <c r="W22" i="13"/>
  <c r="N22" i="13"/>
  <c r="K22" i="13"/>
  <c r="G22" i="13"/>
  <c r="E22" i="13"/>
  <c r="W21" i="13"/>
  <c r="N21" i="13"/>
  <c r="K21" i="13"/>
  <c r="G21" i="13"/>
  <c r="E21" i="13"/>
  <c r="W20" i="13"/>
  <c r="N20" i="13"/>
  <c r="K20" i="13"/>
  <c r="G20" i="13"/>
  <c r="E20" i="13"/>
  <c r="W19" i="13"/>
  <c r="N19" i="13"/>
  <c r="K19" i="13"/>
  <c r="W18" i="13"/>
  <c r="N18" i="13"/>
  <c r="K18" i="13"/>
  <c r="G18" i="13"/>
  <c r="E18" i="13"/>
  <c r="W13" i="13"/>
  <c r="N13" i="13"/>
  <c r="K13" i="13"/>
  <c r="E13" i="13"/>
  <c r="W5" i="13"/>
  <c r="N5" i="13"/>
  <c r="K5" i="13"/>
  <c r="E5" i="13"/>
</calcChain>
</file>

<file path=xl/comments1.xml><?xml version="1.0" encoding="utf-8"?>
<comments xmlns="http://schemas.openxmlformats.org/spreadsheetml/2006/main">
  <authors>
    <author>Mariana Marcatto</author>
    <author>Luana de Castro Lopes (SEPLAG)</author>
    <author>Barbara Mendes de Castro (SEPLAG)</author>
  </authors>
  <commentList>
    <comment ref="F2" authorId="0" shapeId="0">
      <text>
        <r>
          <rPr>
            <sz val="11"/>
            <color theme="1"/>
            <rFont val="Calibri"/>
            <family val="2"/>
            <scheme val="minor"/>
          </rPr>
          <t xml:space="preserve">DESCREVER O NOME DO PROGRAMA A SER LANÇADO NO NOVO PPAG
</t>
        </r>
      </text>
    </comment>
    <comment ref="H2" authorId="0" shapeId="0">
      <text>
        <r>
          <rPr>
            <sz val="11"/>
            <color theme="1"/>
            <rFont val="Calibri"/>
            <family val="2"/>
            <scheme val="minor"/>
          </rPr>
          <t>DESCREVER O NOME DA AÇÃO A SER LANÇADA NO NOVO PPAG</t>
        </r>
      </text>
    </comment>
    <comment ref="I2" authorId="0" shapeId="0">
      <text>
        <r>
          <rPr>
            <b/>
            <sz val="9"/>
            <color indexed="81"/>
            <rFont val="Segoe UI"/>
            <family val="2"/>
          </rPr>
          <t xml:space="preserve">ELEMENTO EXECUTADO DA DESPESA
</t>
        </r>
        <r>
          <rPr>
            <sz val="9"/>
            <color indexed="81"/>
            <rFont val="Segoe UI"/>
            <family val="2"/>
          </rPr>
          <t>OBS: EM CASO DE DÚVIDA NA CLASSIFICAÇÃO, PROCURAR A DIRETORIA DE PLANEJAMENTO E ORÇAMENTO PARA AUXILIAR NO PREENCHIMENTO. 
CLASSIFICADOR ECONÔMICO DA DESPESA DISPONÍVELPARA CONSULTA EM: http://www.planejamento.mg.gov.br/pagina/planejamento-e-orcamento/lei-orcamentaria-anual-loa/lei-orcamentaria-anual-loa</t>
        </r>
      </text>
    </comment>
    <comment ref="K2" authorId="1" shapeId="0">
      <text>
        <r>
          <rPr>
            <sz val="11"/>
            <color theme="1"/>
            <rFont val="Calibri"/>
            <family val="2"/>
            <scheme val="minor"/>
          </rPr>
          <t>AGRUPAMENTO DE ACORDO COM A NATUREZA DO ELEMENTO ITEM</t>
        </r>
      </text>
    </comment>
    <comment ref="L2" authorId="2" shapeId="0">
      <text>
        <r>
          <rPr>
            <sz val="11"/>
            <color theme="1"/>
            <rFont val="Calibri"/>
            <family val="2"/>
            <scheme val="minor"/>
          </rPr>
          <t>Grupo em que se enquadra a despesa, sendo 3 custeio e 4 ivesntimento</t>
        </r>
      </text>
    </comment>
    <comment ref="N2" authorId="0" shapeId="0">
      <text>
        <r>
          <rPr>
            <sz val="9"/>
            <color indexed="81"/>
            <rFont val="Segoe UI"/>
            <family val="2"/>
          </rPr>
          <t>O preenchimento dessa coluna é opcional.  
Ela serve para auxiliar no planejamento do órgão. 
Devem ser consideradas exclusivamente fontes de recurso constantes na elaboração do DPO.
Ex: se o órgão possui uma fonte específica que só pode financiar determinada despesa, ele já deixa isso marcado para auxilá-lo.</t>
        </r>
      </text>
    </comment>
    <comment ref="O2" authorId="0" shapeId="0">
      <text>
        <r>
          <rPr>
            <sz val="11"/>
            <color theme="1"/>
            <rFont val="Calibri"/>
            <family val="2"/>
            <scheme val="minor"/>
          </rPr>
          <t>O preenchimento dessa coluna tem como objetivo auxiliar o órgão a fazer o levantamento de seus custos de forma mais assertiva, visto que alguns elementos-itens agregam diversos itens de materiais que possuem lógicas de preço e volume diferente. 
Ex: material de consumo (papel, caneta, clips, lápis, etc)
combustível (álcool, gasolina, etc)
MGS (postos de trabalho variados - administrativo ou conservação e limpeza)
Estagiário (posto de 30 ou 20 horas)</t>
        </r>
      </text>
    </comment>
    <comment ref="P2" authorId="0" shapeId="0">
      <text>
        <r>
          <rPr>
            <b/>
            <sz val="9"/>
            <color indexed="81"/>
            <rFont val="Segoe UI"/>
            <family val="2"/>
          </rPr>
          <t>SIM:</t>
        </r>
        <r>
          <rPr>
            <sz val="9"/>
            <color indexed="81"/>
            <rFont val="Segoe UI"/>
            <family val="2"/>
          </rPr>
          <t xml:space="preserve"> DESPESA QUE NÃO É EXECUTADA NO EXERCÍCIO CORRENTE;
</t>
        </r>
        <r>
          <rPr>
            <b/>
            <sz val="9"/>
            <color indexed="81"/>
            <rFont val="Segoe UI"/>
            <family val="2"/>
          </rPr>
          <t>NÃO:</t>
        </r>
        <r>
          <rPr>
            <sz val="9"/>
            <color indexed="81"/>
            <rFont val="Segoe UI"/>
            <family val="2"/>
          </rPr>
          <t xml:space="preserve"> DESPESA EXECUTADA NO EXERCÍCIO CORRENTE.
</t>
        </r>
      </text>
    </comment>
    <comment ref="Q2" authorId="0" shapeId="0">
      <text>
        <r>
          <rPr>
            <b/>
            <sz val="9"/>
            <color indexed="81"/>
            <rFont val="Segoe UI"/>
            <family val="2"/>
          </rPr>
          <t xml:space="preserve">QUAL PARÂMETRO/REFERÊNCIA FOI UTILIZADO PARA REALIZAR A VOLUMETRIA?
</t>
        </r>
        <r>
          <rPr>
            <sz val="9"/>
            <color indexed="81"/>
            <rFont val="Segoe UI"/>
            <family val="2"/>
          </rPr>
          <t>Ex: Unidade; KM; Pacote com 100 unidades; m²; etc.</t>
        </r>
      </text>
    </comment>
    <comment ref="R2" authorId="0" shapeId="0">
      <text>
        <r>
          <rPr>
            <b/>
            <sz val="9"/>
            <color indexed="81"/>
            <rFont val="Segoe UI"/>
            <family val="2"/>
          </rPr>
          <t xml:space="preserve">QUANTIFICAÇÃO DO VOLUME 
</t>
        </r>
        <r>
          <rPr>
            <sz val="9"/>
            <color indexed="81"/>
            <rFont val="Segoe UI"/>
            <family val="2"/>
          </rPr>
          <t xml:space="preserve">
Ex: se na coluna "PREMISSA DE VOLUME" foi preenchida com "unidade", na coluna "VOLUME" você deverá colocar quantas unidades precisa</t>
        </r>
      </text>
    </comment>
    <comment ref="S2" authorId="0" shapeId="0">
      <text>
        <r>
          <rPr>
            <b/>
            <sz val="9"/>
            <color indexed="81"/>
            <rFont val="Segoe UI"/>
            <family val="2"/>
          </rPr>
          <t xml:space="preserve">QUAL PARÂMETRO/REFERÊNCIA FOI UTILIZADO PARA REALIZAR A PRECIFICAÇÃO?
</t>
        </r>
        <r>
          <rPr>
            <sz val="9"/>
            <color indexed="81"/>
            <rFont val="Segoe UI"/>
            <family val="2"/>
          </rPr>
          <t>Ex: Preço de Referência Portal de Compras; Pesquisa na internet; Média histórica de consumo; etc.</t>
        </r>
      </text>
    </comment>
    <comment ref="U2" authorId="0" shapeId="0">
      <text>
        <r>
          <rPr>
            <b/>
            <sz val="9"/>
            <color indexed="81"/>
            <rFont val="Segoe UI"/>
            <family val="2"/>
          </rPr>
          <t xml:space="preserve">QUANTAS VEZES O PAGAMENTO É REALIZADO AO LONGO DO ANO?
</t>
        </r>
        <r>
          <rPr>
            <sz val="9"/>
            <color indexed="81"/>
            <rFont val="Segoe UI"/>
            <family val="2"/>
          </rPr>
          <t xml:space="preserve">
IMPORTANTE: se no preço ou no volume já você considerar o valor ou montante anual, a frequência de pagamento será "1". </t>
        </r>
        <r>
          <rPr>
            <b/>
            <sz val="9"/>
            <color indexed="81"/>
            <rFont val="Segoe UI"/>
            <family val="2"/>
          </rPr>
          <t xml:space="preserve"> </t>
        </r>
      </text>
    </comment>
    <comment ref="V2" authorId="0" shapeId="0">
      <text>
        <r>
          <rPr>
            <b/>
            <sz val="9"/>
            <color indexed="81"/>
            <rFont val="Segoe UI"/>
            <family val="2"/>
          </rPr>
          <t xml:space="preserve">VALOR TOTAL ITEM = VOLUME x PREÇO UNITÁRIO x FREQUÊNCIA DE PAGAMENTO </t>
        </r>
      </text>
    </comment>
    <comment ref="W2" authorId="0" shapeId="0">
      <text>
        <r>
          <rPr>
            <b/>
            <sz val="9"/>
            <color indexed="81"/>
            <rFont val="Segoe UI"/>
            <family val="2"/>
          </rPr>
          <t>LIMIAR:</t>
        </r>
        <r>
          <rPr>
            <sz val="9"/>
            <color indexed="81"/>
            <rFont val="Segoe UI"/>
            <family val="2"/>
          </rPr>
          <t xml:space="preserve"> NÍVEL DE SERVIÇO MÍNIMO PARA GARANTIR A EXECUÇÃO DE ENTREGAS MANDATÓRIAS E/OU ESSENCIAIS DO ÓRGÃO.
</t>
        </r>
        <r>
          <rPr>
            <b/>
            <sz val="9"/>
            <color indexed="81"/>
            <rFont val="Segoe UI"/>
            <family val="2"/>
          </rPr>
          <t xml:space="preserve">INCREMENTAL: </t>
        </r>
        <r>
          <rPr>
            <sz val="9"/>
            <color indexed="81"/>
            <rFont val="Segoe UI"/>
            <family val="2"/>
          </rPr>
          <t xml:space="preserve">ENTREGAS NÃO OBRIGATÓRIAS, EM UM NÍVEL DE SERVIÇO SUPERIOR QUE SÃO REALIZADOS PARA MELHORAR RESULTADOS, AUMENTAR A QUALIDADE E MITIGAR RISCOS. QUANTO MAIS ALINHADOS COM A ESTRATÉGIA, MAIS PRÓXIMOS FICAM DO CENÁRIO LIMIAR
</t>
        </r>
      </text>
    </comment>
    <comment ref="X2" authorId="0" shapeId="0">
      <text>
        <r>
          <rPr>
            <sz val="11"/>
            <color theme="1"/>
            <rFont val="Calibri"/>
            <family val="2"/>
            <scheme val="minor"/>
          </rPr>
          <t xml:space="preserve">O CENÁRIO É COMPOSTO POR UM PACOTE DE ELEMENTOS ITENS, E SUA DESCRIÇÃO DEVE INDICAR O QUE SE ESTÁ ENTREGANDO COM OS ITENS DETALHADOS. 
IMPORTANTE RESSALTAR QUE CADA CENÁRIO DEVE PERTENCER A UMA MESMA AÇÃO, PODENDO HAVER MAIS DE UM CENÁRIO POR AÇÃO.
ESSE CAMPO DEVE SER PREENCHIDO TANTO PARA OS CENÁRIOS INCREMENTAIS, INDICANDO O NÍVEL DE SERVIÇO QUE SE PRETENDE ALCANÇAR, QUANTO PARA O LIMIAR, INDICANDO QUAL O MÍNIMO NECESSÁRIO PARA REALIZAÇÃO DA AÇÃO EM QUESTÃO.
</t>
        </r>
      </text>
    </comment>
    <comment ref="Y2" authorId="0" shapeId="0">
      <text>
        <r>
          <rPr>
            <sz val="11"/>
            <color theme="1"/>
            <rFont val="Calibri"/>
            <family val="2"/>
            <scheme val="minor"/>
          </rPr>
          <t xml:space="preserve">DEVE SER PREENCHIDO OBRIGATORIAMENTE NAS DESPESAS CLASSIFICADAS COMO LIMIAR E MARCADA COMO NOVA NA COLUNA R, E DESPESAS CLASSIFICADAS COMO INCREMENTAIS.  É FACULTATIVO SEU PREENCHIMENTO NAS DESPESAS CLASSIFICADAS COMO LIMIAR MARCADAS COMO NÃO NOVAS NA COLUNA R.
É ESSENCIAL QUE O RISCO DE NÃO FAZER SEJA BEM DESCRITO, UMA VEZ QUE ELE PERMITE COMPREENDER A PERDA GERADA PELA NÃO EXECUÇÃO DA DESPESA. OU SEJA, ELE É IMPORTANTE PARA UMA TOMADA DE DECISÃO ASSERTIVA E ESTRETÉGICA.
NO CASO DAS DESPESAS LIMIARES ESSA COLUNA AUXILIA O GESTOR A COMPREENDER A ENTREGA E A TER MAIS INFORMAÇÕES ACERCA DE SUA NECESSIDADE.
</t>
        </r>
      </text>
    </comment>
    <comment ref="Z2" authorId="0" shapeId="0">
      <text>
        <r>
          <rPr>
            <sz val="11"/>
            <color theme="1"/>
            <rFont val="Calibri"/>
            <family val="2"/>
            <scheme val="minor"/>
          </rPr>
          <t xml:space="preserve">DEVE SER PREENCHIDO OBRIGATORIAMENTE NAS DESPESAS CLASSIFICADAS COMO LIMIAR E MARCADA COMO NOVA NA COLUNA R, E DESPESAS CLASSIFICADAS COMO INCREMENTAIS.  É FACULTATIVO SEU PREENCHIMENTO NAS DESPESAS CLASSIFICADAS COMO LIMIAR MARCADAS COMO NÃO NOVAS NA COLUNA R.
É ESSENCIAL QUE O RISCO DE NÃO FAZER SEJA BEM DESCRITO, UMA VEZ QUE ELE PERMITE COMPREENDER A PERDA GERADA PELA NÃO EXECUÇÃO DA DESPESA. OU SEJA, ELE É IMPORTANTE PARA UMA TOMADA DE DECISÃO ASSERTIVA E ESTRETÉGICA.
NO CASO DAS DESPESAS LIMIARES ESSA COLUNA AUXILIA O GESTOR A COMPREENDER A ENTREGA E A TER MAIS INFORMAÇÕES ACERCA DE SUA NECESSIDADE.
</t>
        </r>
      </text>
    </comment>
    <comment ref="AA2" authorId="0" shapeId="0">
      <text>
        <r>
          <rPr>
            <sz val="9"/>
            <color indexed="81"/>
            <rFont val="Segoe UI"/>
            <family val="2"/>
          </rPr>
          <t xml:space="preserve">ESSA COLUNA DEVE SER </t>
        </r>
        <r>
          <rPr>
            <b/>
            <sz val="9"/>
            <color indexed="81"/>
            <rFont val="Segoe UI"/>
            <family val="2"/>
          </rPr>
          <t>PREENCHIDA PELO N3</t>
        </r>
        <r>
          <rPr>
            <sz val="9"/>
            <color indexed="81"/>
            <rFont val="Segoe UI"/>
            <family val="2"/>
          </rPr>
          <t xml:space="preserve"> EM </t>
        </r>
        <r>
          <rPr>
            <b/>
            <sz val="9"/>
            <color indexed="81"/>
            <rFont val="Segoe UI"/>
            <family val="2"/>
          </rPr>
          <t>ESCALA NUMÉRICA</t>
        </r>
        <r>
          <rPr>
            <sz val="9"/>
            <color indexed="81"/>
            <rFont val="Segoe UI"/>
            <family val="2"/>
          </rPr>
          <t xml:space="preserve">, DE ACORDO COM  O </t>
        </r>
        <r>
          <rPr>
            <b/>
            <sz val="9"/>
            <color indexed="81"/>
            <rFont val="Segoe UI"/>
            <family val="2"/>
          </rPr>
          <t>NÍVEL DE PRIORIZAÇÃO</t>
        </r>
        <r>
          <rPr>
            <sz val="9"/>
            <color indexed="81"/>
            <rFont val="Segoe UI"/>
            <family val="2"/>
          </rPr>
          <t>:
LIMIAR = 0 ou deixar a célula em branco
INCREMENTAL = de 1 até o último nível de priorização 
Obs: despesas que compõem o mesmo cenário (coluna y), devem ser classificadas com o mesmo nível de priorização.</t>
        </r>
      </text>
    </comment>
    <comment ref="AB2" authorId="0" shapeId="0">
      <text>
        <r>
          <rPr>
            <sz val="9"/>
            <color indexed="81"/>
            <rFont val="Segoe UI"/>
            <family val="2"/>
          </rPr>
          <t xml:space="preserve">ESSA COLUNA DEVE SER </t>
        </r>
        <r>
          <rPr>
            <b/>
            <sz val="9"/>
            <color indexed="81"/>
            <rFont val="Segoe UI"/>
            <family val="2"/>
          </rPr>
          <t>PREENCHIDA PELO N2</t>
        </r>
        <r>
          <rPr>
            <sz val="9"/>
            <color indexed="81"/>
            <rFont val="Segoe UI"/>
            <family val="2"/>
          </rPr>
          <t xml:space="preserve"> EM </t>
        </r>
        <r>
          <rPr>
            <b/>
            <sz val="9"/>
            <color indexed="81"/>
            <rFont val="Segoe UI"/>
            <family val="2"/>
          </rPr>
          <t>ESCALA NUMÉRICA</t>
        </r>
        <r>
          <rPr>
            <sz val="9"/>
            <color indexed="81"/>
            <rFont val="Segoe UI"/>
            <family val="2"/>
          </rPr>
          <t xml:space="preserve">, DE ACORDO COM  O </t>
        </r>
        <r>
          <rPr>
            <b/>
            <sz val="9"/>
            <color indexed="81"/>
            <rFont val="Segoe UI"/>
            <family val="2"/>
          </rPr>
          <t xml:space="preserve">NÍVEL DE REPRIORIZAÇÃO INTERMEDIÁRIO </t>
        </r>
        <r>
          <rPr>
            <sz val="9"/>
            <color indexed="81"/>
            <rFont val="Segoe UI"/>
            <family val="2"/>
          </rPr>
          <t>partindo do levantamento feito pelos N3 a ele subordinados:
LIMIAR = 0 ou deixar a célula em branco
INCREMENTAL = de 1 até o último nível de priorização 
Obs: despesas que compõem o mesmo cenário (coluna y), devem ser classificadas com o mesmo nível de priorização.</t>
        </r>
      </text>
    </comment>
    <comment ref="AC2" authorId="0" shapeId="0">
      <text>
        <r>
          <rPr>
            <sz val="9"/>
            <color indexed="81"/>
            <rFont val="Segoe UI"/>
            <family val="2"/>
          </rPr>
          <t xml:space="preserve">ESSA COLUNA DEVE SER </t>
        </r>
        <r>
          <rPr>
            <b/>
            <sz val="9"/>
            <color indexed="81"/>
            <rFont val="Segoe UI"/>
            <family val="2"/>
          </rPr>
          <t>PREENCHIDA PELO N1</t>
        </r>
        <r>
          <rPr>
            <sz val="9"/>
            <color indexed="81"/>
            <rFont val="Segoe UI"/>
            <family val="2"/>
          </rPr>
          <t xml:space="preserve"> EM </t>
        </r>
        <r>
          <rPr>
            <b/>
            <sz val="9"/>
            <color indexed="81"/>
            <rFont val="Segoe UI"/>
            <family val="2"/>
          </rPr>
          <t>ESCALA NUMÉRICA</t>
        </r>
        <r>
          <rPr>
            <sz val="9"/>
            <color indexed="81"/>
            <rFont val="Segoe UI"/>
            <family val="2"/>
          </rPr>
          <t xml:space="preserve">, DE ACORDO COM  O </t>
        </r>
        <r>
          <rPr>
            <b/>
            <sz val="9"/>
            <color indexed="81"/>
            <rFont val="Segoe UI"/>
            <family val="2"/>
          </rPr>
          <t>NÍVEL DE REPRIORIZAÇÃO FINAL</t>
        </r>
        <r>
          <rPr>
            <sz val="9"/>
            <color indexed="81"/>
            <rFont val="Segoe UI"/>
            <family val="2"/>
          </rPr>
          <t xml:space="preserve">.
LIMIAR = 0 ou deixar a célula em branco
INCREMENTAL = de 1 até o último nível de priorização 
</t>
        </r>
        <r>
          <rPr>
            <b/>
            <u/>
            <sz val="9"/>
            <color indexed="81"/>
            <rFont val="Segoe UI"/>
            <family val="2"/>
          </rPr>
          <t>O RESULTADO DESSA PRIORIZAÇÃO FINAL É A PILHA ORÇAMENTÁRIA DO ÓRGÃO.</t>
        </r>
        <r>
          <rPr>
            <sz val="9"/>
            <color indexed="81"/>
            <rFont val="Segoe UI"/>
            <family val="2"/>
          </rPr>
          <t xml:space="preserve">
Obs: despesas que compõem o mesmo cenário (coluna y), devem ser classificadas com o mesmo nível de priorização</t>
        </r>
      </text>
    </comment>
    <comment ref="AD2" authorId="0" shapeId="0">
      <text>
        <r>
          <rPr>
            <sz val="9"/>
            <color indexed="81"/>
            <rFont val="Segoe UI"/>
            <family val="2"/>
          </rPr>
          <t xml:space="preserve">ESSA COLUNA DEVE SER </t>
        </r>
        <r>
          <rPr>
            <b/>
            <sz val="9"/>
            <color indexed="81"/>
            <rFont val="Segoe UI"/>
            <family val="2"/>
          </rPr>
          <t>PREENCHIDA PELO N2</t>
        </r>
        <r>
          <rPr>
            <sz val="9"/>
            <color indexed="81"/>
            <rFont val="Segoe UI"/>
            <family val="2"/>
          </rPr>
          <t xml:space="preserve"> EM </t>
        </r>
        <r>
          <rPr>
            <b/>
            <sz val="9"/>
            <color indexed="81"/>
            <rFont val="Segoe UI"/>
            <family val="2"/>
          </rPr>
          <t>ESCALA NUMÉRICA</t>
        </r>
        <r>
          <rPr>
            <sz val="9"/>
            <color indexed="81"/>
            <rFont val="Segoe UI"/>
            <family val="2"/>
          </rPr>
          <t xml:space="preserve">, DE ACORDO COM  O </t>
        </r>
        <r>
          <rPr>
            <b/>
            <sz val="9"/>
            <color indexed="81"/>
            <rFont val="Segoe UI"/>
            <family val="2"/>
          </rPr>
          <t xml:space="preserve">NÍVEL DE REPRIORIZAÇÃO INTERMEDIÁRIO </t>
        </r>
        <r>
          <rPr>
            <sz val="9"/>
            <color indexed="81"/>
            <rFont val="Segoe UI"/>
            <family val="2"/>
          </rPr>
          <t>partindo do levantamento feito pelos N3 a ele subordinados:
LIMIAR = 0 ou deixar a célula em branco
INCREMENTAL = de 1 até o último nível de priorização 
Obs: despesas que compõem o mesmo cenário (coluna y), devem ser classificadas com o mesmo nível de priorização.</t>
        </r>
      </text>
    </comment>
    <comment ref="AE2" authorId="0" shapeId="0">
      <text>
        <r>
          <rPr>
            <sz val="9"/>
            <color indexed="81"/>
            <rFont val="Segoe UI"/>
            <family val="2"/>
          </rPr>
          <t xml:space="preserve">ESSA COLUNA DEVE SER </t>
        </r>
        <r>
          <rPr>
            <b/>
            <sz val="9"/>
            <color indexed="81"/>
            <rFont val="Segoe UI"/>
            <family val="2"/>
          </rPr>
          <t>PREENCHIDA PELO N1</t>
        </r>
        <r>
          <rPr>
            <sz val="9"/>
            <color indexed="81"/>
            <rFont val="Segoe UI"/>
            <family val="2"/>
          </rPr>
          <t xml:space="preserve"> EM </t>
        </r>
        <r>
          <rPr>
            <b/>
            <sz val="9"/>
            <color indexed="81"/>
            <rFont val="Segoe UI"/>
            <family val="2"/>
          </rPr>
          <t>ESCALA NUMÉRICA</t>
        </r>
        <r>
          <rPr>
            <sz val="9"/>
            <color indexed="81"/>
            <rFont val="Segoe UI"/>
            <family val="2"/>
          </rPr>
          <t xml:space="preserve">, DE ACORDO COM  O </t>
        </r>
        <r>
          <rPr>
            <b/>
            <sz val="9"/>
            <color indexed="81"/>
            <rFont val="Segoe UI"/>
            <family val="2"/>
          </rPr>
          <t>NÍVEL DE REPRIORIZAÇÃO FINAL</t>
        </r>
        <r>
          <rPr>
            <sz val="9"/>
            <color indexed="81"/>
            <rFont val="Segoe UI"/>
            <family val="2"/>
          </rPr>
          <t xml:space="preserve">.
LIMIAR = 0 ou deixar a célula em branco
INCREMENTAL = de 1 até o último nível de priorização 
</t>
        </r>
        <r>
          <rPr>
            <b/>
            <u/>
            <sz val="9"/>
            <color indexed="81"/>
            <rFont val="Segoe UI"/>
            <family val="2"/>
          </rPr>
          <t>O RESULTADO DESSA PRIORIZAÇÃO FINAL É A PILHA ORÇAMENTÁRIA DO ÓRGÃO.</t>
        </r>
        <r>
          <rPr>
            <sz val="9"/>
            <color indexed="81"/>
            <rFont val="Segoe UI"/>
            <family val="2"/>
          </rPr>
          <t xml:space="preserve">
Obs: despesas que compõem o mesmo cenário (coluna y), devem ser classificadas com o mesmo nível de priorização</t>
        </r>
      </text>
    </comment>
  </commentList>
</comments>
</file>

<file path=xl/comments2.xml><?xml version="1.0" encoding="utf-8"?>
<comments xmlns="http://schemas.openxmlformats.org/spreadsheetml/2006/main">
  <authors>
    <author>Mariana Marcatto</author>
  </authors>
  <commentList>
    <comment ref="F1" authorId="0" shapeId="0">
      <text>
        <r>
          <rPr>
            <sz val="9"/>
            <color indexed="81"/>
            <rFont val="Segoe UI"/>
            <family val="2"/>
          </rPr>
          <t xml:space="preserve">PROGRAMA VINCULADO AO PPAG
</t>
        </r>
      </text>
    </comment>
    <comment ref="H1" authorId="0" shapeId="0">
      <text>
        <r>
          <rPr>
            <sz val="9"/>
            <color indexed="81"/>
            <rFont val="Segoe UI"/>
            <family val="2"/>
          </rPr>
          <t xml:space="preserve">AÇÃO VINCULADO AO PPAG
</t>
        </r>
      </text>
    </comment>
    <comment ref="I1" authorId="0" shapeId="0">
      <text>
        <r>
          <rPr>
            <b/>
            <sz val="9"/>
            <color indexed="81"/>
            <rFont val="Segoe UI"/>
            <family val="2"/>
          </rPr>
          <t xml:space="preserve">O QUE MINHA ÁREA /DEPARTAMENTO ENTREGA PARA O ESTADO/SOCIEDADE?
</t>
        </r>
        <r>
          <rPr>
            <sz val="9"/>
            <color indexed="81"/>
            <rFont val="Segoe UI"/>
            <family val="2"/>
          </rPr>
          <t xml:space="preserve">
A PARTIR DAS PRINCIPAIS ATIVIDADES REALIZADAS PELO DEPARTAMENTO, IDENTIFICAR OS PRINCIPAIS PRODUTOS GERADOS.
AS ENTREGAS SÃO </t>
        </r>
        <r>
          <rPr>
            <u/>
            <sz val="9"/>
            <color indexed="81"/>
            <rFont val="Segoe UI"/>
            <family val="2"/>
          </rPr>
          <t>MENSURÁVEIS E TANGÍVEIS</t>
        </r>
        <r>
          <rPr>
            <sz val="9"/>
            <color indexed="81"/>
            <rFont val="Segoe UI"/>
            <family val="2"/>
          </rPr>
          <t xml:space="preserve">, POIS, COSTUMAM REPRESENTAR A RAZÃO DE EXISTÊNCIA DE UMA ÁREA OU DEPARTAMENTO.
</t>
        </r>
      </text>
    </comment>
    <comment ref="J1" authorId="0" shapeId="0">
      <text>
        <r>
          <rPr>
            <b/>
            <sz val="9"/>
            <color indexed="81"/>
            <rFont val="Segoe UI"/>
            <family val="2"/>
          </rPr>
          <t xml:space="preserve">ELEMENTO EXECUTADO DA DESPESA
</t>
        </r>
        <r>
          <rPr>
            <sz val="9"/>
            <color indexed="81"/>
            <rFont val="Segoe UI"/>
            <family val="2"/>
          </rPr>
          <t>OBS: EM CASO DE DÚVIDA NA CLASSIFICAÇÃO, PROCURAR A DIRETORIA DE PLANEJAMENTO E ORÇAMENTO PARA AUXILIAR NO PREENCHIMENTO. 
CLASSIFICADOR ECONÔMICO DA DESPESA DISPONÍVELPARA CONSULTA EM: http://www.planejamento.mg.gov.br/pagina/planejamento-e-orcamento/lei-orcamentaria-anual-loa/lei-orcamentaria-anual-loa</t>
        </r>
        <r>
          <rPr>
            <b/>
            <sz val="9"/>
            <color indexed="81"/>
            <rFont val="Segoe UI"/>
            <family val="2"/>
          </rPr>
          <t xml:space="preserve">
</t>
        </r>
      </text>
    </comment>
    <comment ref="L1" authorId="0" shapeId="0">
      <text>
        <r>
          <rPr>
            <b/>
            <sz val="9"/>
            <color indexed="81"/>
            <rFont val="Segoe UI"/>
            <family val="2"/>
          </rPr>
          <t>ELEMENTO/ITEM EXECUTADO DA DESPESA</t>
        </r>
        <r>
          <rPr>
            <sz val="9"/>
            <color indexed="81"/>
            <rFont val="Segoe UI"/>
            <family val="2"/>
          </rPr>
          <t xml:space="preserve">
OBS: EM CASO DE DÚVIDA NA CLASSIFICAÇÃO, PROCURAR A DIRETORIA DE PLANEJAMENTO E ORÇAMENTO PARA AUXILIAR NO PREENCHIMENTO. 
CLASSIFICADOR ECONÔMICO DA DESPESA DISPONÍVELPARA CONSULTA EM: http://www.planejamento.mg.gov.br/pagina/planejamento-e-orcamento/lei-orcamentaria-anual-loa/lei-orcamentaria-anual-loa</t>
        </r>
        <r>
          <rPr>
            <b/>
            <sz val="9"/>
            <color indexed="81"/>
            <rFont val="Segoe UI"/>
            <family val="2"/>
          </rPr>
          <t xml:space="preserve">
</t>
        </r>
      </text>
    </comment>
    <comment ref="O1" authorId="0" shapeId="0">
      <text>
        <r>
          <rPr>
            <sz val="9"/>
            <color indexed="81"/>
            <rFont val="Segoe UI"/>
            <family val="2"/>
          </rPr>
          <t>O PREENCHIMENTO DESSA COLUNA É OPCIONAL.  
ELA SERVE PARA AUXILIAR NO PLANEJAMENTO DO ÓRGÃO. 
Ex: o órgão possui uma fonte específica que só pode fincanciar determinada despesa e ele já deixa isso marcado para auxilia-lo.</t>
        </r>
      </text>
    </comment>
    <comment ref="Q1" authorId="0" shapeId="0">
      <text>
        <r>
          <rPr>
            <b/>
            <sz val="9"/>
            <color indexed="81"/>
            <rFont val="Segoe UI"/>
            <family val="2"/>
          </rPr>
          <t>SIM:</t>
        </r>
        <r>
          <rPr>
            <sz val="9"/>
            <color indexed="81"/>
            <rFont val="Segoe UI"/>
            <family val="2"/>
          </rPr>
          <t xml:space="preserve"> DESPESA QUE NÃO É EXECUTADA NO EXERCÍCIO CORRENTE;
</t>
        </r>
        <r>
          <rPr>
            <b/>
            <sz val="9"/>
            <color indexed="81"/>
            <rFont val="Segoe UI"/>
            <family val="2"/>
          </rPr>
          <t>NÃO:</t>
        </r>
        <r>
          <rPr>
            <sz val="9"/>
            <color indexed="81"/>
            <rFont val="Segoe UI"/>
            <family val="2"/>
          </rPr>
          <t xml:space="preserve"> DESPESA EXECUTADA NO EXERCÍCIO CORRENTE.
OBS: QUANDO A DESPESA FOR CLASSIFICADA COMO NOVA OBRIGÁTORIAMENTE O CENÁRIO TERÁ QUER SER CLASSIFICADO COMO INCREMENTAL (COLUNA P)</t>
        </r>
        <r>
          <rPr>
            <b/>
            <sz val="9"/>
            <color indexed="81"/>
            <rFont val="Segoe UI"/>
            <family val="2"/>
          </rPr>
          <t xml:space="preserve">
</t>
        </r>
      </text>
    </comment>
    <comment ref="R1" authorId="0" shapeId="0">
      <text>
        <r>
          <rPr>
            <b/>
            <sz val="9"/>
            <color indexed="81"/>
            <rFont val="Segoe UI"/>
            <family val="2"/>
          </rPr>
          <t xml:space="preserve">QUAL PARÂMETRO/REFERÊNCIA FOI UTILIZADO PARA REALIZAR A VOLUMETRIA?
</t>
        </r>
        <r>
          <rPr>
            <sz val="9"/>
            <color indexed="81"/>
            <rFont val="Segoe UI"/>
            <family val="2"/>
          </rPr>
          <t xml:space="preserve">
Esse campo deve ser utilizado para explicar como se chegou no volume apresentado.</t>
        </r>
      </text>
    </comment>
    <comment ref="T1" authorId="0" shapeId="0">
      <text>
        <r>
          <rPr>
            <b/>
            <sz val="9"/>
            <color indexed="81"/>
            <rFont val="Segoe UI"/>
            <family val="2"/>
          </rPr>
          <t xml:space="preserve">QUAL PARÂMETRO/REFERÊNCIA FOI UTILIZADO PARA REALIZAR A PRECIFICAÇÃO?
</t>
        </r>
        <r>
          <rPr>
            <sz val="9"/>
            <color indexed="81"/>
            <rFont val="Segoe UI"/>
            <family val="2"/>
          </rPr>
          <t>Ex: Preço de Referência Portal de Compras; Pesquisa na internet; Média histórica de consumo; etc.</t>
        </r>
      </text>
    </comment>
    <comment ref="W1" authorId="0" shapeId="0">
      <text>
        <r>
          <rPr>
            <b/>
            <sz val="9"/>
            <color indexed="81"/>
            <rFont val="Segoe UI"/>
            <family val="2"/>
          </rPr>
          <t xml:space="preserve">VALOR TOTAL ITEM = VOLUME x PREÇO UNITÁRIO x FREQUÊNCIA DE PAGAMENTO </t>
        </r>
      </text>
    </comment>
    <comment ref="X1" authorId="0" shapeId="0">
      <text>
        <r>
          <rPr>
            <b/>
            <sz val="9"/>
            <color indexed="81"/>
            <rFont val="Segoe UI"/>
            <family val="2"/>
          </rPr>
          <t>LIMIAR:</t>
        </r>
        <r>
          <rPr>
            <sz val="9"/>
            <color indexed="81"/>
            <rFont val="Segoe UI"/>
            <family val="2"/>
          </rPr>
          <t xml:space="preserve"> NÍVEL DE SERVIÇO MÍNIMO PARA GARANTIR A EXECUÇÃO DE ENTREGAS MANDATÓRIAS E/OU ESSENCIAIS DO ÓRGÃO. ESTÁ VINCULADO AO CUMPRIMENTO E REQUERIMENTOS LEGAIS.
</t>
        </r>
        <r>
          <rPr>
            <b/>
            <sz val="9"/>
            <color indexed="81"/>
            <rFont val="Segoe UI"/>
            <family val="2"/>
          </rPr>
          <t xml:space="preserve">INCREMENTAL: </t>
        </r>
        <r>
          <rPr>
            <sz val="9"/>
            <color indexed="81"/>
            <rFont val="Segoe UI"/>
            <family val="2"/>
          </rPr>
          <t xml:space="preserve">ENTREGAS NÃO OBRIGATÓRIAS, EM UM NÍVEL DE SERVIÇO SUPERIOR
QUE SÃO REALIZADOS PARA MELHORAR RESULTADOS, AUMENTAR A QUALIDADE E
MITIGAR RISCOS.
QUANTO MAIS ALINHADOS COM A ESTRATÉGIA, MAIS PRÓXIMOS FICAM DO CENÁRIO
LIMIAR
</t>
        </r>
      </text>
    </comment>
  </commentList>
</comments>
</file>

<file path=xl/comments3.xml><?xml version="1.0" encoding="utf-8"?>
<comments xmlns="http://schemas.openxmlformats.org/spreadsheetml/2006/main">
  <authors>
    <author>Mariana Marcatto</author>
    <author>Bruno Rosa</author>
  </authors>
  <commentList>
    <comment ref="F2" authorId="0" shapeId="0">
      <text>
        <r>
          <rPr>
            <sz val="11"/>
            <color theme="1"/>
            <rFont val="Calibri"/>
            <family val="2"/>
            <scheme val="minor"/>
          </rPr>
          <t xml:space="preserve">PROGRAMA VINCULADO AO PPAG
</t>
        </r>
      </text>
    </comment>
    <comment ref="H2" authorId="0" shapeId="0">
      <text>
        <r>
          <rPr>
            <sz val="11"/>
            <color theme="1"/>
            <rFont val="Calibri"/>
            <family val="2"/>
            <scheme val="minor"/>
          </rPr>
          <t>AÇÃO VINCULADO AO PPAG</t>
        </r>
      </text>
    </comment>
    <comment ref="I2" authorId="0" shapeId="0">
      <text>
        <r>
          <rPr>
            <b/>
            <sz val="9"/>
            <color indexed="81"/>
            <rFont val="Segoe UI"/>
            <family val="2"/>
          </rPr>
          <t xml:space="preserve">ELEMENTO EXECUTADO DA DESPESA
</t>
        </r>
        <r>
          <rPr>
            <sz val="9"/>
            <color indexed="81"/>
            <rFont val="Segoe UI"/>
            <family val="2"/>
          </rPr>
          <t>OBS: EM CASO DE DÚVIDA NA CLASSIFICAÇÃO, PROCURAR A DIRETORIA DE PLANEJAMENTO E ORÇAMENTO PARA AUXILIAR NO PREENCHIMENTO. 
CLASSIFICADOR ECONÔMICO DA DESPESA DISPONÍVELPARA CONSULTA EM: http://www.planejamento.mg.gov.br/pagina/planejamento-e-orcamento/lei-orcamentaria-anual-loa/lei-orcamentaria-anual-loa</t>
        </r>
      </text>
    </comment>
    <comment ref="J2" authorId="1" shapeId="0">
      <text>
        <r>
          <rPr>
            <b/>
            <sz val="9"/>
            <color indexed="81"/>
            <rFont val="Segoe UI"/>
            <family val="2"/>
          </rPr>
          <t xml:space="preserve">ELEMENTO/ITEM EXECUTADO DA DESPESA
</t>
        </r>
        <r>
          <rPr>
            <b/>
            <sz val="9"/>
            <color indexed="81"/>
            <rFont val="Segoe UI"/>
            <family val="2"/>
          </rPr>
          <t>OBS: EM CASO DE DÚVIDA NA CLASSIFICAÇÃO, PROCURAR A AREA DE  PLANEJAMENTO E ORÇAMENTO DO SEU ÓRGÃO  PARA AUXILIAR NO PREENCHIMENTO</t>
        </r>
        <r>
          <rPr>
            <sz val="9"/>
            <color indexed="81"/>
            <rFont val="Segoe UI"/>
            <family val="2"/>
          </rPr>
          <t>. 
CLASSIFICADOR ECONÔMICO DA DESPESA DISPONÍVELPARA CONSULTA EM: http://www.planejamento.mg.gov.br/pagina/planejamento-e-orcamento/lei-orcamentaria-anual-loa/lei-orcamentaria-anual-loa</t>
        </r>
        <r>
          <rPr>
            <b/>
            <sz val="9"/>
            <color indexed="81"/>
            <rFont val="Segoe UI"/>
            <family val="2"/>
          </rPr>
          <t xml:space="preserve">
</t>
        </r>
      </text>
    </comment>
    <comment ref="N2" authorId="0" shapeId="0">
      <text>
        <r>
          <rPr>
            <sz val="9"/>
            <color indexed="81"/>
            <rFont val="Segoe UI"/>
            <family val="2"/>
          </rPr>
          <t>O preenchimento dessa coluna é opcional.  
Ela serve para auxiliar no planejamento do órgão. 
Devem ser consideradas exclusivamente fontes de recurso constantes na elaboração do Decreto de Programação Orçamentária.
Ex: se o órgão possui uma fonte específica que só pode financiar determinada despesa, ele já deixa isso marcado para auxilá-lo.</t>
        </r>
      </text>
    </comment>
    <comment ref="O2" authorId="0" shapeId="0">
      <text>
        <r>
          <rPr>
            <sz val="11"/>
            <color theme="1"/>
            <rFont val="Calibri"/>
            <family val="2"/>
            <scheme val="minor"/>
          </rPr>
          <t>O preenchimento dessa coluna tem como objetivo auxiliar o órgão a fazer o levantamento de seus custos de forma mais assertiva, visto que alguns elementos-itens agregam diversos itens de materiais que possuem lógicas de preço e volume diferente. 
Ex: material de consumo (papel, caneta, clips, lápis, etc)
combustível (álcool, gasolina, etc)
MGS (postos de trabalho variados - administrativo ou conservação e limpeza)
Estagiário (posto de 30 ou 20 horas)</t>
        </r>
      </text>
    </comment>
    <comment ref="P2" authorId="0" shapeId="0">
      <text>
        <r>
          <rPr>
            <b/>
            <sz val="9"/>
            <color indexed="81"/>
            <rFont val="Segoe UI"/>
            <family val="2"/>
          </rPr>
          <t>SIM:</t>
        </r>
        <r>
          <rPr>
            <sz val="9"/>
            <color indexed="81"/>
            <rFont val="Segoe UI"/>
            <family val="2"/>
          </rPr>
          <t xml:space="preserve"> DESPESA QUE NÃO É EXECUTADA NO EXERCÍCIO CORRENTE;
</t>
        </r>
        <r>
          <rPr>
            <b/>
            <sz val="9"/>
            <color indexed="81"/>
            <rFont val="Segoe UI"/>
            <family val="2"/>
          </rPr>
          <t>NÃO:</t>
        </r>
        <r>
          <rPr>
            <sz val="9"/>
            <color indexed="81"/>
            <rFont val="Segoe UI"/>
            <family val="2"/>
          </rPr>
          <t xml:space="preserve"> DESPESA EXECUTADA NO EXERCÍCIO CORRENTE.
</t>
        </r>
      </text>
    </comment>
    <comment ref="Q2" authorId="0" shapeId="0">
      <text>
        <r>
          <rPr>
            <b/>
            <sz val="9"/>
            <color indexed="81"/>
            <rFont val="Segoe UI"/>
            <family val="2"/>
          </rPr>
          <t xml:space="preserve">QUAL PARÂMETRO/REFERÊNCIA FOI UTILIZADO PARA REALIZAR A VOLUMETRIA?
</t>
        </r>
        <r>
          <rPr>
            <sz val="9"/>
            <color indexed="81"/>
            <rFont val="Segoe UI"/>
            <family val="2"/>
          </rPr>
          <t>Ex: Unidade; KM; Pacote com 100 unidades; m²; etc.</t>
        </r>
      </text>
    </comment>
    <comment ref="R2" authorId="0" shapeId="0">
      <text>
        <r>
          <rPr>
            <b/>
            <sz val="9"/>
            <color indexed="81"/>
            <rFont val="Segoe UI"/>
            <family val="2"/>
          </rPr>
          <t xml:space="preserve">QUANTIFICAÇÃO DO VOLUME 
</t>
        </r>
        <r>
          <rPr>
            <sz val="9"/>
            <color indexed="81"/>
            <rFont val="Segoe UI"/>
            <family val="2"/>
          </rPr>
          <t xml:space="preserve">
Ex: se na coluna "PREMISSA DE VOLUME" foi preenchida com "unidade", na coluna "VOLUME" você deverá colocar quantas unidades precisa</t>
        </r>
      </text>
    </comment>
    <comment ref="S2" authorId="0" shapeId="0">
      <text>
        <r>
          <rPr>
            <b/>
            <sz val="9"/>
            <color indexed="81"/>
            <rFont val="Segoe UI"/>
            <family val="2"/>
          </rPr>
          <t xml:space="preserve">QUAL PARÂMETRO/REFERÊNCIA FOI UTILIZADO PARA REALIZAR A PRECIFICAÇÃO?
</t>
        </r>
        <r>
          <rPr>
            <sz val="9"/>
            <color indexed="81"/>
            <rFont val="Segoe UI"/>
            <family val="2"/>
          </rPr>
          <t>Ex: Preço de Referência Portal de Compras; Pesquisa na internet; Média histórica de consumo; etc.</t>
        </r>
      </text>
    </comment>
    <comment ref="U2" authorId="0" shapeId="0">
      <text>
        <r>
          <rPr>
            <b/>
            <sz val="9"/>
            <color indexed="81"/>
            <rFont val="Segoe UI"/>
            <family val="2"/>
          </rPr>
          <t xml:space="preserve">QUANTAS VEZES O PAGAMENTO É REALIZADO AO LONGO DO ANO?
</t>
        </r>
        <r>
          <rPr>
            <sz val="9"/>
            <color indexed="81"/>
            <rFont val="Segoe UI"/>
            <family val="2"/>
          </rPr>
          <t xml:space="preserve">
IMPORTANTE: se no preço ou no volume já você considerar o valor ou montante anual, a frequência de pagamento será "1". </t>
        </r>
        <r>
          <rPr>
            <b/>
            <sz val="9"/>
            <color indexed="81"/>
            <rFont val="Segoe UI"/>
            <family val="2"/>
          </rPr>
          <t xml:space="preserve"> </t>
        </r>
      </text>
    </comment>
    <comment ref="V2" authorId="0" shapeId="0">
      <text>
        <r>
          <rPr>
            <b/>
            <sz val="9"/>
            <color indexed="81"/>
            <rFont val="Segoe UI"/>
            <family val="2"/>
          </rPr>
          <t xml:space="preserve">VALOR TOTAL ITEM = VOLUME x PREÇO UNITÁRIO x FREQUÊNCIA DE PAGAMENTO </t>
        </r>
      </text>
    </comment>
    <comment ref="W2" authorId="0" shapeId="0">
      <text>
        <r>
          <rPr>
            <b/>
            <sz val="9"/>
            <color indexed="81"/>
            <rFont val="Segoe UI"/>
            <family val="2"/>
          </rPr>
          <t>LIMIAR:</t>
        </r>
        <r>
          <rPr>
            <sz val="9"/>
            <color indexed="81"/>
            <rFont val="Segoe UI"/>
            <family val="2"/>
          </rPr>
          <t xml:space="preserve"> NÍVEL DE SERVIÇO MÍNIMO PARA GARANTIR A EXECUÇÃO DE ENTREGAS MANDATÓRIAS E/OU ESSENCIAIS DO ÓRGÃO.
</t>
        </r>
        <r>
          <rPr>
            <b/>
            <sz val="9"/>
            <color indexed="81"/>
            <rFont val="Segoe UI"/>
            <family val="2"/>
          </rPr>
          <t xml:space="preserve">INCREMENTAL: </t>
        </r>
        <r>
          <rPr>
            <sz val="9"/>
            <color indexed="81"/>
            <rFont val="Segoe UI"/>
            <family val="2"/>
          </rPr>
          <t xml:space="preserve">ENTREGAS NÃO OBRIGATÓRIAS, EM UM NÍVEL DE SERVIÇO SUPERIOR QUE SÃO REALIZADOS PARA MELHORAR RESULTADOS, AUMENTAR A QUALIDADE E MITIGAR RISCOS. QUANTO MAIS ALINHADOS COM A ESTRATÉGIA, MAIS PRÓXIMOS FICAM DO CENÁRIO LIMIAR
</t>
        </r>
      </text>
    </comment>
    <comment ref="X2" authorId="0" shapeId="0">
      <text>
        <r>
          <rPr>
            <b/>
            <sz val="11"/>
            <color theme="1"/>
            <rFont val="Calibri"/>
            <family val="2"/>
            <scheme val="minor"/>
          </rPr>
          <t>CAMPO DE PREENCHIMENTO OBRIGATÓRIO.</t>
        </r>
        <r>
          <rPr>
            <sz val="11"/>
            <color theme="1"/>
            <rFont val="Calibri"/>
            <family val="2"/>
            <scheme val="minor"/>
          </rPr>
          <t xml:space="preserve">
O CENÁRIO É COMPOSTO POR UM PACOTE DE ELEMENTOS ITENS, E SUA DESCRIÇÃO DEVE INDICAR O QUE SE ESTÁ ENTREGANDO COM OS ITENS DETALHADOS. 
IMPORTANTE RESSALTAR QUE CADA CENÁRIO DEVE PERTENCER A UMA MESMA AÇÃO, PODENDO HAVER MAIS DE UM CENÁRIO POR AÇÃO.
ESSE CAMPO DEVE SER PREENCHIDO TANTO PARA OS CENÁRIOS INCREMENTAIS, INDICANDO O NÍVEL DE SERVIÇO QUE SE PRETENDE ALCANÇAR, QUANTO PARA O LIMIAR, INDICANDO QUAL O MÍNIMO NECESSÁRIO PARA REALIZAÇÃO DA AÇÃO EM QUESTÃO.
</t>
        </r>
      </text>
    </comment>
    <comment ref="Y2" authorId="0" shapeId="0">
      <text>
        <r>
          <rPr>
            <b/>
            <sz val="11"/>
            <color theme="1"/>
            <rFont val="Calibri"/>
            <family val="2"/>
            <scheme val="minor"/>
          </rPr>
          <t>CAMPO DE PREENCHIMENTO OBRIGATÓRIO</t>
        </r>
        <r>
          <rPr>
            <sz val="11"/>
            <color theme="1"/>
            <rFont val="Calibri"/>
            <family val="2"/>
            <scheme val="minor"/>
          </rPr>
          <t xml:space="preserve"> PARA TODAS AS DESPESAS (LIMIAR E INCREMENTAIS).
É ESSENCIAL QUE O RISCO DE NÃO FAZER SEJA BEM DESCRITO, UMA VEZ QUE ELE PERMITE COMPREENDER A PERDA GERADA PELA NÃO EXECUÇÃO DA DESPESA. OU SEJA, ELE É IMPORTANTE PARA UMA TOMADA DE DECISÃO ASSERTIVA E ESTRETÉGICA.
</t>
        </r>
      </text>
    </comment>
    <comment ref="Z2" authorId="0" shapeId="0">
      <text>
        <r>
          <rPr>
            <b/>
            <sz val="11"/>
            <color theme="1"/>
            <rFont val="Calibri"/>
            <family val="2"/>
            <scheme val="minor"/>
          </rPr>
          <t>CAMPO DE PREENCHIMENTO OBRIGATÓRIO</t>
        </r>
        <r>
          <rPr>
            <sz val="11"/>
            <color theme="1"/>
            <rFont val="Calibri"/>
            <family val="2"/>
            <scheme val="minor"/>
          </rPr>
          <t xml:space="preserve"> PARA TODAS AS DESPESAS (LIMIAR E INCREMENTAIS).
É ESSENCIAL QUE O BENEFÍCIO AO FAZER SEJA BEM DESCRITO, UMA VEZ QUE ELE PERMITE COMPREENDER OS GANHOS GERADOS PELA ORGANIZAÇÃO A PARTIR DA EXECUÇÃO DA DESPESA. OU SEJA, ELE É IMPORTANTE PARA UMA TOMADA DE DECISÃO ASSERTIVA E ESTRATÉGICA.
</t>
        </r>
      </text>
    </comment>
    <comment ref="AA2" authorId="0" shapeId="0">
      <text>
        <r>
          <rPr>
            <sz val="9"/>
            <color indexed="81"/>
            <rFont val="Segoe UI"/>
            <family val="2"/>
          </rPr>
          <t xml:space="preserve">ESSA COLUNA DEVE SER </t>
        </r>
        <r>
          <rPr>
            <b/>
            <sz val="9"/>
            <color indexed="81"/>
            <rFont val="Segoe UI"/>
            <family val="2"/>
          </rPr>
          <t>PREENCHIDA PELO N3</t>
        </r>
        <r>
          <rPr>
            <sz val="9"/>
            <color indexed="81"/>
            <rFont val="Segoe UI"/>
            <family val="2"/>
          </rPr>
          <t xml:space="preserve"> EM </t>
        </r>
        <r>
          <rPr>
            <b/>
            <sz val="9"/>
            <color indexed="81"/>
            <rFont val="Segoe UI"/>
            <family val="2"/>
          </rPr>
          <t>ESCALA NUMÉRICA</t>
        </r>
        <r>
          <rPr>
            <sz val="9"/>
            <color indexed="81"/>
            <rFont val="Segoe UI"/>
            <family val="2"/>
          </rPr>
          <t xml:space="preserve">, DE ACORDO COM  O </t>
        </r>
        <r>
          <rPr>
            <b/>
            <sz val="9"/>
            <color indexed="81"/>
            <rFont val="Segoe UI"/>
            <family val="2"/>
          </rPr>
          <t>NÍVEL DE PRIORIZAÇÃO</t>
        </r>
        <r>
          <rPr>
            <sz val="9"/>
            <color indexed="81"/>
            <rFont val="Segoe UI"/>
            <family val="2"/>
          </rPr>
          <t>:
LIMIAR = 0 ou deixar a célula em branco
INCREMENTAL = de 1 até o último nível de priorização 
Obs: despesas que compõem o mesmo cenário (coluna x), devem ser classificadas com o mesmo nível de priorização.</t>
        </r>
      </text>
    </comment>
    <comment ref="AB2" authorId="0" shapeId="0">
      <text>
        <r>
          <rPr>
            <sz val="9"/>
            <color indexed="81"/>
            <rFont val="Segoe UI"/>
            <family val="2"/>
          </rPr>
          <t xml:space="preserve">ESSA COLUNA DEVE SER </t>
        </r>
        <r>
          <rPr>
            <b/>
            <sz val="9"/>
            <color indexed="81"/>
            <rFont val="Segoe UI"/>
            <family val="2"/>
          </rPr>
          <t>PREENCHIDA PELO N2</t>
        </r>
        <r>
          <rPr>
            <sz val="9"/>
            <color indexed="81"/>
            <rFont val="Segoe UI"/>
            <family val="2"/>
          </rPr>
          <t xml:space="preserve"> EM </t>
        </r>
        <r>
          <rPr>
            <b/>
            <sz val="9"/>
            <color indexed="81"/>
            <rFont val="Segoe UI"/>
            <family val="2"/>
          </rPr>
          <t>ESCALA NUMÉRICA</t>
        </r>
        <r>
          <rPr>
            <sz val="9"/>
            <color indexed="81"/>
            <rFont val="Segoe UI"/>
            <family val="2"/>
          </rPr>
          <t xml:space="preserve">, DE ACORDO COM  O </t>
        </r>
        <r>
          <rPr>
            <b/>
            <sz val="9"/>
            <color indexed="81"/>
            <rFont val="Segoe UI"/>
            <family val="2"/>
          </rPr>
          <t xml:space="preserve">NÍVEL DE REPRIORIZAÇÃO INTERMEDIÁRIO </t>
        </r>
        <r>
          <rPr>
            <sz val="9"/>
            <color indexed="81"/>
            <rFont val="Segoe UI"/>
            <family val="2"/>
          </rPr>
          <t>partindo do levantamento feito pelos N3 a ele subordinados:
LIMIAR = 0 ou deixar a célula em branco
INCREMENTAL = de 1 até o último nível de priorização 
Obs: despesas que compõem o mesmo cenário (coluna x), devem ser classificadas com o mesmo nível de priorização.</t>
        </r>
      </text>
    </comment>
    <comment ref="AC2" authorId="0" shapeId="0">
      <text>
        <r>
          <rPr>
            <sz val="9"/>
            <color indexed="81"/>
            <rFont val="Segoe UI"/>
            <family val="2"/>
          </rPr>
          <t xml:space="preserve">ESSA COLUNA DEVE SER </t>
        </r>
        <r>
          <rPr>
            <b/>
            <sz val="9"/>
            <color indexed="81"/>
            <rFont val="Segoe UI"/>
            <family val="2"/>
          </rPr>
          <t>PREENCHIDA PELO N1</t>
        </r>
        <r>
          <rPr>
            <sz val="9"/>
            <color indexed="81"/>
            <rFont val="Segoe UI"/>
            <family val="2"/>
          </rPr>
          <t xml:space="preserve"> EM </t>
        </r>
        <r>
          <rPr>
            <b/>
            <sz val="9"/>
            <color indexed="81"/>
            <rFont val="Segoe UI"/>
            <family val="2"/>
          </rPr>
          <t>ESCALA NUMÉRICA</t>
        </r>
        <r>
          <rPr>
            <sz val="9"/>
            <color indexed="81"/>
            <rFont val="Segoe UI"/>
            <family val="2"/>
          </rPr>
          <t xml:space="preserve">, DE ACORDO COM  O </t>
        </r>
        <r>
          <rPr>
            <b/>
            <sz val="9"/>
            <color indexed="81"/>
            <rFont val="Segoe UI"/>
            <family val="2"/>
          </rPr>
          <t>NÍVEL DE REPRIORIZAÇÃO FINAL</t>
        </r>
        <r>
          <rPr>
            <sz val="9"/>
            <color indexed="81"/>
            <rFont val="Segoe UI"/>
            <family val="2"/>
          </rPr>
          <t xml:space="preserve">.
LIMIAR = 0 ou deixar a célula em branco
INCREMENTAL = de 1 até o último nível de priorização 
</t>
        </r>
        <r>
          <rPr>
            <b/>
            <u/>
            <sz val="9"/>
            <color indexed="81"/>
            <rFont val="Segoe UI"/>
            <family val="2"/>
          </rPr>
          <t>O RESULTADO DESSA PRIORIZAÇÃO FINAL É A PILHA ORÇAMENTÁRIA DO ÓRGÃO.</t>
        </r>
        <r>
          <rPr>
            <sz val="9"/>
            <color indexed="81"/>
            <rFont val="Segoe UI"/>
            <family val="2"/>
          </rPr>
          <t xml:space="preserve">
Obs: despesas que compõem o mesmo cenário (coluna x), devem ser classificadas com o mesmo nível de priorização</t>
        </r>
      </text>
    </comment>
    <comment ref="AD2" authorId="0" shapeId="0">
      <text>
        <r>
          <rPr>
            <sz val="9"/>
            <color indexed="81"/>
            <rFont val="Segoe UI"/>
            <family val="2"/>
          </rPr>
          <t xml:space="preserve">ESSA COLUNA DEVE SER </t>
        </r>
        <r>
          <rPr>
            <b/>
            <sz val="9"/>
            <color indexed="81"/>
            <rFont val="Segoe UI"/>
            <family val="2"/>
          </rPr>
          <t>PREENCHIDA PELO N1</t>
        </r>
        <r>
          <rPr>
            <sz val="9"/>
            <color indexed="81"/>
            <rFont val="Segoe UI"/>
            <family val="2"/>
          </rPr>
          <t xml:space="preserve"> EM </t>
        </r>
        <r>
          <rPr>
            <b/>
            <sz val="9"/>
            <color indexed="81"/>
            <rFont val="Segoe UI"/>
            <family val="2"/>
          </rPr>
          <t>ESCALA NUMÉRICA</t>
        </r>
        <r>
          <rPr>
            <sz val="9"/>
            <color indexed="81"/>
            <rFont val="Segoe UI"/>
            <family val="2"/>
          </rPr>
          <t xml:space="preserve">, DE ACORDO COM  O </t>
        </r>
        <r>
          <rPr>
            <b/>
            <sz val="9"/>
            <color indexed="81"/>
            <rFont val="Segoe UI"/>
            <family val="2"/>
          </rPr>
          <t>NÍVEL DE REPRIORIZAÇÃO FINAL</t>
        </r>
        <r>
          <rPr>
            <sz val="9"/>
            <color indexed="81"/>
            <rFont val="Segoe UI"/>
            <family val="2"/>
          </rPr>
          <t xml:space="preserve">.
LIMIAR = 0 ou deixar a célula em branco
INCREMENTAL = de 1 até o último nível de priorização 
</t>
        </r>
        <r>
          <rPr>
            <b/>
            <u/>
            <sz val="9"/>
            <color indexed="81"/>
            <rFont val="Segoe UI"/>
            <family val="2"/>
          </rPr>
          <t>O RESULTADO DESSA PRIORIZAÇÃO FINAL É A PILHA ORÇAMENTÁRIA DO ÓRGÃO.</t>
        </r>
        <r>
          <rPr>
            <sz val="9"/>
            <color indexed="81"/>
            <rFont val="Segoe UI"/>
            <family val="2"/>
          </rPr>
          <t xml:space="preserve">
Obs: despesas que compõem o mesmo cenário (coluna x), devem ser classificadas com o mesmo nível de priorização</t>
        </r>
      </text>
    </comment>
  </commentList>
</comments>
</file>

<file path=xl/sharedStrings.xml><?xml version="1.0" encoding="utf-8"?>
<sst xmlns="http://schemas.openxmlformats.org/spreadsheetml/2006/main" count="29684" uniqueCount="3404">
  <si>
    <t>ORÇAMENTO BASE ZERO (OBZ) 2026</t>
  </si>
  <si>
    <t>MATERIAL DE APOIO</t>
  </si>
  <si>
    <t>BASE OBZ</t>
  </si>
  <si>
    <t>CLASSIFICADOR ORÇAMENTÁRIO</t>
  </si>
  <si>
    <t>CONCEITOS METODOLÓGICOS IMPORTANTES</t>
  </si>
  <si>
    <t>DECRETO DIÁRIAS</t>
  </si>
  <si>
    <t>BASE OBZ - EXEMPLO</t>
  </si>
  <si>
    <t>INDICE</t>
  </si>
  <si>
    <t>PROJETO ORÇAMENTO BASE-ZERO</t>
  </si>
  <si>
    <t xml:space="preserve">UNIDADE ORÇAMENTÁRIA </t>
  </si>
  <si>
    <t>N2</t>
  </si>
  <si>
    <t>SUB SIGLA</t>
  </si>
  <si>
    <t>N3</t>
  </si>
  <si>
    <t>PROGRAMAUO</t>
  </si>
  <si>
    <t>PROGRAMA</t>
  </si>
  <si>
    <t>prog cod</t>
  </si>
  <si>
    <t>AÇÃO</t>
  </si>
  <si>
    <t>ELEMENTO</t>
  </si>
  <si>
    <t>ELEMENTO_ITEM</t>
  </si>
  <si>
    <t>Agrupamento</t>
  </si>
  <si>
    <t>GRUPO</t>
  </si>
  <si>
    <t>FONTEUO</t>
  </si>
  <si>
    <t xml:space="preserve">FONTE </t>
  </si>
  <si>
    <t xml:space="preserve">DESCRIÇÃO DO ITEM </t>
  </si>
  <si>
    <t>NOVO?</t>
  </si>
  <si>
    <t>PREMISSA VOLUME</t>
  </si>
  <si>
    <t>VOLUME</t>
  </si>
  <si>
    <t>PREMISSA DE PREÇO</t>
  </si>
  <si>
    <t>PREÇO UNITÁRIO</t>
  </si>
  <si>
    <t>FREQUÊNCIA PAGAMENTO</t>
  </si>
  <si>
    <t>VALOR TOTAL ITEM</t>
  </si>
  <si>
    <t>CLASSIFICAÇÃO CENÁRIO</t>
  </si>
  <si>
    <t>DESCRIÇÃO DO CENÁRIO</t>
  </si>
  <si>
    <t>RISCO DE NÃO FAZER</t>
  </si>
  <si>
    <t>BENEFICIO AO FAZER</t>
  </si>
  <si>
    <t xml:space="preserve">PRIORIDADE N3 </t>
  </si>
  <si>
    <t xml:space="preserve">PRIORIDADE N2 </t>
  </si>
  <si>
    <t xml:space="preserve">PRIORIDADE N1 </t>
  </si>
  <si>
    <t>FAOP</t>
  </si>
  <si>
    <t>Subsecretaria de Promoção Cultural</t>
  </si>
  <si>
    <t>Superintendência de artes</t>
  </si>
  <si>
    <t>060 - FORMACAO CULTURAL</t>
  </si>
  <si>
    <t>1029 - ATIVIDADES DE ENSINO, FORMACAO E QUALIFICACAO PROFISSIONAL E TECNICA EM CULTURA E PATRIMONIO</t>
  </si>
  <si>
    <t>1401 - DIÁRIAS CIVIL</t>
  </si>
  <si>
    <t>Diárias e viagens</t>
  </si>
  <si>
    <t>3 - Outras Despesas de Custeio</t>
  </si>
  <si>
    <t>DIÁRIA PARA ATENDER HOSPEDAGEM DE PROFESSOR CONVIDADO PARA LECIONAR</t>
  </si>
  <si>
    <t>NÃO</t>
  </si>
  <si>
    <t>NÚMERO DE DIÁRIAS UTILIZADAS (2) X NUMERO DE SERVIDORES FAVORECIDOS (1)</t>
  </si>
  <si>
    <t>VALOR DA DIÁRIA DE ACORDO COM DECRETO 47.045/2016 (FAIXA 1 - MUNICÍPIO ESPECIAL)</t>
  </si>
  <si>
    <t>LIMIAR</t>
  </si>
  <si>
    <t>REALIZAÇÃO DE CURSO COM APENAS UM PROFESSOR CONVIDADO</t>
  </si>
  <si>
    <t>CURSO PRECISA DE PELO MENOS UM PROFESSOR PARA SER REALIZADO</t>
  </si>
  <si>
    <t>NÃO É POSSÍVEL REALIZAR CURSO SEM PROFESSOR</t>
  </si>
  <si>
    <t>3301 - PASSAGENS - PESSOA FÍSICA</t>
  </si>
  <si>
    <t>PASSAGEM DE IDA E VOLTA PARA ATENDER DESLOCAMENTO DE PROFESSOR CONVIDADO PARA LECIONAR</t>
  </si>
  <si>
    <t>1 PASSAGEM DE IDA E VOLTA DE CONTAGEM PARA BH</t>
  </si>
  <si>
    <t>VALOR DA PASSAGEM IDA E VOLTA</t>
  </si>
  <si>
    <t>DIÁRIA PARA ATENDER HOSPEDAGEM DE PROFESSOR EXTRA CONVIDADO PARA LECIONAR</t>
  </si>
  <si>
    <t>SIM</t>
  </si>
  <si>
    <t>CURSO MINISTRADO COM UM PROFESSOR EXTRA CONVIDADO</t>
  </si>
  <si>
    <t>CURSO MENOS INTERESSANTE, MENOR CARGA HORÁRIO E POSSÍVEL MENOR ADESÃO DO PÚBLICO</t>
  </si>
  <si>
    <t>CURSO COM MAIOR QUALIDADE E ADESÃO DO PÚBLICO</t>
  </si>
  <si>
    <t>PASSAGEM DE IDA E VOLTA PARA ATENDER DESLOCAMENTO DE PROFESSOR EXTRA CONVIDADO PARA LECIONAR</t>
  </si>
  <si>
    <t>3952 - CONTRATAÇÃO DE ESTAGIÁRIOS</t>
  </si>
  <si>
    <t>Estagiários</t>
  </si>
  <si>
    <t>ESTAGIÁRIO CARGA HORÁRIA 30 HORAS SEMANAIS</t>
  </si>
  <si>
    <t>NÚMERO DE ESTAGIÁRIOS</t>
  </si>
  <si>
    <t xml:space="preserve">VALOR DA BOLSA ESTAGIÁRIO + VALE TRANSPORTE </t>
  </si>
  <si>
    <t>INCREMENTAL</t>
  </si>
  <si>
    <t>EXPANSÃO DOS CURSOS PARA A MODALIDADE EAD</t>
  </si>
  <si>
    <t>MAIOR DEMORA PARA A REALIZAÇÃO DOS PROCESSOS DE TESTE DA PLATAFORMA; CURSO MAIS DESORGANIZADO E ACÚMULO DE TAREFAS AOS SERVIDORES</t>
  </si>
  <si>
    <t>PROCESSOS MAIS ÁGEIS; CURSO MAIS ORGANIZADO E SERVIDORES MENOS SOBRECARREGADOS</t>
  </si>
  <si>
    <t>3005 - MATERIAL PARA ESCRITÓRIO</t>
  </si>
  <si>
    <t>Aquisição de material de consumo</t>
  </si>
  <si>
    <t>PACOTE DE FOLHA A4 BRANCA COM 100 UNIDADES</t>
  </si>
  <si>
    <t>MÉDIA DE CONSUMO PARA UM CURSO DE 2 DIAS</t>
  </si>
  <si>
    <t>CONSULTA DO VALOR DO ITEM NO SIAD</t>
  </si>
  <si>
    <t>ALUNOS PRECISAM DE FOLHA PARA REALIZAR AS ATIVIDADES AVALIATIVAS</t>
  </si>
  <si>
    <t>NÃO É POSSÍVEL REALIZAR AS ATIVIDADES SEM QUE OS ALUNOS TENHAM ONDE ESCREVER AS RESPOSTAS</t>
  </si>
  <si>
    <t>KIT DE MATERIAL PARA CURSO (CANETA ESFEROGRÁFICA AZUL, LÁPIS, BORRACHA)</t>
  </si>
  <si>
    <t>1 KIT POR PESSOA X MÉDIA DE INSCRIÇÕES NO CURSO (100)</t>
  </si>
  <si>
    <t>CONSULTA DO VALOR DOS ITENS QUE COMPÕES O KIT NO SIAD</t>
  </si>
  <si>
    <t>FORNECIMENTO DE ITENS DE SUPORTE AO PARTICIPANTE DOS CURSOS</t>
  </si>
  <si>
    <t>MENOR ADESÃO AO CURSO DEVIDO AO PÚBLICO ALVO NÃO POSSUIR CONDIÇÕES FINANCEIRAS DE ADQUIRIR OS MATERIAIS DO KIT</t>
  </si>
  <si>
    <t>MAIOR ADESÃO DO PÚBLICO ALVO E MELHOR DESEMPENHO DOS ALUNOS</t>
  </si>
  <si>
    <t>3903 - FORNECIMENTO DE ALIMENTAÇÃO</t>
  </si>
  <si>
    <t>Alimentação</t>
  </si>
  <si>
    <t>FORNECIMENTO DE COFFEE BREAK PARA O CURSO</t>
  </si>
  <si>
    <t>CONTRATO FIRMADO</t>
  </si>
  <si>
    <t>VALOR HISTÓRICO DOS CONTRADOS FIRMADOS</t>
  </si>
  <si>
    <t>POSSIBILIDADE DO PÚBLICO ALVO NÃO ADERIR AO CURSO POR QUESTÕES FINANCEIRAS QUE IMPOSSIBILITEM A AQUISIÇÃO DE LANCHE DURANTE O DIA; MAIOR TEMPO DE INTERVALO DURANTE O CURSO E MENOR ADESÃO DO PÚBLICO AO CURSO</t>
  </si>
  <si>
    <t>CURSO MAIS ATRATIVO, GERANDO MAIOR ADESÃO DO PÚBLICO ALVO</t>
  </si>
  <si>
    <t>4007 - AQUISIÇÃO DE SOFTWARE DESENVOLVIDOS PELA PRODEMGE</t>
  </si>
  <si>
    <t>PRODEMGE</t>
  </si>
  <si>
    <t>4 - Investimento</t>
  </si>
  <si>
    <t>DESENVOLVIMENTO DE PLATAFORMA MOODLE PARA CURSO EAD</t>
  </si>
  <si>
    <t>TABELA DE SERVIÇOS PRODEMGE</t>
  </si>
  <si>
    <t>MENOR PÚBLICO DEVIDO À OFERTA DE CURSOS SOMENTE NA MODALIDADE PRESENCIAL</t>
  </si>
  <si>
    <t>ATINGIR MAIOR PÚBLICO</t>
  </si>
  <si>
    <t>056 - FOMENTO, DEMOCRATIZACAO E ACESSO A CULTURA E AO TURISMO</t>
  </si>
  <si>
    <t>1027 - ACOES DE DIFUSAO DAS ARTES E DO PATRIMONIO CULTURAL</t>
  </si>
  <si>
    <t>3702 - LOCAÇÃO DE SERVIÇOS DE APOIO ADMINISTRATIVO</t>
  </si>
  <si>
    <t>Demais terceirizados</t>
  </si>
  <si>
    <t>POSTO DE TRABALHO DE SEGURANÇA 24H</t>
  </si>
  <si>
    <t>CONTRATATO FIRMADO COM A EMPRESA "SECURITY"</t>
  </si>
  <si>
    <t>VALOR MENSAL DO CONTRATO</t>
  </si>
  <si>
    <t>SEGURANÇA MÍNIMA NECESSÁRIA PARA ATENDER A GUARDA DO MUSEU DURANTE 12H</t>
  </si>
  <si>
    <t>AUSÊNCIA DE SEGURANÇA DO MUSEU, DEIXANDO O PRÉDIO COMPLETAMENTE VULNERÁVEL</t>
  </si>
  <si>
    <t>REDUÇÃO DO RISCO DE DEPREDAÇÃO DO MUSEU</t>
  </si>
  <si>
    <t>ADITIVO PARA SEGURANÇA 24 HORAS (ADICIONAL DE 1 SEGURANÇA)</t>
  </si>
  <si>
    <t>ADITIVO CONTRATUAL COM A EMPRESA "SECURITY"</t>
  </si>
  <si>
    <t>VALOR MENSAL DO ADITIVO (NÚMERO DE POSTOS DE TRABALHO X VALOR DO POSTO)</t>
  </si>
  <si>
    <t>AUMENTO DA SEGURANÇA DO MUSEU, VIABILIZANDO GUARDA NOS PERÍODOS DIURNO E NOTURNO</t>
  </si>
  <si>
    <t>MAIOR RISCO DE DEPREDAÇÃO, VISTO QUE SÓ HÁ SEGURANÇA NO LOCAL DURANTE UM PERÍODO DO DIA</t>
  </si>
  <si>
    <t>MAIOR SEGURANÇA NO PRÉDIO DA FUNDAÇÃO COM VIGILÂNCIA 24 HORAS</t>
  </si>
  <si>
    <t>3703 - LOCAÇÃO DE SERVIÇOS DE CONSERVAÇÃO E LIMPEZA REALIZADOS PELA MGS</t>
  </si>
  <si>
    <t>Terceirizados - MGS</t>
  </si>
  <si>
    <t>POSTO DE TRABALHO DE MANUTENÇÃO E LIMPEZA</t>
  </si>
  <si>
    <t>NÚMERO DE POSTOS DE TRABALHO PARA MANUTENÇÃO DO MUSEU</t>
  </si>
  <si>
    <t xml:space="preserve">VALOR MENSAL DO POSTO DE TRABALHO CONFORME CONTRATO </t>
  </si>
  <si>
    <t>LIMPEZA EFETUADA DE TRÊS EM TRÊS HORAS NOS SALÕES DO MUSEU</t>
  </si>
  <si>
    <t>SALÃO DO MUSEU PODE COM ACÚMULO DE SUJEIRA, GERANDO MÁ IMPRESSÃO AOS FREQUENTADORES E DINIMUINDO A VISITAÇÃO</t>
  </si>
  <si>
    <t xml:space="preserve">MUSEU MINIMAMENTE LIMPO </t>
  </si>
  <si>
    <t>LIMPEZA EFETUADA DE HORA EM HORA NOS SALÕES DO MUSEU</t>
  </si>
  <si>
    <t>SALÃO DO MUSEU PODE FICAR SUJO ENTRE UMA E OUTRA VISITA, GERANDO INSATISFAÇÃO DOS FREQUENTADORES</t>
  </si>
  <si>
    <t>MUSEU MAIS LIMPO, USUÁRIOS SATISFEITOS E MAIOR VISITAÇÃO</t>
  </si>
  <si>
    <t>UNIDADE ORÇAMENTÁRIA (NÍVEL 1)</t>
  </si>
  <si>
    <t>SUBSECRETARIA (NÍVEL 2)</t>
  </si>
  <si>
    <t>SUPERINTENDENCIA (NÍVEL 3)</t>
  </si>
  <si>
    <t>ENTREGA</t>
  </si>
  <si>
    <t>elem cod</t>
  </si>
  <si>
    <t xml:space="preserve">ELEMENTO_ITEM </t>
  </si>
  <si>
    <r>
      <t xml:space="preserve">FONTE </t>
    </r>
    <r>
      <rPr>
        <b/>
        <sz val="8"/>
        <color theme="0"/>
        <rFont val="Calibri"/>
        <family val="2"/>
        <scheme val="minor"/>
      </rPr>
      <t>(OPCIONAL)</t>
    </r>
  </si>
  <si>
    <r>
      <t xml:space="preserve">ITEM DE MATERIAL </t>
    </r>
    <r>
      <rPr>
        <b/>
        <sz val="8"/>
        <color theme="0"/>
        <rFont val="Calibri"/>
        <family val="2"/>
        <scheme val="minor"/>
      </rPr>
      <t>(OPCIONAL)</t>
    </r>
  </si>
  <si>
    <t>DESCRIÇÃO DO CENÁRIO - pacotes de despesa / gera valor agregado</t>
  </si>
  <si>
    <t xml:space="preserve">CURSO DE CAPACITAÇÃO </t>
  </si>
  <si>
    <t>30 - MATERIAL DE CONSUMO</t>
  </si>
  <si>
    <t>3012 - MEDICAMENTOS</t>
  </si>
  <si>
    <t xml:space="preserve">VALOR DA DIÁRIA </t>
  </si>
  <si>
    <t>curso com um professor</t>
  </si>
  <si>
    <t xml:space="preserve">curso precisa de pelo menos um professor </t>
  </si>
  <si>
    <t>não tem como ter curso sem professor</t>
  </si>
  <si>
    <t>33 - PASSAGENS E DESPESAS COM LOCOMOÇÃO</t>
  </si>
  <si>
    <t>1 PASSAGEM DE IDA E VOLTA DE OURO PRETO PARA BH</t>
  </si>
  <si>
    <t>14 - DIÁRIAS - CIVIL</t>
  </si>
  <si>
    <t>curso com professor convidado</t>
  </si>
  <si>
    <t>CURSO MENOS INTERESSANTE, MENOR CARGA HORÁRIO E POSSÍVEL MENOS ADESÃO DO PÚBLICO</t>
  </si>
  <si>
    <t>CURSO DE CAPACITAÇÃO EM RESTAURAÇÃO</t>
  </si>
  <si>
    <t>3004 - MATERIAL GRÁFICO E IMPRESSOS</t>
  </si>
  <si>
    <t>IMPRESSÃO DE FLYER PARA DIVULGAÇÃO (TAMANHO MEIO OFÍCIO)</t>
  </si>
  <si>
    <t>QUANTITATIVO DE FLYERS NECESSÁRIOS PARA DIVULGAÇÃO DO EVENTO</t>
  </si>
  <si>
    <t xml:space="preserve"> PESQUISA DE PREÇO NA INTERNET</t>
  </si>
  <si>
    <t>POUCAS INSCRIÇÕES NO CURSO DEVIDO A FALTA DE DIVULGAÇÃO - TER QUE DIVULGAR SOMENTE PELA INTERNET</t>
  </si>
  <si>
    <t>MAIS PESSOAS CONHECENDO O CURSO E MAIORES CHANCES DE INSCRIÇÕES</t>
  </si>
  <si>
    <t>curso com um professor e professor convidado</t>
  </si>
  <si>
    <t>POUCAS INSCRIÇÕES NO CURSO DEVIDO A FALTA DE DIVULGAÇÃO</t>
  </si>
  <si>
    <t>PACOTE DEFOLHA A4 BRANCA COM 100 UNIDADES</t>
  </si>
  <si>
    <t>curso com coffe break</t>
  </si>
  <si>
    <t>MANUTENÇÃO DO ESPAÇO DE REALIZAÇÃO DOS CURSOS</t>
  </si>
  <si>
    <t>37 - LOCAÇÃO DE MÃO-DE-OBRA</t>
  </si>
  <si>
    <t>NÚMERO DE VIGIAS NECESSÁRIOS PARA SEGURANÇA  MEIO TURNO</t>
  </si>
  <si>
    <t>NÚMERO DE VIGIAS NECESSÁRIOS PARA SEGURANÇA 24 HORAS</t>
  </si>
  <si>
    <t>NÚMERO DE FAXINEIRAS PARA MANUTENÇÃO DO ESPAÇO DOS CURSOS</t>
  </si>
  <si>
    <t>segurança 24 horas</t>
  </si>
  <si>
    <t>39 - OUTROS SERVIÇOS DE TERCEIROS - PESSOA JURÍDICA</t>
  </si>
  <si>
    <t>3912 - TARIFA DE ENERGIA ELÉTRICA</t>
  </si>
  <si>
    <t>fazer o rateio</t>
  </si>
  <si>
    <t>DER</t>
  </si>
  <si>
    <t>081 - INFRAESTRUTURA RODOVIARIA</t>
  </si>
  <si>
    <t>2039 - RECUPERACAO E MANUTENCAO DA MALHA VIARIA</t>
  </si>
  <si>
    <t>RECAPEAMENTO DE VIAS</t>
  </si>
  <si>
    <t>51 - OBRAS E INSTALAÇÕES</t>
  </si>
  <si>
    <t>5107 - EXECUÇÃO DE OBRAS POR CONTRATO DE BENS NÃO PATRIMONIÁVEIS</t>
  </si>
  <si>
    <t xml:space="preserve">KM DE RODOVIA A SEREM PAVIMENTADOS </t>
  </si>
  <si>
    <t>VALOR MÉDIO POR KM PAVIMENTADO</t>
  </si>
  <si>
    <t>35 - SERVIÇOS DE CONSULTORIA</t>
  </si>
  <si>
    <t>3502 - SERVIÇOS DE CONSULTORIA ? PESSOA JURÍDICA</t>
  </si>
  <si>
    <t>CONTRATAÇÃO DE CONSULTORIA PARA REALIZAÇÃO DE PROJETO DE ENGENHARIA</t>
  </si>
  <si>
    <t>VALOR MÉDIO DE MERCADO</t>
  </si>
  <si>
    <t xml:space="preserve">PONTOS IMPORTANTES NA ELABORAÇÃO DO OBZ </t>
  </si>
  <si>
    <r>
      <rPr>
        <b/>
        <sz val="11"/>
        <color theme="1"/>
        <rFont val="Calibri"/>
        <family val="2"/>
        <scheme val="minor"/>
      </rPr>
      <t>Cenário Limiar:</t>
    </r>
    <r>
      <rPr>
        <sz val="11"/>
        <color theme="1"/>
        <rFont val="Calibri"/>
        <family val="2"/>
        <scheme val="minor"/>
      </rPr>
      <t xml:space="preserve"> nível de serviço mínimo aceitável para garantir a execução de entregas (políticas públicas) essenciais às condições de sobrevivência do órgão</t>
    </r>
  </si>
  <si>
    <r>
      <rPr>
        <b/>
        <sz val="11"/>
        <color theme="1"/>
        <rFont val="Calibri"/>
        <family val="2"/>
        <scheme val="minor"/>
      </rPr>
      <t>Cenário Incremental:</t>
    </r>
    <r>
      <rPr>
        <sz val="11"/>
        <color theme="1"/>
        <rFont val="Calibri"/>
        <family val="2"/>
        <scheme val="minor"/>
      </rPr>
      <t xml:space="preserve"> despesas que geram nível de serviço e de qualidade superiores, realizadas para melhorar os resultados ou diminuir riscos. (Por exemplo: cenários intermediários e ótimo).</t>
    </r>
  </si>
  <si>
    <r>
      <rPr>
        <b/>
        <sz val="11"/>
        <color theme="1"/>
        <rFont val="Calibri"/>
        <family val="2"/>
        <scheme val="minor"/>
      </rPr>
      <t>O OBZ terá como foco a margem discricionária do orçamento de cada órgão:</t>
    </r>
    <r>
      <rPr>
        <sz val="11"/>
        <color theme="1"/>
        <rFont val="Calibri"/>
        <family val="2"/>
        <scheme val="minor"/>
      </rPr>
      <t xml:space="preserve"> despesas de custeio e capital sobre as quais a unidade tem liberdade de alocação. As Planilhas OBZ não conterão, portanto: Despesas com pessoal (Grupo 1) e auxílios (IPU 7); Fontes de recursos vinculadas a instrumentos jurídicos (exemplos: convênios e contrapartidas, fontes federais, recursos da Vale, etc.); Emendas parlamentares e de CPP (IPUs 8 e 4); Despesas com precatórios (IPU 9); Despesas de Recursos Recebidos para Contrapartida (IPU 3 e 6) e Despesas de Exercícios Anteriores (DEA - Elemento de despesa 92)</t>
    </r>
  </si>
  <si>
    <t>PONTOS DE ATENÇÃO – PREENCHIMENTO DA PLANILHA</t>
  </si>
  <si>
    <r>
      <t xml:space="preserve">Preencher riscos de não fazer e benefícios de fazer para:
</t>
    </r>
    <r>
      <rPr>
        <sz val="11"/>
        <color theme="1"/>
        <rFont val="Calibri"/>
        <family val="2"/>
        <scheme val="minor"/>
      </rPr>
      <t xml:space="preserve">Cenários Limiar e Incremental 
</t>
    </r>
  </si>
  <si>
    <t xml:space="preserve">Não existe prioridade entre cenários limiares de diferentes níveis N3. Todo cenário limiar será prioridade 0 (zero).
</t>
  </si>
  <si>
    <t>Se atentar ao número de cenários por ação, com intuito de viabilizar análise gerencial: o nível N1 analisará toda a planilha, portanto é necessário que a forma de construção dos cenários permita uma visão consolidada dos dados, e apresente um valor significante em relação ao orçamento do órgão.</t>
  </si>
  <si>
    <t>13 - OBRIGAÇÕES PATRONAIS</t>
  </si>
  <si>
    <t>15 - DIÁRIAS - MILITAR</t>
  </si>
  <si>
    <t>16 - OUTRAS DESPESAS VARIÁVEIS - PESSOAL CIVIL</t>
  </si>
  <si>
    <t>17 - OUTRAS DESPESAS VARIÁVEIS - PESSOAL MILITAR</t>
  </si>
  <si>
    <t>18 - AUXÍLIO FINANCEIRO A ESTUDANTES</t>
  </si>
  <si>
    <t>19 - AUXÍLIO-FARDAMENTO</t>
  </si>
  <si>
    <t>20 - AUXÍLIO FINANCEIRO A PESQUISADORES</t>
  </si>
  <si>
    <t>31 - PREMIAÇÕES CULTURAIS, ARTÍSTICAS, CIENTÍFICAS, DESPORTIVAS E OUTRAS.</t>
  </si>
  <si>
    <t>32 - MATERIAL, BEM OU SERVIÇO PARA DISTRIBUIÇÃO GRATUITA</t>
  </si>
  <si>
    <t>34 - OUTRAS DESPESAS DE PESSOAL DECORRENTES DE CONTRATOS DE TERCEIRIZAÇÃO</t>
  </si>
  <si>
    <t>36 - OUTROS SERVIÇOS DE TERCEIROS - PESSOA FÍSICA</t>
  </si>
  <si>
    <t>38 - ARRENDAMENTO MERCANTIL</t>
  </si>
  <si>
    <t>40 - SERVIÇOS DE TECNOLOGIA DA INFORMAÇÃO E COMUNICAÇÃO - PESSOA JURÍDICA</t>
  </si>
  <si>
    <t>41 - CONTRIBUIÇÕES</t>
  </si>
  <si>
    <t>42 - AUXÍLIOS</t>
  </si>
  <si>
    <t>43 - SUBVENÇÕES SOCIAIS</t>
  </si>
  <si>
    <t>45 - SUBVENÇÕES ECONÔMICAS</t>
  </si>
  <si>
    <t>47 - OBRIGAÇÕES TRIBUTÁRIAS E CONTRIBUTIVAS</t>
  </si>
  <si>
    <t>48 - OUTROS AUXÍLIOS FINANCEIROS A PESSOAS FÍSICAS</t>
  </si>
  <si>
    <t>52 - EQUIPAMENTOS E MATERIAL PERMANENTE</t>
  </si>
  <si>
    <t>61 - AQUISIÇÃO DE IMÓVEIS</t>
  </si>
  <si>
    <t>62 - AQUISIÇÃO DE PRODUTOS PARA REVENDA</t>
  </si>
  <si>
    <t>63 - AQUISIÇÃO DE TÍTULOS DE CRÉDITO</t>
  </si>
  <si>
    <t>64 - AQUISIÇÃO DE TÍTULOS REPRESENTATIVOS DE CAPITAL JÁ INTEGRALIZADO</t>
  </si>
  <si>
    <t>65 - CONSTITUIÇÃO OU AUMENTO DE CAPITAL DE EMPRESAS</t>
  </si>
  <si>
    <t>66 - CONCESSÃO DE EMPRÉSTIMOS E FINANCIAMENTOS</t>
  </si>
  <si>
    <t>67 - DEPÓSITOS COMPULSÓRIOS</t>
  </si>
  <si>
    <t>93 - INDENIZAÇÕES E RESTITUIÇÕES</t>
  </si>
  <si>
    <t>94 - INDENIZAÇÕES E RESTITUIÇÕES TRABALHISTAS</t>
  </si>
  <si>
    <t>95 - INDENIZAÇÃO PELA EXECUÇÃO DE TRABALHOS DE CAMPO</t>
  </si>
  <si>
    <t>1304 - INSS</t>
  </si>
  <si>
    <t>1501 - DIÁRIAS MILITAR</t>
  </si>
  <si>
    <t>1601 - SERVIÇO EXTRAORDINÁRIO</t>
  </si>
  <si>
    <t>1701 - OUTRAS DESPESAS VARIÁVEIS ? PESSOAL MILITAR</t>
  </si>
  <si>
    <t>1801 - AUXÍLIO FINANCEIRO A ESTUDANTES</t>
  </si>
  <si>
    <t>1901 - AUXÍLIO-FARDAMENTO</t>
  </si>
  <si>
    <t>2001 - AUXÍLIO FINANCEIRO A PESQUISADORES</t>
  </si>
  <si>
    <t>3001 - ARTIGOS PARA CONFECÇÃO E VESTUÁRIO</t>
  </si>
  <si>
    <t>3101 - PRÊMIOS, DIPLOMAS, CONDECORAÇÕES E MEDALHAS</t>
  </si>
  <si>
    <t>3201 - MATERIAL DE DISTRIBUIÇÃO GRATUITA</t>
  </si>
  <si>
    <t>3401 - OUTRAS DESPESAS DE PESSOAL DECORRENTES DE CONTRATOS DE TERCEIRIZAÇÃO</t>
  </si>
  <si>
    <t>3501 - SERVIÇOS DE CONSULTORIA ? PESSOA FÍSICA</t>
  </si>
  <si>
    <t>3601 - ESTAGIÁRIOS</t>
  </si>
  <si>
    <t>3701 - LOCAÇÃO DE SERVIÇOS DE CONSERVAÇÃO E LIMPEZA</t>
  </si>
  <si>
    <t>3801 - ARRENDAMENTO MERCANTIL</t>
  </si>
  <si>
    <t>3901 - VALE-TRANSPORTE</t>
  </si>
  <si>
    <t>4002 - SERVIÇOS DE TECNOLOGIA DA INFORMAÇÃO</t>
  </si>
  <si>
    <t>4101 - CONTRIBUIÇÕES</t>
  </si>
  <si>
    <t>4201 - AUXÍLIOS</t>
  </si>
  <si>
    <t>4301 - SUBVENÇÕES SOCIAIS</t>
  </si>
  <si>
    <t>4501 - SUBVENÇÕES ECONÔMICAS</t>
  </si>
  <si>
    <t>4702 - IMPOSTO DE RENDA - IR</t>
  </si>
  <si>
    <t>4801 - OUTROS AUXÍLIOS FINANCEIROS A PESSOAS FÍSICAS</t>
  </si>
  <si>
    <t>5101 - ESTUDOS E PROJETOS DE BENS PATRIMONIÁVEIS</t>
  </si>
  <si>
    <t>5201 - AERONAVES E COMPONENTES ESTRUTURAIS</t>
  </si>
  <si>
    <t>6101 - TERRENOS</t>
  </si>
  <si>
    <t>6201 - AQUISIÇÃO DE PRODUTOS PARA REVENDA</t>
  </si>
  <si>
    <t>6301 - AQUISIÇÃO DE TÍTULOS DE CRÉDITO</t>
  </si>
  <si>
    <t>6401 - AQUISIÇÃO DE TÍTULOS REPRESENTATIVOS DE CAPITAL JÁ INTEGRALIZADO</t>
  </si>
  <si>
    <t>6501 - CONSTITUIÇÃO OU AUMENTO DE CAPITAL DE EMPRESAS</t>
  </si>
  <si>
    <t>6601 - CONCESSÃO DE EMPRÉSTIMOS E FINANCIAMENTOS</t>
  </si>
  <si>
    <t>6701 - DEPÓSITOS COMPULSÓRIOS</t>
  </si>
  <si>
    <t>9301 - AJUDA DE CUSTO</t>
  </si>
  <si>
    <t>9401 - INDENIZAÇÕES E RESTITUIÇÕES TRABALHISTAS</t>
  </si>
  <si>
    <t>9501 - INDENIZAÇÃO PELA EXECUÇÃO DE TRABALHOS DE CAMPO</t>
  </si>
  <si>
    <t>1305 - OBRIGAÇÃO PATRONAL - PESSOAL ATIVO - PREVIDÊNCIA</t>
  </si>
  <si>
    <t>1602 - SUBSTITUIÇÃO EM CARGOS EM COMISSÃO</t>
  </si>
  <si>
    <t>1902 - ADIANTAMENTO ? FARDAMENTO</t>
  </si>
  <si>
    <t>3002 - ARTIGOS PARA ESPORTE</t>
  </si>
  <si>
    <t>3102 - PRÊMIOS LOTÉRICOS</t>
  </si>
  <si>
    <t>3202 - MATERIAL DE ASSISTÊNCIA HUMANITÁRIA</t>
  </si>
  <si>
    <t>3302 - DESPESAS COM TRANSPORTE URBANO, PEDÁGIO E ESTACIONAMENTO - PESSOA FÍSICA</t>
  </si>
  <si>
    <t>3402 - AGENTES PENITENCIÁRIOS</t>
  </si>
  <si>
    <t>3602 - MÉDICOS RESIDENTES</t>
  </si>
  <si>
    <t>3902 - VALE-REFEIÇÃO</t>
  </si>
  <si>
    <t>4003 - SERVIÇOS DE INFORMÁTICA EXECUTADOS PELA PRODEMGE</t>
  </si>
  <si>
    <t>4102 - TRANSFERÊNCIAS AO FUNDHAB</t>
  </si>
  <si>
    <t>4703 - IMPOSTO PREDIAL TERRITORIAL URBANO - IPTU</t>
  </si>
  <si>
    <t>4802 - AUXILIO FINANCEIRO ? PROGRAMA POUPANÇA JOVEM</t>
  </si>
  <si>
    <t>5102 - EXECUÇÃO DIRETA DE OBRAS DE BENS PATRIMONIÁVEIS</t>
  </si>
  <si>
    <t>5202 - ANIMAIS DE TRABALHO, PRODUÇÃO E / OU REPRODUÇÃO</t>
  </si>
  <si>
    <t>6102 - SALAS E ESCRITÓRIOS</t>
  </si>
  <si>
    <t>6502 - CONSTITUIÇÃO OU AUMENTO DE CAPITAL DE EMPRESAS ? CAPITAL INTEGRALIZADO</t>
  </si>
  <si>
    <t>6602 - EMPRÉSTIMOS E FINANCIAMENTOS ? FUNDOS DE DESENVOLVIMENTO</t>
  </si>
  <si>
    <t>9302 - AJUDA DE CUSTO ESPECIAL</t>
  </si>
  <si>
    <t>9330 - REEMBOLSO DE DESPESA REALIZADA E CONTRATOS OU CONVÊNIOS FIRMADOS EM REGIME DE PARCERIA</t>
  </si>
  <si>
    <t>1306 - OBRIGAÇÃO PATRONAL - PESSOAL INATIVO - PREVIDÊNCIA</t>
  </si>
  <si>
    <t>1603 - AULAS FACULTATIVAS</t>
  </si>
  <si>
    <t>1903 - AUXILIO FARDAMENTO PAGO A PESSOAL CONTRATADO</t>
  </si>
  <si>
    <t>303 - UTENSÍLIOS PARA COPA, REFEITÓRIO E COZINHA</t>
  </si>
  <si>
    <t>3103 - COMISSÕES LOTÉRICAS</t>
  </si>
  <si>
    <t>3303 - FRETAMENTO E LOCAÇÃO - PESSOA FÍSICA</t>
  </si>
  <si>
    <t>3403 - OBRIGAÇÃO PATRONAL – INSS</t>
  </si>
  <si>
    <t>3503 - SERVIÇOS DE CONSULTORIA ? ORGANISMO INTERNACIONAL</t>
  </si>
  <si>
    <t>3603 - SALÁRIOS DE INTERNOS</t>
  </si>
  <si>
    <t>4004 - SERVIÇO DE TELECOMUNICAÇÃO</t>
  </si>
  <si>
    <t>4103 - CONTRIBUIÇÕES AO IPLEMG</t>
  </si>
  <si>
    <t>4704 - IMPOSTO SOBRE OPERAÇÕES FINANCEIRAS - IOF</t>
  </si>
  <si>
    <t>4803 - AUXÍLIO PARA PROFISSIONAIS DE PROGRAMAS DE CAPACITAÇÃO E FORMAÇÃO</t>
  </si>
  <si>
    <t>5103 - EXECUÇÃO DE OBRAS POR CONTRATO DE BENS PATRIMONIÁVEIS</t>
  </si>
  <si>
    <t>5203 - ARMAMENTO E EQUIPAMENTO DE USO POLICIAL</t>
  </si>
  <si>
    <t>6103 - FAZENDAS</t>
  </si>
  <si>
    <t>6603 - CONCESSÃO DE FINANCIAMENTOS HABITACIONAIS</t>
  </si>
  <si>
    <t>9303 - PERDAS DECORRENTES DE APLICAÇÕES FINANCEIRAS</t>
  </si>
  <si>
    <t>1308 - OBRIGAÇÃO PATRONAL - PENSIONISTAS - PREVIDÊNCIA</t>
  </si>
  <si>
    <t>1604 - GRATIFICAÇÃO POR ENCARGOS EXTRAORDINÁRIOS</t>
  </si>
  <si>
    <t>3104 - PREMIAÇÕES</t>
  </si>
  <si>
    <t>3304 - PASSAGENS - PESSOA JURÍDICA</t>
  </si>
  <si>
    <t>3404 - OBRIGAÇÃO PATRONAL – ASSISTÊNCIA À SAÚDE</t>
  </si>
  <si>
    <t>3604 - DIÁRIAS A COLABORADORES EVENTUAIS</t>
  </si>
  <si>
    <t>3704 - LOCAÇÃO DE SERVIÇOS DE APOIO ADMINISTRATIVO REALIZADOS PELA MGS</t>
  </si>
  <si>
    <t>3904 - CONFECÇÃO EM GERAL</t>
  </si>
  <si>
    <t>4005 - REDE IP MULTISSERVIÇOS</t>
  </si>
  <si>
    <t>4104 - CONTRIBUIÇÕES DO FUNDO ESTADUAL DE SAUDE - FES - LC 141/2012</t>
  </si>
  <si>
    <t>4705 - IMPOSTO SOBRE A PROPRIEDADE DE VEÍCULOS AUTOMOTORES - IPVA</t>
  </si>
  <si>
    <t>5104 - INSTALAÇÕES PARA OBRAS EM ANDAMENTO</t>
  </si>
  <si>
    <t>5204 - MÁQUINAS, APARELHOS, UTENSÍLIOS E EQUIPAMENTOS DE USO INDUSTRIAL</t>
  </si>
  <si>
    <t>6104 - EDIFÍCIOS</t>
  </si>
  <si>
    <t>9304 - DESPESAS REFERENTES A RESSARCIMENTO PREVISTO NO PROGRAMA PRIMEIRO EMPREGO DO ESTADO DE MINA GERAIS</t>
  </si>
  <si>
    <t>1309 - OBRIGAÇÃO PATRONAL - PRECATÓRIOS - PREVIDÊNCIA</t>
  </si>
  <si>
    <t>1605 - FÉRIAS-PRÊMIO</t>
  </si>
  <si>
    <t>3305 - SERVIÇOS DE TRANSPORTES DE PASSAGEIROS, FRETAMENTO E LOCAÇÃO - PESSOA JURÍDICA</t>
  </si>
  <si>
    <t>3405 - SALÁRIO-FAMÍLIA</t>
  </si>
  <si>
    <t>3606 - FORNECIMENTO DE ALIMENTAÇÃO</t>
  </si>
  <si>
    <t>3705 - DESPESAS COM O PAGAMENTO DE ENCARGOS TRABALHISTAS À MGS</t>
  </si>
  <si>
    <t>3905 - TRANSPORTE E ACONDICIONAMENTO DE ANIMAIS</t>
  </si>
  <si>
    <t>4006 - AQUISIÇÃO DE SOFTWARE</t>
  </si>
  <si>
    <t>4105 - CONTRIBUIÇÕES À FUNDAÇÃO DE PREVIDÊNCIA COMPLEMENTAR DO ESTADO DE MINAS GERAIS -PREVCOM?MG</t>
  </si>
  <si>
    <t>4706 - CONTRIBUIÇÃO PARA A FORMAÇÃO DO PASEP/PIS</t>
  </si>
  <si>
    <t>5106 - ESTUDOS E PROJETOS DE BENS NÃO PATRIMONIÁVEIS</t>
  </si>
  <si>
    <t>5205 - EMBARCAÇÕES, PONTÕES, DIQUES, FLUTUANTES E COMPONENTES ESTRUTURAIS</t>
  </si>
  <si>
    <t>6105 - IMÓVEIS PARA FINS DE TRANSFERÊNCIA A TERCEIROS</t>
  </si>
  <si>
    <t>9305 - DESPESAS DECORRENTES DE CONTRATOS DE CONCESSÃO OU PERMISSÃO</t>
  </si>
  <si>
    <t>1310 - OBRIGAÇÃO PATRONAL - OUTRAS SENTENÇAS JUDICIAIS - PREVIDÊNCIA</t>
  </si>
  <si>
    <t>1606 - JORNADA COMPLEMENTAR DE TRABALHO</t>
  </si>
  <si>
    <t>3006 - MATERIAL DE DESENHO</t>
  </si>
  <si>
    <t>3607 - CONFECÇÃO EM GERAL</t>
  </si>
  <si>
    <t>3706 - LOCAÇÃO DE SERVIÇOS DE SAÚDE</t>
  </si>
  <si>
    <t>3906 - TRANSPORTE E ACONDICIONAMENTO DE MATERIAIS E EQUIPAMENTOS</t>
  </si>
  <si>
    <t>4106 - TRANSFERÊNCIAS PARA FINANCIAMENTO DO TRANSPORTE ESCOLAR</t>
  </si>
  <si>
    <t>4707 - TAXA DE LIMPEZA PÚBLICA E COLETA DE RESÍDUOS</t>
  </si>
  <si>
    <t>5206 - EQUIPAMENTOS DE COMUNICAÇÃO E TELEFONIA</t>
  </si>
  <si>
    <t>6106 - IMÓVEIS NECESSÁRIOS À REALIZAÇÃO DE OBRAS DE BENS PATRIMONIAVEIS</t>
  </si>
  <si>
    <t>9306 - RESTITUIÇÃO DE RECURSOS DE CONVÊNIO E DE CONTRAPARTIDA</t>
  </si>
  <si>
    <t>1314 - OBRIGAÇÃO PATRONAL - ENCARGOS POR PAGAMENTO EM ATRASO</t>
  </si>
  <si>
    <t>3007 - MATERIAL DE ENSINO</t>
  </si>
  <si>
    <t>3608 - MÉDICOS</t>
  </si>
  <si>
    <t xml:space="preserve">3707 - DESPESAS COM O PAGAMENTO DE OBRIGAÇÕES TRABALHISTAS </t>
  </si>
  <si>
    <t>3909 - PUBLICIDADE</t>
  </si>
  <si>
    <t>4107 - TRANSFERÊNCIAS ENTRE FUNDOS ESTADUAIS</t>
  </si>
  <si>
    <t>4708 - TAXA DE ILUMINAÇÃO PÚBLICA</t>
  </si>
  <si>
    <t>5109 - EXECUÇÃO DIRETA DE OBRAS DE BENS NÃO PATRIMONIÁVEIS</t>
  </si>
  <si>
    <t>5207 - EQUIPAMENTOS DE INFORMÁTICA</t>
  </si>
  <si>
    <t>6107 - IMÓVEIS NECESSÁRIOS À REALIZAÇÃO DE OBRAS DE BENS NÃO-PATRIMONIAVEIS</t>
  </si>
  <si>
    <t>9307 - RESSARCIMENTO REFERENTE  A PESSOAL REQUISITADO DA ADMINISTRAÇÃO ESTADUAL</t>
  </si>
  <si>
    <t>1315 - OBRIGAÇÃO PATRONAL - PRÊMIO DE PRODUTIVIDADE</t>
  </si>
  <si>
    <t>3008 - PRODUTOS ALIMENTÍCIOS</t>
  </si>
  <si>
    <t>3609 - DENTISTAS</t>
  </si>
  <si>
    <t>3910 - PRÊMIOS DE SEGUROS</t>
  </si>
  <si>
    <t xml:space="preserve">4108 - TRANSFERÊNCIAS ESPECIAIS A MUNICÍPIOS                 </t>
  </si>
  <si>
    <t>4709 - TAXAS AMBIENTAIS</t>
  </si>
  <si>
    <t>5110 - MATERIAL PARA OBRAS - BENS PATRIMONIÁVEIS</t>
  </si>
  <si>
    <t>5208 - EQUIPAMENTOS DE SOM, VÍDEO, FOTOGRÁFICO E CINEMATOGRÁFICO</t>
  </si>
  <si>
    <t>6108 - CASAS</t>
  </si>
  <si>
    <t>9308 - DESPESAS DE CARÁTER INDENIZATÓRIO RELATIVAS AO MANDADO PARLAMENTAR</t>
  </si>
  <si>
    <t>1317 - INSS – DEMAIS DESPESAS</t>
  </si>
  <si>
    <t>3009 - FORRAGENS E OUTROS ALIMENTOS PARA ANIMAIS</t>
  </si>
  <si>
    <t>3610 - EVENTUAL DE GABINETE</t>
  </si>
  <si>
    <t>3911 - ASSINATURAS DE JORNAIS, REVISTAS E PERIÓDICOS</t>
  </si>
  <si>
    <t>4710 - PASEP - ADESÃO AO PARCELAMENTO DECORRENTE DE LEI ESPECÍFICA</t>
  </si>
  <si>
    <t>5111 - CONTRUÇÃO DE UNIDADES HABITACIONAIS</t>
  </si>
  <si>
    <t>5209 - EQUIPAMENTOS HOSPITALARES, ODONTOLÓGICOS E DE LABORATÓRIO</t>
  </si>
  <si>
    <t>9309 - PREMIO DE PRODUTIVIDADE</t>
  </si>
  <si>
    <t>1318 - OBRIGAÇÃO PATRONAL PESSOAL INATIVO – ENTIDADES CONVENIADAS – ASSISTÊNCIA À SAÚDE</t>
  </si>
  <si>
    <t>3010 - MATERIAL MÉDICO E HOSPITALAR</t>
  </si>
  <si>
    <t>3611 - LOCAÇÃO DE BENS IMÓVEIS</t>
  </si>
  <si>
    <t>4799 - OUTROS - OBRIGAÇÕES TRIBUTÁRIAS E CONTRIBUTIVAS</t>
  </si>
  <si>
    <t>5112 - MATERIAL PARA OBRAS - BENS NÃO PATRIMONIÁVEIS</t>
  </si>
  <si>
    <t>5210 - FERRAMENTAS, EQUIPAMENTOS E INSTRUMENTOS PARA OFICINA, MEDIÇÃO E INSPEÇÃO</t>
  </si>
  <si>
    <t>9310 - RESTITUIÇÃO DE RECEITA - EXERCÍCIO ANTERIOR</t>
  </si>
  <si>
    <t>1319 - OBRIGAÇÃO PATRONAL PESSOAL MILITAR INATIVO LC 125/2012 – PREVIDÊNCIA</t>
  </si>
  <si>
    <t>3011 - MATERIAL ODONTOLÓGICO</t>
  </si>
  <si>
    <t>3612 - DESPESAS MIÚDAS DE PRONTO PAGAMENTO</t>
  </si>
  <si>
    <t>3913 - TARIFA DE ÁGUA E ESGOTO</t>
  </si>
  <si>
    <t>5113 - INSTALAÇÕES PARA INCORPORAÇÃO A BENS IMÓVEIS</t>
  </si>
  <si>
    <t>5211 - INSTRUMENTOS DE LABORATÓRIO, MÉDICOS E ODONTOLÓGICOS</t>
  </si>
  <si>
    <t>9311 - COMPENSAÇÃO FINANCEIRA DOS REGIMES DE PREVIDÊNCIA</t>
  </si>
  <si>
    <t>1320 - OBRIGAÇÃO PATRONAL PESSOAL MILITAR ATIVO LC 125/2012 - PREVIDÊNCIA</t>
  </si>
  <si>
    <t>3613 - PESSOAL DE ENFERMAGEM</t>
  </si>
  <si>
    <t>3914 - SERVIÇO DE TELEFONIA</t>
  </si>
  <si>
    <t>5114 - EXECUÇÃO DE OBRAS POR EMPRESAS CONTROLADAS</t>
  </si>
  <si>
    <t>5212 - MÁQUINAS, APARELHOS, UTENSÍLIOS E EQUIPAMENTOS DE USO ADMINISTRATIVO</t>
  </si>
  <si>
    <t>9312 - INDENIZAÇÃO POR UTILIZAÇÃO DE BENS DE TERCEIROS</t>
  </si>
  <si>
    <t>1321 - OBRIGAÇÃO PATRONAL - PESSOAL ATIVO - ASSISTÊNCIA À SAÚDE</t>
  </si>
  <si>
    <t>3013 - MATERIAIS DE LABORATÓRIO E PRODUTOS QUÍMICOS EM GERAL</t>
  </si>
  <si>
    <t>3614 - MONITORES, FISCAIS E EXAMINADORES</t>
  </si>
  <si>
    <t>3915 - SERVIÇO POSTAL-TELEGRÁFICO</t>
  </si>
  <si>
    <t>5213 - MATERIAL ESPORTIVO E RECREATIVO</t>
  </si>
  <si>
    <t>9313 - REEMBOLSO DE DESPESAS MÉDICO-HOSPITALARES</t>
  </si>
  <si>
    <t>1322 - OBRIGAÇÃO PATRONAL - PESSOAL INATIVO - ASSISTÊNCIA À SAÚDE</t>
  </si>
  <si>
    <t>3014 - MATERIAL RADIOLÓGICO</t>
  </si>
  <si>
    <t>3615 - ENCARGOS FINANCEIROS</t>
  </si>
  <si>
    <t>3916 - LOCAÇÃO DE TV POR ASSINATURA</t>
  </si>
  <si>
    <t>5214 - MOBILIÁRIO</t>
  </si>
  <si>
    <t>9314 - INDENIZAÇÕES DETERMINADAS POR DECISÕES JUDICIAIS</t>
  </si>
  <si>
    <t>1324 - OBRIGAÇÃO PATRONAL - PENSIONISTAS - ASSISTÊNCIA À SAÚDE</t>
  </si>
  <si>
    <t>3015 - MATERIAL FOTOGRÁFICO, CINEMATOGRÁFICO E DE COMUNICAÇÃO</t>
  </si>
  <si>
    <t>3616 - REPARO E MANUTENÇÃO DE VEÍCULOS</t>
  </si>
  <si>
    <t>3917 - LOCAÇÃO DE VEÍCULOS</t>
  </si>
  <si>
    <t>5215 - OBJETOS DE ARTE E ANTIGÜIDADES</t>
  </si>
  <si>
    <t>9315 - INDENIZAÇÃO DECORRENTE DE RESCISÃO UNILATERAL</t>
  </si>
  <si>
    <t>1325 - OBRIGAÇÃO PATRONAL - ADESÃO AO PARCELAMENTO DECORRENTE DE LEI ESPECÍFICA - PREVIDÊNCIA</t>
  </si>
  <si>
    <t>3016 - MATERIAL DE INFORMÁTICA</t>
  </si>
  <si>
    <t>3617 - REPAROS DE EQUIPAMENTOS, INSTALAÇÕES E MATERIAL PERMANENTE</t>
  </si>
  <si>
    <t>3918 - REPAROS DE VEÍCULOS</t>
  </si>
  <si>
    <t>5216 - TRATORES, SIMILARES E IMPLEMENTOS</t>
  </si>
  <si>
    <t>9316 - INDENIZAÇÕES DETERMINADAS POR LEI ESPECÍFICA</t>
  </si>
  <si>
    <t>1326 - OBRIGAÇÃO PATRONAL SUPLEMENTAR – PESSOAL ATIVO</t>
  </si>
  <si>
    <t>3017 - ARTIGOS PARA LIMPEZA E HIGIENE</t>
  </si>
  <si>
    <t>3618 - REPAROS DE BENS IMÓVEIS</t>
  </si>
  <si>
    <t>3919 - LOCAÇÃO DE MÁQUINAS E EQUIPAMENTOS</t>
  </si>
  <si>
    <t>5217 - VEÍCULOS</t>
  </si>
  <si>
    <t>9317 - INDENIZAÇÃO DECORRENTE DO EXERCÍCIO DO CARGO DE CONSELHEIRO-PRESIDENTE E PROCURADOR-GERAL JUNTO AO TRIBUNAL DE CONTAS</t>
  </si>
  <si>
    <t>3018 - MATÉRIAS-PRIMAS E PRODUTOS PARA MANIPULAÇÃO E INDÚSTRIAS DE TRANSFORMAÇÃO</t>
  </si>
  <si>
    <t>3619 - CONFERÊNCIAS E EXPOSIÇÕES</t>
  </si>
  <si>
    <t>3920 - LOCAÇÃO DE BENS IMÓVEIS</t>
  </si>
  <si>
    <t>5218 - COLEÇÕES E MATERIAIS BIBLIOGRÁFICOS</t>
  </si>
  <si>
    <t>9318 - DESPESAS COM AUXILIO MORADIA DE CARÁTER INDENIZATÓRIO RELATIVAS AO MANDADO PARLAMENTAR</t>
  </si>
  <si>
    <t>3019 - MATERIAL PARA MANUTENÇÃO E REPAROS DE IMÓVEIS DE PROPRIEDADE DA ADMINISTRAÇÃO PÚBLICA</t>
  </si>
  <si>
    <t>3620 - JETONS A CONSELHEIROS</t>
  </si>
  <si>
    <t>3921 - INSTALAÇÃO, REPARAÇÃO, ADAPTAÇÃO E CONSERVAÇÃO DE EQUIPAMENTO E MATERIAL PERMANENTE</t>
  </si>
  <si>
    <t>5219 - INSTRUMENTOS MUSICAIS E ARTÍSTICOS</t>
  </si>
  <si>
    <t>9319 - INDENIZAÇÕES DECORRENTES DA UTILIZAÇÃO DE LEITOS DE INSTITUIÇÕES DE SAÚDE PRIVADAS</t>
  </si>
  <si>
    <t>3020 - MATERIAL ELÉTRICO E ELETRÔNICO</t>
  </si>
  <si>
    <t>3621 - ADVOGADOS DATIVOS</t>
  </si>
  <si>
    <t>3922 - REPAROS DE BENS IMÓVEIS</t>
  </si>
  <si>
    <t>5220 - EQUIPAMENTOS DE SEGURANÇA ELETRÔNICA</t>
  </si>
  <si>
    <t>9323 - INDENIZAÇÃO DECORRENTE DE AUXÍLIO-SAÚDE</t>
  </si>
  <si>
    <t>3021 - MATERIAL PARA MANUTENÇÃO E REPAROS DE BENS DE DOMÍNIO PÚBLICO OU DE TERCEIROS</t>
  </si>
  <si>
    <t>3622 - TAXA DE CONDOMÍNIO</t>
  </si>
  <si>
    <t>3923 - RECEPÇÕES, HOSPEDAGENS, HOMENAGENS E FESTIVIDADES</t>
  </si>
  <si>
    <t>5221 - MATERIAL DIDÁTICO</t>
  </si>
  <si>
    <t>9324 - AUXÍLIO-MORADIA DE CARÁTER INDENIZATÓRIO DEVIDO A MAGISTRADO</t>
  </si>
  <si>
    <t>3022 - FERRAMENTAS, FERRAGENS E UTENSÍLIOS</t>
  </si>
  <si>
    <t>3623 - GRATIFICAÇÃO POR ENCARGO DE CURSO OU CONCURSO</t>
  </si>
  <si>
    <t>3924 - CURSOS, EXPOSIÇÕES, CONGRESSOS E CONFERÊNCIAS</t>
  </si>
  <si>
    <t>5222 - ESTRUTURAS E COMPONENTES</t>
  </si>
  <si>
    <t>9325 - AUXÍLIO-MORADIA DE CARÁTER INDENIZATÓRIO DEVIDO PELO TCE</t>
  </si>
  <si>
    <t>3023 - MATERIAL PARA MANUTENÇÃO DE VEÍCULOS AUTOMOTORES</t>
  </si>
  <si>
    <t>3624 - SERVIÇOS TÉCNICOS JUDICIAIS ? HONORÁRIOS PERICIAIS ? JUSTIÇA GRATUITA</t>
  </si>
  <si>
    <t>3925 - ENCARGOS JUDICIAIS</t>
  </si>
  <si>
    <t>5223 - MÁQUINAS E EQUIPAMENTOS GRÁFICOS</t>
  </si>
  <si>
    <t>9326 - RESTITUICAO REFERENTE A TAXA DE INSCRIÇÃO, MATERIAL E SIMILARES</t>
  </si>
  <si>
    <t>3024 - PEÇAS E ACESSÓRIOS PARA EQUIPAMENTOS E OUTROS MATERIAIS PERMANENTES</t>
  </si>
  <si>
    <t>3625 - CONTRATAÇÃO PARA PRESTAÇÃO DE SERVIÇO POR CREDENCIADOS</t>
  </si>
  <si>
    <t>3926 - ENCARGOS FINANCEIROS</t>
  </si>
  <si>
    <t>5224 - MÁQUINAS, INSTALAÇÕES E UTENSÍLIOS DE ESCRITÓRIO</t>
  </si>
  <si>
    <t>9327 - INDENIZAÇÃO DE TRANSPORTE DEVIDA AO OFICIAL DE JUSTIÇA E OFICIAL DE CARTÓRIO</t>
  </si>
  <si>
    <t>3025 - MATERIAL DE SEGURANÇA, APETRECHOS OPERACIONAIS E POLICIAIS</t>
  </si>
  <si>
    <t>3626 - SERVIÇOS DE ABASTECIMENTO E DISTRIBUIÇÃO DE ÁGUA</t>
  </si>
  <si>
    <t>3928 - SERVIÇOS DE SAÚDE EXECUTADOS COM RECURSOS DO SUS</t>
  </si>
  <si>
    <t>5225 - APARELHOS E UTENSÍLIOS DOMÉSTICOS</t>
  </si>
  <si>
    <t>9328 - PENSÃO ACIDENTÁRIA</t>
  </si>
  <si>
    <t>3026 - COMBUSTÍVEIS E LUBRIFICANTES PARA VEÍCULOS AUTOMOTORES</t>
  </si>
  <si>
    <t>3627 - JUÍZES LEIGOS</t>
  </si>
  <si>
    <t>3929 - SERVIÇOS MÉDICOS, ODONTOLÓGICOS E LABORATORIAIS</t>
  </si>
  <si>
    <t>5226 - EQUIPAMENTOS DE PROTEÇÃO, SEGURANÇA E SOCORRO</t>
  </si>
  <si>
    <t>9329 - DESPESA REFERENTE A RESSARCIMENTO SOBRE A REMUNERAÇÃO DOS PRESOS EM TRABALHO</t>
  </si>
  <si>
    <t>3027 - COMBUSTÍVEIS E LUBRIFICANTES PARA EQUIPAMENTOS E OUTROS MATERIAIS PERMANENTES</t>
  </si>
  <si>
    <t>3628 - SERVICOS TECNICOS JUDICIAIS - HONORARIOS PERICIAIS</t>
  </si>
  <si>
    <t>3930 - MULTAS DE TRÂNSITO</t>
  </si>
  <si>
    <t>5299 - OUTROS MATERIAIS PERMANENTES</t>
  </si>
  <si>
    <t>9399 - OUTRAS INDENIZAÇÕES E RESTITUIÇÕES</t>
  </si>
  <si>
    <t>3028 - ANIMAIS DESTINADOS A ESTUDOS, À PREPARAÇÃO DE PRODUTOS E AO ABATE</t>
  </si>
  <si>
    <t>3629 - DIREITOS AUTORAIS</t>
  </si>
  <si>
    <t>3931 - LOCAÇÃO DE SERVIÇOS GRÁFICOS</t>
  </si>
  <si>
    <t>3029 - - SEMENTES, MUDAS DE PLANTAS E INSUMOS</t>
  </si>
  <si>
    <t>3630 - SERVIÇOS MÉDICOS PRESTADOS POR CONTRATO</t>
  </si>
  <si>
    <t>3933 - TAXA DE ADMINISTRAÇÃO</t>
  </si>
  <si>
    <t>3030 - MATERIAIS PARA ACONDICIONAMENTO E EMBALAGEM</t>
  </si>
  <si>
    <t>3631 - SERVIÇOS DE TREINAMENTO, CAPACITAÇÃO E APERFEIÇOAMENTO DE PESSOAL</t>
  </si>
  <si>
    <t>3934 - SEGURO DE AERONAVES</t>
  </si>
  <si>
    <t>3031 - LIVROS TÉCNICOS</t>
  </si>
  <si>
    <t>3699 - OUTRAS DESPESAS PAGAS A PESSOAS FÍSICAS</t>
  </si>
  <si>
    <t>3935 - REPARO E MANUTENÇÃO DE AERONAVES</t>
  </si>
  <si>
    <t>3032 - MATERIAL CÍVICO E EDUCATIVO</t>
  </si>
  <si>
    <t>3937 - TAXA DE CONDOMÍNIO</t>
  </si>
  <si>
    <t>3033 - COMBUSTÍVEIS E LUBRIFICANTES PARA AERONAVES</t>
  </si>
  <si>
    <t>3938 - SERVIÇOS DE IMPRESSÃO E ENCADERNAÇÃO</t>
  </si>
  <si>
    <t>3034 - PEÇAS E ACESSÓRIOS PARA AERONAVES</t>
  </si>
  <si>
    <t>3939 - SERVIÇOS DE PUBLICAÇÃO E DIVULGAÇÃO</t>
  </si>
  <si>
    <t>3036 - MATERIAL BIBLIOGRÁFICO PARA BIBLIOTECAS PÚBLICAS</t>
  </si>
  <si>
    <t>3941 - ANUIDADES, CERTIFICADOS E REGISTROS</t>
  </si>
  <si>
    <t>3037 - MEDICAMENTOS ? DECISÃO JUDICIAL</t>
  </si>
  <si>
    <t>3942 - SERVIÇOS GRÁFICOS DE SEGURANÇA</t>
  </si>
  <si>
    <t>3038 - LEITE ? PROGRAMA LEITE PELA VIDA</t>
  </si>
  <si>
    <t>3943 - SERVIÇOS DE ADMINISTRAÇÃO E GERENCIAMENTO DE FROTA DE VEÍCULOS</t>
  </si>
  <si>
    <t>3039 - MATERIAL DE CONFECÇÃO EM GERAL</t>
  </si>
  <si>
    <t>3944 - SERVIÇO DE SEGURANÇA FAZENDÁRIA</t>
  </si>
  <si>
    <t>3040 - MATERIAL DE CAMA, MESA E BANHO</t>
  </si>
  <si>
    <t>3946 - TERMO DE PARCERIA COM ORGANIZAÇÃO DA SOCIEDADE CIVIL DE INTERESSE PÚBLICO - OSCIP</t>
  </si>
  <si>
    <t>3041 - MATERIAL DE PROTEÇÃO E SEGURANÇA</t>
  </si>
  <si>
    <t>3947 - TAXA DE ADMINISTRAÇÃO DE CRÉDITO DE FINANCIAMENTOS HABITACIONAIS</t>
  </si>
  <si>
    <t>3099 - OUTROS MATERIAIS</t>
  </si>
  <si>
    <t>3948 - CURSOS DE FORMAÇÃO, CAPACITAÇÃO E PÓS-GRADUAÇÃO PARA SERVIDORES</t>
  </si>
  <si>
    <t>3949 - CURSOS DE FORMAÇÃO E CAPACITAÇÃO PARA O CIDADÃO</t>
  </si>
  <si>
    <t>3950 - SERVIÇOS DE AGENCIAMENTO DE VIAGENS</t>
  </si>
  <si>
    <t>3951 - SERVIÇO DE GERENCIAMENTO, SUPERVISÃO E FISCALIZAÇÃO DE OBRAS</t>
  </si>
  <si>
    <t>3953 - CURSOS DE FORMAÇÃO E CAPACITAÇÃO PROMOVIDOS PELO ESTADO</t>
  </si>
  <si>
    <t>3954 - CONTRATO DE PARCERIA PÚBLICO-PRIVADA</t>
  </si>
  <si>
    <t>3955 - EVENTOS DE COMUNICAÇÃO INSTITUCIONAL</t>
  </si>
  <si>
    <t>3956 - SERVIÇOS DE PESQUISAS</t>
  </si>
  <si>
    <t>3957 - COMISSÃO PELA CONSTRUÇÃO DE UNIDADES HABITACIONAIS</t>
  </si>
  <si>
    <t>3958 - CONTRATAÇÃO DE PROJETOS EM PESQUISA DE CIÊNCIA, INOVAÇÃO E TECNOLOGIA</t>
  </si>
  <si>
    <t>3959 - SERVIÇOS SANITÁRIOS E TRATAMENTO DE RESÍDUOS</t>
  </si>
  <si>
    <t>3960 - SERVIÇOS DE ATENDIMENTO AO CIDADÃO</t>
  </si>
  <si>
    <t>3961 - SERVIÇOS DE CONSERVAÇÃO E LIMPEZA</t>
  </si>
  <si>
    <t>3962 - SERVIÇOS DE VIGILÂNCIA OSTENSIVA</t>
  </si>
  <si>
    <t>3963 - SERVIÇOS DE LEVANTAMENTO E CADASTRAMENTO PARA EXECUÇÃO DE POLÍTICAS PÚBLICAS</t>
  </si>
  <si>
    <t>3964 - SERVIÇOS DE MAPEAMENTO E GEORREFERENCIAMENTO</t>
  </si>
  <si>
    <t>3965 - SERVIÇOS DE PRODUÇÃO E LOGÍSTICA DE MEDICAMENTOS</t>
  </si>
  <si>
    <t>3966 - SERVIÇOS DE ABASTECIMENTO E DISTRIBUIÇÃO DE ÁGUA</t>
  </si>
  <si>
    <t>3967 - ADMINISTRAÇÃO DE BENS E DIREITOS DO ESTADO POR TERCEIROS</t>
  </si>
  <si>
    <t>3968 - SERVIÇOS DE IMPRENSA</t>
  </si>
  <si>
    <t>3969 - CONTRATOS DE ENERGIA ELÉTRICA</t>
  </si>
  <si>
    <t>3971 - SERVIÇOS TECNICOS DE IMPLANTAÇÃO, GESTÃO E ADMINISTRAÇÃO DE SISTEMAS DE VIGILÂNCIA DE OBSERVAÇÃO</t>
  </si>
  <si>
    <t>3972 - CONTRATOS DE ABASTECIMENTO DE ÁGUA E COLETA E TRATAMENTO DE ESGOTO</t>
  </si>
  <si>
    <t>3973 - SERVIÇO DE ENGENHARIA PARA  OPERAÇÃO DE BENS DE DOMÍNIO PÚBLICO</t>
  </si>
  <si>
    <t>3974 - SERVIÇO DE REALIZAÇÃO DE CONCURSO PÚBLICO E PROCESSO SELETIVO SIMPLIFICADO</t>
  </si>
  <si>
    <t>3975 - SERVIÇO DE GERENCIAMENTO, SUPERVISÃO E FISCALIZAÇÃO DE SERVIÇOS CONTRATADOS</t>
  </si>
  <si>
    <t>3976 - SERVIÇO DE REMOÇÃO E TRANSPORTE DE CADÁVERES</t>
  </si>
  <si>
    <t>3977 - PATROCÍNIO</t>
  </si>
  <si>
    <t>3978 - SERVIÇOS DE APOIO ADMINISTRATIVO</t>
  </si>
  <si>
    <t>3981 - SERVIÇOS DE ELABORAÇÃO DE ESTUDOS PRÉVIOS</t>
  </si>
  <si>
    <t>3982 - SERVIÇOS TÉCNICOS JUDICIAIS ? HONORÁRIOS JUDICIAIS</t>
  </si>
  <si>
    <t>3983 - SERVIÇOS DE REALIZAÇÃO DE PROCESSO DE CERTIFICAÇÃO OCUPACIONAL</t>
  </si>
  <si>
    <t>3984 - REMUNERAÇÃO PAGA PELO PODER EXECUTIVO AO TRIBUNAL DE JUSTIÇA DO ESTADO DE MINAS GERAIS REFERENTE AOS DEPÓSITOS JUDICIAIS LEI 21.720/2015</t>
  </si>
  <si>
    <t>3985 - SERVIÇOS DE DESLOCAMENTO OU REMOÇÃO DE POSTES E REDE ELÉTRICA</t>
  </si>
  <si>
    <t>3986 - DIREITOS AUTORAIS</t>
  </si>
  <si>
    <t>3987 - SERVIÇOS DE GERENCIAMENTO E FORNECIMENTO DE COMBUSTÍVEL</t>
  </si>
  <si>
    <t>3988 - MULTA POR ATO INFRACIONAL</t>
  </si>
  <si>
    <t>3989 - LOCAÇÃO OU FRETAMENTO DE AERONAVE</t>
  </si>
  <si>
    <t>3990 - CURSOS DE FORMAÇÃO, CAPACITAÇÃO E TREINAMENTO DE TRIPULANTES DE AERONAVES</t>
  </si>
  <si>
    <t>3991 - CONTRATAÇÃO PARA PRESTAÇÃO DE SERVIÇO POR CREDENCIADOS</t>
  </si>
  <si>
    <t>3992 - CONTRATO DE GESTÃO COM ORGANIZAÇÃO SOCIAL – OS</t>
  </si>
  <si>
    <t>3993 - APOIO A PROJETOS DE INCENTIVO À INOVAÇÃO E À PESQUISA CIENTÍFICA E TECNOLÓGICA, À CAPACITAÇÃO TECNOLÓGICA E AO ALCANCE DA AUTONOMIA TECNOLÓGICA</t>
  </si>
  <si>
    <t>3994 - CAPACITAÇÃO RELACIONADA AS ATIVIDADES DE AVIAÇÃO</t>
  </si>
  <si>
    <t>3995 - SERVIÇOS NOTARI AIS E DE REGISTRO</t>
  </si>
  <si>
    <t xml:space="preserve">3996 - TRANSFERÊNCIA ONEROSA DA POSSE DE BENS IMÓVEIS DE PROPRIEDADE DO ESTADO DE MINAS GERAIS                                                 </t>
  </si>
  <si>
    <t>3997 - HONORÁRIOS ADVOCATÍCIOS – ACORDOS EXTRAJUDICIAIS</t>
  </si>
  <si>
    <t>3998 - SERVIÇOS DE SAÚDE PRESTADOS POR CONTRATO</t>
  </si>
  <si>
    <t>3999 - OUTROS SERVIÇOS-PESSOA JURÍDICA</t>
  </si>
  <si>
    <t>DECRETO 47045, DE 14/09/2016
DISPÕE SOBRE VIAGEM A SERVIÇO E CONCESSÃO DE DIÁRIA NO ÂMBITO DA ADMINISTRAÇÃO PÚBLICA DIRETA, AUTÁRQUICA E FUNDACIONAL DO PODER EXECUTIVO E DÁ OUTRAS PROVIDÊNCIAS.</t>
  </si>
  <si>
    <t>Tabela de Valores – Viagens Nacionais</t>
  </si>
  <si>
    <t>Tabela de Valores – Viagens ao Exterior</t>
  </si>
  <si>
    <t>DESTINO</t>
  </si>
  <si>
    <t>FAIXA I (R$)</t>
  </si>
  <si>
    <t>FAIXA II (R$)</t>
  </si>
  <si>
    <t>SERVIDORES</t>
  </si>
  <si>
    <t>LOCALIDADE/VALOR (U$)</t>
  </si>
  <si>
    <t>Capitais, inclusive Belo Horizonte</t>
  </si>
  <si>
    <t>América do Sul e América Central</t>
  </si>
  <si>
    <t>Demais Localidades no exterior</t>
  </si>
  <si>
    <t>Municípios especiais e municípios de outros Estados que não sejam capitais</t>
  </si>
  <si>
    <t>Governador do Estado; Vice-Governador do Estado</t>
  </si>
  <si>
    <t>Demais municípios</t>
  </si>
  <si>
    <t>Secretário-Geral, Secretário de Estado, Secretário Adjunto de Estado</t>
  </si>
  <si>
    <r>
      <rPr>
        <b/>
        <sz val="11"/>
        <color theme="1"/>
        <rFont val="Calibri"/>
        <family val="2"/>
        <scheme val="minor"/>
      </rPr>
      <t>Faixa I:</t>
    </r>
    <r>
      <rPr>
        <sz val="11"/>
        <color theme="1"/>
        <rFont val="Calibri"/>
        <family val="2"/>
        <scheme val="minor"/>
      </rPr>
      <t xml:space="preserve"> Servidor que exerça cargo efetivo que exija até o nível médio ou superior de escolaridade, servidor investido em cargo de provimento em comissão, servidor que exerça função pública que exija até o nível médio ou superior de escolaridade, e os membros de conselhos estaduais.
</t>
    </r>
    <r>
      <rPr>
        <b/>
        <sz val="11"/>
        <color theme="1"/>
        <rFont val="Calibri"/>
        <family val="2"/>
        <scheme val="minor"/>
      </rPr>
      <t/>
    </r>
  </si>
  <si>
    <t>Demais autoridades – Subsecretário, dirigente máximo de órgão autônomo, fundação e autarquia e seus respectivos Vices e servidor investido em cargo de provimento em comissão do Grupo de Direção e Assessoramento que esteja no nível DAD-8 a DAD-12 ou DAI-26 a DAI-40 e exerça atividades inerentes à chefia de Gabinete do Vice-Governador ou de Secretaria de Estado ou de entidades ou às assessorias especiais do Governador.</t>
  </si>
  <si>
    <r>
      <rPr>
        <b/>
        <sz val="11"/>
        <color theme="1"/>
        <rFont val="Calibri"/>
        <family val="2"/>
        <scheme val="minor"/>
      </rPr>
      <t>Faixa II:</t>
    </r>
    <r>
      <rPr>
        <sz val="11"/>
        <color theme="1"/>
        <rFont val="Calibri"/>
        <family val="2"/>
        <scheme val="minor"/>
      </rPr>
      <t xml:space="preserve"> Secretário-Geral, Secretário de Estado, Secretário Adjunto, Subsecretário, dirigente máximo de órgão autônomo, fundação e autarquia e seus respectivos vices, Comandante de Aeronave, Comandante de Avião, Comandante de Avião a jato, Piloto de Helicóptero, Primeiro Oficial de Aeronave e servidor investido em cargo de provimento em comissão do Grupo de Direção e Assessoramento que esteja no nível DAD-8 a DAD-12 ou DAI-25 a DAI-40 e exerça atividades inerentes à chefia de gabinete do Vice-Governador, de Secretaria de Estado ou de entidades ou às assessorias especiais do Governador.</t>
    </r>
  </si>
  <si>
    <r>
      <rPr>
        <b/>
        <sz val="11"/>
        <color theme="1"/>
        <rFont val="Calibri"/>
        <family val="2"/>
        <scheme val="minor"/>
      </rPr>
      <t>Relação dos Municípios Especiais:</t>
    </r>
    <r>
      <rPr>
        <sz val="11"/>
        <color theme="1"/>
        <rFont val="Calibri"/>
        <family val="2"/>
        <scheme val="minor"/>
      </rPr>
      <t xml:space="preserve"> Araxá, Caxambú, Contagem, Ipatinga, Juiz de Fora, Ouro Preto, Patos de Minas, Tiradentes, Uberlândia.</t>
    </r>
  </si>
  <si>
    <t>Demais servidores</t>
  </si>
  <si>
    <t>Link para o Decreto:</t>
  </si>
  <si>
    <t>https://www.almg.gov.br/consulte/legislacao/completa/completa.html?num=47045&amp;ano=2016&amp;tipo=DEC</t>
  </si>
  <si>
    <t>SEE</t>
  </si>
  <si>
    <t>Subsecretaria de Gestão de Recursos Humanos</t>
  </si>
  <si>
    <t>169 - GESTÃO DO SISTEMA ESTADUAL DE EDUCAÇÃO</t>
  </si>
  <si>
    <t>2128 - GESTÃO DO ÓRGÃO CENTRAL</t>
  </si>
  <si>
    <t>3924 - CURSOS, EXPOSICOES, CONGRESSOS E CONFERENCIAS</t>
  </si>
  <si>
    <t>Verba necessária para funcionamento mínimo da Subsecretaria, Superintendência e Diretorias.</t>
  </si>
  <si>
    <t>Valor estimado para 10 inscrições</t>
  </si>
  <si>
    <t>Aquisição de inscrições para participação em congressos e seminários.</t>
  </si>
  <si>
    <t>Deixar de atender demandas da Secretaria</t>
  </si>
  <si>
    <t>Possibilitar a participação em congressos e seminários de interesse da Secretaria.</t>
  </si>
  <si>
    <t>2128 - Gestão do Órgão Central</t>
  </si>
  <si>
    <t>1401 - DIARIAS - CIVIL</t>
  </si>
  <si>
    <t>Diárias para atender demandas da SG.</t>
  </si>
  <si>
    <t>Conforme demanda.</t>
  </si>
  <si>
    <t>Decreto de diárias</t>
  </si>
  <si>
    <t>Viagens à serviço</t>
  </si>
  <si>
    <t>Permitir o atendimento às demandas da Secretaria, e garantir estrutura mínima de atuação.</t>
  </si>
  <si>
    <t>3301 - PASSAGENS - PESSOA FISICA</t>
  </si>
  <si>
    <t>Despesas com passagens rodoviárias</t>
  </si>
  <si>
    <t>Passagens ida e volta</t>
  </si>
  <si>
    <t>Atendimento de demandas de projetos da SEE</t>
  </si>
  <si>
    <t>Permitir o atendimento às demandas da Secretaria</t>
  </si>
  <si>
    <t>Encontro gerencial DIPEs</t>
  </si>
  <si>
    <t>Valor previsto para 2 pessoas, 2 vezes ano</t>
  </si>
  <si>
    <t>Promover o alinhamento das ações e diretrizes da SEE/SG, para o exercício de 20256</t>
  </si>
  <si>
    <t>3302 - DESPESAS COM TRANSPORTE URBANO, PEDAGIO E ESTACIONAMETO PESSOA FISICA</t>
  </si>
  <si>
    <t>Valor estimado</t>
  </si>
  <si>
    <t>Valor médio de despesas com táxi, estacionamento e pedágio</t>
  </si>
  <si>
    <t>Diárias para participar de capacitação/treinamento, na SEE</t>
  </si>
  <si>
    <t>Vr previsto para 3 pessoas, 3 vezes no ano</t>
  </si>
  <si>
    <t>Despesas com transportes/deslocamentos, na SEE</t>
  </si>
  <si>
    <t>Verba para transporte</t>
  </si>
  <si>
    <t>Diárias para participar de capacitação/treinamento</t>
  </si>
  <si>
    <t>Vr previsto para 3 pessoas, 5 vezes no ano</t>
  </si>
  <si>
    <t>Despesas com transportes/deslocamentos, nas SREs</t>
  </si>
  <si>
    <t>Força-tarefa para redução do passivo de processos de pagamentos, nas SREs</t>
  </si>
  <si>
    <t>Diárias (servidores da SRE vindo a BH)</t>
  </si>
  <si>
    <t>Diárias para participar de capacitação/treinamento, dos gestores setoriais da Avaliação de desempenho</t>
  </si>
  <si>
    <t>Vr previsto para 1 pessoas da SRE.</t>
  </si>
  <si>
    <t>Verba para diárias dos cursitas do mestrado e doutorado, conforme cronograma dos encontratos presenciais de cada instituição.</t>
  </si>
  <si>
    <t>Despesas com transportes/deslocamentos, dos gestores setorias da AD.</t>
  </si>
  <si>
    <t>Verba para transporte (passagem e táxi) dos cursitas, conforme cronograma dos encontratos presenciais de cada instituição.</t>
  </si>
  <si>
    <t>Verba para visitas técnicas as SREs, monitoramentos ações implementadas</t>
  </si>
  <si>
    <t>Verba previsão visitas</t>
  </si>
  <si>
    <t>162 - PROGRAMA DE DESENVOLVIMENTO E GESTÃO DE PESSOAS DA REDE ESTADUAL DE ENSINO</t>
  </si>
  <si>
    <t>2038 - Suporte Funcional para Área Educacional</t>
  </si>
  <si>
    <t>TDCO Seplag - manter SISAP</t>
  </si>
  <si>
    <t>Sistema: SISAP</t>
  </si>
  <si>
    <t>Valor da parcela do contrato de contrato Seplag/Prodemge</t>
  </si>
  <si>
    <t>Hospedagem do Sistema Integrado de Administração de de Pessoal - SISAP.</t>
  </si>
  <si>
    <t>Interromper a hospedagem do Sistema Integrado de Administração de de Pessoal - SISAP.</t>
  </si>
  <si>
    <t>O sistema compreende todos os servidores estaduais lotados em seus 853 (oitocentos e cinquenta e três) municípios. Do total de servidores, a SEE representa 78% dos contemplados no sistema. A SEE custeará o valor correspondente aos mesmos 78% do valor total dos serviços de hospedagem do SISAP.</t>
  </si>
  <si>
    <t>TDCO Seplag - Ponto digital</t>
  </si>
  <si>
    <t>Sistema: Prontuário Eletrônico</t>
  </si>
  <si>
    <t>Valor estimado para execução do TDCO.</t>
  </si>
  <si>
    <t>Ponto digital implantado nas escolas estaduais.</t>
  </si>
  <si>
    <t>Não dar continuidade no desenvolvimento e manutenção do Prontuário Eletrônico para a SCPMSO.</t>
  </si>
  <si>
    <t>Dar celeridade quanto ao acesso às informações, para fins de perícia documental ou presencial, bem como nos procedimentos da saúde ocupacional, bem como a reestruturação, modernização e digitalização dos processos que envolvem a perícia médica e a saúde ocupacional, por meio do desenvolvimento de um sistema de Prontuário Eletrônico.</t>
  </si>
  <si>
    <t>TDCO Seplag - serviço de mensageria</t>
  </si>
  <si>
    <t>Sistema: Mensageria</t>
  </si>
  <si>
    <t>Este sistema subsidia o correto e tempestivo pagamento das remunerações aos servidores estaduais ativos e inativos, apesar de ser gerenciado pela Secretaria de Estado de Planejamento e Gestão, quem controla e consolida os pagamentos do Poder Executivo do Estado de Minas Gerais.</t>
  </si>
  <si>
    <t>Deixar de cumprir esse papel enviando os dados dos servidores constantes no Sistema de Administração de Pessoal - SISAP é a mensageria.</t>
  </si>
  <si>
    <t>O eSocial é um projeto do governo federal que vai coletar as informações descritas em seu leiaute, armazenando-as no Ambiente Nacional do eSocial, possibilitando projeto, sua efetiva utilização para fins previdenciários, fiscais e de apuração de tributos e do FGTS. Ele irá substituir diversas obrigações, como: GFIP, DIRF, RAImais sete outras declarações.</t>
  </si>
  <si>
    <t>TDCO Seplag - digitalização pastas digitais</t>
  </si>
  <si>
    <t>Digitalização das "pastas funcionais" dos servidores</t>
  </si>
  <si>
    <t>Promover a digitalização das "pastas funcionais" dos servidores. em afastamento preliminar e ativos em determinação da SEGOV e SEPLAG.</t>
  </si>
  <si>
    <t>Descumprir demanda derminada pela SEGOV e SEPLAG.</t>
  </si>
  <si>
    <t>Ter em arquivos digitais as pastas funcionais de todos os servidores efetivos da SEE agilizando a concessão de benefícios e as aposentadorias.</t>
  </si>
  <si>
    <t>4007 - AQUISICAO DE SOFTWARE DESENVOLVIDO PELA PRODEMGE</t>
  </si>
  <si>
    <t>Prontuário eletrônico</t>
  </si>
  <si>
    <t>Sistema: Prontuário Eletrênico</t>
  </si>
  <si>
    <t>Sistema - Prontuário Eletrônico (SIPEMSO)</t>
  </si>
  <si>
    <t>2040 - Recrutamento e Seleção de Pessoal</t>
  </si>
  <si>
    <t>3974 - SERVICO DE REALIZACAO DE CONCURSO PUBLICO E PROCESSO SIMPLIFICADO</t>
  </si>
  <si>
    <t>Realização de concurso público</t>
  </si>
  <si>
    <t>Serviço contratado.</t>
  </si>
  <si>
    <t>Valor estimado para execução do TDCO/Seplag, para pagamento em 4 parcelas</t>
  </si>
  <si>
    <t>Atender legislação e cumprimento de decisão judicial (ADPF 915) para provimento de cargos vagos.</t>
  </si>
  <si>
    <t>Manutenção do alto percentual de servidores contratados/convocados em desacordo com a determinação do STF para o estado de Minas Gerais. Além da manutenção do desfalque do quadro de pessoal da SEE/MG para todas as carreiras.</t>
  </si>
  <si>
    <t>Recompor quadro de pessoal das escolas, Superintendências Reginais de Ensino e unidade central da SEE, uma vez que o concurso vigente (Edital Seplag/SEE 03/2023) não obteve aprovação de candidatos suficientes para o provimento de todas as vagas.</t>
  </si>
  <si>
    <t>2095 - Desenvolvimento e Capacitação de Pessoal</t>
  </si>
  <si>
    <t>3983 - SERVICOS DE REALIZACAO DE PROCESSO DE CERTIFICACAO OCUPACIONAL</t>
  </si>
  <si>
    <t>Certificação ocupacional para cargo de diretor de SRE.</t>
  </si>
  <si>
    <t>Contratar de instituição para realização do processo de certificação</t>
  </si>
  <si>
    <t>Parcelas contratuais, valor estimado com base nos últimos processo</t>
  </si>
  <si>
    <t>Promover o credenciamento de servidores para participação de indicação ao cargo de diretor das Superintendências Regionais de Ensino.</t>
  </si>
  <si>
    <t>Ausência de candidatos aptos ao exercício do cargo de diretor de SRE</t>
  </si>
  <si>
    <t>Atender às determinações legislativas</t>
  </si>
  <si>
    <t>Prêmio Gestão Escolar - PGE</t>
  </si>
  <si>
    <t>Firmar Termo de Compromisso para premiar as escolas "destaque estadual"</t>
  </si>
  <si>
    <t>Valor estipulado para destaque estadual</t>
  </si>
  <si>
    <t>Promover premiação das escolas classificadas como destaque regional</t>
  </si>
  <si>
    <t>Não reconhecer as boas práticas desenvolvidas pelas escolas públicas de Minas Gerais</t>
  </si>
  <si>
    <t>Reconhecimento e promoção das trocas de experiências entre as escolas públicas de Minas Gerais e do Brasil, na etapa nacional do Prêmio Gestão Escolar</t>
  </si>
  <si>
    <t>Certificação ocupacional para cargo de diretor de escola</t>
  </si>
  <si>
    <t>Promover o credenciamento de servidores para participação em processo de escolha e ocupação de cargo comissionado de Diretor de Escola Estadual, uma vez que é pré-requisito para o exercício do cargo conforme previsto em resoluções específicas.</t>
  </si>
  <si>
    <t>Ausência de candidatos aptos ao exercício do cargo de provimento em comissão de Diretor de Escola Estadual</t>
  </si>
  <si>
    <t>Atender às determinações legislativas de forma a garantir o regular funcionamento da unidade escolar, com o provimento do cargo de candidatos com conhecimentos e competências pedagógicas, administrativas/financeiras e de pessoas.</t>
  </si>
  <si>
    <t>Participar de encontros presenciais do curso Mentoria/gestores escolares, promovido pelo MEC.</t>
  </si>
  <si>
    <t>3420 servidores x 2 diárias, 5 vezes no ano</t>
  </si>
  <si>
    <t>Despesas com transportes/deslocamentos para participar dos encontros presenciais</t>
  </si>
  <si>
    <t>verba para 3420 servidores com deslocamento, 5 vezes no ano</t>
  </si>
  <si>
    <t>3999 - OUTROS SERVICOS PESSOA JURIDICA</t>
  </si>
  <si>
    <t>Desenvolvimento de conteúdo para curso de capacitação dos membros dos Colegiados Escolares</t>
  </si>
  <si>
    <t>Contratar instituição para desenvolver conteúdo para curso de capacitação dos membros dos colegiados</t>
  </si>
  <si>
    <t>Estimativa de contratação e pagamento em 4 parcelas</t>
  </si>
  <si>
    <t>Promover capacitação aos membros dos Colegiados Escolares visando a promoção da autonomia da escola</t>
  </si>
  <si>
    <t>Falta de conhecimento das responsabilidades e obrigações do Colegiado, uma vez que é um órgão coletivo de caráter consultivo e deliberador das questões da unidade escolar.</t>
  </si>
  <si>
    <t>Fortalecimento do Colegiado Escolar por meio de conhecimentos sobre gestão democrática, participativa e competências dos membros do Colegiado Escolar.</t>
  </si>
  <si>
    <t>Bolsa/curso on line para membros do Colegiados Escolares</t>
  </si>
  <si>
    <t>Contratar curso para membros do Colegiados ( 7 titulares, 7 suplentes e 1 presidente)</t>
  </si>
  <si>
    <t>Estimativa valor curso</t>
  </si>
  <si>
    <t>Capacitação servidores das SREs: análise evolução carreira</t>
  </si>
  <si>
    <t>Diárias (2servidores p/ SRE, 2 vezes no ano).</t>
  </si>
  <si>
    <t>Despesas com transporte ( s servidores p/ SRE, 2 vezes ano</t>
  </si>
  <si>
    <t>Visitas técnicas para análise/verificação processo de evolução carreira</t>
  </si>
  <si>
    <t>Verba para diárias.</t>
  </si>
  <si>
    <t>2099 - Trilhas de Futuro - Educadores</t>
  </si>
  <si>
    <t>Programa de Formação - Trilhas Educadores I</t>
  </si>
  <si>
    <t>Instituições contratadas para realização dos cursos de mestrado e doutorado.</t>
  </si>
  <si>
    <t>Serviço contratado para o Programa de Formação - Trilhas Educadores II</t>
  </si>
  <si>
    <t>Promover a oferta de cursos (mestrado e doutorado) visando atender a demanda de elevação na qualificação profissional dos servidores da SEE, a fim de melhorar a qualidade do ensino ofertado pela rede pública, bem como valorizar o servidor por meio de sua capacitação permanente.</t>
  </si>
  <si>
    <t>Quebra de contrato já firmado, insatisfação dos servidores que já inciaram os cursos e perda do que já foi investido.</t>
  </si>
  <si>
    <t>Continuação dos contratos, satisfação de servidores e servidores capacitados.</t>
  </si>
  <si>
    <t>Diárias para atender demandas do Trilhas Educadores I</t>
  </si>
  <si>
    <t>Despesas com diárias para os cursistas participarem dos encontros presenciais</t>
  </si>
  <si>
    <t>Propiciar a participação dos servidores dos encontros presenciais obrigatório dos cursos de mestrado, autorizando o pagamento de diárias de viagem.</t>
  </si>
  <si>
    <t>Desistência dos servidores que não têm a capacidade de arcar com os custos.</t>
  </si>
  <si>
    <t>Satisfação de servidores e servidores capacitados.</t>
  </si>
  <si>
    <t>Passagens para atender a demanda do Trilhas Educadores I</t>
  </si>
  <si>
    <t>Despesas com transporte para os cursistas do mestrado e doutorado participarem dos encontros presenciais.</t>
  </si>
  <si>
    <t>Propiciar a participação dos servidores dos encontros presenciais obrigatório dos cursos de mestrado, autorizando o pagamento de transporte.</t>
  </si>
  <si>
    <t>Programa de Formação - Trilhas Educadores II</t>
  </si>
  <si>
    <t>Diárias para atender demandas do Trilhas Educadores II</t>
  </si>
  <si>
    <t>Passagens para atender a demanda do Trilhas Educadores II</t>
  </si>
  <si>
    <t>Programa de Formação - Trilhas Educadores III</t>
  </si>
  <si>
    <t>Diárias para atender demandas do Trilhas Educadores III</t>
  </si>
  <si>
    <t>Passagens para atender a demanda do Trilhas Educadores III</t>
  </si>
  <si>
    <t>Programa de Formação - Trilhas Educadores IV</t>
  </si>
  <si>
    <t>Diárias para atender demandas do Trilhas Educadores IV</t>
  </si>
  <si>
    <t>Passagens para atender a demanda do Trilhas Educadores IV</t>
  </si>
  <si>
    <t>Programa de Formação - Trilhas Educadores V</t>
  </si>
  <si>
    <t>Diárias para atender demandas do Trilhas Educadores V</t>
  </si>
  <si>
    <t>Passagens para atender a demanda do Trilhas Educadores V</t>
  </si>
  <si>
    <t>Programa Ser Docente - I</t>
  </si>
  <si>
    <t>Instituiçao contratada para realização do curso de formação para professores em estágio probatório</t>
  </si>
  <si>
    <t>Capacitação de servidores em estágio probatório</t>
  </si>
  <si>
    <t>Prejuízo ao processo de integração dos novos servidores</t>
  </si>
  <si>
    <t>Aprimoramento das capacidades dos professores em estágio probatório</t>
  </si>
  <si>
    <t>Programa Ser Docente - II</t>
  </si>
  <si>
    <t>Gabinete</t>
  </si>
  <si>
    <t>Assessoria de Ensino Superior - ASU</t>
  </si>
  <si>
    <t>168 - Gestão de Infraestrutura Educacional</t>
  </si>
  <si>
    <t>4525 - ATENDIMENTO AS INSTITUICOES PUBLICAS DE ENSINO SUPERIOR</t>
  </si>
  <si>
    <t>APOIO AS INSTITUIÇÕES DE ENSINO SUPERIOR POR MEIO DE REPASSE DE RECURSOS PARA MELHORIA DA QUALIDADE DA EDUCAÇÃO DO ESTADO DE MINAS GERAIS.</t>
  </si>
  <si>
    <t>1 UNIVERSIDADE</t>
  </si>
  <si>
    <t>VALOR DO REPASSE</t>
  </si>
  <si>
    <t>REPASSAR RECURSOS PARA REALIZAÇÃO DE AÇÕES PARA OFERTA DE PROJETOS EDUCACIONAIS EXECUTADOS POR INSTITUIÇÕES DE ENSINO SUPERIOR PARA O DESENVOLVIMENTO DA EDUCAÇÃO DO ESTADO DE MINAS GERAIS.</t>
  </si>
  <si>
    <t>AUSÊNCIA DE OFERTA DE PROJETOS EDUCACIONAIS EXECUTADOS POR INSTITUIÇÕES DE ENSINO SUPERIOR PARA O DESENVOLVIMENTO DA EDUCAÇÃO DO ESTADO DE MINAS GERAIS</t>
  </si>
  <si>
    <t>REALIZAÇÃO DE AÇÕES PARA OFERTA DE PROJETOS EDUCACIONAIS EXECUTADOS POR INSTITUIÇÕES DE ENSINO SUPERIOR PARA O DESENVOLVIMENTO DA EDUCAÇÃO DO ESTADO DE MINAS GERAIS</t>
  </si>
  <si>
    <t>PAGAMENTO DE TAXA ADMINISTRATIVA REFERENTE A SERVIÇOS DE GESTÃO ADMINISTRATIVA DE ESTÁGIO</t>
  </si>
  <si>
    <t>Contrato Firmado</t>
  </si>
  <si>
    <t>TAXA ADM. MENSAL</t>
  </si>
  <si>
    <t>REALIZAR SERVIÇOS DE GESTÃO ADMINISTRATIVA DE ESTÁGIO PRESTADOS PELA AGENCIA DE INTEGRAÇÃO ESTÁGIOS</t>
  </si>
  <si>
    <t>SERVIÇOS DE ESTÁGIO SERÃO INTERROMPIDOS EM TODA A SEE</t>
  </si>
  <si>
    <t>ESTAGIÁRIOS CONTRATADOS AGREGANDO AINDA MAIS QUALIDADE NOS TRABALHOS DESENVOLVIDOS PELA SEE</t>
  </si>
  <si>
    <t>PAGAMENTO DE AVALIADORES NOS PROCESSOS REGULATÓRIOS DAS INSTITUIÇÕES DE ENSINO SUPERIOR QUE FORMAM O SISTEMA ESTADUAL DE EDUCAÇÃO DE MINAS GERAIS E SEUS RESPECTIVOS CURSOS</t>
  </si>
  <si>
    <t>COMISSÃO DE AVALIAÇÃO</t>
  </si>
  <si>
    <t>VALOR POR DOIS DIAS DE AVALIAÇÃO PARA CADA UM DOS AVALIADORES</t>
  </si>
  <si>
    <t>REALIZAR PROCESSO REGULATÓRIO COMPOSTO POR COMISSÃO COM 2 (DOIS) OU 3 (TRÊS) AVALIADORES E 2 (DOIS) OU 3 (TRÊS) DIAS DE AVALIAÇÃO</t>
  </si>
  <si>
    <t>AFETA O FUNCIONAMENTO DA INSTITUIÇÃO DE ENSINO SUPERIOR. CURSOS FICAM SEM COLAÇÃO DE GRAU E EMISSÃO DE DIPLOMA</t>
  </si>
  <si>
    <t>REGULARIZAR FUNCIONAMENTO DA INSTITUIÇÃO E DO CURSO E MANTER A QUALIDADE DE ENSINO SUPERIOR NO ESTADO</t>
  </si>
  <si>
    <t>Assessoria de Comunicação Social/ASCOM</t>
  </si>
  <si>
    <t>SERVICOS DE ORGANIZACAO,EXECUCAO DE EVENTOS E ATIVIDADES CORRELATAS OU
INERENTES.</t>
  </si>
  <si>
    <t>Contrato de Eventos 1260.01.0187681/2024-60 (procedimento licitatorio em andamento)</t>
  </si>
  <si>
    <t>PESQUISA DE PREÇOS REALIZADA EM CONSONÂNCIA AO DISPOSTO NA RESOLUÇÃO SEPLAG Nº 102, DE 29 DE DEZEMBRO DE 2022</t>
  </si>
  <si>
    <t>A ASCOM RECEBE DOS SETORES DA SEE SOLICITAÇÕES DE planejamento, organização, coordenação, operacionalização e produção de eventos institucionais, , envolvendo solenidades, encontros, palestras, cursos, capacitação, treinamentos, oficinas, workshops, festivais, congressos, seminários, convenções, conferências, A FIM DE ATENDER A CADEIA EDUCACIONAL DO ESTADO DE MINAS GERAIS.</t>
  </si>
  <si>
    <t>Perda da identidade institucional da Secretaria de Educação no que diz respeito à valorização das pessoas, bem como à formação e qualificação dos servidores, característica de um dos elementos internos que consta também como um dos macros desafios do planejamento: aprendizado e crescimento.</t>
  </si>
  <si>
    <t>Considerando os assuntos que constituem a área de competência da Secretaria de Estado de Educação, a natureza dos serviços a serem contratados, e levando em conta que esses serviços são necessários para o bom desempenho das atribuições do órgão.</t>
  </si>
  <si>
    <t>SUBSCRICAO DE LICENCA DE SOFTWARE ADOBE CREATIVE CLOUD (ADOBE ILLUSTRATOR, PHOTOSHOP e INDESIGN) PARA 3 (TRÊS) ANOS</t>
  </si>
  <si>
    <t>6 (SEIS) LICENÇAS SENDO 2 (DUAS PARA ADOBE ILLUSTRATOR, PHOTOSHOP e INDESIGN) PARA 2 (DOIS) SERVIDORES DA ASCOM</t>
  </si>
  <si>
    <t>A ASCOM RECEBE DAS UNIDADES ADMINISTRATIVAS DA SEE SOLICITAÇÕES DE DESENVOLVIMENTO DE MATERIAIS INSTITUCIONAIS COM OS PROGRAMAS ADOBE ILLUSTRATOR, PHOTOSHOP e INDESIGN, A FIM DE ATENDER A CADEIA EDUCACIONAL DO ESTADO DE MINAS GERAIS.</t>
  </si>
  <si>
    <t>HAVERÁ PREJUÍZO NA ELABORAÇÃO DE MATERIAIS INSTITUCIONAIS, E RISCOS DE IMAGEM NEGATIVA DA SECRETARIA DE ESTADO DE EDUCAÇÃO E DO GOVERNO DE MINAS GERAIS PARA O PÚBLICO EXTERNO.</t>
  </si>
  <si>
    <t>OS PROGRAMAS ADOBE ILLUSTRATOR, PHOTOSHOP E INDESIGN SÃO IMPRESCINDÍVEIS PARA CRIAÇÃO DE PEÇAS GRÁFICAS, CARTILHAS, CARTAZES, FOLDERS, FLYERS, INFORMATIVOS, BANNERS, EVENTOS EDUCACIONAIS, CAMPANHAS INSTITUCIONAIS, MATERIAIS DE DIVULGAÇÃO DE PROGRAMAS, PROJETOS, CRIAÇÃO DE CONTEÚDO PARA AS REDES SOCIAIS E SITE DA SEE, DIAGRAMAÇÃO DE TEXTOS, EDIÇÕES DE IMAGEM E VÍDEOS PARA DIVULGAÇÃO DE NOVAS CAMPANHAS E PRODUÇÃO DE TODAS AS DEMANDAS SEJAM GRÁFICA, IMPRESSA E DIGITAL ADVINDAS DA SEE. 
ADEMAIS, OS REFERIDOS PROGRAMAS SÃO FERRAMENTAS PROFISSIONAIS QUE OTIMIZAM E PROMOVEM A QUALIDADE FINAL DE CADA CRIAÇÃO PROPOSTA E EFETIVO DESENVOLVIMENTO, SEM TAIS PROGRAMAS A ASSESSORIA DE COMUNICAÇÃO SOCIAL/ASCOM, BEM COMO A SEE FICARÁ LIMITADA E MUITO MAIS EXPOSTA A ERROS, PORQUE COM ESTES PROGRAMAS, OS SERVIDORES SÃO CAPAZES DE CORRIGIR MATERIAL ENVIADO PELA AGÊNCIA, FOTOS ENVIADAS PELAS ESCOLAS E FAZER ALTERAÇÕES NOS MATERIAIS DE DIVULGAÇÃO INTERNA TAMBÉM.</t>
  </si>
  <si>
    <t>ACESSO A BANCO DE IMAGENS, VETORES, ILUSTRACOES, MUSICAS, EFEITOS SONOROS E VIDEOS, EM ALTA RESOLUCAO</t>
  </si>
  <si>
    <t>UNIDADE</t>
  </si>
  <si>
    <t>Atualmente, o órgão utiliza de imagens genéricas disponíveis no banco de imagens da conta Canva institucional e de imagens gratuitas disponibilizadas pelo banco de imagens Freepik, além de ficar reduzida às imagens captadas pela própria equipe. Essa limitação afeta diretamente a qualidade e a diversidade do material produzido, afetando a aparência de profissionalidade empregada nas mídias. O conteúdo gratuito do banco de imagens Freepik é extremamente limitado e não permite desenvolver as artes e produções necessárias de acordo com a demanda a ser realizada</t>
  </si>
  <si>
    <t>Sua falta acarreta a morosidade na entrega das demandas de criação, afeta a qualidade dos materiais produzidos e impossibilita a expansão das atividades desenvolvidas para alcançar as inovações e novas necessidades da sociedade atendida. A ausência de um banco de imagens afeta a qualidade do material produzido, a disseminação de informações de interesse público e o engajamento dos interessados com as ações e programas educacionais desenvolvidos pelo órgão.</t>
  </si>
  <si>
    <t>O banco de imagens para a Secretaria de Estado de Educação é eseencial para o desenvolvimento das atividades de competência da Ascom, a exemplo da produção de peças gráficas, cartilhas, cartazes, folders, flyers, informativos, banner, entre outros materiais audiovisuais e é uma constante necessidade na rotina da Assessoria, essas ferramentas são essenciais para criar materiais visuais impactantes e profissionais, atendendo às exigências estéticas e informativas necessárias para a comunicação eficaz.</t>
  </si>
  <si>
    <t>TDCO SECOM para campanha informativa sobre o processo de cadastramento/matrícula escolar na rede pública de ensino para o ano de 2026 e para campanha de Divulgação Do Trilhas De Futuro 2026, programa que Oferece cursos técnicos profissionais gratuitos em Minas Gerais.</t>
  </si>
  <si>
    <t>TDCO SECOM</t>
  </si>
  <si>
    <t>Campanhas de divulgação</t>
  </si>
  <si>
    <t>Campanha informativa sobre o processo de cadastramento/matrícula escolar na rede pública de ensino para o ano de 2026.</t>
  </si>
  <si>
    <t>Aumento da evasão escolar e baixo número de adesão nos programas e ações institucionais da educação.</t>
  </si>
  <si>
    <t>Alta adesão aos programas e ações institucionais da educação com consequente diminuição da evasão escolar e aumento da profissionalização de jovens da educação básica.</t>
  </si>
  <si>
    <t>Diárias para atender demandas do gabinete e assesorias</t>
  </si>
  <si>
    <t>Viagens à serviço para demandas diversas do gabinete.</t>
  </si>
  <si>
    <t>Não atendimento de viagem para participação presencial em reuniões, encontros , congressos , etc.</t>
  </si>
  <si>
    <t>Atendimento em viagens com custeio de despesas de servidores para efetiva participação presencial em reuniões , encontro, congressos , etc.</t>
  </si>
  <si>
    <t>Despesas com transporte urbano em viagens</t>
  </si>
  <si>
    <t>Valor médio de despesas com estacionamento, pedágio e taxi</t>
  </si>
  <si>
    <t>Atendimento a servidores com valores para cobrir despesas com adiantamento em viagem .</t>
  </si>
  <si>
    <t>Não atendimento do deslocamento dos servidores em viagem com recurso para o custeio com deslocamento em viagem .</t>
  </si>
  <si>
    <t>Atendimento as servidores em viagem</t>
  </si>
  <si>
    <t>COMISSÃO DE AVALIAÇÃO COMPOSTA POR 2 AVALIADORES, E AVALIAÇÃO REALIZADA COM 2 DIAS</t>
  </si>
  <si>
    <t>VALOR POR UM DIA DE AVALIAÇÃO PARA CADA UM DOS AVALIADORES</t>
  </si>
  <si>
    <t>Despesas com Material Gráfico e Impresso</t>
  </si>
  <si>
    <t>CONFORME DEMANDA.</t>
  </si>
  <si>
    <t>Média</t>
  </si>
  <si>
    <t>Atender demandas de material gráfico.</t>
  </si>
  <si>
    <t>Não atendimento da demanda .</t>
  </si>
  <si>
    <t>Atendimento a demanda de setores da SEE/MG.</t>
  </si>
  <si>
    <t>Eventual de Gabinete</t>
  </si>
  <si>
    <t>VALOR CONFORME LEGISLAÇÃO VIGENTE .</t>
  </si>
  <si>
    <t>Para cobrir despesas dos Gabinetes.</t>
  </si>
  <si>
    <t>Não atendimento da execução de despesas de Eventual de Gabinete.</t>
  </si>
  <si>
    <t>Atendimento da execução de despesas de Eventual de Gabinete.</t>
  </si>
  <si>
    <t>Despesas Miúdas de Pronto Pagamento</t>
  </si>
  <si>
    <t>Para cobrir despesas de caráter inadiável, classificadas como material de consumo e/ou consumo .</t>
  </si>
  <si>
    <t>Não atendimento da execução de despesas de pequeno vulto e de necessidade imediata, desde que devidamente justificada.</t>
  </si>
  <si>
    <t>Atendimento da execução de despesas da execução de despesas de Eventual de Gabinete.</t>
  </si>
  <si>
    <t>Cursos, exposições,congressos e conferências.</t>
  </si>
  <si>
    <t>Eventos</t>
  </si>
  <si>
    <t>Descontibuidade de ações</t>
  </si>
  <si>
    <t>Continuidade de ações</t>
  </si>
  <si>
    <t>Curso de formação, capacitação e pós graduação para servidores.</t>
  </si>
  <si>
    <t>Cursos</t>
  </si>
  <si>
    <t>Anuidades</t>
  </si>
  <si>
    <t>CONFORME RESOLUÇÃO QUE DISPÕE SOBRE O VALOR DA CONTRIBUIÇÃO DE REPRESENTAÇÃO INSTITUCIONAL QUE alude o ART. 51, INCISO I, DO ESTATUTO SOCIAL DO CONSED.</t>
  </si>
  <si>
    <t>Para atendimento a SEE/MG, exercendo funções de caráter normativo, consultivo, deliberativo e de assessoramento ao Secretário de Estado da Educação.</t>
  </si>
  <si>
    <t>Inadiplência.</t>
  </si>
  <si>
    <t>Participação efetiva e colaborativa junto ao CONSED .</t>
  </si>
  <si>
    <t>Diárias para atender evento MOVEMENTE.</t>
  </si>
  <si>
    <t>Evento MOVEMENTE - Encontro de gestores escolares</t>
  </si>
  <si>
    <t>Evento não realizado</t>
  </si>
  <si>
    <t>Evento realizado e ações alinhadas para o exercício</t>
  </si>
  <si>
    <t>Despesas com transporte MOVEMENTE</t>
  </si>
  <si>
    <t>Despesas com passagens MOVEMENTE</t>
  </si>
  <si>
    <t>Assessoria Jurídica</t>
  </si>
  <si>
    <t>Atualização do conhecimento dos servidores nas diversas áreas de atuação na Assessoria Jurídica</t>
  </si>
  <si>
    <t>Livros - doutrina jurídica</t>
  </si>
  <si>
    <t>Livros</t>
  </si>
  <si>
    <t>Demandas por material literário</t>
  </si>
  <si>
    <t>Desatualização quanto ao normativo jurídico</t>
  </si>
  <si>
    <t>Assessoria de Inovação</t>
  </si>
  <si>
    <t>Contratação de Creditos azure e licenças Microsoft</t>
  </si>
  <si>
    <t>Contrato a ser firmado em 2025</t>
  </si>
  <si>
    <t>VALOR ANUAL DO CONTRATO</t>
  </si>
  <si>
    <t>servico microsoft creditos azure, subscricao de licenca de software project plan 5 edu, power automate edu sub per user edu, power automate flow edu sub min 5 licenses edu, power automate attended rpa usl edu sub per user edu, power automate unattended rpa ao edu sub per bot edu, power bi pro por usuario edu, visual studio pro sub msdn edu, sql server enterprise academic core, assurance</t>
  </si>
  <si>
    <t>Paralisação da engenharia de dados automatizada.</t>
  </si>
  <si>
    <t>A aquisição de subscrição de licenças e serviços técnicos especializados é essencial para a manutenção e o desenvolvimento de soluções tecnológicas - em especial sistemas, painéis/dashboads e automações - de responsabilidade desta Assessoria de Inovação.</t>
  </si>
  <si>
    <t>4006 - AQUISICAO DE SOFTWARE</t>
  </si>
  <si>
    <t>servicos tecnicos especializados no desenvolvimento, implementacao e sustentacao de solucoes das plataformas microsoft</t>
  </si>
  <si>
    <t>Serviço de Desenvolvimento, Manutenção e Sustentação dos Sistemas de Informação</t>
  </si>
  <si>
    <t>Contratação de Plataformas</t>
  </si>
  <si>
    <t>Licença de FlutterFlow, DreamFlow, Notion Plus, WeWeb, Supabase cloud, N8N cloud e Lovable</t>
  </si>
  <si>
    <t>Perde-se a possibilidade de construir apps sem conhecimento avançado de programação. Redução de agilidade e menor produtividade por falta de automatização.</t>
  </si>
  <si>
    <t>As plataformas permitem o desenvolvimento de aplicativos e dashboards, além da utilização de recursos de automação.</t>
  </si>
  <si>
    <t>Contratação de serviços de nuvem</t>
  </si>
  <si>
    <t>Infraestrutura como Servico (IAAS), Plataforma como Servico (PAAS), Software como Serviço - (SAAS) e Servico Especializado em Tecnologia da Informacao e Comunicacao - TIC</t>
  </si>
  <si>
    <t>Maior risco de falhas e indisponibilidade sem infraestrutura profissional, atrasos no desenvolvimento de software por infraestrutura limitada, menor produtividade por falta de ferramentas modernas e integradas .</t>
  </si>
  <si>
    <t>Reduz custos com servidores físicos, permite escalar recursos conforme a demanda, acelera o desenvolvimento de aplicações e permite o uso imediato de softwares prontos.</t>
  </si>
  <si>
    <t>Certificação de servidor Web</t>
  </si>
  <si>
    <t>Certificação digital para acesso ao B-Cadastro</t>
  </si>
  <si>
    <t>Impossibilitará o acesso a plataforma B-Cadastro e consulta a dados como CPF e CNPJ.</t>
  </si>
  <si>
    <t>Viabilizará o uso seguro e eficiente da plataforma B-cadastro, ferramenta estratégica para a modernização da gestão pública.</t>
  </si>
  <si>
    <t>Licença Scriptcase</t>
  </si>
  <si>
    <t>Utilização da solução Scriptcase</t>
  </si>
  <si>
    <t>Perda de suporte e da licença do scriptcase</t>
  </si>
  <si>
    <t>Desenvolvimento e Manutenção de sistemas utilizando a ferramenta scriptcase trazendo agilidade nas entregas</t>
  </si>
  <si>
    <t>Serviços técnicos especializados em pesquisa e aconselhamento imparcial em
Tecnologia da Informação</t>
  </si>
  <si>
    <t>Paralisação na prestação dos serviços de pesquisa e aconselhamento nas iniciativas de transformação gerencial e digital da SEE</t>
  </si>
  <si>
    <t>Utilização de melhores práticas, aconselhamento executivo, pesquisas e ferramentas que permitam apoiar as iniciativas de transformação gerencial e digital da SEE</t>
  </si>
  <si>
    <t>Créditos Azure e Serviço de SERVIÇOS DE SOFTWARES DE LICENÇA MICROSOFT, que serão prestados nas condições estabelecidas no Termo de Referência, anexo do Edital.</t>
  </si>
  <si>
    <t>Créditos para Plataforma Microsoft Azure e Serviço de Consultoria no Desenvolvimento de Tecnologia para Azure e Power Bi</t>
  </si>
  <si>
    <t>Paralisação da engenharia de dados automatizada. Falta de conhecimento e competência para desenvolver e administrar paíneis usando o Power Bi</t>
  </si>
  <si>
    <t>Manter a engenharia de dados automatizada com grande capacidade de armazenamento e processamento que permitirá que os analistas da SEE-MG colaborem de maneira simplificada, fornecendo uma fonte consolida e versões dos verdadeiros dados que levam a insights a todos os servidores da Secretaria que precisam deles, trazendo as funcionalidades de visualização e relatórios do Power BI para seus aplicativos do Azure, além de empregar funcionalidades avançadas de Inteligência Artificial - IA e aprendizado de máquina no Power BI. Agregar mais conhecimento aos servidores da SEE para administração e criação de paíneis utilizando o Power BI.</t>
  </si>
  <si>
    <t>Contrato de Serviço de Desenvolvimento e Manutenção de sistemas por alocação de perfis profissionais</t>
  </si>
  <si>
    <t>Serviço de Desenvolvimento e Manutenção de sistemas por alocação de perfis profissionais</t>
  </si>
  <si>
    <t>Paralização da prestação de serviços pelos profissionais alocados</t>
  </si>
  <si>
    <t>Manutenção da alocação de profissionais com para prestação de serviços de desenvolvimento de sistemas para atendimento da SEE e unidades escolares</t>
  </si>
  <si>
    <t>Contrato de Solução de Business intelligence</t>
  </si>
  <si>
    <t>Serviço de Acesso a Solução e Capacitação em Business Intelligence</t>
  </si>
  <si>
    <t>Paralisação no acesso aos armazéns de dados do SIAD, SIAFI e SISAP e na formação de novos usuários para acessarem estes armazéns</t>
  </si>
  <si>
    <t>Auxiliar a SEE/MG a tomar decisões inteligentes, mediante dados e informações extraídos dos diversos sistemas de informações</t>
  </si>
  <si>
    <t>Contrato Hospedagem Hiperconvergência</t>
  </si>
  <si>
    <t>Serviço de Hospedagem de Sistemas em Ambiente de Hiperconvergência</t>
  </si>
  <si>
    <t>Paralisação dos principais sistemas educacionais da Secretaria</t>
  </si>
  <si>
    <t>Prestação de Serviço de Hospedagem de Sistemas em Ambiente de Hiperconvergência</t>
  </si>
  <si>
    <t>Contrato de Hospedagem do PROECM</t>
  </si>
  <si>
    <t>Serviço de Hospedagem do Proecm da SEE</t>
  </si>
  <si>
    <t>Paralisação do serviço de hospedagem do PROECM</t>
  </si>
  <si>
    <t>integração dos sistemas de informação com os repositórios digitais, controle do ciclo de vida do documento, operações de gerenciamento de documentos e um repositório único de documentos</t>
  </si>
  <si>
    <t>Contrato de Hospedagem de Sistemas e Servidores/Datacenter</t>
  </si>
  <si>
    <t>Serviço de Hospedagem de Sistemas e Servidores (Collocation) da SEE</t>
  </si>
  <si>
    <t>Hospedagem de Servidores, Hospedagem de Sistemas em Mainframe, Hospedagem de Sistemas em Ambiente Compartilhado de Baixa Plataforma e Hospedagem de Sistemas em Ambiente Dedicado Baixa Plataforma</t>
  </si>
  <si>
    <t>Contrato de Hospedagem da Base Integrada</t>
  </si>
  <si>
    <t>Serviço de Hospedagem da Base Integrada</t>
  </si>
  <si>
    <t>Paralisação do serviço de hospedagem da Base Integrada</t>
  </si>
  <si>
    <t>Suprir a demanda de se ter as informações disponíveis e acessíveis, que permitirão melhorar a tomada de decisão, a correção de processos internos e externos e o monitoramento da rede de ensino como um todo</t>
  </si>
  <si>
    <t>Contrato de Sistemas de Informação</t>
  </si>
  <si>
    <t>Paralisação nas demandas de desenvolvimento, manutenção e sustentação de sistemas existentes e novos</t>
  </si>
  <si>
    <t>Atendimento das demandas de desenvolvimento de novos sistemas e manutenção/sustentação dos sistemas existentes, melhorando os sistemas educacionais da Secretaria</t>
  </si>
  <si>
    <t>Subsecretaria de Administração</t>
  </si>
  <si>
    <t>Superintendência de Planejamento e Finanças</t>
  </si>
  <si>
    <t>Diárias para atender demandas da SA.</t>
  </si>
  <si>
    <t>Viagens à serviço para demandas diversas da SA.</t>
  </si>
  <si>
    <t>Pode haver desencontro de informações e falhas em atividades da SA.</t>
  </si>
  <si>
    <t>Alinhamento de informações e troca de experiências para melhor execução das atividades, cumprimento da legislação vigente e redução do passivo de prestação de contas</t>
  </si>
  <si>
    <t>Capacitação para Diretores DAFI das SRE</t>
  </si>
  <si>
    <t>1 veículo por SRE</t>
  </si>
  <si>
    <t>Valor médio por distância</t>
  </si>
  <si>
    <t>Capacitação para orientações gerais da SA</t>
  </si>
  <si>
    <t>Pode haver desencontro de informações sobre as atividades da SA</t>
  </si>
  <si>
    <t>Alinhamento de informações e troca de experiências para melhor execução das atividades</t>
  </si>
  <si>
    <t>Atendimento à demandas gerais da SA</t>
  </si>
  <si>
    <t>2 veículo por SRE</t>
  </si>
  <si>
    <t>Capacitação para servidores da SA: Curso Retenções Tributárias para Órgãos Públicos</t>
  </si>
  <si>
    <t>20 servidores da SA a serem capacitados</t>
  </si>
  <si>
    <t>Média de preço de cursos ligados à área financeira</t>
  </si>
  <si>
    <t>Capacitação de servidores da SA</t>
  </si>
  <si>
    <t>Possível geração de encargos e tributos para o Estado</t>
  </si>
  <si>
    <t>Atualização da legislação vigente</t>
  </si>
  <si>
    <t>Capacitação para servidores da SA:Pós graduação em contabilidade pública</t>
  </si>
  <si>
    <t>Atualização da legislação vigente e procedimentos contábeis</t>
  </si>
  <si>
    <t>2129 - Operacionalização das Ações dos Conselhos</t>
  </si>
  <si>
    <t>Despesas administrativas dos Conselhos</t>
  </si>
  <si>
    <t>Despesas anuais</t>
  </si>
  <si>
    <t>Despesas previstas</t>
  </si>
  <si>
    <t>Manutenção das atividades dos Conselhos</t>
  </si>
  <si>
    <t>Prejuízos à atuação dos Conselhos</t>
  </si>
  <si>
    <t>Conselhos plenamente funcionais</t>
  </si>
  <si>
    <t>Despesas dos Conselhos</t>
  </si>
  <si>
    <t>Número de conselheiros que participam das reuniões</t>
  </si>
  <si>
    <t>Valor médio de despesas com taxi</t>
  </si>
  <si>
    <t>Reuniões para avaliação de prestação de contas da SEE e acompanhamento e orientações sobre a alimentação escolar</t>
  </si>
  <si>
    <t>Não aprovação da prestação de contas</t>
  </si>
  <si>
    <t>Acompanhamento das ações da SEE</t>
  </si>
  <si>
    <t>Diárias para atender demandas do CEE, CAE e CONSFUNDEB</t>
  </si>
  <si>
    <t>Número de conselheiros por viagem</t>
  </si>
  <si>
    <t>Valor da diária de acordo com o Decreto 47.045</t>
  </si>
  <si>
    <t>Atender diligências e apurar denúncias</t>
  </si>
  <si>
    <t>Deixar de atender a legislação e a fiscalização das ações pertinentes</t>
  </si>
  <si>
    <t>Apuração de denúcias</t>
  </si>
  <si>
    <t>Despesas imediatas CAE e CONSFUNDEB</t>
  </si>
  <si>
    <t>Média de utilização do último exercício</t>
  </si>
  <si>
    <t>Média de valor do último exercício</t>
  </si>
  <si>
    <t>Despesas emergenciais para aquisição de material para os Conselhos - Conselho de Alimentação Escolar - CAE e Conselho do Fundeb - CONSFUNDEB</t>
  </si>
  <si>
    <t>Penalidade prevista em Lei</t>
  </si>
  <si>
    <t>Atendimento aos encontros com o conselheiros</t>
  </si>
  <si>
    <t>Encontro com os Superintendentes escolares da regional para apresentar as metas e realizar alinhamento às estratégias da SEE.</t>
  </si>
  <si>
    <t>Deixar de contribuir com o alinhamento das ações Superindentes na regional</t>
  </si>
  <si>
    <t>Contribuir para que o trabalho dos superintendentes esteja alinhado com as diretrizes e metas estratégicas da SEE</t>
  </si>
  <si>
    <t>Conselho Estadual de Educação</t>
  </si>
  <si>
    <t>Diárias para atender demandas do CEE</t>
  </si>
  <si>
    <t>Número de diárias utilizadas x número de servidores favorecidos</t>
  </si>
  <si>
    <t>Garantir a participação do presidente, vice e superintendentes em reuniões e eventos de interesse da educação mineira e ´possibilitar a participação dos servidores bem capacitações promovidas pela SEE.</t>
  </si>
  <si>
    <t>Inibir a participação do CEE em eventos relevantes para a educação e impossibilitar os servidores do CEE de participar das capacitações que acontecem fora de BH.</t>
  </si>
  <si>
    <t>Fortalecer o CEE em suas ações e garantir a representatividade do CEE no cenário estadual e nacional de educação.</t>
  </si>
  <si>
    <t>Diárias para Conselheiros (colaboradores eventuais)</t>
  </si>
  <si>
    <t>Garantir a participação de conselheiros nas reuniões ordinárias e plenárias.</t>
  </si>
  <si>
    <t>Não poder contar com a participação dos(as) conselheiros(as) do CEE nas reuniões internas.</t>
  </si>
  <si>
    <t>Principalmente pemiritr a participação da maioria absoluta dos conselheiros, que é imprescindível nas reuniões nas quais devem se manifestar sobre as matérias relevantes para a educação mineira.</t>
  </si>
  <si>
    <t>Materiais de escritório para atender o CEE</t>
  </si>
  <si>
    <t>Média de consumo x preço</t>
  </si>
  <si>
    <t>Melhores preços do Portal de Compras</t>
  </si>
  <si>
    <t>Materiais necessários ao bom andamento dos serviços</t>
  </si>
  <si>
    <t>Queda na produtividade</t>
  </si>
  <si>
    <t>Resguardar a produtividade</t>
  </si>
  <si>
    <t>Buffet para Prêmio Heley de Abreu</t>
  </si>
  <si>
    <t>Contratos firmados</t>
  </si>
  <si>
    <t>Valor histórico dos contratos firmados</t>
  </si>
  <si>
    <t>ANUALMENTE O CEE PROMOVE A PREMIAÇÃO VISANDO VALORIZAR EDUCADORES DE MINAS GERAIS E AS MEDALHAS SÃO PARTE ESSENCIAL DO EVENTO</t>
  </si>
  <si>
    <t>Desccaracterização da premiação instituída.</t>
  </si>
  <si>
    <t>VALORIZAR OS FEITOS DOS HOMENAGEADOS E INSPIRAR NOVOS</t>
  </si>
  <si>
    <t>Artigos para limpeza do CEE e higiene dos servidores no local de trabalho</t>
  </si>
  <si>
    <t>Média entre dias úteis, quantidade de servidores e preço dos itens</t>
  </si>
  <si>
    <t>Materiais necessários para manter o CEE em condições habitáveis e garantir a dignidade dos servidores.</t>
  </si>
  <si>
    <t>Resguardar a dignidade e a produtividade</t>
  </si>
  <si>
    <t>MOBILIÁRIO PARA O CEE</t>
  </si>
  <si>
    <t>COMPLETAR O MOBILIÁRIO DO CEE</t>
  </si>
  <si>
    <t>Sede com mobiliário essencial, porém, sem as cadeiras apropriadas para o plenário e sem a finalização da recepção.</t>
  </si>
  <si>
    <t>AMBIENTES ADEQUADOS AOS FINS QUE SE PROPÕE</t>
  </si>
  <si>
    <t>FORNECIMENTO DE COFFEE BREAK PARA AS REUNIÕES DO CEE</t>
  </si>
  <si>
    <t>Prévia definição dos requisitos para a premiação</t>
  </si>
  <si>
    <t>FORNECIMENTO DE ITENS DE SUPORTE AO PARTICIPANTE DAS REUNIÕES DO CEE</t>
  </si>
  <si>
    <t>MAIOR TEMPO DE INTERVALO DURANTE AS REUNIÕES, MENOR PRODUTIVIDADE</t>
  </si>
  <si>
    <t>REUNIÕES MAIS ATRATIVAS E PRODUTIVAS</t>
  </si>
  <si>
    <t>Manutenção de equipamentos de ar condicionado da sede do CEE,</t>
  </si>
  <si>
    <t>Quantidade de ambientes do CEE e quantidade de aparelhos disponíveis.</t>
  </si>
  <si>
    <t>Necessidade de reinstalar os aparelhos de ar condicionado após a conclusão da reforma predial da sede do CEE</t>
  </si>
  <si>
    <t>Ambiente insalubre.</t>
  </si>
  <si>
    <t>Ambiente saudável, agradável e própício à produtividade.</t>
  </si>
  <si>
    <t>EDIÇÃO E SERVIÇOS GRÁFICOS DA REVISTA ANUAL DO CEE/MG</t>
  </si>
  <si>
    <t>Garantir a continuidade da produção da Revista do CEE MG mesmo quando não for possível encontrar patrocinadores.</t>
  </si>
  <si>
    <t>DESCUMPRIMENTO DO ART. 74 DO REGIMENTO INTERNO DO CEE/MG</t>
  </si>
  <si>
    <t>CUMPRIMENTO DO REGIMENTO, REGISTRO, E PUBLICIZAÇÃO DE RESOLUÇÕES, PARECERES, E OUTROS DOCUMENTOS DE INTERESSE DA EDUCAÇÃO MINEIRA</t>
  </si>
  <si>
    <t>Cursos e capacitações internas para os servidores e conselheiros</t>
  </si>
  <si>
    <t>Levantamento interno.</t>
  </si>
  <si>
    <t>CONTRATAÇÃO DE INSTITUIÇÕES PARA MINISTRAR CURSOS DE APERFEIÇOAMENTO PARA OS SERVIDORES E CONSELHEIROS DO CEE</t>
  </si>
  <si>
    <t>DESVALORIZAÇÃO DOS RECURSOS HUMANOS</t>
  </si>
  <si>
    <t>PROPICIAR A QUALIFICAÇÃO DOS PROFISSIONAIS E CONSEQUENTE MELHORIA NA QUALIDADE DOS SERVIÇOS PRESTADOS PELO CEE</t>
  </si>
  <si>
    <t>Manutenção dos jardins da sede do CEE</t>
  </si>
  <si>
    <t>ÁREAS DE JARDIM QUE NECESSITAM DE CUIDADO ROTINEIRO E NÃO CONTA COM POSTO DE TRABALHO PARA EXECUTAR A ATIVIDADE</t>
  </si>
  <si>
    <t>Local de trabalho desagradável e que apresenta riscos à saúde os servidores, usurários e entorno</t>
  </si>
  <si>
    <t>DIMINUIÇÃO DE PERNILONGOS E CONSEQUENTE RISCO DE DOENÇAS, DIMINUIÇÃO DE PEQUENOS ANIMAIS QUE PERAMBULAM POR JARDINS SEM MANUTENÇÃO, AMBIENTE AGRADÁVEL E SAUDÁVEL QUE PROPICIA BEM ESTAR E PRODUTIVIDADE, SERVIÇO REALIZADO COM EPI EVITANDO-SE ACIDENTES E DOENÇAS.</t>
  </si>
  <si>
    <t>LOCAÇÃO DE IMPRESSORA PARA ATENDER AO CEE</t>
  </si>
  <si>
    <t>O CEE NECESSITA DE IMPRESSÃO PARA O BOM ANDAMENTO DOS SERVIÇOS</t>
  </si>
  <si>
    <t>QUEDA NA PRODUTIVIDADE</t>
  </si>
  <si>
    <t>RESGUARDAR A PRODUTIVIDADE</t>
  </si>
  <si>
    <t>Superintendência de Aquisições, Contratos e Convênios</t>
  </si>
  <si>
    <t>Pagamento, gestão dos contratos e aquisições / contratações diretas para a manutenção para a estrutura da SEE</t>
  </si>
  <si>
    <t>Quantidade de diárias de viagem</t>
  </si>
  <si>
    <t>Valor estipulado para as diárias</t>
  </si>
  <si>
    <t>Diárias de motoristas para conduzirem atividades essenciais.</t>
  </si>
  <si>
    <t>Não atendimento às demandas das unidades administrativas e escolares</t>
  </si>
  <si>
    <t>Atendimento às necessidades da unidades administrativas e escolares</t>
  </si>
  <si>
    <t>3003 - UTENSILIOS PARA COPA, REFEITORIO E COZINHA</t>
  </si>
  <si>
    <t>Materiais de consumo diversos - Execução de ata de registro preços (garrafa térmica, copos descatávéis, bule, acendedor, ebulidor, suporte para copo descartável, isqueiro)</t>
  </si>
  <si>
    <t>Unidade</t>
  </si>
  <si>
    <t>Pesquisa internet</t>
  </si>
  <si>
    <t>Aquisição de garrafa térmica, copos descatávéis, bule, acendedor, ebulidor, suporte para copo descartável, isqueiro</t>
  </si>
  <si>
    <t>Desabastecimento e servidores e visitantes sem acesso à água, café.</t>
  </si>
  <si>
    <t>Atendimento dos servidores e visitantes do Campus Gameleira, Escola de Formação , Plugminas e Regionais de Ensino</t>
  </si>
  <si>
    <t>Materiais de consumo diversos - Execução de ata de registro preços (açúcar, café, adoçante)</t>
  </si>
  <si>
    <t>Quantidade do gêneros alimentícios</t>
  </si>
  <si>
    <t>Aquisição de açúcar, café, adoçante</t>
  </si>
  <si>
    <t>Desabastecimento e servidores e visitantes sem acesso à café.</t>
  </si>
  <si>
    <t>Materiais de consumo diversos - Execução de ata de registro preços (Flanela, lã de aço, limpador instantâneo, água sanitária, plaha de aço, detergente, pano de limpeza, desodorizador de ambiente, desintetante, sabonete líquido, saco de lixo, pano de chão, esponja, álcool, papel higiênico, sabão em pó, cloro, cera, vassoura)</t>
  </si>
  <si>
    <t>Flanela, lã de aço, limpador instantâneo, água sanitária, plaha de aço, detergente, pano de limpeza, desodorizador de ambiente, desintetante, sabonete líquido, saco de lixo, pano de chão, esponja, álcool, papel higiênico, sabão em pó, cloro, cera, vassoura</t>
  </si>
  <si>
    <t>Falta de limpeza e higienização</t>
  </si>
  <si>
    <t>Ambiente limpo e conservado</t>
  </si>
  <si>
    <t>Materiais destinados à manutenção e reparos em imóveis, inclusive material de construção e premoldados, desde que a reforma não se caracterize como obras e instalações.</t>
  </si>
  <si>
    <t>Material para reparo nos imóveis</t>
  </si>
  <si>
    <t>Comprometimento da estrututura e segurança do imóvel</t>
  </si>
  <si>
    <t>Segurança e conservação dos imóveis</t>
  </si>
  <si>
    <t>Aquisição material elétrico</t>
  </si>
  <si>
    <t>Material para manutenção em imóveis</t>
  </si>
  <si>
    <t>Ferramentas de pequeno porte, ferragens e utensílios, tais como almotolia, escada dobrável, lanterna a pilha, barracas para acampamento, equipamento de proteção individual, dentre outros.</t>
  </si>
  <si>
    <t>Ferramentas para auxiliar no reparo dos imóveis</t>
  </si>
  <si>
    <t>Deteorização da infraestrutura</t>
  </si>
  <si>
    <t>Conservação do patrimônio público</t>
  </si>
  <si>
    <t>Aquisição de pneus</t>
  </si>
  <si>
    <t>Material para manutenção/substituição em veículo da frota</t>
  </si>
  <si>
    <t>Veículos inoperantes/risco aos usuários</t>
  </si>
  <si>
    <t>Atendimento às necessidades da unidades administrativas e escolares/segurança aos usuários</t>
  </si>
  <si>
    <t>Pagamento, gestão dos contratos e aquisições / contratações diretas para a manutenção para a estrutura da SEE - Abastecimento da frota de veículos</t>
  </si>
  <si>
    <t>Contrato - Registro de preços</t>
  </si>
  <si>
    <t>Valor médio consumo combustível</t>
  </si>
  <si>
    <t>Abastecimento da frota de veículos</t>
  </si>
  <si>
    <t>Impossibilidade de realizar viagens</t>
  </si>
  <si>
    <t>Gás combustível para atender demanda Órgão Central (gás de cozinha)</t>
  </si>
  <si>
    <t>Precariedade na questão alimentar dos servidores</t>
  </si>
  <si>
    <t>Atendimento a necessidades de alimentação.</t>
  </si>
  <si>
    <t>Contrato de passagens aéreas</t>
  </si>
  <si>
    <t>Contrato serviço reserva passagens aérea - Registro de preços</t>
  </si>
  <si>
    <t>Viagens agendadas</t>
  </si>
  <si>
    <t>Reserva, emissão, remarcação ou alteração e entrega de bilhetes de passagens aéreas, nacionais e internacionais</t>
  </si>
  <si>
    <t>Garantir atendimento às demandas da SEE</t>
  </si>
  <si>
    <t>Empresa de transporte de passageiros em eventos e afins</t>
  </si>
  <si>
    <t>Kilometros rodados / contrato</t>
  </si>
  <si>
    <t>Kilometro rodado / valor de diária</t>
  </si>
  <si>
    <t>Transporte de servidores e alunos em eventos</t>
  </si>
  <si>
    <t>Custo mais elevado com utilização de frota própria ou adiantamentos de táxi/Uber</t>
  </si>
  <si>
    <t>Economia com despesas de locomação.</t>
  </si>
  <si>
    <t>Pequenas despesas urgentes para manutenção de serviços.</t>
  </si>
  <si>
    <t>Serviço contratado</t>
  </si>
  <si>
    <t>Atender a despesas de manutenção emergencial de custo baixo</t>
  </si>
  <si>
    <t>Serviços de manutenção interrompidos</t>
  </si>
  <si>
    <t>Garantir integridade das instalações</t>
  </si>
  <si>
    <t>Despesas com o pagamento à MGS pela prestação de serviços de apoio administrativo tais como vigilância, secretaria, recepção e outros.</t>
  </si>
  <si>
    <t>Contrato - serviço conservação e limpeza</t>
  </si>
  <si>
    <t>Quantidade de funcionários locados</t>
  </si>
  <si>
    <t>Serviço de limpeza na unidade do Órgão Central</t>
  </si>
  <si>
    <t>Os funcionários terceirzados suprem necessidades de mão de obra.</t>
  </si>
  <si>
    <t>Continuidade das entregas das áreas.</t>
  </si>
  <si>
    <t>Contrato - apoio administrativo</t>
  </si>
  <si>
    <t>Quantidade de funcionários trabalhando no mês</t>
  </si>
  <si>
    <t>Serviço de apoio adminsitrativo no Órgão Central</t>
  </si>
  <si>
    <t>Despesas com o pagamento à MGS de encargos trabalhistas, tais como afastamento maternidade, provisão para rescisão, custo de reposição do profissional e outros.</t>
  </si>
  <si>
    <t>Pagamento despesas com confecção de placas modelo Mercosul.</t>
  </si>
  <si>
    <t>Contrato confecção das placas</t>
  </si>
  <si>
    <t>Valor contratado</t>
  </si>
  <si>
    <t>Estampagem de placa veicular</t>
  </si>
  <si>
    <t>Veículo inoperante por falta de emplacamento</t>
  </si>
  <si>
    <t>Garantir atendimento às demandas de tranporte da SEE</t>
  </si>
  <si>
    <t>Almoxarifado Virtual</t>
  </si>
  <si>
    <t>Material administrativo/ escritório</t>
  </si>
  <si>
    <t>Serviço de apoio adminsitrativo na SEE</t>
  </si>
  <si>
    <t>Inviabilidade de serviço devido a falta de materiais básicos</t>
  </si>
  <si>
    <t>Despesas com aquisição de jornais, revistas, recortes de publicações, boletins e outros, incluindo assinaturas permanentes ou temporárias.</t>
  </si>
  <si>
    <t>Renovação das 2 assinaturas anuais: Banco de Preços e Plano de Produtos Zênite.</t>
  </si>
  <si>
    <t>Valor da assinatura das 2 contratações - Banco de Preços e Zênite.</t>
  </si>
  <si>
    <t>Assinatura do Banco de Preços e do Plano de Produtos Zênite, para auxílio na pesquisa de preços dos processos licitatórios e esclarecimentos de dúvidas em licitações e contratos.</t>
  </si>
  <si>
    <t>Processos licitatórios mais longos e maior risco de pregões fracassados.</t>
  </si>
  <si>
    <t>Maior agilidade e segurança nos processos licitatórios. Clareza e confiabilidade nas respostas aos recursos, impugnações e demais documentos relacionados à licitações e contratos.</t>
  </si>
  <si>
    <t>2064 - Gestão das Superintendências Regionais de Ensino</t>
  </si>
  <si>
    <t>Pagamento e gestão da energia elétrica das Regionais</t>
  </si>
  <si>
    <t>Número de unidades administrativas</t>
  </si>
  <si>
    <t>Pagamento e gestão de energia elétrica das regionais</t>
  </si>
  <si>
    <t>Impossibilidade de funcionamento das unidades</t>
  </si>
  <si>
    <t>Garantir que as atividades das unidades não sejam paralizadas</t>
  </si>
  <si>
    <t>Pagamento e gestão da energia elétrica das unidades regionais e Órgão Central</t>
  </si>
  <si>
    <t>Instalações</t>
  </si>
  <si>
    <t>Pagamento e gestão de energia elétrica das unidades administrativas</t>
  </si>
  <si>
    <t>Impossibilidade de funcionamento das regionais e demais unidades</t>
  </si>
  <si>
    <t>Garantir que as atividades da regionais e demais unidades não sejam paralizadas</t>
  </si>
  <si>
    <t>4527 - Custeio das Unidades Escolares</t>
  </si>
  <si>
    <t>Pagamento e gestão da energia elétrica das unidades escolares</t>
  </si>
  <si>
    <t>Quantidade escolas</t>
  </si>
  <si>
    <t>Pagamento e gestão de energia elétrica das unidades escolares</t>
  </si>
  <si>
    <t>Impossibilidade de funcionamento das escolas</t>
  </si>
  <si>
    <t>Garantir que as aulas não sejam paralizadas</t>
  </si>
  <si>
    <t>Pagamento e gestão de água das Regionais</t>
  </si>
  <si>
    <t>Pagamento e gestão de água das regionais</t>
  </si>
  <si>
    <t>Pagamento e gestão de água das unidades administrativas</t>
  </si>
  <si>
    <t>Pagamento e gestão de água das unidades escolares</t>
  </si>
  <si>
    <t>Contrato - serviço de postagem</t>
  </si>
  <si>
    <t>Modalidade postagem e peso material postado</t>
  </si>
  <si>
    <t>Postagem de documentos</t>
  </si>
  <si>
    <t>Não entrega de documento em tempo hábil</t>
  </si>
  <si>
    <t>Contrato locação veículos - Registro de preços</t>
  </si>
  <si>
    <t>Veículo locado</t>
  </si>
  <si>
    <t>Locação de veículos para suprir defasagem de veículos próprios. Já ocorreu a supressão de 03 veículos para atender o decreto de contigenciamento, ficando com o veículo que atende à Secretária</t>
  </si>
  <si>
    <t>Não suprir defasagem de veículos próprios</t>
  </si>
  <si>
    <t>Pelo volume de utilização, a locação fica mais barata do que manter veículo próprio.</t>
  </si>
  <si>
    <t>Serviço de Plotagem de veículos</t>
  </si>
  <si>
    <t>Serviço de plotagem veicular</t>
  </si>
  <si>
    <t>Veículo inoperante</t>
  </si>
  <si>
    <t>Garantir atendimento às demandas de transporte da SEE</t>
  </si>
  <si>
    <t>Pagamento despesas com reparo veículos em viagem</t>
  </si>
  <si>
    <t>Viagem realizada</t>
  </si>
  <si>
    <t>Valor do reparo</t>
  </si>
  <si>
    <t>Reparo emergencial de veículo em viagem</t>
  </si>
  <si>
    <t>Veículo ficar parado na estrada</t>
  </si>
  <si>
    <t>Resguardar andamento da viagem</t>
  </si>
  <si>
    <t>Contrato - locação caçambas</t>
  </si>
  <si>
    <t>Quantidde caçambas</t>
  </si>
  <si>
    <t>Remoção de lixo na unidades adminsitrativa Campus Gameleira que possui extensa área verde, produzindo grande quantitativo de lixo.</t>
  </si>
  <si>
    <t>Acumulo de lixo. A SLU não consegue atender a demanda</t>
  </si>
  <si>
    <t>Não acumulo do lixo, evitando infestação de pragas.</t>
  </si>
  <si>
    <t>Despesas com reparos, adaptação e conservação de equipamentos e material permanente</t>
  </si>
  <si>
    <t>contrato manutenção ar condicionado</t>
  </si>
  <si>
    <t>Manutenção ar condicionado</t>
  </si>
  <si>
    <t>Garantir a manutenção dos aparelhos de ar condicionado</t>
  </si>
  <si>
    <t>aparelhos de ar condicionado sem condições de uso</t>
  </si>
  <si>
    <t>Manutenção dos equipamentos e bem estar dos funcionários</t>
  </si>
  <si>
    <t>Contrato - manutenção extintores</t>
  </si>
  <si>
    <t>Manutenção extintores</t>
  </si>
  <si>
    <t>Garantir a manutenção dos extintores</t>
  </si>
  <si>
    <t>Extintores sem condições de uso em caso de incêndio</t>
  </si>
  <si>
    <t>Segurança dos funcionários e conservação do bem</t>
  </si>
  <si>
    <t>Contrato - manutenção subestação elétrica</t>
  </si>
  <si>
    <t>Manutenção da subestação</t>
  </si>
  <si>
    <t>Manutenção de sistema ininterupto de energia elétrica</t>
  </si>
  <si>
    <t>Risco acidente elétrico Campus Gameleira</t>
  </si>
  <si>
    <t>Garantir o funcionamento da subestações e fornecimento da energia no Campus</t>
  </si>
  <si>
    <t>Despesas com o pagamento de multa aplicada a veículo oficial, de propriedade ou em posse do Poder Público</t>
  </si>
  <si>
    <t>Quantidade multa</t>
  </si>
  <si>
    <t>Multa de trânsito recebida durante viagem de trabalho</t>
  </si>
  <si>
    <t>Motorista impedido de executar suas funções</t>
  </si>
  <si>
    <t>Garantir que as viagens sejam realizadas</t>
  </si>
  <si>
    <t>Despesas com manutenção de frota</t>
  </si>
  <si>
    <t>Contrato - manutenção de frota - Registro de preços</t>
  </si>
  <si>
    <t>Manutenção da frota de veículos</t>
  </si>
  <si>
    <t>Garantir a manuteção da frota de veículos</t>
  </si>
  <si>
    <t>Garantir a manuteção da frota de veículos e atendimento às demandas de tranporte da SEE</t>
  </si>
  <si>
    <t>Contrato - gerenciamento do cartão magnético para abastecimento e limpeza da frota - Registro de preços</t>
  </si>
  <si>
    <t>Serviço de gerenciamento do abastecimento da frota de veículos</t>
  </si>
  <si>
    <t>Gerenciamento do cartão magnético para abastecimento e limpeza da frota</t>
  </si>
  <si>
    <t>Veículo inoperante, por indisponibilidade de disposito de controle abastecimento</t>
  </si>
  <si>
    <t>Serviços de ministração de curso de capacitação e qualificação de pessoal área administrativa</t>
  </si>
  <si>
    <t>Contrato</t>
  </si>
  <si>
    <t>ministração de treinamento/capacitação</t>
  </si>
  <si>
    <t>Capacitação de servidores</t>
  </si>
  <si>
    <t>Impossibilidade de atendimento à demanda quanto a treinamento e capacitação de servidores</t>
  </si>
  <si>
    <t>Garantir atendimento à demanda para capacitação e treinamento de servidores</t>
  </si>
  <si>
    <t>Contrato - coleta resíduo sólidos</t>
  </si>
  <si>
    <t>Taxa mensal</t>
  </si>
  <si>
    <t>Coleta de resíduos excedentes</t>
  </si>
  <si>
    <t>Acumulo de lixo que a coleta pública não recolhe</t>
  </si>
  <si>
    <t>Garantir salubridade do ambiente</t>
  </si>
  <si>
    <t>Contrato - serviço dedetização e descupinização</t>
  </si>
  <si>
    <t>Serviço prestado</t>
  </si>
  <si>
    <t>Pagamento de serviço de dedetização nas unidades administrativas</t>
  </si>
  <si>
    <t>Infestação de insetos tornando o ambiente nocivo à saúde</t>
  </si>
  <si>
    <t>Ambiente de trabalho limpo.</t>
  </si>
  <si>
    <t>Limpeza de caixa d'água</t>
  </si>
  <si>
    <t>Valor do serviço prestado</t>
  </si>
  <si>
    <t>Serviços de limpeza de caixa d'água</t>
  </si>
  <si>
    <t>Água insalubre</t>
  </si>
  <si>
    <t>Bem estar e saúde dos servidores</t>
  </si>
  <si>
    <t>3969 - CONTRATOS DE ENERGIA ELETRICA</t>
  </si>
  <si>
    <t>Pagamento e gestão da energia elétrica das Regionais - MÉDIA TENSÃO</t>
  </si>
  <si>
    <t>Pagamento e gestão da energia elétrica das unidades do Órgão Central - MÉDIA TENSÃO</t>
  </si>
  <si>
    <t>Pagamento e gestão da energia elétrica das unidades escolares - MÉDIA TENSÃO</t>
  </si>
  <si>
    <t>Pagamento e gestão de energia elétricadas unidades escolares</t>
  </si>
  <si>
    <t>Contrato - manutenção arquivos</t>
  </si>
  <si>
    <t>Volume de material tratado e arquivado</t>
  </si>
  <si>
    <t>Higienização e manutenção arquivos</t>
  </si>
  <si>
    <t>Dano ao acervo documental da SEE</t>
  </si>
  <si>
    <t>Garantir a integridade e conservação dos documentos</t>
  </si>
  <si>
    <t>Contrato - gerenciamento abastecimento de frota - Registro de preços</t>
  </si>
  <si>
    <t>Gerenciamento abastecimento de frota</t>
  </si>
  <si>
    <t>Veículo inoperante, por falta de combustível</t>
  </si>
  <si>
    <t>Rateio das despesas da Cidade Administrativa</t>
  </si>
  <si>
    <t>TDCO</t>
  </si>
  <si>
    <t>Serviço de limpeza e apoio administrativo na unidade do Órgão Central na CAMG</t>
  </si>
  <si>
    <t>Contrato - serviço de microfilmagem</t>
  </si>
  <si>
    <t>Volume documento microfilmado</t>
  </si>
  <si>
    <t>Serviço de microfilmagem</t>
  </si>
  <si>
    <t>Perda de informações por deteriorização dos documentos, devido a imposibilidade de digitalização</t>
  </si>
  <si>
    <t>Garantir digitalização do acervo documental da SEE</t>
  </si>
  <si>
    <t>Contrato - serviço de Outsourcing de impressão</t>
  </si>
  <si>
    <t>Volume impressões</t>
  </si>
  <si>
    <t>Serviços de impressão</t>
  </si>
  <si>
    <t>Impossibilidade de reprodução/impressão de documentos</t>
  </si>
  <si>
    <t>Atendimento às demandas do Campu, Almoxarifado e Arquivo</t>
  </si>
  <si>
    <t>Contrato - manutenção locação leitoras microfilmagem</t>
  </si>
  <si>
    <t>Leitoras locadas</t>
  </si>
  <si>
    <t>Locação de equipamento para leitura de microfilmes</t>
  </si>
  <si>
    <t>Impossibilidade de leitura dos microfilmes e não atendimento às demandas do ex-alunos e ex-servidores</t>
  </si>
  <si>
    <t>Garantir o atendimento das solicitações dos ex-alunos e ex-servidores</t>
  </si>
  <si>
    <t>Hospedagem do Sistema Eletrônico de Informações - SEI</t>
  </si>
  <si>
    <t>Perda de informações com impossibilidade de armanezamento, criação e tramitação de processos</t>
  </si>
  <si>
    <t>Possibilitar armazenamento, criação e tramitação de processos</t>
  </si>
  <si>
    <t>Máquinas, aparelhos, utensílios e equipamentos em geral, adquiridos para uso administrativo e caracterizados como material permanente.</t>
  </si>
  <si>
    <t>Equipamentos</t>
  </si>
  <si>
    <t>Máquinas, aparelhos e utensílios e equipamentos para manutenção, equipamentos de uso administrativo</t>
  </si>
  <si>
    <t>Impossibilidade de atendimento às demandas das Unidades Administrativas da SEE</t>
  </si>
  <si>
    <t>Garantir o atendimento às demandas das Unidades Administrativas da SEE</t>
  </si>
  <si>
    <t>Recomposição da frota de caminhões da SEE</t>
  </si>
  <si>
    <t>Caminhões</t>
  </si>
  <si>
    <t>Valor mercado</t>
  </si>
  <si>
    <t>Troca dos caminhões para atendimento à demanda de transporte de carga</t>
  </si>
  <si>
    <t>Necessidade de contratação dos serviços de terceiros, dificultando a atrasando os atendimentos</t>
  </si>
  <si>
    <t>Propiciar maior celeridade nos atendimentos às demandas de transporte de cargas/materiais.</t>
  </si>
  <si>
    <t>Registra o valor das despesas com aquisição de eletrodomésticos em geral e utensílios, com durabilidade superior a dois anos, utilizados em serviços domésticos</t>
  </si>
  <si>
    <t>Materiais diversos para utilização pelas Unidades</t>
  </si>
  <si>
    <t>Superintendência de Infraestrutura e Logística</t>
  </si>
  <si>
    <t>163 - Alimentação Escolar</t>
  </si>
  <si>
    <t>2101 - Programa Estadual de Alimentação Escolar - PEAE</t>
  </si>
  <si>
    <t>Contratação de serviços - EMATER</t>
  </si>
  <si>
    <t>SERVIÇO PRESTADO</t>
  </si>
  <si>
    <t>MENSAL</t>
  </si>
  <si>
    <t>CONTRATO DE ATENDIMENTO DA AGRICULTURA FAMILIAR</t>
  </si>
  <si>
    <t>Impossibilitar a disponibilização adequada da alimentação escolar</t>
  </si>
  <si>
    <t>Disponibilização adequada da alimentação escolar</t>
  </si>
  <si>
    <t>Atendimento do Programa Estadual de Alimentação - PEAE</t>
  </si>
  <si>
    <t>ALUNO</t>
  </si>
  <si>
    <t>PERCAPITA por aluno, por dia letivo</t>
  </si>
  <si>
    <t>TERMO DE COMPROMISSO PARA ATENDIMENTO DA ALIMENTAÇÃO ESCOLAR</t>
  </si>
  <si>
    <t>SISTEMA DE MONITORAMENTO E ALARME</t>
  </si>
  <si>
    <t>ESCOLA</t>
  </si>
  <si>
    <t>ANUAL</t>
  </si>
  <si>
    <t>SISTEMA DE VIGILANCIA E SEGURANÇA NAS ESCOLAS</t>
  </si>
  <si>
    <t>Redução da segurança dos prédios escolares</t>
  </si>
  <si>
    <t>Proteção aos membros da escola e ao patrimônio</t>
  </si>
  <si>
    <t>2126 - Renovação de Mobiliário E/ou Equipamento</t>
  </si>
  <si>
    <t>ADQUIRIR / REFORMAR MOBILIÁRIOS E/OU EQUIPAMENTOS PARA UNIDADES DE ENSINO</t>
  </si>
  <si>
    <t>TERMO DE COMPROMISSO PARA AQUISIÇÃO DE MOBILIÁRIOS E EQUIPAMENTOS</t>
  </si>
  <si>
    <t>Prejuízos à rotina escolar</t>
  </si>
  <si>
    <t>Continuidade adequada da prestação de serviços aos estudantes da rede</t>
  </si>
  <si>
    <t>4519 - Mãos À Obra</t>
  </si>
  <si>
    <t>Execução de obras públicas na área da educação</t>
  </si>
  <si>
    <t>Previsão de planilhas orçadas ou valores de contratos firmados</t>
  </si>
  <si>
    <t>Planilha de preço SEE</t>
  </si>
  <si>
    <t>Construir, ampliar e/ou reformar prédios escolares</t>
  </si>
  <si>
    <t>Ausência de habilidade da unidade escolar comprometendo a segurança dos usuários e o sistema de ensino de aprendizagem</t>
  </si>
  <si>
    <t>Ambiente adequado para propagação do sistema de ensino e aprendizagem conforme diretrizes educacionais a serem alcançadas ou mantidas</t>
  </si>
  <si>
    <t>Locação de bens e imóveis</t>
  </si>
  <si>
    <t>Pagamento de aluguéis das unidades de ensino (PJ)</t>
  </si>
  <si>
    <t>Pagamento de aluguéis de imóveis</t>
  </si>
  <si>
    <t>Não existir imóveis apropriados para alocar as unidades de ensino</t>
  </si>
  <si>
    <t>Manunteção dos imóveis locados com infraestrutura necessária para o desenvolvimento das atividades escolares e administrativas</t>
  </si>
  <si>
    <t>3611 – LOCAÇÃO DE BENS IMÓVEIS</t>
  </si>
  <si>
    <t>Taxas de imóveis locados</t>
  </si>
  <si>
    <t>Risco de continuidade da ocupação do imóvel</t>
  </si>
  <si>
    <t>Ocupação do imóvel mantida</t>
  </si>
  <si>
    <t>Pagamento de condomínio de imóveis</t>
  </si>
  <si>
    <t>Repasse de valor para manutenção e custeio de internet</t>
  </si>
  <si>
    <t>Valor fixo mensal</t>
  </si>
  <si>
    <t>Desembolso anual</t>
  </si>
  <si>
    <t>Verba de internet para as escolas</t>
  </si>
  <si>
    <t>Interrupção dos serviços de internet nas unidades escolares</t>
  </si>
  <si>
    <t>Manutenção de serviço de internet nas escolas atendendo o administrativo e os estudantes</t>
  </si>
  <si>
    <t>Reforma e renovação das redes lógicas das escolas</t>
  </si>
  <si>
    <t>Valor variável conforme demanda</t>
  </si>
  <si>
    <t>Desembolso único</t>
  </si>
  <si>
    <t>Degradação da rede lógica prejudicando ou até impedindo a utilização de recursos tecnológicos dentro da escola, tanto para o setor administrativo quanto para os estudantes</t>
  </si>
  <si>
    <t>Manutenção das redes lógicas das escolas seguindo padrões e normas e melhores práticas</t>
  </si>
  <si>
    <t>Execução de obras públicas na área da educação (TDCO - SEINFRA)</t>
  </si>
  <si>
    <t>Planilhas orçadas ou valores de contratos firmados</t>
  </si>
  <si>
    <t>Planilhas de preço SETOP</t>
  </si>
  <si>
    <t>Ausência de habitabilidade da unidade escolar</t>
  </si>
  <si>
    <t>Ambiente adequado para propagação do sistema de ensino aprendizagem conforme diretrizes educacionais a serem alcançadas ou mantidas</t>
  </si>
  <si>
    <t>XXX Programa Encontro das Águas</t>
  </si>
  <si>
    <t>9999 - Projeto Gota D'água</t>
  </si>
  <si>
    <t>Projeto Gota D'água</t>
  </si>
  <si>
    <t>Liberação de recurso para kits de potabilidade</t>
  </si>
  <si>
    <t>Comprometimento do uso da água no ambiente escolar</t>
  </si>
  <si>
    <t>Garantia de água potável nas unidades de ensino</t>
  </si>
  <si>
    <t>Planilhas orçadas</t>
  </si>
  <si>
    <t>Liberação de recurso para construção de poços artesianos</t>
  </si>
  <si>
    <t>Repassar recursos para custeio das escolas</t>
  </si>
  <si>
    <t>ESTUDANTES</t>
  </si>
  <si>
    <t>Valor médio por unidade</t>
  </si>
  <si>
    <t>TERMO DE COMPROMISSO PARA MANUTENÇÃO ESCOLAR</t>
  </si>
  <si>
    <t>Prejuízos à manutenção escolar</t>
  </si>
  <si>
    <t>Manutenção escolar adequada</t>
  </si>
  <si>
    <t>Aquisição de Kits de Material Escolar para estudantes (materiais, mochila e estojo)</t>
  </si>
  <si>
    <t>Valor do Kit</t>
  </si>
  <si>
    <t>Termo de compromisso para aquisição de materiais escolares</t>
  </si>
  <si>
    <t>Prejuízos ao desenvolvimento das atividades escolares</t>
  </si>
  <si>
    <t>Continuidade das atividades escolares</t>
  </si>
  <si>
    <t>Posto de serviço de Analista Especializado em Infraestrutura</t>
  </si>
  <si>
    <t>Pagamento de postos de trabalho</t>
  </si>
  <si>
    <t>Pagamento de postos de trabalho de analistas em infraestrutura</t>
  </si>
  <si>
    <t>Ausência de mão de obra especializada impacta na manutenção e reforma das unidades de ensino</t>
  </si>
  <si>
    <t>Atendimento às unidades de ensino</t>
  </si>
  <si>
    <t>Vale alimentação e diárias para Analistas Especializados em Infraestrutura</t>
  </si>
  <si>
    <t>Pagamento de vale alimentação e diárias</t>
  </si>
  <si>
    <t>Pagamento de diárias e vale alimentação para analistas em infraestrutura</t>
  </si>
  <si>
    <t>Postos de serviços de Assistente Operacional, Analista Especializado em Ciências Sociais e Analista Especializado em Ciências Exatas</t>
  </si>
  <si>
    <t>Pagamento de postos de trabalho de Assistente Operacional, Analista Especializado em Ciências Sociais e Analista Especializado em Ciências Exatas</t>
  </si>
  <si>
    <t>A ausência impacta diretamente no suporte às diretorias</t>
  </si>
  <si>
    <t>Suporte administrativo às diretorias</t>
  </si>
  <si>
    <t>Vale alimentação e diárias para postos de serviços de Assistente Operacional, Analista Especializado em Ciências Sociais e Analista Especializado em Ciências Exatas</t>
  </si>
  <si>
    <t>Pagamento de diárias e vale alimentação para Assistente Operacional, Analista Especializado em Ciências Sociais e Analista Especializado em Ciências Exatas</t>
  </si>
  <si>
    <t>Serviços de rede</t>
  </si>
  <si>
    <t>Desembolso mensal</t>
  </si>
  <si>
    <t>Serviço de internet dedicada</t>
  </si>
  <si>
    <t>Judicialização, o Decreto Estadual de número 45006 de 2009, obriga todas as secretarias de estado a participarem da rede governo. Qualquer redução neste serviço/contrato, poderá impactar severamente a qualidade do trabalho nos regionais que já é precarizado por uma baixa velocidade atual.</t>
  </si>
  <si>
    <t>Segurança, controle e operação da Rede Governo, fica de responsabilidade da contratada. Liberando a SEE a focar em outros assuntos. (Necessidade de aumento de velocidade para as regionais e conselhos)</t>
  </si>
  <si>
    <t>Conexão VPN estação de trabalho</t>
  </si>
  <si>
    <t>Serviço de conexão via virtual private network (VPN)</t>
  </si>
  <si>
    <t>Interrompe os acessos externos (fora das dependências da secretaria) aos sistemas MAINFRAME. Sistema esse responsável por contralar todas operações financeiras e patrimoniais.</t>
  </si>
  <si>
    <t>Permite os servidores da SEE acessarem sistemas MAINFRAME, mesmo estando fora das dependências da secretaria.</t>
  </si>
  <si>
    <t>Serviços de manutenção em central telefônica</t>
  </si>
  <si>
    <t>Serviço de manutenção e locação de PABX</t>
  </si>
  <si>
    <t>Interrupção de contrato de manutenção dos serviços de telefonia e do contrato de manutenção</t>
  </si>
  <si>
    <t>Manutenção do contrato dos serviços de telefonia</t>
  </si>
  <si>
    <t>Certificado digital</t>
  </si>
  <si>
    <t>Serviços de certificado digital</t>
  </si>
  <si>
    <t>Interrupção de serviços de Certificado Digital, interrompendo processos de transações financeiras de altos valores.</t>
  </si>
  <si>
    <t>Maior segurança à alta gestão da SEE. Assim como maior agilidade na aprovação processos financeiros.</t>
  </si>
  <si>
    <t>Outsourcing de Impressão</t>
  </si>
  <si>
    <t>Serviço de impressão de documentos</t>
  </si>
  <si>
    <t>Interrupção de todos os serviços de impressão</t>
  </si>
  <si>
    <t>Manutenção dos serviços de impressão de documentos</t>
  </si>
  <si>
    <t>Serviços de Rede IP Multisserviços</t>
  </si>
  <si>
    <t>Serviço de governo</t>
  </si>
  <si>
    <t>Serviços de telefonia fixa, telefonia móvel pessoal, acessos telefônicos não residenciais (linha direta) e serviços de telefonia fixa DDD</t>
  </si>
  <si>
    <t>Valor mensal</t>
  </si>
  <si>
    <t>Interrupção dos serviços</t>
  </si>
  <si>
    <t>Manutenção dos serviços</t>
  </si>
  <si>
    <t>Drive A Informática / Blade</t>
  </si>
  <si>
    <t>Manutenção e reparo com fornecimento de peças de servidor Blade</t>
  </si>
  <si>
    <t>Não funcionamento do servidor</t>
  </si>
  <si>
    <t>Manter o funcionamento do servidor</t>
  </si>
  <si>
    <t>Licença do Adobe</t>
  </si>
  <si>
    <t>Licença do Adobe para suporte à Assessoria de Comunicação</t>
  </si>
  <si>
    <t>Comprometer o desempenho das funções da Assessoria de Comunicação Social</t>
  </si>
  <si>
    <t>Viabilizar o desempenho das funções da Assessoria de Comunicação Social</t>
  </si>
  <si>
    <t>Aquisição de bens de consumo</t>
  </si>
  <si>
    <t>Aquisição de periféricos e ferramentas de TI</t>
  </si>
  <si>
    <t>Utilização de periféricos e ferramentas degradas e obsoletas reduzindo a eficiência do parque tecnológico</t>
  </si>
  <si>
    <t>Aumento da eficiência do parque tecnológico</t>
  </si>
  <si>
    <t>Aquisição de SSD</t>
  </si>
  <si>
    <t>Aquisição de componente de estação de trabalho</t>
  </si>
  <si>
    <t>Aquisição de novas estações de trabalho</t>
  </si>
  <si>
    <t>Aquisição de estação de trabalho</t>
  </si>
  <si>
    <t>4510 - Atendimento Às Escolas Família Agrícola</t>
  </si>
  <si>
    <t>Atendimento as escolas de família agrícola</t>
  </si>
  <si>
    <t>EFAs atendidas</t>
  </si>
  <si>
    <t>Não realizar essa ação impede o trabalho realizado nas EFA</t>
  </si>
  <si>
    <t>Realizar essa ação garante a realização do trabalho da EFA.</t>
  </si>
  <si>
    <t>172 - Cooperação Estado-município Na Área Educacional</t>
  </si>
  <si>
    <t>4547 - Programa Estadual do Transporte Escolar - Pte/MG</t>
  </si>
  <si>
    <t>CONTRATAÇÃO TRANSPORTE ESCOLAR - TERMO DE COMPROMISSO</t>
  </si>
  <si>
    <t>Estudantes atendidos</t>
  </si>
  <si>
    <t>DESIÇÃO JUDICIAL</t>
  </si>
  <si>
    <t>Impossibilitar o acesso dos estudantes às escolas.</t>
  </si>
  <si>
    <t>Alunos beneficiados com transporte</t>
  </si>
  <si>
    <t>TRANSPORTE ESCOLAR</t>
  </si>
  <si>
    <t>Nº de alunos Estaduais / Alunos Totais X quilometragem diária</t>
  </si>
  <si>
    <t>Dados de matrícula e informações obtidas junto aos municípios</t>
  </si>
  <si>
    <t>Atendimento à necessidade de transporte escolar dos estudantes. Lei 21.777 Programa Decreto 46.946/2016. Resolução Conjunta SEE/SEGOV 2 DE 2024</t>
  </si>
  <si>
    <t>5212 - MÁQUINAS, APARELHOS E EQUIPAMENTOS USO ADMINISTRATIVO</t>
  </si>
  <si>
    <t>TDCO PMMG CTPM</t>
  </si>
  <si>
    <t>Instrumento pactuado</t>
  </si>
  <si>
    <t>Execução planejada</t>
  </si>
  <si>
    <t>Atendimento ao pleito da PMMG de reestruturação dos CTPMs</t>
  </si>
  <si>
    <t>Descumprimento de instrumento já formalizado com a PMMG, paralisação de obras nas unidades de colégios tiradentes que já estão em execução, problemas de infraestrutura escolar e possíveis danos físicos aos alunos dos CTPMs</t>
  </si>
  <si>
    <t>Melhoria da infraestrutura dos CTPMs</t>
  </si>
  <si>
    <t>5 - Inversão financeira</t>
  </si>
  <si>
    <t>Aquisição de terreno</t>
  </si>
  <si>
    <t>Terrenos adquiridos</t>
  </si>
  <si>
    <t>Referência</t>
  </si>
  <si>
    <t>Atender demanda da rede estadual</t>
  </si>
  <si>
    <t>Impede a evolução da estrutura de trabalho</t>
  </si>
  <si>
    <t>Atendimento de demanda de melhorias em SRE</t>
  </si>
  <si>
    <t>Diárias para servidorer em serviço - nacional</t>
  </si>
  <si>
    <t>Valor da diária conforme Decreto 47.045/2016</t>
  </si>
  <si>
    <t>Essa ação busca assegurar a continuidade dos trabalhos prestados</t>
  </si>
  <si>
    <t>Descontinuidade das ações da área</t>
  </si>
  <si>
    <t>Continuidade adequada das ações da área</t>
  </si>
  <si>
    <t>Subsecretaria de Articulação Educacional</t>
  </si>
  <si>
    <t>Viagens à serviço para demandas diversas da SE.</t>
  </si>
  <si>
    <t>Deixar de contribuir com o alinhamento das ações Superindentes na regional e da inspeção regional e o órgão central.</t>
  </si>
  <si>
    <t>Contribuir para que o trabalho dos superintendentes e inspetores esteja alinhado com as diretrizes e metas estratégicas da SEE</t>
  </si>
  <si>
    <t>Assessoria de Articulação Municipal</t>
  </si>
  <si>
    <t>4543 - Programa Mãos Dadas</t>
  </si>
  <si>
    <t>Absorção de Demanda</t>
  </si>
  <si>
    <t>Estimativa de matrículas</t>
  </si>
  <si>
    <t>Número de matrículas</t>
  </si>
  <si>
    <t>Repasse obrigatório da parcela (recurso Federal) destinado aos municípios por absorção de alunos da rede estadual</t>
  </si>
  <si>
    <t>Descumprir legislação</t>
  </si>
  <si>
    <t>Cumprir com a melhoria da qualidade do ensino</t>
  </si>
  <si>
    <t>Celebração de Convênio para Construção, ampliação e reforma de unidades de ensino</t>
  </si>
  <si>
    <t>Escolas com infraestrutura a</t>
  </si>
  <si>
    <t>Escolas sem as condições de infraestrutura adequada para as atividades escolares</t>
  </si>
  <si>
    <t>Escolas modernas e em boas condições para realização das atividades escolares</t>
  </si>
  <si>
    <t>Celebração de Convênio para Aquisição de mobiliário</t>
  </si>
  <si>
    <t>Equipar e mobiliar as escolas</t>
  </si>
  <si>
    <t>Falta de equipamentos e mobiliários essenciais para as atividades escolares</t>
  </si>
  <si>
    <t>Melhoria das condições d einfraestrura das unidades escolares</t>
  </si>
  <si>
    <t>SERVIÇOS DE IMPRESSÃO E ENCADERNAÇÃO</t>
  </si>
  <si>
    <t>Valor do banner</t>
  </si>
  <si>
    <t>Apresentação de projetos estratégicos em eventos</t>
  </si>
  <si>
    <t>Perder o apoio na parceria com os municípios</t>
  </si>
  <si>
    <t>Ampliar a capacidade de cooperação com os municípios.</t>
  </si>
  <si>
    <t>Município e Secretarias</t>
  </si>
  <si>
    <t>Valor médio do caderno</t>
  </si>
  <si>
    <t>Apresentação de projetos estratégicos para todos os municípios e superintendencias de ensino</t>
  </si>
  <si>
    <t>Deixar de apresentar materal físico do Caderno Parceria em Ação: as iniciativas de Minas Gerais em colaboração com os municípios</t>
  </si>
  <si>
    <t>Ampliar a capacidade de divulgação de Projetos Estratégicos da SEE</t>
  </si>
  <si>
    <t>Celebração de Convênio para aquisição de veículos para Transporte Escolar</t>
  </si>
  <si>
    <t>Transportar estudantes das escolas municipais</t>
  </si>
  <si>
    <t>Dificuldade de acesso de estudantes às escolas</t>
  </si>
  <si>
    <t>Aumento e manutenção da frequência escolar</t>
  </si>
  <si>
    <t>2122 - Desenvolvimento do Ensino Fundamental</t>
  </si>
  <si>
    <t>Cursos de capacitação de acordo com demandads do RENALFA</t>
  </si>
  <si>
    <t>Não</t>
  </si>
  <si>
    <t>Inscrição</t>
  </si>
  <si>
    <t>Valor unitário</t>
  </si>
  <si>
    <t>Transferência de recursos para Universidade Estadual de Minas Gerais (UEMG) para oferta de cursos de pós graduação para docentes das redes municipais de ensino</t>
  </si>
  <si>
    <t>300 vagas para docentes municipais</t>
  </si>
  <si>
    <t>valor por docente</t>
  </si>
  <si>
    <t>Oferta de cursos de pós graduação por docentes das redes municipais de ensino</t>
  </si>
  <si>
    <t>Diárias para atender demandas da SE.</t>
  </si>
  <si>
    <t>Cursos de capacitação de servidores da SE</t>
  </si>
  <si>
    <t>Falta de capacitação dos servidores para melhor desempenho das atividades da unidade administrativa</t>
  </si>
  <si>
    <t>Servidores capacitados e motivados para desempenho das funções</t>
  </si>
  <si>
    <t>Superintendência de Organização Escolar e Informações Educacionais</t>
  </si>
  <si>
    <t>165 - Organização, Avaliação e Gestão Escolar</t>
  </si>
  <si>
    <t>2127 - Organização e Funcionamento Escolar</t>
  </si>
  <si>
    <t>Diária para atender os servidores públicos estaduais que participarão de ações relacionadas à organização escolar.</t>
  </si>
  <si>
    <t>Diárias para capacitação e realização de encontros para orientação e treinamento de servidores das SREs, por servidores do órgão central</t>
  </si>
  <si>
    <t>Promover capacitação e treinamento para as SREs quanto à Organização do Plano de Atendimento Escolar, à regularização da Vida Escolar e ao atendimento das redes privada e municipais de ensino que não têm sistema próprio.</t>
  </si>
  <si>
    <t>Defasagem das informações e soluções para o atendimento de todas as redes de ensino.</t>
  </si>
  <si>
    <t>Garantir a Organização e o bom atendimento às Escolas e Estudantes.</t>
  </si>
  <si>
    <t>Garantir a eficiência nos trabalhos imprescindíveis.</t>
  </si>
  <si>
    <t>Transporte para encontros de orientação e treinamento de servidores das SREs por servidores do Órgão Central</t>
  </si>
  <si>
    <t>Superintendências Regionais de Ensino</t>
  </si>
  <si>
    <t>Diárias de viagens para superintendentes, inspetores e servidores da SRE</t>
  </si>
  <si>
    <t>Execução adequada das atividades das Superintendências Regionais de Ensino.</t>
  </si>
  <si>
    <t>Falta de integração entre as SREs e órgão central, prejudicando os trabalhos cotidianos.</t>
  </si>
  <si>
    <t>Manutenção das SRE</t>
  </si>
  <si>
    <t>Demanda de atendimento das SRE</t>
  </si>
  <si>
    <t>Atendimento das necessidades das Superintendências Regionais de Ensino</t>
  </si>
  <si>
    <t>Falta de suporte adequado às tarefas das SREs.</t>
  </si>
  <si>
    <t>Proporcionar condições adequadas de trabalho para as Regionais</t>
  </si>
  <si>
    <t>4545 - Programa de Fortalecimento das Escolas Municipais</t>
  </si>
  <si>
    <t>Celebração de convênio ou instrumento congênere de forma que o município a ser atendido seja capaz de executar reformas e construções de escolas municipais e estaduais, compra de mobiliários e equipamentos diversos, construção de quadras escolares, aquisição de veículos de transporte escolar e manutenção e custeio do transporte escolar necessárias para o fortalecimento da rede municipal de ensino.</t>
  </si>
  <si>
    <t>ESCOLA CONSTRUÍDA* QTD</t>
  </si>
  <si>
    <t>VALOR DE REFERÊNCIA DA ESCOLA PADRÃO FNDE</t>
  </si>
  <si>
    <t>ATENDER AS DEMANDAS DE CONSTRUÇÃO DE ESCOLAS MUNICIPAIS</t>
  </si>
  <si>
    <t>PREFEITURA ARCAR COM RECURSOS PRÓRPIOS ATENDER A DEMANDA</t>
  </si>
  <si>
    <t>FORTALECER O REGIME DE COLABORAÇÃO ESTADO MUNICIPIO</t>
  </si>
  <si>
    <t>ESCOLA REFORMADA* QTD</t>
  </si>
  <si>
    <t>ITENS DA PLANILHA SEINFRA/DER</t>
  </si>
  <si>
    <t>ATENDER AS DEMANDAS DE REFORMA DE ESCOLAS MUNICIPAIS</t>
  </si>
  <si>
    <t>QUADRA CONSTRUÍDA* QTD</t>
  </si>
  <si>
    <t>VALOR DE REFERÊNCIA DOS MODELOS DE QUADRA 2</t>
  </si>
  <si>
    <t>ATENDER AS DEMANDAS DE CONSTRUÇÃO DE QUADRAS NAS ESCOLAS MUNICIPAIS</t>
  </si>
  <si>
    <t>KIT MOBILIÁRIO * QTD</t>
  </si>
  <si>
    <t>ATENDER AS DEMANDAS DE MOBILIÁRIO NAS ESCOLAS MUNICIPAIS</t>
  </si>
  <si>
    <t>VEÍCULO PARA TRANSPORTE*QTD</t>
  </si>
  <si>
    <t>VALOR DE REFERÊNCIA DA DE VEÍCULO PEQUENO</t>
  </si>
  <si>
    <t>ATENDER AS DEMANDAS DE AQUISIÇÃO DE VEÍCUOS PARA O TRANSPORTE ESCOLAR</t>
  </si>
  <si>
    <t>VALOR DE REFERÊNCIA DA DE MINIVAN</t>
  </si>
  <si>
    <t>VALOR DE REFERÊNCIA DA DE VEÍCULO VAN</t>
  </si>
  <si>
    <t>VALOR DE REFERÊNCIA DA DE MICROÔNIBUS</t>
  </si>
  <si>
    <t>Subsecretaria de Desenvolvimento da Educação Básica</t>
  </si>
  <si>
    <t>Atendimento à demandas gerais da SB</t>
  </si>
  <si>
    <t>Pode haver desencontro de informações sobre as atividades da SB</t>
  </si>
  <si>
    <t>Cumprimento da legislação vigente</t>
  </si>
  <si>
    <t>Diárias para atender demandas da SB.</t>
  </si>
  <si>
    <t>Viagens à serviço para demandas diversas da SB.</t>
  </si>
  <si>
    <t>Superintendência de Políticas Pedagógicas</t>
  </si>
  <si>
    <t>167 - Apoio Pedagógico Para o Desenvolvimento da Educação Básica</t>
  </si>
  <si>
    <t>4508 - Educação Integral</t>
  </si>
  <si>
    <t>Diárias Passaporte Mineiro</t>
  </si>
  <si>
    <t>Encontros previstos</t>
  </si>
  <si>
    <t>Passaporte Mineiro</t>
  </si>
  <si>
    <t>Viagens de intercâmbio</t>
  </si>
  <si>
    <t>Valor médio</t>
  </si>
  <si>
    <t>Continuidade do programa de intercâmbio</t>
  </si>
  <si>
    <t>Descontinuidade do programa</t>
  </si>
  <si>
    <t>Continuidade do programa ofertado a estudantes da rede</t>
  </si>
  <si>
    <t>Escola de Formação Profissional</t>
  </si>
  <si>
    <t>2123 - Escola de Formação Profissional</t>
  </si>
  <si>
    <t>Contratação de Licenças de uso de software-Britannica e go fluent</t>
  </si>
  <si>
    <t>Contrato vigente</t>
  </si>
  <si>
    <t>Contratação de Licenças de uso de software</t>
  </si>
  <si>
    <t>Atendimento à projeto pedagógico</t>
  </si>
  <si>
    <t>Projeto pedagógico interrompido</t>
  </si>
  <si>
    <t>Continuidade de projeto de atendimento a estudantes da rede</t>
  </si>
  <si>
    <t>3931 - LOCACAO DE SERVICOS GRAFICOS</t>
  </si>
  <si>
    <t>Renalfa materiais didáticos</t>
  </si>
  <si>
    <t>valor contratual</t>
  </si>
  <si>
    <t>Cumprimento das disposições do Decreto Federal n.º 11.556/2023 e obrigações do Compromisso Nacional Criança Alfabetizada - CNCA.</t>
  </si>
  <si>
    <t>"- Descontinuidade da conjugação de esforços, e em regime de colaboração junto ao Governo Federal, para promoção da melhoria da qualidade do processo e dos resultados de alfabetização, com atenção à redução das desigualdades de aprendizagem entre estudantes em sua esfera de competência, no âmbito do Compromisso Nacional Criança Alfabetizada - CNCA, por não haver na estrutura interna da SEE/MG, departamento que possa suprir as necessidades de impressão gráfica de material didático suplementar, justifica-se a contratação de empresa especializada na prestação de serviço de impressão gráfica; 
 - Descumprimento do Termo de Compromisso FNDE n.º 948916-8."</t>
  </si>
  <si>
    <t>Distribuição de material didático suplementar do Compromisso Nacional Criança Alfabetizada - CNCA, com foco na alfabetização e na recomposição da aprendizagem, para os anos iniciais do Ensino Fundamental, para fomento e ampliação da política educacional, mas principalmente para garantir a qualidade do ensino da rede pública e a, consequente, qualidade da alfabetização tão almejada.</t>
  </si>
  <si>
    <t>Instuto hortense - formação socioemocional</t>
  </si>
  <si>
    <t>Garantir a integralização do currículo referência de Minas Gerais integrando competências socioemocionais à prática educativa para garantir o desenvolvimento integral dos estudantes, contribuindo com o desemprenho acadêmico dos estudantes</t>
  </si>
  <si>
    <t>- Descontinuidade da promoção e desenvolvimento de competências emocionais tanto em alunos quanto em educadores, previstas no Currículo Referência de MG.</t>
  </si>
  <si>
    <t>"- Implementação da Metodologia EAI - Emoção, Aprendizagem e Inteligência;
 - Integração da educação socioemocional ao currículo escolar, em uma abordagem inovadora, buscando fomentar a criatividade, a autonomia e a construção de valores essenciais para a convivência social e a cidadania;
  - Criação de um ambiente escolar mais equilibrado e emocionalmente inteligente."</t>
  </si>
  <si>
    <t>Google plus</t>
  </si>
  <si>
    <t>Suporte tecnológico aos servidores</t>
  </si>
  <si>
    <t>Descontinuidade de serviços de TI</t>
  </si>
  <si>
    <t>Manutenção de serviços de uso cotidiano</t>
  </si>
  <si>
    <t>Contratação de empresa prestadora de serviços técnicos especializados para o desenvolvimento de atividades de pré-produção, produção, captação, pós-produção, recepção e transmissão de imagens e/ou sons, ao vivo e/ou gravado para TV aberta, TV a cabo, Internet, Redes Sociais, Streaming, transmissões multiplataformas, dentre outras necessárias para o desenvolvimento do Programa Se Liga News - Estúdio Educação</t>
  </si>
  <si>
    <t>valor estimado</t>
  </si>
  <si>
    <t>Ampliar por meio de canais digitais e de comunicação o acesso a conteúdos de formação acadêmica para os estudantes e formação continuada para professores e profissionais da educação.</t>
  </si>
  <si>
    <t>Descontinuidade na integração das tecnologias no processo educacional, principalmente no que tange: 
 * à publicização de ações pedagógicas de rede; 
 * oferta de aulas com suporte ao processo de ensino-aprendizagem; 
 * veiculação de programas/projetos/ações de formação;
 * divulgação de ações/eventos de todas as áres da SEE/MG.</t>
  </si>
  <si>
    <t>Implementação da política pública de universalização e democratização da educação, fortalecimento das ações de formação continuada, atualização e aperfeiçoamento para profissionais da educação, presenciais e à distância, concomitantemente à inserção das Tecnologias da Informação e Comunicação nas escolas de Educação Básica da Rede Pública Estadual;
 - Promoção da inclusão digital e democratização do acesso à educação de qualidade em Minas Gerais;
 - Complementação ao ensino presencial, ajudando alunos a revisar conteúdos e se prepararem para avaliações como o ENEM e exames de certificação, como o ENCEJA.</t>
  </si>
  <si>
    <t>Equipamentos para a escola de formação</t>
  </si>
  <si>
    <t>Aquisição de equipamentos de trabalho</t>
  </si>
  <si>
    <t>Superintendência de Avaliação Educacional</t>
  </si>
  <si>
    <t>2107 - Avaliações Educacionais</t>
  </si>
  <si>
    <t>AVALIAÇÃO INTERNA, EXTERNA E CERTIFICAÇÃO (CAED)</t>
  </si>
  <si>
    <t>Elaboração e Análise Estatística de resultados da Avaliação da Aprendizagem</t>
  </si>
  <si>
    <t xml:space="preserve">Contratato para Avaliações formativas e somativas, Fluência </t>
  </si>
  <si>
    <t xml:space="preserve">Conjunto de avaliações de aprendizagem (uma avaliação Inntermediária em 2024 e uma avaliação diagnóstica em 2025/PROEB/PROALFA)
</t>
  </si>
  <si>
    <t xml:space="preserve">Perda de dados cruciais para a compreensão e melhoria contínua do processo de ensino-aprendizagem.
</t>
  </si>
  <si>
    <t xml:space="preserve">O conjunto de instrumentos que compõem as avaliações do SIMAVE produzem indicadores que, registrados ao longo do tempo, constituem uma série histórica que é utilizada para subsidiar as decisões para implementação, (re)formulação e monitoramento de políticas educacionais, fornecendo aos gestores evidências que comprovam a qualidade do trabalho realizado.
</t>
  </si>
  <si>
    <t>KIT ESCOLAR (INCENTIVO)</t>
  </si>
  <si>
    <t>Kits de material de custeio para incentivo a participação de avaliações externas</t>
  </si>
  <si>
    <t>Valor médio histórico por estudante, para todo o território do estado, visto que a compra é realizada pelas caixas escolares.Cálculo realizado para estudantes do 2,5,9 ano EF e 3 EM em 3.291 escolas</t>
  </si>
  <si>
    <t>A ausência de frequência prevista para avaliações e a falta de kits de material para incentivar a participação em avaliações externas podem desencorajar a adesão de alunos e escolas. Isso mina a integridade e abrangência dos resultados, comprometendo a capacidade de avaliar efetivamente o progresso educacional.</t>
  </si>
  <si>
    <t>Promoção de incentivo para realização de provas do SAEB de 2025.</t>
  </si>
  <si>
    <t>SERVIÇOS GRÁFICOS</t>
  </si>
  <si>
    <t>Diagramação, impressão dos materiais didáticos e administrtivos das provas Proalfa e Proeb, distribuição regionalizada</t>
  </si>
  <si>
    <t>Valores relativos ao Termo de Referencia do Contrato em processo de licitação.</t>
  </si>
  <si>
    <t xml:space="preserve">Impossibilidade de realizar as avaliações, o que comprometeria a coleta de dados essenciais para medir o desempenho dos alunos e a eficácia das políticas educacionais.
</t>
  </si>
  <si>
    <t>Garantir a produção e distribuição eficiente das avaliações, o que permite uma coleta de dados precisa e oportuna sobre o desempenho dos alunos, contribuindo para a melhoria contínua da qualidade educacional.</t>
  </si>
  <si>
    <t>1094 - Gestao Pela Aprendizagem</t>
  </si>
  <si>
    <t>Diárias para atender os servidores públicos estaduais que participarão dos programas Jovem de Futuro e GIDE (GESTÃO INTEGRADA DA EDUCAÇÃO AVANÇADA)</t>
  </si>
  <si>
    <t>Acompanhamento de ações do Jovens de Futuro e do GIDE.</t>
  </si>
  <si>
    <t>Pouca apropriação da metodologia do Jovem de Futuro pelas Regionais que receberão a expansão. Inviabilização do acompanhamento das ações do GIDE desenvolvidas em parceria com a FDG</t>
  </si>
  <si>
    <t>Circuito de Gestão do Jovens de Futuro sendo implementado integralmente e cumprimento do exposto no Termo de Cooperação de parceria firmado junto à FDG para a melhoria da gestão dos resultados escolares.</t>
  </si>
  <si>
    <t>Transporte Urbano conforme decreto</t>
  </si>
  <si>
    <t>Pouca apropriação da metodologia do Jovem de Futuro pelas Regionais que receberão a expansão</t>
  </si>
  <si>
    <t>Inviabilização do acompanhamento das ações desenvolvidas em parceria com a FDG</t>
  </si>
  <si>
    <t>1093 - Plano de Recomposiçao das Aprendizagens - Pra</t>
  </si>
  <si>
    <t>Diárias para atender os servidores públicos estaduais que participarão do Projeto Socioemocional</t>
  </si>
  <si>
    <t>Diária para 44 SREs, considerando ações mensais para 500 servidores (considerando 3 analistas educacionais e 500 inspetores escolares)</t>
  </si>
  <si>
    <t>Implementação e monitoramento do Projeto Socioemocional</t>
  </si>
  <si>
    <t>O monitoramento e as formações são necessárias conforme realização de questionários e pesquisa de Clima Escolar e das competências Socioemocionais.</t>
  </si>
  <si>
    <t>Não implementação do Projeto Socioemocional e prejuízo no desenvolvimento das intrvenções pedagógicas para os estudantes.</t>
  </si>
  <si>
    <t>Implementação e monitoramento do Plano de Recomposição das Aprendizagens e diagnóstico das escolas prioritárias.</t>
  </si>
  <si>
    <t>A formação é necessária para apropriação de como desenvolver ações para garantia no desenvolvimento das competências socioemocionais</t>
  </si>
  <si>
    <t>Não implementação da Recomposição das Aprendizagens e não garantia do direito de aprendizagem dos estudantes.</t>
  </si>
  <si>
    <t>2105 - Projeto Somar</t>
  </si>
  <si>
    <t>Execução do projeto</t>
  </si>
  <si>
    <t>Despesas estimadas</t>
  </si>
  <si>
    <t>valores estimados</t>
  </si>
  <si>
    <t>Descontibuidade</t>
  </si>
  <si>
    <t>Andamento adequado do projeto</t>
  </si>
  <si>
    <t>2119 - Desenvolvimento da Educação de Jovens e Adultos - EJA</t>
  </si>
  <si>
    <t>Repasses para caixas escolares que ofertam EJA</t>
  </si>
  <si>
    <t>Demandas da EJA</t>
  </si>
  <si>
    <t>Demandas não atendidas</t>
  </si>
  <si>
    <t>Valorização da EJA e dos profissionais</t>
  </si>
  <si>
    <t>Impressão da Revista EJA Novos Rumos</t>
  </si>
  <si>
    <t>EJA Novos Rumos</t>
  </si>
  <si>
    <t>Desmotivação das equipes; baixa divulgação</t>
  </si>
  <si>
    <t>005 - Programa Mineiro de Acessibilidade, Inclusão e Saúde (PROMAIS)</t>
  </si>
  <si>
    <t>2067 - Desenvolvimento da Educação Especial</t>
  </si>
  <si>
    <t>Kits de acessibilidade, materiais pedagógicos e materiais para implementação de sala de recursos</t>
  </si>
  <si>
    <t>Número de estudantes beneficiados</t>
  </si>
  <si>
    <t>Orçamentos anteriores</t>
  </si>
  <si>
    <t>Entrega de kits para acessibilidade pedagógica para estudantes com baixa visão e cegueira. Os kits contem: mochila; caderno com pauta ampliada; lápis de cor; canetinha; lápis preto com grafite macio; plano inclinado; soroban; reglete; punção; bengala; papel 40kg para escrita braille. Materiais pedagógicos para acessibilidade dos estudantes publico da educação especial de acordo com a Portaria Normativa nº 13 de 24/04/2007 - MEC. Cumprimento da Lei estadual nº 23.773/2021, que dispôe sobre a criação de escolas bilíngues de surdos na rede estadual de ensino, e garantia do direito linguístico</t>
  </si>
  <si>
    <t>Os kits de acessibilidade pedagógica permitem aos estudantes com deficiência visual acessarem o currículo em condições de igualdade com os demais estudantes. A não entrega dos kits ocasiona a não aprendizagem dos estudantes supracitados por falta de garantia de direito de aprendizagem. Com a entrega dos Kits evitamos decisões judiciais para que os estudantes tenham acesso ao currículo mediante a convocação de professor de apoio (estamos recebendo algumas decisões nesse sentido por falta de acessibilidade pedagógica). A sala de recursos é um programa do governo federal que se utiliza de métodos, técnicas e recursos que permitem a participação dos estudantes publico da educação especial nas escolas comuns. A falta de materiais pedagógicos adequados impossibilita o atendimento às necessidades pedagógicas desses estudantes impedindo sua participação com qualidade nos ambientes comuns de aprendizagem. Sem os materiais necessários para a produção da acessibilidade pedagógica, os estudantes público da educação não conseguem acessar o currículo, conforme previsto na legislação. Sala de recursos é um direito do estudante com deficiência, TEA e Altas Habilidades/Superdotação. Considerando a especificidade linguística dos estudantes surdos, a não criação da sala de recursos bilíngue de surdos e sala de estúdio na escola bilíngue de surdos fere o direito linguístico dos estudantes (língua portuguesa como segunda língua) e consequentemente impacta na aprendizagem uma vez que a Libras é a língua materna dos estudantes surdos que utilizam a Libras como forma de comunicação</t>
  </si>
  <si>
    <t>Garantia do direito à aprendizagem e acesso ao currículo escolar. Garantia do direito aos materiais pedagógicos acessíveis. Garantia do direito à participação em todos os programas e projetos realizados nas unidades escolares. Todas essas garantias de direitos estão previstas na Lei Brasileira de Inclusão (Lei nº 13.146/2015) e na Resolução SEE nº 4.256/2020</t>
  </si>
  <si>
    <t>Itens de capital para a educação especial</t>
  </si>
  <si>
    <t>Conforme demanda</t>
  </si>
  <si>
    <t>Estimado</t>
  </si>
  <si>
    <t>Itens de acessibilidade para estudantes</t>
  </si>
  <si>
    <t>Os itens permitem aos estudantes cegos acessarem o currículo em condições de igualdade com os demais estudantes. A não entrega dos itens ocasiona a não aprendizagem adequada dos estudantes supracitados por falta de garantia de direito de aprendizagem.</t>
  </si>
  <si>
    <t>Garantia do direito à aprendizagem e acesso ao currículo escolar. Garantia do direito aos materiais pedagógicos acessíveis. Garantia do direito à participação em todos os programas e projetos realizados nas unidades escolares. Todas essas garantias de direitos estão previstas na Lei Brasileira de Inclusão (Lei nº 13.146/2015) e na Resolução SEE nº 4.256/2020 e cumprimento do MP.</t>
  </si>
  <si>
    <t>MONITORAMENTO DA IMPLANTAÇÃO DA POLÍTICA DE EDUCAÇÃO INTEGRAL NA REDE E DA CONSOLIDAÇÃO DO MODELO PEDAGÓGICO E DE GESTÃO NAS ESCOLAS DE TEMPO INTEGRAL</t>
  </si>
  <si>
    <t>DESALINHAMENTO DO MODELO PEDAGÓGICO DE GESTÃO PROPOSTO PELA SEE NAS ESCOLAS DE ETI</t>
  </si>
  <si>
    <t>ATENDIMENTO ASSERTIVO À METODOLOGIA PROPOSTA PELA SEE NAS ESCOLAS EFTI E EMTI</t>
  </si>
  <si>
    <t>Diárias para atender demandas da educação integral</t>
  </si>
  <si>
    <t>DESENVOLVIMENTO ASSERTIVO DA METODOLOGIA PROPOSTA PELA SEE NAS ESCOLAS DE ETI</t>
  </si>
  <si>
    <t>4511 - Desenvolvimento do Ensino Medio</t>
  </si>
  <si>
    <t>Orientação pedagógica</t>
  </si>
  <si>
    <t>Escolas (termos de compromisso)</t>
  </si>
  <si>
    <t>Material para subsídio do desenvolvimento das ações de ensino e aprendizagem no componente curricular Tecnologia e Inovação, parte integrantes dos itinérários formativos do Ensino Médio</t>
  </si>
  <si>
    <t>Fracasso na implementação do componente curricular Tecnologia e Inovação no Ensino Médio , implementação da BNCC.</t>
  </si>
  <si>
    <t>Sucesso no desenvolvimento dos estudantes do componente curricular Tecnologia e Inovação no Ensino Médio</t>
  </si>
  <si>
    <t>Projeto Maratona ENEM. Empresa responsável por subsidiar com material impresso e virtual , incluindo inteligência artificial para criação de material para alunos do ensino médio.</t>
  </si>
  <si>
    <t>Compra centralizada (processo licitatório)</t>
  </si>
  <si>
    <t>Valor contratual</t>
  </si>
  <si>
    <t>Projeto de melhoria da aprendizagem e preparo dos estudantes para as avaliações externas do Ensino Médio</t>
  </si>
  <si>
    <t>Diminuição da possibilidade de melhoria da aprendizagem e dos índices da educação em avaliações externas</t>
  </si>
  <si>
    <t>Estímulo/preparo aos estudantes para a participação no ENEM, e prosseguimento da carreira estudantil no Ensino Superior</t>
  </si>
  <si>
    <t>4505 - Desenvolvimento da Educação Quilombola</t>
  </si>
  <si>
    <t>Diárias para atender demandas da educação quilombola</t>
  </si>
  <si>
    <t>Essa ação busca atender ao previsto na Resolução CNE/CEB nº 8/2012 e Resolução SEE nº 3.658/2017, promovendo a elaboração de currículos, ações pedagógicas, coleta e registro de dados pertinentes aos princípios da Educação Escolar Quilombola.</t>
  </si>
  <si>
    <t>Não realizar essa ação impede a elaboração do currículo voltado para as populações quilombolas e descumpre legislações nacionais, estaduais e da própria Secretaria de Educação, sendo a Educação Quilombola uma política pública nacional de estado.</t>
  </si>
  <si>
    <t>Realizar essa ação promoverá a divulgação, discussão e elaboração de um currículo adequado à Educação Escolar Quilombola, atendendo às legislações vigentes nacionais, estaduais e da própria Secretaria.</t>
  </si>
  <si>
    <t>Descentralização de recursos para impressão e compra de materias didático-pedagógicos especificos da modalidade da Educação Escolar Quilombola.</t>
  </si>
  <si>
    <t>Escola</t>
  </si>
  <si>
    <t>Cotação para atendimento via TC</t>
  </si>
  <si>
    <t>4506 - Desenvolvimento da Educação Indígena</t>
  </si>
  <si>
    <t>Diárias para atender demandas da educação indígena</t>
  </si>
  <si>
    <t>Essa ação busca atender ao previsto na Resolução CNE/CEB nº 5/2012, Resolução SEE nº 2.809/2015 e Resolução SEE nº 4306/2020, promovendo a elaboração de políticas públicas pedagógicas pertinentes aos preceitos da Educação Indígena.</t>
  </si>
  <si>
    <t>Não realizar essa ação impede a elaboração de políticas públicas pedagógicas para as populações indígenas e descumpre legislações nacionais, estaduais e da própria secretaria de educação, sendo a Educação do Campo Indígena uma política pública de estado.</t>
  </si>
  <si>
    <t>Realizar essa ação promoverá a divulgação, discussão e elaboração de políticas públicas pedagógicas adequadas à Educação Indígena, atendendo às legislações vigentes nacionais, estaduais e da própria secretaria.</t>
  </si>
  <si>
    <t>Essa ação busca atender ao previsto na Resolução CNE/CEB nº 5, de 22 de junho de 2012 - Define Diretrizes Curriculares Nacionais para a Educação Escolar Indígena na Educação Básica, promovendo a elaboração de políticas públicas pedagógicas em acordo com a instância da consulta prévia, livre e informada (OIT 169/1989) pertinentes aos preceitos da Educação Indígena.</t>
  </si>
  <si>
    <t>Descentralização de recursos para realização dos Jogos dos Povos Indígenas de Minas Gerais. Celebração de TDCO com a SEDESE.</t>
  </si>
  <si>
    <t>custo estimado</t>
  </si>
  <si>
    <t>Essa ação busca atender ao previsto na Resolução CNE/CEB nº 5, de 22 de junho de 2012 - Define Diretrizes Curriculares Nacionais para a Educação Escolar Indígena na Educação Básica, promovendo a produção e publicação de materiais de apoio pedagógico didáticos, específicos e diferenciados, na
língua materna indígena, em português outras, elaborados pelos professores indígenas em
articulação com os estudantes indígenas, para todas as áreas de conhecimento e promovendo os jogos.</t>
  </si>
  <si>
    <t>Não realizar essa ação impede a elaboração de materiais específicos para as populações indígenas conforme a proposta pedagógica de cada escola e descumpre legislações nacionais, estaduais e da própria secretaria de educação, sendo a Educação do Campo Indígena uma política pública de estado.</t>
  </si>
  <si>
    <t>Realizar essa ação promoverá a continuidade do atendimento pedagógico específico e diferenciado conforme a realidade de cada povo indígena e suas comunidades, conforme a proposta curricular desses escolas e atendendo às legislações vigentes nacionais, estaduais e da própria secretaria.</t>
  </si>
  <si>
    <t>Descentralização de recurso para aquisição de material para práticas pedagógicas da Educação Escolar Indígena - (ferramentas relacionadas a hortas, acervo literário, etc.) - para 33 escolas. Material específico e não ha atualização há mais de 2 anos.</t>
  </si>
  <si>
    <t>Termo de compromisso dialogado com os representantes das comunidades.</t>
  </si>
  <si>
    <t>Essa ação busca atender ao previsto na Resolução CNE/CEB nº 5, de 22 de junho de 2012 - Define Diretrizes Curriculares Nacionais para a Educação Escolar Indígena na Educação Básica, promovendo a aquisição de materiais didáticos e paradidáticos pertinentes aos preceitos da Educação Indígena.</t>
  </si>
  <si>
    <t>Não realizar essa ação impede a aquisição de materiais para as populações indígenas conforme a proposta pedagógica de cada escola e descumpre legislações nacionais, estaduais e da própria secretaria de educação, sendo a Educação do Campo Indígena uma política pública de estado.</t>
  </si>
  <si>
    <t>4507 - Desenvolvimento da Educação do Campo</t>
  </si>
  <si>
    <t>Descentralização de recurso de capital para execução do Projeto Piloto da Pedagogia da Alternância</t>
  </si>
  <si>
    <t>Termo de Compromisso. Com base nos ultimos anos.</t>
  </si>
  <si>
    <t>Essa ação busca atender ao previsto na Resolução CNE/CP nº 1/2023 e Resolução SEE nº 2820/2015, promovendo a elaboração de currículos pertinentes a Pedagogia da Alternância na Educação do Campo.</t>
  </si>
  <si>
    <t>Não realizar essa ação impede a elaboração de um currículo voltado para as populações campesinas e descumpre legislações nacionais, estaduais e da própria secretaria de educação, sendo a Educação do Campo uma política pública nacional e de estado.</t>
  </si>
  <si>
    <t>Realizar essa ação promoverá a divulgação, discussão e elaboração de um currículo adequado à Educação do Campo com a inclusão da Pedagogia da Alternância, atendendo às legislações vigentes nacionais, estaduais e da própria secretaria.</t>
  </si>
  <si>
    <t>Descentralização de recurso de custeio para execução do Projeto Piloto da Pedagogia da Alternância.</t>
  </si>
  <si>
    <t>Diárias para atender demandas da educação do campo</t>
  </si>
  <si>
    <t>Essa ação busca atender ao previsto na Resolução SEE 2820/2015 e ao Decreto Estadual 46939/2016, promovendo a garantia de direitos educacionais às comunidades campesinas e a participação popular na elaboração de currículos e demais propostas pertinentes aos preceitos da Educação do Campo.</t>
  </si>
  <si>
    <t>Não realizar essa ação impede a discussão e elaboração com a participação dos representantes institucionais de propostas da Educação do Campo voltadas para a implementação do currículo, acesso e permanência de estudantes das populações campesinas e descumpre legislações nacionais, estaduais e da própria secretaria de educação, sendo a Educação do Campo uma política pública de estado.</t>
  </si>
  <si>
    <t>Realizar essa ação promoverá a divulgação, discussão e elaboração de um currículo e demais propostas adequadas à Educação do Campo, atendendo às legislações vigentes nacionais, estaduais e da própria secretaria.</t>
  </si>
  <si>
    <t>4509 -Desenvolvimento da Educação Prisional e Socieducativa</t>
  </si>
  <si>
    <t>Termo de compromisso (material permante) para as escolas que atendem ao Sistema Socieducativo)</t>
  </si>
  <si>
    <t>20 escolas</t>
  </si>
  <si>
    <t>Necessidade de implementar políticas públicas mais adequadas à realidade dos estudantes assistidos nas escolas do sistema socioeducativo</t>
  </si>
  <si>
    <t>Implementação de ações pedagógicas e políticas públicas pouco aderentes à realidade do sistema socioeducativo, pouco atrativas para os estudantes e servidores</t>
  </si>
  <si>
    <t>Termo de compromisso (Custeio) para as escolas que atendem ao Sistema Socieducativo (lapis, apontador, folha, caderno)</t>
  </si>
  <si>
    <t>Escolas com necessidade de mobiliários novos para atendimento aos estudantes em privação de liberdade</t>
  </si>
  <si>
    <t>Oferta educacional precarizada.</t>
  </si>
  <si>
    <t>Aprimoramento das políticas públicas destinadas aos adolescentes em cumprimento de medida socioeducativa no Estado.</t>
  </si>
  <si>
    <t>1092 - Desenvolvimento do Esporte Escolar</t>
  </si>
  <si>
    <t>JEMG (alimentação)</t>
  </si>
  <si>
    <t>Alimentação para atendimento dos participantes, por regional, das 3 etapas do JEMG Sendo 05 refeições dia, para atender 05 dias.</t>
  </si>
  <si>
    <t>Etapas do JEMG</t>
  </si>
  <si>
    <t>Oferecer aos estudantes das escolas a prática esportiva</t>
  </si>
  <si>
    <t>Não atendimento da política pública do Governo de Minas Gerais firmada por meio do Termo de Parceria. Desestímulo às ações de valorização da prática esportiva escolar.</t>
  </si>
  <si>
    <t>Valorização da prática esportiva escolar e da construção da cidadania dos jovens alunos-atletas de forma educativa e democrática. Aumento do vínculo e permanência do aluno-atleta na escola contribuindo na diminuição da evasão escolar. Promoção da integração, sociabilidade e aprendizado dos alunos-atletas.</t>
  </si>
  <si>
    <t>JEMG (subvenções sociais - repasse para SEDESE)</t>
  </si>
  <si>
    <t>Pagamento de parcela do Termo de Parceria - TP51/2023</t>
  </si>
  <si>
    <t>Referente a parcela do Termo de Parceria para atendimento técnico do JEMG</t>
  </si>
  <si>
    <t>JEMG (pequenos reparos escolas)</t>
  </si>
  <si>
    <t>Logistica de alojamento do estudante</t>
  </si>
  <si>
    <t>Manutenção das escolas sede</t>
  </si>
  <si>
    <t>Diárias para atender os servidores públicos estaduais que participarão do evento.</t>
  </si>
  <si>
    <t>Analistas por regional para acompanhamento do JEMG</t>
  </si>
  <si>
    <t>Despesas com combustível</t>
  </si>
  <si>
    <t>Valor de combustivel por regional, para deslocamento de analista por etapa</t>
  </si>
  <si>
    <t>Delocamento de analista (ida e volta) por regional</t>
  </si>
  <si>
    <t>JEMG (reparo e manutenção de veículos)</t>
  </si>
  <si>
    <t>Garantir pequenos reparos para os veículas durante o deslocamento</t>
  </si>
  <si>
    <t>Valor mímimo a ser repassado para gastos de veículos</t>
  </si>
  <si>
    <t>2118 - Trilhas de Futuro - Estudantes</t>
  </si>
  <si>
    <t>Valor dos cursos do Trilhas de Futuro.</t>
  </si>
  <si>
    <t>Número de estudantes</t>
  </si>
  <si>
    <t>valor médio mensal dos cursos nos contratos firmados na 4ª Edição do projeto (curso de maior valor Curso Tecnico em Sistemas de Energia renovavies - duração 18 meses - valor: 400,41 ( com Auxílio estudante)</t>
  </si>
  <si>
    <t>Por se tratarem de contrato já firmados, o mínimo necessário é valor o previsto para os contratos , considerando as matrículas ativas.</t>
  </si>
  <si>
    <t>Existe uma grande expectativa dos cidadãos, empresas e do governo na expansão anual das vagas do trilhas de futuro, além dos esforços para abertura das novas vagas em 2025 já terem sido iniciados. Por se tratar de um projeto estratégico, a não execução dificultaria o alcance dos objetivos pretendidos de promover a qualificação profissional e empregabilidade dos estudantes mineiros</t>
  </si>
  <si>
    <t>Contratação de instituições para oferta de cursos técnicos para milhares de estudantes, promovendo a qualificação técnica, e empregabilidade</t>
  </si>
  <si>
    <t>Valor dos vales pagos aos estudantes do Trilhas de Futuro</t>
  </si>
  <si>
    <t>Estudantes e duração dos cursos</t>
  </si>
  <si>
    <t>Auxilio Alunos Trilhas</t>
  </si>
  <si>
    <t>Por se tratarem de contrato já firmados, o mínimo necessário é valor o previsto para os contratos , considerando as matrículas ativas</t>
  </si>
  <si>
    <t>Por se tratarem de contratos já firmados pela Administração Pública, o não pagamento desses contratos implica o não cumprimento das cláusulas contratuais e a inexecução dos cursos contratados no projeto</t>
  </si>
  <si>
    <t>Garantia da continuidade e conclusão dos cursos técnicos de centenas de estudantes do Trilhas de Futuro, contribuindo com a qualificação técnica e empregabilidade dos estudantes mineiros</t>
  </si>
  <si>
    <t>Contratação consultoria para o projeto</t>
  </si>
  <si>
    <t>Consultoria</t>
  </si>
  <si>
    <t>Existe uma grande expectativa dos cidadãos, empresas e do governo na expansão anual das vagas do trilhas de futuro, além dos esforços para abertura das novas vagas em 2024 já terem sido iniciados. Por se tratar de um projeto estratégico, a não execução dificultaria o alcance dos objetivos pretendidos de promover a qualificação profissional e empregabilidade dos estudantes mineiros</t>
  </si>
  <si>
    <t>Incentivo à continuidade e consecução dos cursos pelos estudantes do projeto</t>
  </si>
  <si>
    <t>Pregão Eletrônico - Aquisição de Materiais Pedagógicos Paradidáticos e acesso a Ambiente Virtual de Aprendizagem</t>
  </si>
  <si>
    <t>550 mil estudantes</t>
  </si>
  <si>
    <t>valor do kit por estudante</t>
  </si>
  <si>
    <t>Processo de compras para recomposição das aprendizagens dentro das ações de Fortalecimento de Aprendizagem da SEE-MG</t>
  </si>
  <si>
    <t>Comprometimento do processo ensino-aprendizagem, impossibilidade de ofertar um diversificado material de apoio aos estudos</t>
  </si>
  <si>
    <t>Cumprimento ao exposto na Resolução n° 04/2010 do Ministério da Educação que versa sobre uso das tecnologias digitais educacionais na educação básica. Diversificação de estratégias de ensino e aprendizagem ampliando as possibilidades de aprendizado e desenvolvimento dos estudantes. Disponibilização de materiais didáticos complementares com suporte de um ambiente virtual de aprendizagem visando à melhoria da infraestrutura pedagógica e escolar.</t>
  </si>
  <si>
    <t>Feiras literárias</t>
  </si>
  <si>
    <t>Firmar Termo de Compromisso para as feiras literárias</t>
  </si>
  <si>
    <t>Valor previsto para as feiras</t>
  </si>
  <si>
    <t>Programa de feiras literárias</t>
  </si>
  <si>
    <t>Continuidade do programa e incentivo a ações de leitura e alfabetização</t>
  </si>
  <si>
    <t>3502 – SERVIÇOS DE CONSULTORIA – PESSOA 
JURÍDICA</t>
  </si>
  <si>
    <t>Instituto alicerce</t>
  </si>
  <si>
    <t>Plataforma gameficação</t>
  </si>
  <si>
    <t>SAEB</t>
  </si>
  <si>
    <t>Recomposição das aprendizagens dos estudantes do Ensino Fundamental, com foco na recuperação das defasagens e no fortalecimento das competências e habilidades previstas no CRMG</t>
  </si>
  <si>
    <t>Prejuízo no desempenho dos estudantes na avaliação externa, impacto negativo nos indicadores educacionais da escola e da rede, além da perda de oportunidades para diagnóstico e planejamento pedagógico.</t>
  </si>
  <si>
    <t>4512 - Desenvolvimento da Educação Profissional</t>
  </si>
  <si>
    <t>3910 – PRÊMIOS DE SEGUROS</t>
  </si>
  <si>
    <t>Aquisição de Seguros para estágios de enfermagem</t>
  </si>
  <si>
    <t>Seguros e Equipamentos para realização dos estágios pelos estudantes dos cursos técnicos de enfermagem (2500 estudantes previstos)</t>
  </si>
  <si>
    <t>SEGURO PARA ESTAGIÁRIOS DO CURSO TÉCNICO EM ENFERMAGEM CONFORME DIRETRIZES COREN, OBRIGATÓRIO PARA OFERTA.</t>
  </si>
  <si>
    <t>NÃO REALIZAÇÃO DO ESTÁGIO IMPEDE A CERTIFICAÇÃO DO ESTUDANTE</t>
  </si>
  <si>
    <t>ATENDIMENTO À NORMATIVA E GARANTIA DO REQUISITO PARA CONCLUSÃO DO CURSO</t>
  </si>
  <si>
    <t>Trilhas nas escolas</t>
  </si>
  <si>
    <t>Trilhas de futuro nas escolas</t>
  </si>
  <si>
    <t>Cursos contratados</t>
  </si>
  <si>
    <t>Ampliar as oportunidades de qualificação profissional, fomentar a inclusão social, promover o protagonismo da população e fortalecer a empregabilidade.</t>
  </si>
  <si>
    <t>Comprometimento da inserção dos estudantes no mercado de trabalho, acentuando desigualdades sociais e econômicas.</t>
  </si>
  <si>
    <t>Ampliar o capital humano da região e fomentar o crescimento sustentável por meio da qualificação dos estudantes.</t>
  </si>
  <si>
    <t>EQUIPE CENTRAL -ACOMPANHAMENTO DA IMPLANTAÇÃO E CONSOLIDAÇÃO DO MODELO PEDAGÓGICO E DE GESTÃO DO EMTI NAS ESCOLAS</t>
  </si>
  <si>
    <t>DESALINHAMENTO DO MODELO PEDAGÓGICO DE GESTÃO PROPOSTO PELA SEE NAS ESCOLAS DE EMTI</t>
  </si>
  <si>
    <t>ATENDIMENTO ASSERTIVO À METODOLOGIA PROPOSTA PELA SEE NAS ESCOLAS DE EMTI</t>
  </si>
  <si>
    <t>1033 - Modalidades e Temáticas Especiais</t>
  </si>
  <si>
    <t>Descentralização de recurso para financiamento do PROERD e da Patrulha Escolar</t>
  </si>
  <si>
    <t>Formação de Militares e compra de equipamentos pedagógicos para as ações de prevenção as violências e ao uso de drogas pela PMMG</t>
  </si>
  <si>
    <t>Não se aplica</t>
  </si>
  <si>
    <t>Fomento das ações do Proerd</t>
  </si>
  <si>
    <t>Continuidade do programa e conscientização dos estudantes quanto ao tema</t>
  </si>
  <si>
    <t>Monitoramento da Equipe Central com 3 diárias, para 3 servidores para formação PCD, ERER.</t>
  </si>
  <si>
    <t>Monitoramento</t>
  </si>
  <si>
    <t>Legislação vigente</t>
  </si>
  <si>
    <t>Monitoramento da Equipe Central com passagem para 3 servidores para formação PCD, ERER.</t>
  </si>
  <si>
    <t>AGE</t>
  </si>
  <si>
    <t>ARMBH</t>
  </si>
  <si>
    <t>ARMVA</t>
  </si>
  <si>
    <t>ARSAE</t>
  </si>
  <si>
    <t>ARTEMIG</t>
  </si>
  <si>
    <t>CBMMG</t>
  </si>
  <si>
    <t>CGE</t>
  </si>
  <si>
    <t>EMATER</t>
  </si>
  <si>
    <t>EMC</t>
  </si>
  <si>
    <t>EPAMIG</t>
  </si>
  <si>
    <t>ESPMG</t>
  </si>
  <si>
    <t>FAPEMIG</t>
  </si>
  <si>
    <t>FCS</t>
  </si>
  <si>
    <t>FDM</t>
  </si>
  <si>
    <t>FEAM</t>
  </si>
  <si>
    <t>FEAS</t>
  </si>
  <si>
    <t>FES</t>
  </si>
  <si>
    <t>FGP</t>
  </si>
  <si>
    <t>FHA</t>
  </si>
  <si>
    <t>FHEMIG</t>
  </si>
  <si>
    <t>FHIDRO</t>
  </si>
  <si>
    <t>FJP</t>
  </si>
  <si>
    <t>FPP</t>
  </si>
  <si>
    <t>FUCAM</t>
  </si>
  <si>
    <t>FUNAPEC</t>
  </si>
  <si>
    <t>FUNED</t>
  </si>
  <si>
    <t>FUNTRANS</t>
  </si>
  <si>
    <t>GMG</t>
  </si>
  <si>
    <t>HEMOMINAS</t>
  </si>
  <si>
    <t>IDENE</t>
  </si>
  <si>
    <t>IEF</t>
  </si>
  <si>
    <t>IEPHA</t>
  </si>
  <si>
    <t>IGAM</t>
  </si>
  <si>
    <t>IMA</t>
  </si>
  <si>
    <t>IPSEMG</t>
  </si>
  <si>
    <t>IPSM</t>
  </si>
  <si>
    <t>JUCEMG</t>
  </si>
  <si>
    <t>LEMG</t>
  </si>
  <si>
    <t>OGE</t>
  </si>
  <si>
    <t>PCMG</t>
  </si>
  <si>
    <t>PMMG</t>
  </si>
  <si>
    <t>SCC</t>
  </si>
  <si>
    <t>SEAPA</t>
  </si>
  <si>
    <t>SEC.GERAL</t>
  </si>
  <si>
    <t>SECOM</t>
  </si>
  <si>
    <t>SECULT</t>
  </si>
  <si>
    <t>SEDE</t>
  </si>
  <si>
    <t>SEDESE</t>
  </si>
  <si>
    <t>SEF</t>
  </si>
  <si>
    <t>SEGOV</t>
  </si>
  <si>
    <t>SEINFRA</t>
  </si>
  <si>
    <t>SEJUSP</t>
  </si>
  <si>
    <t>SEMAD</t>
  </si>
  <si>
    <t>SEPLAG</t>
  </si>
  <si>
    <t>TVMINAS</t>
  </si>
  <si>
    <t>UEMG</t>
  </si>
  <si>
    <t>UNIMONTES</t>
  </si>
  <si>
    <t>UTRAMIG</t>
  </si>
  <si>
    <t>SUB DE ADMINISTRAÇÃO</t>
  </si>
  <si>
    <t>dsadasdas</t>
  </si>
  <si>
    <t>DSADAA</t>
  </si>
  <si>
    <t>dsadasj</t>
  </si>
  <si>
    <t>dksadsa</t>
  </si>
  <si>
    <t>FFDSSA</t>
  </si>
  <si>
    <t>kfdsafas</t>
  </si>
  <si>
    <t>kdsasa</t>
  </si>
  <si>
    <t>Cenário</t>
  </si>
  <si>
    <t>Novo</t>
  </si>
  <si>
    <t xml:space="preserve"> </t>
  </si>
  <si>
    <t>GRUPO DE DESPESA</t>
  </si>
  <si>
    <t>5 - Inversões Financeiras</t>
  </si>
  <si>
    <t>Elemento</t>
  </si>
  <si>
    <t>AGÊNCIA DE PROMOÇÃO DE INVESTIMENTOS DE MINAS GERAIS</t>
  </si>
  <si>
    <t>ASSEMBLEIA LEGISLATIVA DO ESTADO DE MINAS GERAIS</t>
  </si>
  <si>
    <t>BANCO DE DESENVOLVIMENTO DE MINAS GERAIS S.A</t>
  </si>
  <si>
    <t>CEMIG DISTRIBUIÇÃO S.A</t>
  </si>
  <si>
    <t>CEMIG GERAÇÃO E TRANSMISSÃO S.A</t>
  </si>
  <si>
    <t>COMPANHIA DE DESENVOLVIMENTO DE MINAS GERAIS</t>
  </si>
  <si>
    <t>COMPANHIA DE DESENVOLVIMENTO ECONÔMICO DE MINAS GERAIS</t>
  </si>
  <si>
    <t>COMPANHIA DE GÁS DE MINAS GERAIS</t>
  </si>
  <si>
    <t>COMPANHIA DE HABITAÇÃO DO ESTADO DE MINAS GERAIS</t>
  </si>
  <si>
    <t>COMPANHIA DE SANEAMENTO DE MINAS GERAIS</t>
  </si>
  <si>
    <t>COMPANHIA DE TECNOLOGIA DA INFORMAÇÃO DO ESTADO DE MINAS GERAIS</t>
  </si>
  <si>
    <t>COMPANHIA ENERGÉTICA DE MINAS GERAIS</t>
  </si>
  <si>
    <t>COPASA - SERVIÇOS DE SANEAMENTO INTEGRADO DO NORTE E NORDESTE DE MINAS GERAIS S/A</t>
  </si>
  <si>
    <t>DEFENSORIA PUBLICA DO ESTADO DE MINAS GERAIS</t>
  </si>
  <si>
    <t>EGE SEC.FAZENDA-ENCARGOS DIVERSOS</t>
  </si>
  <si>
    <t>EGE-SECRETARIA DE ESTADO DE PLANEJAMENTO E GESTÃO</t>
  </si>
  <si>
    <t>ENCARGOS GERAIS DO ESTADO - INSTRUMENTOS DE ENTRADA DE RECURSOS</t>
  </si>
  <si>
    <t>FUNDO DE APOIO HABITACIONAL AOS MILITARES DO ESTADO DE MINAS GERAIS</t>
  </si>
  <si>
    <t>FUNDO DE APOIO HABITACIONAL DA ASSEMBLEIA LEGISLATIVA DE MINAS GERAIS</t>
  </si>
  <si>
    <t>FUNDO DE ASSISTÊNCIA AO TURISMO</t>
  </si>
  <si>
    <t>FUNDO DE ATIVOS IMOBILIÁRIOS DE MINAS GERAIS</t>
  </si>
  <si>
    <t>FUNDO DE FOMENTO E DESENVOLVIMENTO SOCIOECONÔMICO DO ESTADO DE MINAS GERAIS</t>
  </si>
  <si>
    <t>FUNDO DE INVESTIMENTO DO ESTADO DE MINAS GERAIS</t>
  </si>
  <si>
    <t>FUNDO DE INVESTIMENTOS IMOBILIÁRIOS DE MINAS GERAIS</t>
  </si>
  <si>
    <t>FUNDO DO TRIBUNAL DE CONTAS DO ESTADO DE MINAS GERAIS</t>
  </si>
  <si>
    <t>FUNDO ESPECIAL DE CRÉDITOS INADIMPLIDOS E DÍVIDA ATIVA</t>
  </si>
  <si>
    <t>FUNDO ESPECIAL DO MINISTÉRIO PÚBLICO DO ESTADO DE MINAS GERAIS</t>
  </si>
  <si>
    <t>FUNDO ESPECIAL DO PODER JUDICIÁRIO DO ESTADO DE MINAS GERAIS</t>
  </si>
  <si>
    <t>FUNDO ESTADUAL DE CULTURA</t>
  </si>
  <si>
    <t>FUNDO ESTADUAL DE DEFESA DE DIREITOS DIFUSOS</t>
  </si>
  <si>
    <t>FUNDO ESTADUAL DE DESENVOLVIMENTO RURAL</t>
  </si>
  <si>
    <t>FUNDO ESTADUAL DE HABITAÇÃO</t>
  </si>
  <si>
    <t>FUNDO ESTADUAL DE PREVENÇÃO, FISCALIZAÇÃO E REPRESSÃO DE ENTORPECENTES</t>
  </si>
  <si>
    <t>FUNDO ESTADUAL DE PREVIDÊNCIA DO ESTADO DE MINAS GERAIS</t>
  </si>
  <si>
    <t>FUNDO ESTADUAL DE PROTEÇÃO E DEFESA DO CONSUMIDOR</t>
  </si>
  <si>
    <t>FUNDO ESTADUAL DE SEGURANÇA PÚBLICA DE MINAS GERAIS</t>
  </si>
  <si>
    <t>FUNDO ESTADUAL DO TRABALHO DE MINAS GERAIS</t>
  </si>
  <si>
    <t>FUNDO ESTADUAL DOS DIREITOS DO IDOSO</t>
  </si>
  <si>
    <t>FUNDO FINANCEIRO DE PREVIDÊNCIA DO ESTADO DE MINAS GERAIS</t>
  </si>
  <si>
    <t>FUNDO PARA A INFÂNCIA E A ADOLESCÊNCIA</t>
  </si>
  <si>
    <t>FUNDO PENITENCIÁRIO ESTADUAL</t>
  </si>
  <si>
    <t>GESTÃO DA DÍVIDA PÚBLICA ESTADUAL</t>
  </si>
  <si>
    <t>INSTITUTO DE METROLOGIA E QUALIDADE DO ESTADO DE MINAS GERAIS</t>
  </si>
  <si>
    <t>INSTITUTO DE PREVIDÊNCIA DO LEGISLATIVO DO ESTADO DE MINAS GERAIS</t>
  </si>
  <si>
    <t>MINAS GERAIS ADMINISTRAÇÃO E SERVIÇOS S.A</t>
  </si>
  <si>
    <t>MINAS GERAIS PARTICIPAÇÕES S.A</t>
  </si>
  <si>
    <t>PARTICIPAÇÃO NO AUMENTO DO CAPITAL SOCIAL DE EMPRESAS</t>
  </si>
  <si>
    <t>PROCURADORIA GERAL DE JUSTIÇA</t>
  </si>
  <si>
    <t>RESERVA DE CONTINGÊNCIA</t>
  </si>
  <si>
    <t>TREM METROPOLITANO DE BELO HORIZONTE S.A</t>
  </si>
  <si>
    <t>TRIBUNAL DE CONTAS DO ESTADO DE MINAS GERAIS</t>
  </si>
  <si>
    <t>TRIBUNAL DE JUSTIÇA DO ESTADO DE MINAS GERAIS</t>
  </si>
  <si>
    <t>TRIBUNAL DE JUSTIÇA MILITAR DO ESTADO DE MINAS GERAIS</t>
  </si>
  <si>
    <t>043 - DESJUDICIALIZA MINAS</t>
  </si>
  <si>
    <t>077 - CAMINHOS PARA O DESENVOLVIMENTO INTEGRADO METROPOLITANO</t>
  </si>
  <si>
    <t>142 - MANUTENÇÃO DA INFRAESTRUTURA ADMINISTRATIVA E OPERACIONAL - INVEST MINAS</t>
  </si>
  <si>
    <t>010 - REGULAÇÃO E FISCALIZAÇÃO DOS SERVIÇOS DE ABASTECIMENTO DE ÁGUA E DE ESGOTAMENTO SANITÁRIO E ATENDIMENTO AOS USUÁRIOS</t>
  </si>
  <si>
    <t>705 - APOIO ÀS POLÍTICAS PÚBLICAS</t>
  </si>
  <si>
    <t>014 - FINANCIAMENTO À DESCARBONIZAÇÃO E RESILIÊNCIA CLIMÁTICA ENTRE BDMG E BANCO INTERAMERICANO DE DESENVOLVIMENTO (BDMG PBR)</t>
  </si>
  <si>
    <t>072 - DISTRIBUIÇÃO DE ENERGIA ELÉTRICA</t>
  </si>
  <si>
    <t>092 - TRANSMISSÃO DE ENERGIA ELÉTRICA</t>
  </si>
  <si>
    <t>133 - MINAS GERAÇÃO DE VALOR</t>
  </si>
  <si>
    <t>021 - SANEAMENTO E RESÍDUOS ESPECIAIS</t>
  </si>
  <si>
    <t>030 - SOLUÇÕES EM TECNOLOGIA DA INFORMAÇÃO E COMUNICAÇÃO</t>
  </si>
  <si>
    <t>035 - INVESTIMENTOS CEMIG</t>
  </si>
  <si>
    <t>001 - MINAS ÍNTEGRA E TRANSPARENTE</t>
  </si>
  <si>
    <t>047 - SUPORTE ÀS AÇÕES DE COMBATE E RESPOSTA AOS DANOS CAUSADOS PELAS CHUVAS</t>
  </si>
  <si>
    <t>160 - MELHORIA DA GESTÃO LOGÍSTICA E PATRIMONIAL</t>
  </si>
  <si>
    <t>090 - ASSISTÊNCIA TECNICA E EXTENSÃO RURAL PARA O ESTADO DE MINAS GERAIS</t>
  </si>
  <si>
    <t>015 - ENSINO SUPERIOR PARA A AGRICULTURA E PECUÁRIA</t>
  </si>
  <si>
    <t>102 - FOMENTO À ECONOMIA DA CRIATIVIDADE</t>
  </si>
  <si>
    <t>028 - DESENVOLVIMENTO DE AÇÕES DE EDUCAÇÃO E PESQUISA PARA O SISTEMA ÚNICO DE SAÚDE</t>
  </si>
  <si>
    <t>087 - ASSISTÊNCIA EM HEMATOLOGIA, HEMOTERAPIA,CÉLULAS E TECIDOS BIOLÓGICOS</t>
  </si>
  <si>
    <t>005 - PROGRAMA MINEIRO DE ACESSIBILIDADE, INCLUSÃO E SAÚDE (PROMAIS)</t>
  </si>
  <si>
    <t>022 - CONSTRUINDO O FUTURO POR MEIO DA CIÊNCIA, DA TECNOLOGIA E DA INOVAÇÃO</t>
  </si>
  <si>
    <t>067 - REDE DE DESENVOLVIMENTO DA EDUCAÇÃO PROFISSIONAL</t>
  </si>
  <si>
    <t>040 - RECUPERAÇÃO AMBIENTAL E GESTÃO DE BARRAGENS</t>
  </si>
  <si>
    <t>150 - UNIVERSALIZAÇÃO DO ACESSO AO CONHECIMENTO CIENTÍFICO E TECNOLÓGICO</t>
  </si>
  <si>
    <t>042 - DESENVOLVIMENTO DA EDUCAÇÃO BÁSICA</t>
  </si>
  <si>
    <t>019 - ATENÇÃO HOSPITALAR ESPECIALIZADA</t>
  </si>
  <si>
    <t>091 - APRIMORAMENTO DA GESTÃO PÚBLICA POR MEIO DE ENSINO DE EXCELÊNCIA</t>
  </si>
  <si>
    <t>121 - ACESSO E ALCANCE À COMUNICAÇÃO DE INTERESSE PÚBLICO</t>
  </si>
  <si>
    <t>009 - PROGRAMA DE APOIO HABITACIONAL AOS MILITARES DO ESTADO DE MINAS GERAIS</t>
  </si>
  <si>
    <t>764 - ASSISTÊNCIA COMPLEMENTAR</t>
  </si>
  <si>
    <t>138 - CONCESSÃO DE AUXÍLIO FINANCEIRO, SEGURO E PECÚLIO</t>
  </si>
  <si>
    <t>125 - POLÍTICA DE REGULARIZAÇÃO FUNDIÁRIA E DE GESTÃO DE IMÓVEIS</t>
  </si>
  <si>
    <t>024 - DESENVOLVIMENTO SOCIOECONÔMICO</t>
  </si>
  <si>
    <t>085 - PROMOÇÃO DE CONCESSÕES E PARCERIAS</t>
  </si>
  <si>
    <t>020 - FOMENTO E INCENTIVO DE INVESTIMENTOS</t>
  </si>
  <si>
    <t>704 - MODERNIZAÇÃO INSTITUCIONAL</t>
  </si>
  <si>
    <t>737 - MODERNIZAÇÃO  INSTITUCIONAL</t>
  </si>
  <si>
    <t>706 - PRESTAÇÃO JURISDICIONAL</t>
  </si>
  <si>
    <t>071 - FORTALECIMENTO DO SISTEMA ÚNICO DE ASSISTÊNCIA SOCIAL - SUAS</t>
  </si>
  <si>
    <t>070 - POLÍTICAS DE DIREITOS HUMANOS</t>
  </si>
  <si>
    <t>082 - PROMOÇÃO DA SEGURANÇA VIÁRIA</t>
  </si>
  <si>
    <t>113 - GARANTIA DE CONTINUIDADE DA PRODUÇÃO AGROPECUÁRIA</t>
  </si>
  <si>
    <t>073 - MORADAS GERAIS</t>
  </si>
  <si>
    <t>141 - POLÍTICAS SOBRE DROGAS</t>
  </si>
  <si>
    <t>738 - PROTEÇÃO E DEFESA DO CONSUMIDOR</t>
  </si>
  <si>
    <t>058 - POLÍTICAS DE ATENÇÃO HOSPITALAR</t>
  </si>
  <si>
    <t>134 - GESTÃO INTEGRADA DE SEGURANÇA PÚBLICA</t>
  </si>
  <si>
    <t>066 - POLÍTICAS DE TRABALHO E EMPREGO</t>
  </si>
  <si>
    <t>023 - POLÍTICAS PARA CRIANÇAS E ADOLESCENTES</t>
  </si>
  <si>
    <t>128 - PROGRAMA DE APOIO A AMPLIAÇÃO E A MELHORIA DOS SISTEMAS PRISIONAL E SOCIOEDUCATIVO</t>
  </si>
  <si>
    <t>034 - SUPORTE ÀS AÇÕES DE TRANSPORTE RODOVIÁRIO</t>
  </si>
  <si>
    <t>056 - DESENVOLVIMENTO DA INFRAESTRUTURA DO NORTE E NORDESTE DE MINAS GERAIS</t>
  </si>
  <si>
    <t>012 - POLÍTICA PÚBLICA DE METROLOGIA E AVALIAÇÃO DA CONFORMIDADE</t>
  </si>
  <si>
    <t>039 - GESTÃO DA ASSISTÊNCIA À SAÚDE</t>
  </si>
  <si>
    <t>006 - ASSISTÊNCIA À SAÚDE DOS SEGURADOS E DOS SEUS DEPENDENTES</t>
  </si>
  <si>
    <t>031 - PROTEÇÃO DAS ÁREAS AMBIENTALMENTE CONSERVADAS, DA FAUNA E DA BIODIVERSIDADE FLORESTAL</t>
  </si>
  <si>
    <t>078 - DEFESA SANITÁRIA</t>
  </si>
  <si>
    <t>029 - REGISTRO PÚBLICO DE EMPRESAS MERCANTIS E ATIVIDADES AFINS</t>
  </si>
  <si>
    <t>126 - EXPLORAÇÃO DE JOGOS LOTÉRICOS E SIMILARES</t>
  </si>
  <si>
    <t>057 - SOLUÇÕES EM SERVIÇOS DE APOIO TÉCNICO-OPERACIONAL</t>
  </si>
  <si>
    <t>013 - APORTE DE CAPITAL E MANUTENÇÃO DA INFRAESTRUTURA DA MGI</t>
  </si>
  <si>
    <t>054 - GOVERNANÇA PARA INTEGRIDADE E MELHORES RESULTADOS EM SERVIÇOS PÚBLICOS</t>
  </si>
  <si>
    <t>032 - INVESTIGAÇÃO</t>
  </si>
  <si>
    <t>046 - SUPORTE AÉREO AOS SERVIÇOS PÚBLICOS ESTADUAIS</t>
  </si>
  <si>
    <t>703 - PROCESSO JUDICIÁRIO</t>
  </si>
  <si>
    <t>999 - RESERVA DE CONTINGÊNCIA</t>
  </si>
  <si>
    <t>108 - ACESSO A MERCADOS</t>
  </si>
  <si>
    <t>018 - COMUNICAÇÃO INSTITUCIONAL E DE UTILIDADE PÚBLICA</t>
  </si>
  <si>
    <t>100 - MAIS TURISTAS</t>
  </si>
  <si>
    <t>033 - GESTÃO DA INFORMAÇÃO COM USO DE TECNOLOGIA E COMUNICAÇÃO</t>
  </si>
  <si>
    <t>109 - GESTÃO DE CERIMONIAL E EVENTOS</t>
  </si>
  <si>
    <t>129 - PREVENÇÃO À CRIMINALIDADE</t>
  </si>
  <si>
    <t>147 - GESTÃO DE PESSOAS</t>
  </si>
  <si>
    <t>011 - ASSESSORAMENTO TÉCNICO E ADMINISTRATIVO AO GOVERNADOR E VICE-GOVERNADOR</t>
  </si>
  <si>
    <t>026 - DESENVOLVIMENTO DO ENSINO SUPERIOR NA UEMG</t>
  </si>
  <si>
    <t>007 - EDUCAÇÃO SUPERIOR</t>
  </si>
  <si>
    <t>044 - REPRESENTAÇÃO JURÍDICA DO ESTADO E ENTIDADES</t>
  </si>
  <si>
    <t>729 - PROCESSO LEGISLATIVO</t>
  </si>
  <si>
    <t>017 - INVESTIMENTO NA INFRAESTRUTURA ADMINISTRATIVA E OPERACIONAL  DO BDMG</t>
  </si>
  <si>
    <t>094 - GERAÇÃO DE ENERGIA ELÉTRICA</t>
  </si>
  <si>
    <t>002 - AUDITORIA INTERNA PARA O FUTURO</t>
  </si>
  <si>
    <t>052 - PROMOÇÃO DE DEFESA CIVIL</t>
  </si>
  <si>
    <t>726 - ACESSO À JUSTIÇA</t>
  </si>
  <si>
    <t>081 - DESENVOLVIMENTO SUSTENTÁVEL DA INFRAESTRUTURA RODOVIÁRIA</t>
  </si>
  <si>
    <t>097 - MINAS SEM FOME</t>
  </si>
  <si>
    <t>016 - INOVAÇÕES E SOLUÇÕES TECNOLÓGICAS PARA A AGROPECUÁRIA E A AGROINDÚSTRIA</t>
  </si>
  <si>
    <t>143 - MG TECH - POLÍTICAS DE CIÊNCIA, TECNOLOGIA E INOVAÇÃO</t>
  </si>
  <si>
    <t>103 - ESPAÇOS CULTURAIS, CORPOS ARTÍSTICOS E ÓRGÃOS COLEGIADOS</t>
  </si>
  <si>
    <t>104 - ENFRENTAMENTO À VULNERABILIDADE NOS TERRITÓRIOS DE ATUAÇÃO DA FUCAM</t>
  </si>
  <si>
    <t>041 - REGULARIZAÇÃO AMBIENTAL</t>
  </si>
  <si>
    <t>152 - INOVAÇÃO CIENTÍFICA E TECNOLÓGICA</t>
  </si>
  <si>
    <t>051 - ATENDIMENTO COMUNITÁRIO E PSICOPEDAGOGICO NA FUNDACÃO HELENA ANTIPOFF</t>
  </si>
  <si>
    <t>093 - PROMOÇÃO E PRESERVAÇÃO DA MEMÓRIA TÉCNICO-CIENTÍFICA DO ESTADO DE MINAS GERAIS</t>
  </si>
  <si>
    <t>765 - APOIO HABITACIONAL</t>
  </si>
  <si>
    <t>027 - GESTÃO AMBIENTAL.</t>
  </si>
  <si>
    <t>083 - POLÍTICAS DE PROMOÇÃO AO DESENVOLVIMENTO SOCIAL NO CONTEXTO RURAL - PERCURSOS GERAIS: TRAJETÓRIA PARA AUTONOMIA</t>
  </si>
  <si>
    <t>059 - APOIO À GESTÃO DO SUS</t>
  </si>
  <si>
    <t>068 - PRIMEIRA INFÂNCIA MINAS</t>
  </si>
  <si>
    <t>124 - PROMOÇÃO DO DESENVOLVIMENTO DO NORTE E NORDESTE DE MINAS GERAIS</t>
  </si>
  <si>
    <t>766 - BENEFÍCIOS ASSISTENCIAIS</t>
  </si>
  <si>
    <t>088 - SERVIÇOS DE SAÚDE PRESTADOS PELO IPSEMG NA REDE PRÓPRIA</t>
  </si>
  <si>
    <t>008 - PRESTAÇÃO DE SERVIÇOS PREVIDENCIÁRIOS</t>
  </si>
  <si>
    <t>080 - SEGURANÇA DE ALIMENTOS</t>
  </si>
  <si>
    <t>065 - FORTALECIMENTO DA POLÍTICA ESTADUAL DE RECURSOS HÍDRICOS</t>
  </si>
  <si>
    <t>055 - CONTROLE SOCIAL ATRAVÉS DA DEFESA DOS USUÁRIOS DE SERVIÇOS PÚBLICOS</t>
  </si>
  <si>
    <t>036 - IDENTIFICAÇÃO CIVIL E CRIMINAL</t>
  </si>
  <si>
    <t>048 - PROTEÇÃO E DEFESA CIVIL</t>
  </si>
  <si>
    <t>131 - ARTICULAÇÃO INTERFEDERATIVA,  ATRAÇÃO DE INVESTIMENTOS, CAPTAÇÃO E TRANSFERÊNCIA DE RECURSOS E PARCERIAS</t>
  </si>
  <si>
    <t>110 - REGULARIZAÇÃO FUNDIÁRIA - AMPLIAÇÃO DA SEGURANÇA JURÍDICA NO CAMPO</t>
  </si>
  <si>
    <t>038 - TESOURO RESPONSÁVEL E TRANSPARENTE</t>
  </si>
  <si>
    <t>115 - GESTÃO DO PROCESSO LEGISLATIVO ESTADUAL SOB A RESPONSABILIDADE DO PODER EXECUTIVO</t>
  </si>
  <si>
    <t>130 - INFRAESTRUTURA DO SISTEMA PRISIONAL</t>
  </si>
  <si>
    <t>025 - MONITORAMENTO, CONTROLE E FISCALIZAÇÃO AMBIENTAL</t>
  </si>
  <si>
    <t>149 - TRANSFORMAÇÃO DIGITAL E ATENDIMENTO AO CIDADÃO</t>
  </si>
  <si>
    <t>746 - CONTROLE EXTERNO DA GESTÃO DOS RECURSOS PÚBLICOS</t>
  </si>
  <si>
    <t>734 - PRESTAÇÃO JURISDICIONAL MILITAR</t>
  </si>
  <si>
    <t>6008 - MANUTENÇÃO DA INFRAESTRUTURA ADMINISTRATIVA E OPERACIONAL DA INVEST MINAS</t>
  </si>
  <si>
    <t>171 - FINANCIAMENTO À INFRAESTRUTURA E AO DESENVOLVIMENTO SUSTENTÁVEL EM MG ENTRE BDMG E NEW DEVELOPMENT BANK (BDMG INFRA ODS)</t>
  </si>
  <si>
    <t>3002 - EXECUÇÃO DO PLANO DE DESENVOLVIMENTO DA DISTRIBUIDORA (PDD)</t>
  </si>
  <si>
    <t>3015 - GESTÃO DE INFRAESTRUTURA, CONSÓRCIOS E EQUIPAMENTOS CULTURAIS E TURÍSTICOS</t>
  </si>
  <si>
    <t>3017 - MANUTENÇÃO E AQUISIÇÕES DA CODEMIG</t>
  </si>
  <si>
    <t>3018 - GÁS COMPETITIVO- EXPANSÃO DA REDE DE GÁS NATURAL</t>
  </si>
  <si>
    <t>6010 - MANUTENÇÃO E ADEQUAÇÃO DA INFRAESTRUTURA ADMINISTRATIVA - COHAB</t>
  </si>
  <si>
    <t>6009 - ADEQUAÇÃO DA INFRA-ESTRUTURA ADMINISTRATIVA E OPERACIONAL - COPASA</t>
  </si>
  <si>
    <t>6006 - MANUTENÇÃO DAS UNIDADES PREDIAIS</t>
  </si>
  <si>
    <t>3010 - INVESTIMENTOS EM PARTICIPAÇÕES SOCIETÁRIAS CEMIG HOLDING</t>
  </si>
  <si>
    <t>003 - ENFRENTAMENTO DA CORRUPÇÃO E RECUPERAÇÃO DE ATIVOS</t>
  </si>
  <si>
    <t>6012 - ADEQUAÇÃO DA INFRAESTRUTURA ADMINISTRATIVA E OPERACIONAL DA COPANOR</t>
  </si>
  <si>
    <t>053 - ATENDIMENTO PRÉ-HOSPITALAR</t>
  </si>
  <si>
    <t>2049 - ENCARGOS DA ADMINISTRAÇÃO FINANCEIRA CENTRAL</t>
  </si>
  <si>
    <t>2131 - RECURSOS DE TRANSFERÊNCIAS ESPECIAIS DA UNIÃO</t>
  </si>
  <si>
    <t>105 - FORMAÇÃO E CAPACITAÇÃO TÉCNICO-CULTURAL</t>
  </si>
  <si>
    <t>153 - VIGILÂNCIA LABORATORIAL EM SAÚDE PÚBLICA</t>
  </si>
  <si>
    <t>075 - AMPLIAÇÃO E MODERNIZAÇÃO DA FUNDAÇÃO HELENA ANTIPOFF</t>
  </si>
  <si>
    <t>095 - ASSESSORIA E PESQUISA EM POLÍTICAS PÚBLICAS</t>
  </si>
  <si>
    <t>4349 - FINANCIAMENTO HABITACIONAL AOS SERVIDORES MILITARES</t>
  </si>
  <si>
    <t>4497 - APOIO FINANCEIRO AO TURISMO MINEIRO POR MEIO DO FUNDO DE ASSISTÊNCIA AO TURISMO - FASTUR</t>
  </si>
  <si>
    <t>4541 - ATIVOS IMOBILIÁRIOS DE MINAS GERAIS - FAIMG</t>
  </si>
  <si>
    <t>4471 - METRÓPOLE PLANEJADA</t>
  </si>
  <si>
    <t>4041 - FUNDESE GERAMINAS</t>
  </si>
  <si>
    <t>4432 - GESTÃO E APRIMORAMENTO DO FUNDO GARANTIDOR DE PPP</t>
  </si>
  <si>
    <t>4444 - MG INVESTE</t>
  </si>
  <si>
    <t>4549 - FUNDO DE INVESTIMENTOS IMOBILIÁRIOS DE MINAS GERAIS - FIIMG</t>
  </si>
  <si>
    <t>4128 - LOTE OURO PRETO</t>
  </si>
  <si>
    <t>2056 - REAPARELHAMENTO E APERFEIÇOAMENTO INSTITUCIONAL</t>
  </si>
  <si>
    <t>1009 - REAPARELHAMENTO E APERFEIÇOAMENTO INSTITUICIONAL</t>
  </si>
  <si>
    <t>2025 - GESTÃO DE SERVIÇOS DE TIC</t>
  </si>
  <si>
    <t>4360 - GESTÃO DO SISTEMA DE FINANCIAMENTO À CULTURA</t>
  </si>
  <si>
    <t>4179 - PROJETOS ESPECIAIS DE RECUPERAÇÃO DE DANOS AOS DIREITOS DIFUSOS</t>
  </si>
  <si>
    <t>4401 - FUNDERUR EMERGENCIAL</t>
  </si>
  <si>
    <t>2075 - ADMINISTRAÇÃO DA CARTEIRA DE FINANCIAMENTOS NO ÂMBITO DO FUNDO ESTADUAL DE HABITAÇÃO - FEH</t>
  </si>
  <si>
    <t>4436 - APOIO ÀS AÇÕES DO FUNDO ESTADUAL DE PREVENÇÃO, FISCALIZAÇÃO E REPRESSÃO DOS ENTORPECENTES - FUNPREN</t>
  </si>
  <si>
    <t>7001 - COBERTURA DO DÉFICIT DO REGIME PRÓPRIO DE PREVIDÊNCIA SOCIAL - RPPS</t>
  </si>
  <si>
    <t>4256 - APOIO ÀS AÇÕES DE PROTEÇÃO E DEFESA AO CONSUMIDOR</t>
  </si>
  <si>
    <t>060 - ATENÇÃO PRIMÁRIA À SAÚDE</t>
  </si>
  <si>
    <t>2071 - APOIO ÀS AÇÕES DO FUNDO DE ESTADUAL DE SEGURANÇA PÚBLICA</t>
  </si>
  <si>
    <t>4180 - PROJETOS ESPECIAIS DE PROMOÇÃO E PROTEÇÃO DOS DIREITOS DE PESSOAS IDOSAS</t>
  </si>
  <si>
    <t>7004 - PRECATÓRIOS E SENTENÇAS JUDICIÁRIAS</t>
  </si>
  <si>
    <t>1046 - APOIO À ESTRUTURAÇÃO E AO REAPARELHAMENTO DE UNIDADES PRISIONAIS E SOCIOEDUCATIVAS</t>
  </si>
  <si>
    <t>7003 - RESTITUIÇÃO AO TJMG DOS DEPÓSITOS JUDICIAIS</t>
  </si>
  <si>
    <t>767 - RESERVA DE BENEFÍCIOS</t>
  </si>
  <si>
    <t>8002 - INVESTIMENTOS EM ATIVO FIXO PARA PRESTAÇÃO DE SERVIÇO</t>
  </si>
  <si>
    <t>119 - APOIO AO DESENVOLVIMENTO MUNICIPAL E À COORDENAÇÃO DAS TRANSFERÊNCIAS ESTADUAIS DE RECURSOS FINANCEIROS</t>
  </si>
  <si>
    <t>7054 - PROGRAMAÇÃO A CARGO DO ESTADO PARA A COMPANHIA DE DESENVOLVIMENTO DE MINAS GERAIS - CODEMGE</t>
  </si>
  <si>
    <t>037 - VALORIZAÇÃO E SAÚDE DO SERVIDOR</t>
  </si>
  <si>
    <t>135 - PROTEÇÃO SOCIAL DOS MILITARES</t>
  </si>
  <si>
    <t>714 - AQUISIÇÃO, CONSTRUÇÃO, REPAROS DE BENS IMÓVEIS</t>
  </si>
  <si>
    <t>9999 - RESERVA DE CONTINGÊNCIA</t>
  </si>
  <si>
    <t>111 - DESENVOLVIMENTO DAS CADEIAS PRODUTIVAS DA AGROPECUÁRIA</t>
  </si>
  <si>
    <t>132 - MINAS EMPREENDEDORA: ESTADO MAIS SIMPLES E LIVRE PARA SE EMPREENDER</t>
  </si>
  <si>
    <t>045 - RECEITA ESTADUAL DIGITAL, EFICIENTE, MODERNIZADA E MAIS JUSTA</t>
  </si>
  <si>
    <t>151 - PROMOÇÃO DA INOVAÇÃO E DA GESTÃO ESTRATÉGICA</t>
  </si>
  <si>
    <t>8011 - MANUTENÇÃO E ADEQUAÇÃO DA INFRA-ESTRUTURA ADMINISTRATIVA E OPERACIONAL - TRANSPORTES METROPOLITANOS</t>
  </si>
  <si>
    <t>760 - CAPACITAÇÃO E ORIENTAÇÃO PARA MELHORAR A GESTÃO DOS RECURSOS PÚBLICOS</t>
  </si>
  <si>
    <t>4118 - LOTE OURO PRETO</t>
  </si>
  <si>
    <t>4446 - REGULAÇÃO DA EXPANSÃO URBANA DA REGIÃO METROPOLITANA DE BELO HORIZONTE</t>
  </si>
  <si>
    <t>2417 - REMUNERAÇÃO DE PESSOAL ATIVO E ENCARGOS SOCIAIS</t>
  </si>
  <si>
    <t>3003 - MANUTENÇÃO DA INFRAESTRUTURA DA DISTRIBUIÇÃO</t>
  </si>
  <si>
    <t>3004 - EXPANSÃO DO SISTEMA DE TRANSMISSÃO</t>
  </si>
  <si>
    <t>8008 - UNIVERSALIZAÇÃO DOS SERVIÇOS DE SANEAMENTO NA ÁREA DA COPASA</t>
  </si>
  <si>
    <t>8001 - AQUISIÇÃO DE HARDWARES E SOFTWARES PARA PRESTAÇÃO DE SERVIÇOS EM TECNOLOGIA DA INFORMAÇÃO E COMUNICAÇÃO</t>
  </si>
  <si>
    <t>3011 - MANUTENÇÃO DA INFRAESTRUTURA DA CEMIG HOLDING</t>
  </si>
  <si>
    <t>004 - CGE INTEGRADA E EFICIENTE</t>
  </si>
  <si>
    <t>8012 - UNIVERSALIZAÇÃO DOS SERVIÇOS DE SANEAMENTO NA ÁREA DE ATUAÇÃO DA COPANOR</t>
  </si>
  <si>
    <t>7663 - CAPTAÇÃO DE RECURSOS PARA FORMAÇÃO DO PROGRAMA DE FORMAÇÃO DO PATRIMÔNIO DO SERVIDOR PÚBLICO - PASEP</t>
  </si>
  <si>
    <t>4488 - IMPLANTAÇÃO E OPERAÇÃO DO ALMOXARIFADO VIRTUAL</t>
  </si>
  <si>
    <t>2132 - RECURSOS PARA CONTRAPARTIDA A CONVÊNIOS E CONGÊNERES</t>
  </si>
  <si>
    <t>4049 - AÇÕES EDUCACIONAIS NA ÁREA DA SAÚDE</t>
  </si>
  <si>
    <t>4212 - DESENVOLVIMENTO DO PROGRAMA DE SANGUE E HEMODERIVADOS</t>
  </si>
  <si>
    <t>106 - PROTEÇÃO E SALVAGUARDA DE ACERVOS E BENS CULTURAIS</t>
  </si>
  <si>
    <t>4300 - EDUCAÇÃO PROFISSIONAL TÉCNICA DE NÍVEL MÉDIO E QUALIFICAÇÃO PROFISSIONAL</t>
  </si>
  <si>
    <t>154 - DESENVOLVIMENTO E PRODUÇÃO DE MEDICAMENTOS PARA O SISTEMA ÚNICO DE SAÚDE (SUS)</t>
  </si>
  <si>
    <t>076 - DESENVOLVIMENTO DA EDUCAÇÃO PROFISSIONAL TÉCNICA</t>
  </si>
  <si>
    <t>4029 - ATENÇÃO  AO SISTEMA ESTADUAL DE TRANSPLANTES</t>
  </si>
  <si>
    <t>096 - PRODUÇÃO DE ESTATÍSTICAS E INFORMAÇÕES</t>
  </si>
  <si>
    <t>4298 - DISPONIBILIZAÇÃO E MANUTENÇÃO DO SINAL DE RETRANSMISSÃO DE TV NO INTERIOR DO ESTADO E REGIÃO METROPOLITANA DE BH</t>
  </si>
  <si>
    <t>4539 - ASSISTÊNCIA COMPLEMENTAR</t>
  </si>
  <si>
    <t>4404 - ASSISTÊNCIA AO SEGURO E PECÚLIO DOS SERVIDORES DO ESTADO DE MINAS GERAIS</t>
  </si>
  <si>
    <t>4518 - METRÓPOLE DIGITAL</t>
  </si>
  <si>
    <t>4042 - FUNDESE EMPRESA MINEIRA COMPETITIVA</t>
  </si>
  <si>
    <t>4139 - CONCESSÕES DE TRANSPORTES NAS MODALIDADES RODOVIÁRIAS, FERROVIÁRIAS, AEROVIÁRIAS, AQUAVIÁRIAS E HIDROVIÁRIAS</t>
  </si>
  <si>
    <t>4502 - GESTÃO DO FUNDO ESPECIAL DE CRÉDITOS INADIMPLIDOS E DA  DÍVIDA ATIVA - FECIDAT</t>
  </si>
  <si>
    <t>2055 - AUXÍLIOS CONCEDIDOS A MAGISTRADOS E SERVIDORES</t>
  </si>
  <si>
    <t>2074 - APRIMORAMENTO DA REDE SOCIOASSISTENCIAL</t>
  </si>
  <si>
    <t>4201 - CONTROLE DE VELOCIDADE</t>
  </si>
  <si>
    <t>4402 - FUNDERUR  DIVERSIFICA</t>
  </si>
  <si>
    <t>4427 - VIABILIZAÇÃO DO ACESSO À HABITAÇAÕ DE INTERESSE SOCIAL</t>
  </si>
  <si>
    <t>061 - ATENÇÃO ESPECIALIZADA À SAÚDE</t>
  </si>
  <si>
    <t>4152 - FOMENTO ÀS UNIDADES DE ATENDIMENTO AO TRABALHADOR</t>
  </si>
  <si>
    <t>7005 - BENEFÍCIOS PREVIDENCIÁRIOS - SECOM</t>
  </si>
  <si>
    <t>7013 - GESTÃO DE GARANTIA E/OU CONTRAGARANTIA EM OPERAÇÕES DE TERCEIROS</t>
  </si>
  <si>
    <t>4024 - EXECUÇÃO DO CONTROLE METROLÓGICO NO ESTADO DE MINAS GERAIS</t>
  </si>
  <si>
    <t>112 - CERTIFICAÇÕES E HABILITAÇÕES DE PRODUTOS AGROPECUÁRIOS E AGROINDUSTRIAIS</t>
  </si>
  <si>
    <t>4051 - REGISTRO EMPRESARIAL</t>
  </si>
  <si>
    <t>4340 - OPERACIONALIZAÇÃO DE JOGOS</t>
  </si>
  <si>
    <t>7541 - PROGRAMAÇÃO A CARGO DO ESTADO PARA A COMPANHIA DE DESENVOLVIMENTO DO ESTADO DE MINAS GERAIS - CODEMIG</t>
  </si>
  <si>
    <t>136 - EDUCAÇÃO ESCOLAR</t>
  </si>
  <si>
    <t>2001 - ASSESSORIA DE PUBLICIDADE</t>
  </si>
  <si>
    <t>163 - ALIMENTAÇÃO ESCOLAR</t>
  </si>
  <si>
    <t>120 - PRODUÇÃO E VEICULAÇÃO DO DIÁRIO OFICIAL ELETRÔNICO MINAS GERAIS</t>
  </si>
  <si>
    <t>099 - DESENVOLVIMENTO DA INFRAESTRUTURA ESTADUAL, MUNICIPAL E REGIONAL</t>
  </si>
  <si>
    <t>155 - REPARAÇÃO DOS DANOS DOS ROMPIMENTOS EM BRUMADINHO E MARIANA</t>
  </si>
  <si>
    <t>4007 - INFORMAÇÃO, COORDENAÇÃO E SUPORTE À GOVERNADORIA E VICE-GOVERNADORIA</t>
  </si>
  <si>
    <t>1018 - CONSTRUÇÃO, AMPLIAÇÃO E REFORMA DAS UNIDADES ACADÊMICAS E DOS CAMPI DA UEMG</t>
  </si>
  <si>
    <t>4001 - OFERTA DE CURSOS DE GRADUAÇÃO</t>
  </si>
  <si>
    <t>4124 - LOTE OURO PRETO</t>
  </si>
  <si>
    <t>1008 - CUMPRIMENTO ADMINISTRATIVO DE DETERMINAÇÕES JUDICIAIS DECORRENTES DO ACESSO GRATUITO À JUSTIÇA</t>
  </si>
  <si>
    <t>4447 - GESTÃO METROPOLITANA</t>
  </si>
  <si>
    <t>4273 - REGULAÇÃO METROPOLITANA</t>
  </si>
  <si>
    <t>4013 - REGULAÇÃO E FISCALIZAÇÃO ECONÔMICO-FINANCEIRA</t>
  </si>
  <si>
    <t>7006 - PROVENTOS DE INATIVOS CIVIS E PENSIONISTAS</t>
  </si>
  <si>
    <t>8003 - FINANCIAMENTO À DESCARBONIZAÇÃO E RESILIÊNCIA CLIMÁTICA ENTRE BDMG E BANCO INTERAMERICANO DE DESENVOLVIMENTO (BDMG PBR)</t>
  </si>
  <si>
    <t>3005 - REFORMAS DE SUBESTAÇÕES E LINHAS DE TRANSMISSÃO</t>
  </si>
  <si>
    <t>8009 - PPP SISTEMA ADUTOR RIO MANSO</t>
  </si>
  <si>
    <t>4280 - MITIGAÇÃO DE DANOS PONTUAIS NAS RODOVIAS</t>
  </si>
  <si>
    <t>4489 - APRIMORAMENTO DA REDE DE POSTOS PRÓPRIOS QUE ATENDE A FROTA ESTADUAL</t>
  </si>
  <si>
    <t>4016 - FORMAÇÃO SUPERIOR EM LATICÍNIOS E AGROPECUÁRIA DE PRECISÃO</t>
  </si>
  <si>
    <t>4424 - FOMENTO AO DESENVOLVIMENTO E À DIFUSÃO DO AUDIOVISUAL MINEIRO</t>
  </si>
  <si>
    <t>4050 - PRODUÇÃO CIENTÍFICA NO CAMPO DA SAÚDE</t>
  </si>
  <si>
    <t>4222 - MODERNIZAÇÃO E/OU MELHORIA DA INFRAESTRUTURA FÍSICA E/OU TÉCNOLÓGICA DAS UNIDADES DA FUNDAÇÃO HEMOMINAS</t>
  </si>
  <si>
    <t>4048 - FORMAÇÃO, CAPACITAÇÃO, ATRAÇÃO E FIXAÇÃO DE PESSOAS PARA ATUAÇÃO EM CIÊNCIA, TECNOLOGIA E INOVAÇÃO</t>
  </si>
  <si>
    <t>1011 - CAPACITAÇÃO DOS PROFISSIONAIS DA FUCAM PARA ATENDIMENTO ADEQUADO A PESSOAS COM DEFICIÊNCIAS</t>
  </si>
  <si>
    <t>4069 - GESTÃO DE BARRAGENS</t>
  </si>
  <si>
    <t>089 - MEMÓRIA VIVA: DIFUSÃO CULTURAL, PATRIMÔNIO MATERIAL E IMATERIAL</t>
  </si>
  <si>
    <t>4030 - ATENÇÃO À SAÚDE NAS UNIDADES ASSISTENCIAIS DE REABILITAÇÃO E CUIDADOS INTEGRADOS</t>
  </si>
  <si>
    <t>4299 - GESTÃO E MANUTENÇÃO DOS SISTEMAS DE TRANSMISSÃO VIA SATÉLITE E OPERAÇÃO DE TV</t>
  </si>
  <si>
    <t>4529 - INTEGRAÇÃO DO PLANEJAMENTO NA REGIÃO METROPOLITANA DO VALE DO AÇO</t>
  </si>
  <si>
    <t>4043 - FUNDESE BASE TECNOLOGICA</t>
  </si>
  <si>
    <t>4213 - AEROPORTOS REGIONAIS</t>
  </si>
  <si>
    <t>2091 - OBRAS E GESTÃO PREDIAL</t>
  </si>
  <si>
    <t>4025 - APOIO AO CENTRO DIA DE REFERÊNCIA PARA PESSOA COM DEFICIÊNCIA</t>
  </si>
  <si>
    <t>4209 - EDUCAÇÃO PARA O TRÂNSITO</t>
  </si>
  <si>
    <t>062 - ACESSO A SERVIÇOS DE SAÚDE</t>
  </si>
  <si>
    <t>7008 - BENEFÍCIO PREVIDENCIÁRIO DE PENSÃO</t>
  </si>
  <si>
    <t>4207 - PROJETOS ESPECIAIS DE PROMOÇÃO E PROTEÇÃO DE CRIANÇAS E ADOLESCENTES</t>
  </si>
  <si>
    <t>049 - ADMINISTRAÇÃO DOS PRÉDIOS GOVERNAMENTAIS</t>
  </si>
  <si>
    <t>7019 - GESTÃO DE GARANTIA E/OU CONTRAGARANTIA EM OPERAÇÕES DE TERCEIROS</t>
  </si>
  <si>
    <t>1025 - PROMOÇÃO DO ACESSO A EQUIPAMENTOS DE ARMAZENAGEM E DISTRIBUIÇÃO DE RECURSOS HÍDRICOS NO NORTE E NORDESTE DE MINAS GERAIS</t>
  </si>
  <si>
    <t>4026 - AVALIAÇÃO DA CONFORMIDADE DE PRODUTOS E SERVIÇOS NO MERCADO MINEIRO (VISITAS)</t>
  </si>
  <si>
    <t>2009 - DIREÇÃO ADMINISTRATIVA</t>
  </si>
  <si>
    <t>4008 - ASSISTÊNCIA À SAÚDE DOS SEGURADOS E DE SEUS DEPENDENTES</t>
  </si>
  <si>
    <t>4054 - PREVENÇÃO E COMBATE A INCÊNDIOS FLORESTAIS</t>
  </si>
  <si>
    <t>118 - EDUCAÇÃO E SUCESSÃO RURAL</t>
  </si>
  <si>
    <t>4200 - PREVENÇÃO DE EVENTOS HIDROMETEOROLÓGICOS CRÍTICOS</t>
  </si>
  <si>
    <t>4052 - REDESIM MG</t>
  </si>
  <si>
    <t>6001 - INVESTIMENTOS VIA PARTICIPAÇÃO SOCIETÁRIA</t>
  </si>
  <si>
    <t>1016 - OUVIDORIA 4.0 - APRIMORAMENTO DE SISTEMA ELETRÔNICO</t>
  </si>
  <si>
    <t>7700 - PROGRAMAÇÃO A CARGO DO ESTADO PARA A MINAS GERAIS PARTICIPAÇÕES S/A - MGI</t>
  </si>
  <si>
    <t>137 - POLÍCIA OSTENSIVA</t>
  </si>
  <si>
    <t>4111 - COORDENAÇÃO, GOVERNANÇA E COMUNICAÇÃO DO PROMAIS</t>
  </si>
  <si>
    <t>2002 - ASSESSORIA DE IMPRENSA</t>
  </si>
  <si>
    <t>164 - APOIO AO ENSINO SUPERIOR</t>
  </si>
  <si>
    <t>122 - FORTALECIMENTO DA GESTÃO DAS TRANSFERÊNCIAS ESTADUAIS</t>
  </si>
  <si>
    <t>117 - MOBILIDADE, TRANSPORTES E LOGÍSTICA</t>
  </si>
  <si>
    <t>146 - PROMOÇÃO DA POLÍTICA SOCIOEDUCATIVA PARA ATENDIMENTO AOS ADOLESCENTES EM CONFLITO COM A LEI</t>
  </si>
  <si>
    <t>156 - GESTÃO DA CIDADE ADMINISTRATIVA</t>
  </si>
  <si>
    <t>2157 - AUXÍLIOS ALIMENTAÇÃO, CRECHE, MORADIA, SAÚDE E OUTROS AUXÍLIOS</t>
  </si>
  <si>
    <t>4086 - ATIVIDADE DE ENSINO DE GRADUAÇÃO PRESENCIAL E A DISTÂNCIA</t>
  </si>
  <si>
    <t>4002 - APOIO ÀS ATIVIDADES DE PESQUISA, INOVAÇÃO E TECNOLOGIA.</t>
  </si>
  <si>
    <t>4156 - GESTÃO DOS PROJETOS ESTRUTURANTES DE MOBILIDADE</t>
  </si>
  <si>
    <t>1010 - FOMENTO À UTILIZAÇÃO DE MÉTODOS ALTERNATIVOS DE SOLUÇÃO DE CONFLITOS</t>
  </si>
  <si>
    <t>4286 - FOMENTO AO DESENVOLVIMENTO SUSTENTÁVEL DA REGIÃO METROPOLITANA DO VALE DO AÇO</t>
  </si>
  <si>
    <t>4014 - REGULAÇÃO OPERACIONAL E FISCALIZAÇÃO DA PRESTAÇÃO DE SERVIÇOS</t>
  </si>
  <si>
    <t>3006 - MANUTENÇÃO DA INFRAESTRUTURA DA TRANSMISSÃO</t>
  </si>
  <si>
    <t>4142 - GESTÃO DO ATENDIMENTO AO PERÍODO CHUVOSO</t>
  </si>
  <si>
    <t>4370 - ASSISTÊNCIA ESTUDANTIL</t>
  </si>
  <si>
    <t>4237 - CENTRO DE TECIDOS BIOLÓGICOS DE MINAS GERAIS - CETEBIO</t>
  </si>
  <si>
    <t>4362 - COMUNICAÇÃO CIENTÍFICA</t>
  </si>
  <si>
    <t>1029 - REALIZAÇÃO DE INTERVENÇÕES DE MELHORIA DA ACESSIBILIDADE NOS ESPAÇOS DA FUCAM</t>
  </si>
  <si>
    <t>4070 - GESTÃO E RECUPERAÇÃO DE ÁREAS DEGRADADAS E CONTAMINADAS</t>
  </si>
  <si>
    <t>4031 - ATENÇÃO À SAÚDE NAS UNIDADES ASSISTENCIAIS DE REFERÊNCIA</t>
  </si>
  <si>
    <t>4302 - PRODUÇÃO E VEICULAÇÃO TELEVISIVA DE PROGRAMAÇÃO DE CARÁTER CULTURAL, INFORMATIVO, EDUCATIVO E DE ENTRETENIMENTO</t>
  </si>
  <si>
    <t>4084 - FINANCIAMENTO HABITACIONAL AOS SERVIDORES DA ASSEMBLEIA LEGISLATIVA</t>
  </si>
  <si>
    <t>4214 - COMPLEXO MINEIRÃO</t>
  </si>
  <si>
    <t>7038 - APORTE FINANCEIRO PARA COBERTURA DA NECESSIDADE DE FINANCIAMENTO DA PREVIDÊNCIA DOS SERVIDORES DO ESTADO</t>
  </si>
  <si>
    <t>2109 - FORMAÇÃO, APERFEIÇOAMENTO E DESENVOLVIMENTO CONTÍNUO DE PESSOAS</t>
  </si>
  <si>
    <t>4429 - PROTEÇÃO SOCIAL ESPECIAL DE MÉDIA COMPLEXIDADE</t>
  </si>
  <si>
    <t>4210 - REGULAÇÃO DO USO E OCUPAÇÃO DA FAIXA DE DOMÍNIO</t>
  </si>
  <si>
    <t>063 - VIGILÂNCIA EM SAÚDE</t>
  </si>
  <si>
    <t>4159 - FORMAÇÃO E ORIENTAÇÃO PARA A INSERÇÃO DO TRABALHADOR NO MERCADO DE TRABALHO</t>
  </si>
  <si>
    <t>7009 - BENEFÍCIOS PREVIDENCIÁRIOS - CASA CIVIL</t>
  </si>
  <si>
    <t>050 - SEGURANÇA E INTELIGÊNCIA GOVERNAMENTAL</t>
  </si>
  <si>
    <t>7030 - ENCARGOS DEVIDOS POR FINANCIAMENTO JUNTO AO INSTITUTO NACIONAL DA SEGURIDADE SOCIAL - INSS</t>
  </si>
  <si>
    <t>1026 - ENERGIZAÇÃO DE POÇOS E SISTEMAS DE ABASTECIMENTO DE ÁGUA</t>
  </si>
  <si>
    <t>2012 - ASSESSORAMENTO E GESTÃO DA ASSISTÊNCIA À SAÚDE</t>
  </si>
  <si>
    <t>4009 - ASSITÊNCIA ODONTOLÓGICA AOS SEGURADOS MILITARES E A SEUS DEPENDENTES</t>
  </si>
  <si>
    <t>4055 - CONTROLE E MONITORAMENTO DE ATIVIDADES FLORESTAIS</t>
  </si>
  <si>
    <t>6011 - MANUTENÇÃO E ADEQUAÇÃO DA INFRAESTRUTURA DA MGI</t>
  </si>
  <si>
    <t>2020 - FORMAÇÃO EM OUVIDORIA - CAPACITAR PARA MELHOR ATENDER O CIDADÃO</t>
  </si>
  <si>
    <t>7707 - PROGRAMAÇÃO A CARGO DO ESTADO PARA A MINAS GERAIS ADMINISTRAÇÃO E SERVIÇOS S/A - MGS</t>
  </si>
  <si>
    <t>1003 - PROCEDIMENTO DE POLÍCIA JUDICIÁRIA ELETRÔNICO - PPJ-E</t>
  </si>
  <si>
    <t>2028 - DIREÇÃO DA POLÍTICA INSTITUCIONAL</t>
  </si>
  <si>
    <t>114 - INFRAESTRUTURA RURAL E AGRICULTURA SUSTENTÁVEL</t>
  </si>
  <si>
    <t>2003 - ASSESSORIA DE COMUNICAÇÃO DIGITAL</t>
  </si>
  <si>
    <t>069 - FOMENTO AO ESPORTE, À ATIVIDADE FÍSICA E AO LAZER</t>
  </si>
  <si>
    <t>165 - ORGANIZAÇÃO, AVALIAÇÃO E GESTÃO ESCOLAR</t>
  </si>
  <si>
    <t>1002 - DIVISA TRIBUTÁRIA SEGURA</t>
  </si>
  <si>
    <t>4028 - PROMOÇÃO DAS POLÍTICAS PÚBLICAS DE ABASTECIMENTO DE ÁGUA, ESGOTAMENTO SANITÁRIO E DRENAGEM DE ÁGUAS PLUVIAIS</t>
  </si>
  <si>
    <t>157 - GESTÃO DO PLANEJAMENTO ORÇAMENTÁRIO GOVERNAMENTAL</t>
  </si>
  <si>
    <t>7007 - PROVENTOS DE INATIVOS MILITARES</t>
  </si>
  <si>
    <t>4087 - ATIVIDADES DE PESQUISA CIENTÍFICA</t>
  </si>
  <si>
    <t>4004 - APOIO AOS PROGRAMAS DE PÓS-GRADUAÇÃO STRICTO SENSU.</t>
  </si>
  <si>
    <t>4160 - REGULAÇÃO DE CONCESSÕES E PPPS</t>
  </si>
  <si>
    <t>2030 - CUMPRIMENTO ADMINISTRATIVO DE DETERMINAÇÕES JUDICIAIS DECORRENTES DO ACESSO GRATUITO À JUSTIÇA</t>
  </si>
  <si>
    <t>4015 - ATENDIMENTO AO INTERESSADO NA PRESTAÇÃO DE SERVIÇOS</t>
  </si>
  <si>
    <t>4239 - ELABORAÇÃO LEGISLATIVA E ACOMPANHAMENTO DAS POLÍTICAS PÚBLICAS</t>
  </si>
  <si>
    <t>6004 - MANUTENÇÃO E ADEQUAÇÃO DA INFRA-ESTRUTURA ADMINISTRATIVA E OPERACIONAL DO BDMG</t>
  </si>
  <si>
    <t>3009 - INVESTIMENTOS PARTICIPAÇÕES SOCIETÁRIAS DA TRANSMISSÃO</t>
  </si>
  <si>
    <t>4304 - PROMOÇÃO DO ACESSO À INFORMAÇÃO E DA TRANSPARÊNCIA</t>
  </si>
  <si>
    <t>1050 - EXPANSÃO DA DEFENSORIA PÚBLICA NO ESTADO</t>
  </si>
  <si>
    <t>4162 - SUPORTE À GESTÃO DOS ATIVOS RODOVIÁRIOS</t>
  </si>
  <si>
    <t>7024 - PAGAMENTOS MENSAIS DE PROVENTOS  AOS ASSISTIDOS E PENSIONISTAS DO PLANO DE PREVIDÊNCIA COMPLEMENTAR MINASCAIXA RP-2</t>
  </si>
  <si>
    <t>4235 - ASSISTÊNCIA TÉCNICA E EXTENSÃO RURAL PARA AGRICULTORES FAMILIARES E DEMAIS PÚBLICOS</t>
  </si>
  <si>
    <t>4371 - APOIO ÀS ATIVIDADES DE PESQUISA, INOVAÇÃO E TECNOLOGIA</t>
  </si>
  <si>
    <t>2031 - GESTÃO DE PROJETOS E AÇÕES DE PUBLICIDADE E PROPAGANDA</t>
  </si>
  <si>
    <t>4369 - PALÁCIO PARA TODOS</t>
  </si>
  <si>
    <t>4387 - FOMENTO À INOVAÇÃO DE BASE CIENTÍFICA OU TECNOLÓGICA</t>
  </si>
  <si>
    <t>1001 - GESTÃO DO SISTEMA DE FINANCIAMENTO A CULTURA</t>
  </si>
  <si>
    <t>2500 - ASSESSORAMENTO E GERENCIAMENTO DE POLÍTICAS PÚBLICAS</t>
  </si>
  <si>
    <t>1030 - REALIZAÇÃO DE INTERVENÇÕES DE MELHORIA DA ACESSIBILIDADE NOS ESPAÇOS DA FUCAM</t>
  </si>
  <si>
    <t>4455 - POPULARIZAÇÃO DA CIÊNCIA</t>
  </si>
  <si>
    <t>4032 - ATENÇÃO À SAÚDE NAS UNIDADES ASSISTENCIAIS DE SAÚDE MENTAL</t>
  </si>
  <si>
    <t>4240 - FORMAÇÃO CONTINUADA E EXECUTIVA</t>
  </si>
  <si>
    <t>4215 - COMPLEXO PENAL</t>
  </si>
  <si>
    <t>4258 - APOIO À IMPLEMENTAÇÃO DE INFRAESTRUTURAS E/OU PROJETOS PARA OS SERVIÇOS DE SANEAMENTO BÁSICO</t>
  </si>
  <si>
    <t>4395 - PROCESSAMENTO JUDICIÁRIO</t>
  </si>
  <si>
    <t>4430 - PROTEÇÃO SOCIAL ESPECIAL DE ALTA COMPLEXIDADE</t>
  </si>
  <si>
    <t>4211 - SERVIÇO DE APOIO INTEGRADO AO USUÁRIO</t>
  </si>
  <si>
    <t>064 - ASSISTÊNCIA FARMACÊUTICA</t>
  </si>
  <si>
    <t>7011 - BENEFÍCIOS PREVIDENCIÁRIOS - ARMBH</t>
  </si>
  <si>
    <t>4428 - PROJETOS ESPECIAIS DE PROMOÇÃO E PROTEÇÃO DA PRIMEIRA INFÂNCIA</t>
  </si>
  <si>
    <t>000 - ENCONTRO DAS ÁGUAS</t>
  </si>
  <si>
    <t>7043 - ENCARGOS DEVIDOS POR FINANCIAMENTO JUNTO AO PROGRAMA DE FORMAÇÃO DO PATRIMÔNIO DO SERVIDOR PÚBLICO - PASEP</t>
  </si>
  <si>
    <t>1027 - PROMOÇÃO DO SANEAMENTO BÁSICO POR MEIO DA INSTALAÇÃO DE MÓDULOS SANITÁRIOS</t>
  </si>
  <si>
    <t>7208 - PROVENTOS DE INATIVOS PARLAMENTARES, OUTROS CIVIS E PENSIONISTAS</t>
  </si>
  <si>
    <t>4068 - REDE DE ASSISTÊNCIA À SAÚDE ODONTOLÓGICA CONTRATADA</t>
  </si>
  <si>
    <t>4056 - RECUPERAÇÃO AMBIENTAL</t>
  </si>
  <si>
    <t>4027 - GESTÃO DO FOMENTO E DO SISTEMA DE FINANCIAMENTO À CULTURA</t>
  </si>
  <si>
    <t>4187 - PLANEJAMENTO DE RECURSOS HÍDRICOS</t>
  </si>
  <si>
    <t>4104 - APRESENTAÇÃO DE RELATÓRIOS DE GESTÃO</t>
  </si>
  <si>
    <t>7723 - PROGRAMAÇÃO A CARGO DO ESTADO PARA A COMPANHIA DE TECNOLOGIA DA INFORMAÇÃO DO ESTADO DE MINAS GERAIS - PRODEMGE</t>
  </si>
  <si>
    <t>1005 - PROJETO DELEGACIA RURAL</t>
  </si>
  <si>
    <t>4493 - OPERACIONALIZAÇÃO DAS ATRIBUIÇÕES INSTITUCIONAIS DO MINISTÉRIO PÚBLICO - PROCURADORIA E PROMOTORIA DE JUSTIÇA</t>
  </si>
  <si>
    <t>2010 - TRANSFERÊNCIAS ESPECIAIS - CASA CIVIL</t>
  </si>
  <si>
    <t>116 - INOVA AGRO GERAIS</t>
  </si>
  <si>
    <t>167 - PROGRAMA ESTADUAL DE DESENVOLVIMENTO DA EDUCAÇÃO BÁSICA</t>
  </si>
  <si>
    <t>2004 - MODERNIZAÇÃO DE SISTEMAS FAZENDÁRIOS LEGADOS</t>
  </si>
  <si>
    <t>4037 - GESTÃO DE RESÍDUOS E CENTRO MINEIRO DE REFERÊNCIA EM RESÍDUOS</t>
  </si>
  <si>
    <t>159 - CENTRALIZAÇÃO DO PROCESSAMENTO DE COMPRAS PÚBLICAS</t>
  </si>
  <si>
    <t>2053 - REMUNERAÇÃO DE MAGISTRADOS DA ATIVA E ENCARGOS SOCIAIS</t>
  </si>
  <si>
    <t>4088 - ATIVIDADE DE PÓS-GRADUAÇÃO</t>
  </si>
  <si>
    <t>4005 - ASSISTÊNCIA ESTUDANTIL</t>
  </si>
  <si>
    <t>4161 - REGULAÇÃO DE CONCESSÕES E PPPS</t>
  </si>
  <si>
    <t>4528 - MINAS REURB ARMVA</t>
  </si>
  <si>
    <t>4469 - IMPLANTAÇÃO DO SISTEMA DE INFORMAÇÕES REGULATÓRIAS DA ARSAE-MG</t>
  </si>
  <si>
    <t>4305 - FORTALECIMENTO DA INTEGRIDADE PÚBLICA E PRIVADA</t>
  </si>
  <si>
    <t>1098 - POTENCIALIZAÇÃO DO SERVIÇO DE PREVENÇÃO E RESPOSTA CONTRA INCÊNDIO E PÂNICO</t>
  </si>
  <si>
    <t>1099 - IMPLANTAÇÃO E ESTRUTURAÇÃO DE DEFENSORIAS ESPECIALIZADAS E NÚCLEOS DA DEFENSORIA PÚBLICA</t>
  </si>
  <si>
    <t>4268 - AMPLIAÇÃO DE CAPACIDADE DA MALHA VIÁRIA</t>
  </si>
  <si>
    <t>7441 - PENSÕES ESPECIAIS DE RESPONSABILIDADE DO PODER EXECUTIVO ESTADUAL</t>
  </si>
  <si>
    <t>2052 - GESTÃO E OPERAÇÃO DO CENTRO DE CULTURA PRESIDENTE ITAMAR FRANCO</t>
  </si>
  <si>
    <t>4389 - FOMENTO A ESTRUTURAS PARA PESQUISA, DESENVOLVIMENTO E INOVAÇÃO</t>
  </si>
  <si>
    <t>1058 - FORMAÇÃO CULTURAL</t>
  </si>
  <si>
    <t>4071 - LICENCIAMENTO AMBIENTAL</t>
  </si>
  <si>
    <t>4034 - ATENÇÃO À SAÚDE NO COMPLEXO HOSPITALAR DE BARBACENA</t>
  </si>
  <si>
    <t>4241 - DESENVOLVIMENTO DE PESSOAS NO SETOR PÚBLICO</t>
  </si>
  <si>
    <t>4216 - RODOVIA MG 050</t>
  </si>
  <si>
    <t>4431 - PISO MINEIRO DE ASSISTÊNCIA SOCIAL</t>
  </si>
  <si>
    <t>4382 - INTERVENÇÕES DE SEGURANÇA VIÁRIA</t>
  </si>
  <si>
    <t>7012 - BENEFÍCIOS PREVIDENCIÁRIOS - ESP-MG</t>
  </si>
  <si>
    <t>7658 - ENCARGOS DEVIDOS POR FINANCIAMENTO JUNTO AOS INSTITUTOS DE PREVIDÊNCIA DOS SERVIDORES MILITARES DO ESTADO DE MINAS GERAIS - IPSM</t>
  </si>
  <si>
    <t>1028 - PROMOÇÃO DE INFRAESTRUTURA HÍDRICA DE PEQUENO PORTE NO NORTE E NORDESTE DE MINAS GERAIS</t>
  </si>
  <si>
    <t>4073 - REDE DE ASSISTÊNCIA À SAÚDE HOSPITALAR CONTRATADA</t>
  </si>
  <si>
    <t>4010 - AUXÍLIOS PREVIDENCIÁRIOS E ASSISTENCIAIS CONCEDIDOS AOS SEGURADOS E AOS SEUS DEPENDENTES</t>
  </si>
  <si>
    <t>4057 - PARC - PROGRAMA DE CONCESSÃO DE PARQUES ESTADUAIS</t>
  </si>
  <si>
    <t>4267 - AÇÕES DE DIFUSÃO E EDUCAÇÃO PARA O PATRIMÔNIO CULTURAL</t>
  </si>
  <si>
    <t>4202 - APRIMORAMENTO DA DEFESA SANITÁRIA - VIGILÂNCIA SANITÁRIA ANIMAL</t>
  </si>
  <si>
    <t>4188 - REGULAÇÃO DE RECURSOS HÍDRICOS</t>
  </si>
  <si>
    <t>6002 - SUPORTE AO DESENVOLVIMENTO ESTADUAL</t>
  </si>
  <si>
    <t>4108 - QUALIDADE TOTAL E SEGURANÇA DE DADOS</t>
  </si>
  <si>
    <t>7734 - PROGRAMAÇÃO A CARGO DO ESTADO PARA COMPANHIA DE HABITAÇÃO DO ESTADO DE MINAS GERAIS - COHAB</t>
  </si>
  <si>
    <t>1006 - ENFRENTAMENTO À VIOLÊNCIA CONTRA A MULHER</t>
  </si>
  <si>
    <t>4372 - SUPORTE AÉREO AOS SERVIÇOS DE SEGURANÇA PÚBLICA</t>
  </si>
  <si>
    <t>2062 - REPRESENTAÇÃO E DEFESA DOS INTERESSES DO ESTADO DE MINAS GERAIS EM BRASILIA</t>
  </si>
  <si>
    <t>4324 - DIVULGAÇÃO TURÍSTICA DE MINAS GERAIS</t>
  </si>
  <si>
    <t>1100 - PROMOÇÃO DO DESENVOLVIMENTO SOCIOECONÔMICO E ACESSO À INFRAESTRUTURA DO NORTE E NORDESTE DE MINAS GERAIS</t>
  </si>
  <si>
    <t>168 - GESTÃO DA REDE FÍSICA ESTADUAL DE ENSINO</t>
  </si>
  <si>
    <t>2005 - TRANSFORMAÇÃO DIGITAL</t>
  </si>
  <si>
    <t>2041 - CERIMONIAL E EVENTOS</t>
  </si>
  <si>
    <t>4344 - PREVENÇÃO SOCIAL ÀS VIOLÊNCIAS E CRIMINALIDADES</t>
  </si>
  <si>
    <t>4044 - BOLSA RECICLAGEM</t>
  </si>
  <si>
    <t>2054 - REMUNERAÇÃO DE SERVIDORES DA ATIVA E ENCARGOS SOCIAIS</t>
  </si>
  <si>
    <t>1019 - APRIMORAMENTO DE SISTEMA ELETRÕNICO</t>
  </si>
  <si>
    <t>4089 - AÇÃO DE EXTENSÃO UNIVERSITÁRIA</t>
  </si>
  <si>
    <t>4006 - OFERTA DE ENSINO TÉCNICO E PROFISSIONAL</t>
  </si>
  <si>
    <t>4205 - ESTRUTURAÇÃO, MODELAGEM E GESTÃO DE CONCESSÕES E PARCERIAS</t>
  </si>
  <si>
    <t>1012 - APERFEIÇOAMENTO DA GESTÃO DA AGE</t>
  </si>
  <si>
    <t>8006 - FINANCIAMENTO À INFRAESTRUTURA E AO DESENVOLVIMENTO SUSTENTÁVEL EM MG ENTRE BDMG E NEW DEVELOPMENT BANK (BDMG INFRA ODS)</t>
  </si>
  <si>
    <t>3001 - EXPANSÃO DO SISTEMA DE GERAÇÃO</t>
  </si>
  <si>
    <t>4306 - FOMENTO AO CONTROLE SOCIAL</t>
  </si>
  <si>
    <t>2021 - ASSISTÊNCIA MÉDICA, ODONTOLÓGICA, PSICOLÓGICA E FISIOTERÁPICA AOS BOMBEIROS MILITARES E SEUS DEPENDENTES</t>
  </si>
  <si>
    <t>2068 - CAPACITAÇÃO DE MEMBROS, SERVIDORES E CIDADÃOS  POR MEIO DA ESCOLA SUPERIOR DA DEFENSORIA PÚBLICA</t>
  </si>
  <si>
    <t>4272 - IMPLANTAÇÃO E RESTAURAÇÃO DE OBRAS DE ARTES ESPECIAIS</t>
  </si>
  <si>
    <t>1034 - MELHORAMENTO GENÉTICO DE BOVINOS</t>
  </si>
  <si>
    <t>4018 - DESENVOLVIMENTO DE PESQUISA AGROPECUÁRIA E AGROINDUSTRIAL</t>
  </si>
  <si>
    <t>4294 - DISPONIBILIZAÇÃO E DISTRIBUIÇÃO DE CONTEÚDO MULTIPLATAFORMA EM PRODUTOS DIGITAIS ONLINE</t>
  </si>
  <si>
    <t>4172 - GESTÃO DO FOMENTO E DO SISTEMA DE FINANCIAMENTO À CULTURA</t>
  </si>
  <si>
    <t>4513 - FOMENTO À PESQUISA CIENTÍFICA BÁSICA E APLICADA E AO DESENVOLVIMENTO TECNOLÓGICO</t>
  </si>
  <si>
    <t>4277 - ATENDIMENTO NO ENSINO FUNDAMENTAL EM TERRITÓRIOS DE ALTA VULNERABILIDADE SOCIAL</t>
  </si>
  <si>
    <t>4072 - APOIO AO LICENCIAMENTO AMBIENTAL MUNICIPAL</t>
  </si>
  <si>
    <t>4456 - PESQUISA E DESENVOLVIMENTO</t>
  </si>
  <si>
    <t>4075 - FORMAÇÃO CONTINUADA DE PROFESSORES PELO NÚCLO DE FORMAÇÃO PRESENCIAL E A DISTÂNCIA</t>
  </si>
  <si>
    <t>4035 - ATENÇÃO À SAÚDE NO COMPLEXO HOSPITALAR DE ESPECIALIDADES</t>
  </si>
  <si>
    <t>4242 - ESTUDOS E PESQUISAS NA ÁREA DE GESTÃO PÚBLICA</t>
  </si>
  <si>
    <t>4217 - UNIDADES DE ATENDIMENTO INTEGRAL UAI FASE I</t>
  </si>
  <si>
    <t>4064 - PAGAMENTO POR SERVIÇOS AMBIENTAIS</t>
  </si>
  <si>
    <t>4433 - GESTÃO DA POLÍTICA ESTADUAL DE ASSISTÊNCIA SOCIAL</t>
  </si>
  <si>
    <t>4526 - CONTROLE DE CARGAS</t>
  </si>
  <si>
    <t>166 - EXECUÇÃO DESCENTRALIZADA E AUTÔNOMA DAS AÇÕES E SERVIÇOS DE SAÚDE</t>
  </si>
  <si>
    <t>7014 - BENEFÍCIOS PREVIDENCIÁRIOS - SEJUSP</t>
  </si>
  <si>
    <t>4411 - PROJETOS ESPECIAIS DE PROMOÇÃO E PROTEÇÃO DOS DIREITOS DE CRIANÇAS E ADOLESCENTES</t>
  </si>
  <si>
    <t>7886 - GESTÃO DA DÍVIDA FUNDADA CONTRATUAL INTERNA</t>
  </si>
  <si>
    <t>1095 - IMPLANTAÇÃO DE BARRAGENS HIDROAGRÍCOLAS</t>
  </si>
  <si>
    <t>2113 - PECÚLIO, AUXÍLIO FUNERAL, SAÚDE E OUTRAS ASSISTÊNCIAS</t>
  </si>
  <si>
    <t>4074 - REDE DE ASSISTÊNCIA À SAÚDE AMBULATORIAL CONTRATADA</t>
  </si>
  <si>
    <t>4011 - AUXÍLIO RECLUSÃO CONCEDIDO AOS DEPENDENTES DO SEGURADO</t>
  </si>
  <si>
    <t>4058 - PROTEÇÃO E CONSERVAÇÃO DA FAUNA SILVESTRE</t>
  </si>
  <si>
    <t>4269 - INCENTIVO À IMPLANTAÇÃO DE POLÍTICAS MUNICIPAIS DE PROTEÇÃO AO PATRIMÔNIO CULTURAL</t>
  </si>
  <si>
    <t>4203 - APRIMORAMENTO DA DEFESA SANITÁRIA - VIGILÂNCIA SANITÁRIA VEGETAL</t>
  </si>
  <si>
    <t>4189 - COBRANÇA PELO USO DE RECURSOS HÍDRICOS</t>
  </si>
  <si>
    <t>5001 - GESTÃO DE RISCOS PARA BOA GOVERNANÇA</t>
  </si>
  <si>
    <t>7737 - PROGRAMAÇÃO A CARGO DO ESTADO PARA A COMPANHIA DE SANEAMENTO DE MINAS GERAIS - COPASA</t>
  </si>
  <si>
    <t>1007 - MODERNIZAÇÃO DA POLÍCIA JUDICIÁRIA</t>
  </si>
  <si>
    <t>2066 - MINAS INTERNACIONAL</t>
  </si>
  <si>
    <t>4327 - MINAS FORMA, MINAS TRANSFORMA</t>
  </si>
  <si>
    <t>2006 - PROPOSIÇÃO, AMPLIAÇÃO E SUSTENTAÇÃO DE SOLUÇÕES E ATENDIMENTO AOS USUÁRIOS DE TIC</t>
  </si>
  <si>
    <t>4266 - ASSISTENCIA EMERGENCIAL A MUNICIPIOS ATINGIDOS PELAS CHUVAS</t>
  </si>
  <si>
    <t>4347 - IMPLANTAÇÃO DE UNIDADES DE PREVENÇÃO À CRIMINALIDADE</t>
  </si>
  <si>
    <t>161 - GESTÃO DE TRÂNSITO</t>
  </si>
  <si>
    <t>2047 - AUXÍLIOS CONCEDIDOS A MAGISTRADOS E SERVIDORES</t>
  </si>
  <si>
    <t>4090 - FORTALECIMENTO DAS POLÍTICAS DE ASSISTÊNCIA ESTUDANTIL</t>
  </si>
  <si>
    <t>4017 - MANUTENÇÃO DO HOSPITAL DE ENSINO</t>
  </si>
  <si>
    <t>4208 - REGULAÇÃO DE CONCESSÕES E PPPS</t>
  </si>
  <si>
    <t>1013 - REPRESENTAÇÃO JUDICIAL, COBRANÇA DA DÍVIDA ATIVA E ASSESSORAMENTO JURÍDICO AO ESTADO E ENTIDADES</t>
  </si>
  <si>
    <t>3007 - REFORMAS, MELHORIAS E AMPLIAÇÕES DE USINAS</t>
  </si>
  <si>
    <t>4112 - AMPLIAÇÃO DO SISTEMA DE TECNOLOGIA DA INFORMAÇÃO E COMUNICAÇÃO, NO CBMMG, PARA RESPOSTA A DESASTRES</t>
  </si>
  <si>
    <t>4033 - CONSTRUÇÃO E REFORMA DE UNIDADES DA DEFENSORIA PÚBLICA</t>
  </si>
  <si>
    <t>4275 - IMPLANTAÇÃO/PAVIMENTAÇÃO DA MALHA</t>
  </si>
  <si>
    <t>4236 - FOMENTO PARA O DESENVOLVIMENTO DO SETOR AGROPECUÁRIO</t>
  </si>
  <si>
    <t>4019 - DIVULGAÇÃO DE TECNOLOGIA AGROPECUÁRIA VIA EVENTOS TÉCNICO-CIENTÍFICOS</t>
  </si>
  <si>
    <t>4295 - ATUALIZAÇÃO DE PLATAFORMA DE STREAMING E VOD COM CONTEÚDO INÉDITO</t>
  </si>
  <si>
    <t>1061 - PARCERIAS PARA O PATRIMÔNIO CULTURAL</t>
  </si>
  <si>
    <t>4282 - ATENDIMENTO NO ENSINO MÉDIO EM TERRITÓRIOS DE ALTA VULNERABILIDADE SOCIAL</t>
  </si>
  <si>
    <t>4076 - PASSAPORTE MINEIRO DO CONHECIMENTO</t>
  </si>
  <si>
    <t>4036 - ATENÇÃO À SAÚDE NO COMPLEXO HOSPITALAR DE URGÊNCIA E EMERGÊNCIA</t>
  </si>
  <si>
    <t>4243 - FORMAÇÃO DE PESSOAS NO NÍVEL DE GRADUAÇÃO</t>
  </si>
  <si>
    <t>4218 - UNIDADES DE ATENDIMENTO INTEGRAL UAI FASE I I</t>
  </si>
  <si>
    <t>4392 - APOIO À GESTÃO DE RECURSOS HÍDRICOS</t>
  </si>
  <si>
    <t>4434 - FORTALECIMENTO DO CONTROLE SOCIAL DO SUAS</t>
  </si>
  <si>
    <t>7015 - BENEFÍCIOS PREVIDENCIÁRIOS - ARSAE-MG</t>
  </si>
  <si>
    <t>4341 - GESTÃO DO TRANSPORTE RODOVIÁRIO</t>
  </si>
  <si>
    <t>7896 - GESTÃO DA DÍVIDA FUNDADA CONTRATUAL EXTERNA</t>
  </si>
  <si>
    <t>4410 - ATENDIMENTO DE ORDENS JUDICIAIS PARA ASSISTÊNCIA À SAÚDE</t>
  </si>
  <si>
    <t>4059 - GESTÃO DE UNIDADES E CONSERVAÇÃO</t>
  </si>
  <si>
    <t>4484 - GESTÃO DO FOMENTO E DO SISTEMA DE FINANCIAMENTO À CULTURA</t>
  </si>
  <si>
    <t>4206 - FISCALIZAÇÃO DO TRÂNSITO DE ANIMAIS, VEGETAIS, INSUMOS E PRODUTOS DE ORIGEM ANIMAL.</t>
  </si>
  <si>
    <t>4190 - FORTALECIMENTO DA GESTÃO PARTICIPATIVA</t>
  </si>
  <si>
    <t>6003 - SUPORTE AO DESENVOLVIMENTO ESTADUAL</t>
  </si>
  <si>
    <t>5004 - PREVENÇÃO E COMBATE À CORRUPÇÃO</t>
  </si>
  <si>
    <t>7752 - PROGRAMAÇÃO A CARGO DO ESTADO PARA O BANCO DE DESENVOLVIMENTO DE MINAS GERAIS - BDMG</t>
  </si>
  <si>
    <t>1051 - IMPLEMENTAÇÃO DA CADEIA DE CUSTÓDIA DA PROVA EM MINAS GERAIS</t>
  </si>
  <si>
    <t>2065 - CAPACITAÇÃO E TREINAMENTO POLICIAL-MILITAR PARA PROTEÇÃO E DEFESA CIVIL</t>
  </si>
  <si>
    <t>2070 - COORDENAÇÃO DO PROCESSO DE CAPTAÇÃO DE RECURSOS E PARCERIAS, MONITORAMENTO DE CONVÊNIOS DE ENTRADA, INSTRUMENTOS CONGÊNERES E OPERAÇÕES DE CRÉDITO</t>
  </si>
  <si>
    <t>4328 - ESTRUTURAÇÃO DE PRODUTOS TURÍSTICOS</t>
  </si>
  <si>
    <t>1082 - MINAS REURB SEDE</t>
  </si>
  <si>
    <t>074 - SEGURANÇA ALIMENTAR E NUTRICIONAL SUSTENTÁVEL PARA TODOS OS POVOS DO TERRITÓRIO MINEIRO</t>
  </si>
  <si>
    <t>170 - MODALIDADES E TEMATICAS ESPECIAIS DE ENSINO</t>
  </si>
  <si>
    <t>2007 - SUSTENTAÇÃO DO DATA CENTER</t>
  </si>
  <si>
    <t>2042 - ACOMPANHAMENTO DO PROCESSO LEGISLATIVO</t>
  </si>
  <si>
    <t>4038 - FISCALIZAÇÃO AMBIENTAL</t>
  </si>
  <si>
    <t>4445 - FISCALIZAÇÃO DA GESTÃO DE RECURSOS PÚBLICOS E OPERACIONALIZAÇÃO DAS ATRIBUIÇÕES INSTITUCIONAIS</t>
  </si>
  <si>
    <t>2077 - REMUNERAÇÃO DE MAGISTRADOS DA ATIVA E ENCARGOS SOCIAIS</t>
  </si>
  <si>
    <t>4550 - FORNECIMENTO DE REFEIÇÕES NA UNIVERSIDADE</t>
  </si>
  <si>
    <t>4253 - GESTÃO DE CONCESSÕES E PARCERIAS DE EQUIPAMENTOS PÚBLICOS</t>
  </si>
  <si>
    <t>1014 - REESTRUTURAÇÃO LOGÍSTICA, TECNOLÓGICA E DE COBRANÇA DA DÍVIDA ATIVA DA AGE</t>
  </si>
  <si>
    <t>3008 - MANUTENÇÃO DA INFRAESTRUTURA DA GERAÇÃO</t>
  </si>
  <si>
    <t>4307 - FORTALECIMENTO DE SERVIÇOS DE AUDITORIA INTERNA PARA AGREGAR VALOR À GESTÃO PÚBLICA ESTADUAL</t>
  </si>
  <si>
    <t>4113 - MANUTENÇÃO E AMPLIAÇÃO DA INFRAESTRUTURA E SISTEMA DE TECNOLOGIA DA INFORMAÇÃO E COMUNICAÇÃO</t>
  </si>
  <si>
    <t>4150 - OPERACIONALIZAÇÃO DAS ATRIBUIÇÕES DA DEFENSORIA PÚBLICA E DIREÇÃO ADMIINISTRATIVA</t>
  </si>
  <si>
    <t>4284 - PREVENÇÃO E MITIGAÇÃO DE DANOS AMBIENTAIS</t>
  </si>
  <si>
    <t>4020 - TRANSFERÊNCIA DE TECNOLOGIA VIA SEMENTES DE CULTIVARES MELHORADAS</t>
  </si>
  <si>
    <t>4296 - GESTÃO E MANUTENÇÃO DOS SISTEMAS DE TRANSMISSÃO VIA SATÉLITE E OPERAÇÃO DE TV</t>
  </si>
  <si>
    <t>4417 - FOMENTO DOS ESPAÇOS CULTURAIS</t>
  </si>
  <si>
    <t>1068 - SETOR PRODUTIVO MAIS INOVADOR</t>
  </si>
  <si>
    <t>4283 - EDUCAÇÃO PARA A CIDADANIA E PARA O MUNDO DO TRABALHO EM TERRITÓRIOS DE ALTA VULNERABILIDADE SOCIAL</t>
  </si>
  <si>
    <t>4457 - ATENDIMENTO DE ANÁLISES LABORATORIAIS DE INTERESSE DA SAÚDE PÚBLICA</t>
  </si>
  <si>
    <t>4077 - EDUCAÇÃO BÁSICA: AMPLIAÇÃO DA JORNADA ESCOLAR</t>
  </si>
  <si>
    <t>4244 - FORMAÇÃO DE PESSOAS NO NÍVEL DE PÓS-GRADUAÇÃO (LATO SENSU)</t>
  </si>
  <si>
    <t>4219 - UNIDADES DE ATENDIMENTO INTEGRAL UAI FASE I I I</t>
  </si>
  <si>
    <t>4413 - APOIO À GESTÃO DE RECURSOS HÍDRICOS, RECURSOS REEMBOLSÁVEIS</t>
  </si>
  <si>
    <t>4435 - EDUCAÇÃO PERMANENTE DO SUAS</t>
  </si>
  <si>
    <t>2029 - ADMINISTRAÇÃO E OPERACIONALIZAÇÃO DA ARRECADAÇÃO DO FUNTRANS</t>
  </si>
  <si>
    <t>7016 - COMPENSAÇÃO PREVIDENCIÁRIA FINANCEIRA ENTRE REGIMES DE PREVIDÊNCIA</t>
  </si>
  <si>
    <t>4320 - DISTRIBUIÇÃO DE LEITE ADQUIRIDO DA AGRICULTURA FAMILIAR, PARA BENEFICIÁRIOS EM INSEGURANÇA ALIMENTAR</t>
  </si>
  <si>
    <t>2114 - RESERVA TÉCNICA</t>
  </si>
  <si>
    <t>2017 - APOIO A POLÍTICA DE SAÚDE PARA OS MILITARES</t>
  </si>
  <si>
    <t>4500 - REGULARIZAÇÃO FUNDIÁRIA DE UNIDADES DE CONSERVAÇÃO</t>
  </si>
  <si>
    <t>4228 - FORTALECIMENTO DA ESTRUTURA E DOS PROCESSOS DO INSTITUTO MINEIRO DE AGROPECUÁRIA</t>
  </si>
  <si>
    <t>4191 - MONITORAMENTO HIDROMETEOROLOGICO</t>
  </si>
  <si>
    <t>5006 - QUALIDADE TOTAL E SEGURANÇA DE DADOS</t>
  </si>
  <si>
    <t>7758 - PROGRAMAÇÃO A CARGO DO ESTADO PARA A COMPANHIA ENEGÉTICA DE MINAS GERAIS - CEMIG</t>
  </si>
  <si>
    <t>1052 - APRIMORAMENTO DA INVESTIGAÇÃO DE HOMICÍDIOS</t>
  </si>
  <si>
    <t>4100 - APOIO AOS MUNICÍPIOS</t>
  </si>
  <si>
    <t>4357 - AGROEXPORTA - PROMOÇÃO DO AGRONEGÓCIO MINEIRO PARA A EXPORTAÇÃO</t>
  </si>
  <si>
    <t>4330 - PLANEJAMENTO E MONITORAMENTO DO SETOR TURÍSTICO DO ESTADO DE MINAS GERAIS</t>
  </si>
  <si>
    <t>1083 - DISCRIMINAÇÃO E ARRECADAÇÃO DE TERRAS E GESTÃO DOS ARRENDAMENTOS</t>
  </si>
  <si>
    <t>172 - PROGRAMA ESTADUAL DE COOPERACAO ESTADO-MUNICIPIO NA AREA EDUCACIONAL</t>
  </si>
  <si>
    <t>1037 - INTERVENÇÕES NA INFRAESTRUTURA RODOVIARIA ESTADUAL, MUNICIPAL E REGIONAL</t>
  </si>
  <si>
    <t>1047 - MODERNIZAÇÃO E EXPANSÃO DO SISTEMA PRISIONAL - REPARAÇÃO BRUMADINHO</t>
  </si>
  <si>
    <t>4039 - ATENDIMENTO DE DENÚNCIAS E DE REQUISIÇÕES</t>
  </si>
  <si>
    <t>2078 - REMUNERAÇÃO DE SERVIDORES DA ATIVA E ENCARGOS SOCIAIS</t>
  </si>
  <si>
    <t>4345 - GESTÃO DO RODOANEL METROPOLITANO</t>
  </si>
  <si>
    <t>3014 - INVESTIMENTOS EM PARTICIPAÇÕES SOCIETÁRIAS DA GERAÇÃO</t>
  </si>
  <si>
    <t>4308 - APRIMORAMENTO DA CAPACIDADE DE AUDITORIA INTERNA NOS PADRÕES INTERNACIONAIS</t>
  </si>
  <si>
    <t>4114 - GESTÃO DA PREVENÇÃO, MITIGAÇÃO E PREPARAÇÃO DE DESASTRE</t>
  </si>
  <si>
    <t>4193 - REMUNERAÇAO DE PESSOAL ATIVO E ENCARGOS SOCIAIS</t>
  </si>
  <si>
    <t>4287 - CONSTRUÇÃO E ADEQUAÇÃO DE RODOVIAS - RIO DOCE</t>
  </si>
  <si>
    <t>1044 - APOIO À COMERCIALIZAÇÃO ELETRÔNICA POR MEIO DE PLATAFORMA MARKETPLACE</t>
  </si>
  <si>
    <t>4021 - TRANSFERÊNCIA DE TECNOLOGIA VIA MUDAS QUALIFICADAS</t>
  </si>
  <si>
    <t>4297 - DISPONIBILIZAÇÃO E MANUTENÇÃO DO SINAL DE RETRANSMISSÃO DE TV NO INTERIOR DO ESTADO E REGIÃO METROPOLITANA DE BH</t>
  </si>
  <si>
    <t>4421 - PRODUÇÃO DE ESPETÁCULOS DOS CORPOS ARTÍSTICOS</t>
  </si>
  <si>
    <t>1069 - FORMAÇÃO E RETENÇÃO DE TALENTOS EM ÁREAS TECNOLÓGICAS</t>
  </si>
  <si>
    <t>1062 - QUALIFICAÇÃO PROFFISSIONAL E CURSOS COMPLEMENTARES, LIVRES, DE FORMAÇÃO INICIAL E CONTINUADA</t>
  </si>
  <si>
    <t>4285 - INCLUSÃO SOCIOPRODUTIVA EM TERRITÓRIOS DE ALTA VULNERABILIDADE SOCIAL</t>
  </si>
  <si>
    <t>4078 - ENSINO FUNDAMENTAL</t>
  </si>
  <si>
    <t>4245 - FORMAÇÃO DE PESSOAS NO NÍVEL DE PÓS-GRADUAÇÃO (STRICTO SENSU)</t>
  </si>
  <si>
    <t>4220 - RODOANEL METROPOLITANO DE BELO HORIZONTE</t>
  </si>
  <si>
    <t>4535 - PISO MINEIRO DE PROTEÇÃO SOCIAL ESPECIAL</t>
  </si>
  <si>
    <t>1020 - IMPLANTAÇÃO DOS HOSPITAIS REGIONAIS</t>
  </si>
  <si>
    <t>7017 - BENEFÍCIOS PREVIDENCIÁRIOS - GABINETE MILITAR</t>
  </si>
  <si>
    <t>4426 - GESTÃO DA AVIAÇÃO DO GABINETE MILITAR DO GOVERNADOR</t>
  </si>
  <si>
    <t>4323 - APOIO ÀS FEIRAS LIVRES PARA AMPLIAR A GERAÇÃO DE RENDA E DESENVOLVIMENTO ECONÔMICO LOCAL</t>
  </si>
  <si>
    <t>4229 - ATENÇÃO À SAÚDE AMBULATORIAL NA REDE PRÓPRIA</t>
  </si>
  <si>
    <t>2018 - APOIO AO SISTEMA DE PROTEÇÃO SOCIAL DOS MILITARES DE MINAS GERAIS</t>
  </si>
  <si>
    <t>4274 - PARCERIAS PARA PROTEÇÃO E SALVAGUARDA DO PATRIMÔNIO CULTURAL</t>
  </si>
  <si>
    <t>4238 - REESTRUTURAÇÃO DO LABORATÓRIO DE QUÍMICA AGROPECUÁRIA DO INSTITUTO MINEIRO DE AGROPECUÁRIA.</t>
  </si>
  <si>
    <t>4192 - SEGURANÇA DE BARRAGENS</t>
  </si>
  <si>
    <t>7759 - PROGRAMAÇÃO A CARGO DO ESTADO PARA TREM METROPOLITANO DE BELO HORIZONTE S/A</t>
  </si>
  <si>
    <t>4060 - GESTÃO DAS UNIDADES POLICIAIS</t>
  </si>
  <si>
    <t>2057 - DEMAIS ASSISTÊNCIAS</t>
  </si>
  <si>
    <t>1064 - CONSTRUÇÃO, AMPLIAÇÃO E REFORMA DE SEDES PRÓPRIAS</t>
  </si>
  <si>
    <t>4358 - CIRCUITOS DE COMERCIALIZAÇÃO</t>
  </si>
  <si>
    <t>4479 - DESENVOLVIMENTO DA POLÍTICA DE REGIONALIZAÇÃO DO TURISMO</t>
  </si>
  <si>
    <t>1097 - SEGURANÇA HÍDRICA NA RMBH</t>
  </si>
  <si>
    <t>084 - POLÍTICAS DE INTEGRAÇÃO, REGIONALIZAÇÃO E INOVAÇÃO</t>
  </si>
  <si>
    <t>2016 - MODERNIZAÇÃO DA GESTÃO E INOVAÇÃO DO TESOURO ESTADUAL</t>
  </si>
  <si>
    <t>2043 - FISCALIZAÇÃO DOS INSTRUMENTOS DE REPASSES DE RECURSOS NO ÂMBITO DO PROGRAMA DE APOIO AO DESENVOLVIMENTO MUNICIPAL</t>
  </si>
  <si>
    <t>1048 - MODERNIZAÇÃO E EXPANSÃO DO SISTEMA PRISIONAL</t>
  </si>
  <si>
    <t>4040 - AMPLIAÇÃO DA FISCALIZAÇÃO PREVENTIVA</t>
  </si>
  <si>
    <t>4468 - PROVISÃO DE CARGOS POR CONCURSO PÚBLICO</t>
  </si>
  <si>
    <t>2145 - CAPACITAÇÃO DE SERVIDORES E MEMBROS DO TCEMG, GESTORES E SERVIDORES PÚBLICOS DAS ENTIDADES JURISDICIONADAS E REPRESENTANTES DE ENTIDADES DA SOCIEDADE</t>
  </si>
  <si>
    <t>4003 - FORMAÇÃO, APERFEIÇOAMENTO E DESENVOLVIMENTO CONTÍNUO DE PESSOAS</t>
  </si>
  <si>
    <t>1031 - REMUNERAÇÃO DE PESSOAL ATIVO E ENCARGOS SOCIAIS</t>
  </si>
  <si>
    <t>4346 - METRÔ DA RMBH</t>
  </si>
  <si>
    <t>4309 - ESTRUTURAÇÃO TECNOLÓGICA E INSTITUCIONALIZAÇÃO DA AUDITORIA CONTÍNUA</t>
  </si>
  <si>
    <t>4115 - GESTÃO DA RESPOSTA A DESASTRES</t>
  </si>
  <si>
    <t>4288 - RECUPERAÇÃO E MANUTENÇÃO DA MALHA VIÁRIA - RECUPERAÇÃO BRUMADINHO</t>
  </si>
  <si>
    <t>4022 - TRANSFERÊNCIA DE TECNOLOGIA VIA MATRIZES E REPRODUTORES</t>
  </si>
  <si>
    <t>4315 - GESTÃO E MANUTENÇÃO DOS SISTEMAS DE TRANSMISSÃO E OPERAÇÃO DE RÁDIO</t>
  </si>
  <si>
    <t>4422 - GERENCIAMENTO DO CONTRATO DE GESTÃO</t>
  </si>
  <si>
    <t>1086 - INOVA GOVERNO DE MINAS GERAIS</t>
  </si>
  <si>
    <t>4515 - MANUTENÇÃO DA OPERAÇÃO DOS CENTROS EDUCACIONAIS</t>
  </si>
  <si>
    <t>4459 - PRODUÇÃO DE VACINA, SOROS E OUTROS PRODUTOS BIOLÓGICOS</t>
  </si>
  <si>
    <t>4080 - ENSINO MÉDIO REGULAR</t>
  </si>
  <si>
    <t>4246 - PARTICIPAÇÃO EM EXTENSÃO ACADÊMICA</t>
  </si>
  <si>
    <t>4221 - LOTES RODOVIÁRIOS</t>
  </si>
  <si>
    <t>4151 - BOLSA VERDE: CONSERVAÇÃO DA COBERTURA VEGETAL NATIVA</t>
  </si>
  <si>
    <t>4121 - POLÍTICA DE ATENÇÃO HOSPITALAR E URGÊNCIA E EMERGÊNCIA</t>
  </si>
  <si>
    <t>7018 - BENEFÍCIOS PREVIDENCIÁRIOS - AGE</t>
  </si>
  <si>
    <t>4325 - PROMOÇÃO DO DESENVOLVIMENTO SOCIOECONÔMICO DO NORTE E NORDESTE DE MINAS GERAIS</t>
  </si>
  <si>
    <t>4230 - ATENÇÃO À SAÚDE ODONTOLÓGICA NA REDE PRÓPRIA</t>
  </si>
  <si>
    <t>4091 - GESTÃO DE AERONAVES DO SISEMA</t>
  </si>
  <si>
    <t>4252 - REVITALIZAÇÃO DO PARQUE DE EXPOSIÇÕES BOLIVAR DE ANDRADE</t>
  </si>
  <si>
    <t>4194 - PROGRAMAS PROJETOS E PESQUISAS EM RECURSOS HÍDRICOS</t>
  </si>
  <si>
    <t>1017 - MANUTENÇÃO, DIVERSIFICAÇÃO E EVOLUÇÃO DOS CANAIS DE ATENDIMENTO</t>
  </si>
  <si>
    <t>4061 - PERÍCIAS TÉCNICO-CIENTÍFICAS</t>
  </si>
  <si>
    <t>2060 - ASSISTÊNCIA À SAÚDE</t>
  </si>
  <si>
    <t>4359 - COOPERAF</t>
  </si>
  <si>
    <t>4481 - GESTÃO DE ATIVOS IMOBILIÁRIOS ALIENÁVEIS DE MINAS GERAIS</t>
  </si>
  <si>
    <t>086 - POLÍTICA DOS DIREITOS DAS MULHERES</t>
  </si>
  <si>
    <t>2067 - DESENVOLVIMENTO DA EDUCAÇÃO ESPECIAL</t>
  </si>
  <si>
    <t>2019 - GERENCIAMENTO E SUPORTE ÀS ATIVIDADES LIGADAS A CONTADORIA GERAL DO ESTADO DE MINAS GERAIS</t>
  </si>
  <si>
    <t>2045 - EXECUÇÃO DO PROGRAMA DE APOIO AO DESENVOLVIMENTO MUNICIPAL - PADEM</t>
  </si>
  <si>
    <t>4208 - REGULACAO DE CONCESSOES E PPPS</t>
  </si>
  <si>
    <t>4348 - CUSTÓDIA E RESSOCIALIZAÇÃO DE PRESOS</t>
  </si>
  <si>
    <t>4053 - PREVENÇÃO E ATENDIMENTO A ACIDENTES E EMERGÊNCIAS AMBIENTAIS</t>
  </si>
  <si>
    <t>4475 - ADMINISTRAÇÃO DE PESSOAL</t>
  </si>
  <si>
    <t>4355 - PROCESSAMENTO JUDICIÁRIO MILITAR, AÇÕES DE COMUNICAÇÃO INSTITUCIONAL E PRIORIZAÇÃO DO 1º GRAU</t>
  </si>
  <si>
    <t>4503 - GESTÃO DE CONCESSÕES DO TRANSPORTE COLETIVO E TERMINAIS</t>
  </si>
  <si>
    <t>4116 - FORMAÇÃO E CAPACITAÇÃO TÉCNICO PROFISSIONAL PARA CIVIS</t>
  </si>
  <si>
    <t>4289 - CONSTRUÇÃO E ADEQUAÇÃO DE RODOVIAS - RECUPERAÇÃO BRUMADINHO</t>
  </si>
  <si>
    <t>1045 - CADASTRAMENTO DE AGRICULTORES/POSSEIROS COM FINS DE REGULARIZAÇÃO FUNDIÁRIA DE TERRAS DEVOLUTAS RURAIS.</t>
  </si>
  <si>
    <t>4023 - INFORMAÇÃO CIENTÍFICA E TECNOLÓGICA VIA PUBLICAÇÕES</t>
  </si>
  <si>
    <t>4316 - PRODUÇÃO E VEICULAÇÃO DE CONTEÚDO EM ÁUDIO COM ÊNFASE NA CULTURA, EDUCAÇÃO, INFORMAÇÃO, PRESTAÇÃO DE SERVIÇO E ENTRETENIMENTO.</t>
  </si>
  <si>
    <t>4423 - FOMENTO A ATIVIDADES ARTÍSTICAS E CULTURAIS DO PALÁCIO DA LIBERDADE</t>
  </si>
  <si>
    <t>1087 - FOMENTO À CIÊNCIA, PESQUISA, DESENVOLVIMENTO, INOVAÇÃO E À TRANSFERÊNCIA DE TECNOLOGIA</t>
  </si>
  <si>
    <t>1066 - ACERVO OU BEM CULTURAL RESTAURADO ENTREGUE</t>
  </si>
  <si>
    <t>4460 - PRODUÇÃO DE MEDICAMENTOS SINTÉTICOS</t>
  </si>
  <si>
    <t>4175 - PLUG MINAS</t>
  </si>
  <si>
    <t>4247 - PROMOÇÃO DA INOVAÇÃO NO SETOR PÚBLICO</t>
  </si>
  <si>
    <t>4223 - LOTE 2: SUL DE MINAS</t>
  </si>
  <si>
    <t>1096 - APROXIMAÇÃO SUAS</t>
  </si>
  <si>
    <t>4122 - POLÍTICAS PRÉ E PÓS HOSPITALARES DE URGÊNCIA E EMERGÊNCIA</t>
  </si>
  <si>
    <t>7022 - BENEFÍCIOS PREVIDENCIÁRIOS - FAPEMIG</t>
  </si>
  <si>
    <t>4381 - GESTÃO DE DESASTRE CAUSADOS PELA CHUVA</t>
  </si>
  <si>
    <t>4516 - APOIO À MECANIZAÇÃO DA PRODUÇÃO AGRÍCOLA</t>
  </si>
  <si>
    <t>4231 - ATENÇÃO À SAÚDE HOSPITALAR NA REDE PRÓPRIA</t>
  </si>
  <si>
    <t>7002 - ENCARGOS COM PENSIONISTAS</t>
  </si>
  <si>
    <t>4271 - FORMAÇÃO E CAPACITAÇÃO PARA O PATRIMÔNIO CULTURAL</t>
  </si>
  <si>
    <t>4195 - PROGRAMA ESTRATÉGICO SOMOS TODOS ÁGUA</t>
  </si>
  <si>
    <t>4012 - PREVENÇÃO E COMBATE AO ASSÉDIO MORAL E SEXUAL</t>
  </si>
  <si>
    <t>4062 - MODERNIZAÇÃO E AMPLIAÇÃO DO BANCO DE PERFIS GENÉTICOS</t>
  </si>
  <si>
    <t>4361 - MERCADOS INSTITUCIONAIS</t>
  </si>
  <si>
    <t>4331 - PROMOÇÃO DE ATIVIDADES ARTÍSTICO-CULTURAIS</t>
  </si>
  <si>
    <t>4482 - GESTÃO DE ATIVOS IMOBILIÁRIOS ALIENÁVEIS - SEDE</t>
  </si>
  <si>
    <t>148 - APOIO ÀS POLÍTICAS DE DESENVOLVIMENTO SOCIAL</t>
  </si>
  <si>
    <t>2032 - GERENCIAMENTO E SUPORTE ÀS ATIVIDADES LIGADAS À GOVERNANÇA DE ATIVOS, RISCOS FISCAIS E DA DÍVIDA PÚBLICA DO ESTADO DE MINAS GERAIS</t>
  </si>
  <si>
    <t>2046 - ATENDIMENTO ÀS DEMANDAS DA PARTICIPAÇÃO CIDADÃ</t>
  </si>
  <si>
    <t>4253 - GESTAO DE CONCESSOES E PARCERIAS DE EQUIPAMENTOS PUBLICOS</t>
  </si>
  <si>
    <t>4350 - MANUTENÇÃO E AMPLIAÇÃO DO MONITORAMENTO ELETRÔNICO</t>
  </si>
  <si>
    <t>4476 - SAÚDE DO SERVIDOR</t>
  </si>
  <si>
    <t>7803 - PRECATÓRIOS E SENTENÇAS JUDICIÁRIAS DA ADMINISTRAÇÃO DIRETA DO PODER EXECUTIVO</t>
  </si>
  <si>
    <t>4303 - EXECUÇÃO DE AÇÕES INVESTIGATIVAS E RECUPERAÇÃO DE ATIVOS</t>
  </si>
  <si>
    <t>4117 - BOMBEIRO NAS ESCOLAS</t>
  </si>
  <si>
    <t>4293 - CONSERVAÇÃO ROTINEIRA DA MALHA&amp;#8203, VIÁRIA</t>
  </si>
  <si>
    <t>4333 - PRODUÇÃO E VEICULAÇÃO TELEVISIVA DE PROGRAMAÇÃO DE CARÁTER CULTURAL, INFORMATIVO, EDUCATIVO E DE ENTRETENIMENTO</t>
  </si>
  <si>
    <t>1088 - FOMENTO A AMBIENTES E ESTRUTURAS DE APOIO À PESQUISA, DESENVOLVIMENTO E INOVAÇÃO</t>
  </si>
  <si>
    <t>1067 - ASSESSORIA TÉCNICA EM CONSERVAÇÃO E RESTAURAÇÃO DO PATRIMÔNIO</t>
  </si>
  <si>
    <t>4232 - ASSISTÊNCIA ESTUDANTIL</t>
  </si>
  <si>
    <t>4224 - MODELOS ALTERNATIVOS DE PRESTAÇÃO DA MEDIDA DE ATENDIMENTO SOCIOEDUCATIVA DE PRIVAÇÃO DE LIBERDADE</t>
  </si>
  <si>
    <t>4259 - APOIO À GESTÃO DE RECURSOS HÍDRICOS</t>
  </si>
  <si>
    <t>4123 - ESTRUTURAÇÃO DA ATENÇÃO HOSPITALAR E DE URGÊNCIA E EMERGÊNCIA</t>
  </si>
  <si>
    <t>7023 - PROVENTOS DE APOSENTADORIA E PENSÃO DE EXTINTOS CONVÊNIOS</t>
  </si>
  <si>
    <t>4317 - ANÁLISE LABORATORIAL</t>
  </si>
  <si>
    <t>4101 - OUVIDORIA MÓVEL</t>
  </si>
  <si>
    <t>4063 - CONSTRUÇÃO NÚCLEO INTEGRADO DE PERÍCIAS</t>
  </si>
  <si>
    <t>2058 - ENSINO FUNDAMENTAL</t>
  </si>
  <si>
    <t>4332 - APOIO A PROJETOS CULTURAIS E TURÍSTICOS REALIZADOS POR INTERMÉDIO DE PARCERIAS</t>
  </si>
  <si>
    <t>4544 - REGULARIZAÇÃO FUNDIÁRIA DE TERRITÓRIOS COLETIVOS</t>
  </si>
  <si>
    <t>2133 - UTILIZAÇÃO DE MÉTODOS ALTERNATIVOS DE SOLUÇÃO DE CONFLITOS DA SEE</t>
  </si>
  <si>
    <t>4095 - CONTROLE E OPERAÇÕES FINANCEIRAS DOS RECURSOS ESTADUAIS.</t>
  </si>
  <si>
    <t>2048 - TRANSFERÊNCIAS ESPECIAIS</t>
  </si>
  <si>
    <t>4345 - GESTAO DO RODOANEL METROPOLITANO</t>
  </si>
  <si>
    <t>4351 - MANUTENÇÃO E IMPLANTAÇÃO DE METODOLOGIA DE CUSTÓDIAS ALTERNATIVAS</t>
  </si>
  <si>
    <t>4045 - GESTÃO E PLANEJAMENTO AMBIENTAL</t>
  </si>
  <si>
    <t>4477 - DESEMPENHO, DESENVOLVIMENTO E VALORIZAÇÃO DOS SERVIDORES PÚBLICOS</t>
  </si>
  <si>
    <t>4310 - FORTALECIMENTO DA PREVENÇÃO A ILÍCITOS ADMINISTRATIVOS</t>
  </si>
  <si>
    <t>4119 - RECRUTAMENTO, TREINAMENTO E FORMAÇÃO DE BOMBEIROS</t>
  </si>
  <si>
    <t>4385 - REABILITAÇÃO DA MALHA VIÁRIA</t>
  </si>
  <si>
    <t>4425 - ATIVIDADES DE ENSINO E DE EXTENSÃO DO CENTRO DE FORMAÇÃO ARTÍSTICA E TECNOLÓGICA - CEFART</t>
  </si>
  <si>
    <t>4248 - MANUTENÇÃO DA BIBLIOTECA DIGITAL DE MINAS GERAIS RAYMUNDO NONATO DE CASTRO</t>
  </si>
  <si>
    <t>4225 - MANUTENÇÃO E REFORMA DE ESCOLAS</t>
  </si>
  <si>
    <t>4260 - APOIO À GESTÃO DE RECURSOS HÍDRICOS, RECURSOS REEMBOLSÁVEIS</t>
  </si>
  <si>
    <t>7027 - BENEFÍCIOS PREVIDENCIÁRIOS - ALMG</t>
  </si>
  <si>
    <t>1089 - PROJETO CONVIVÊNCIA COM A SECA E ESTIAGEM</t>
  </si>
  <si>
    <t>4409 - AUXÍLIO FINANCEIRO AO SEGURADO</t>
  </si>
  <si>
    <t>4276 - SALVAGUARDA DO PATRIMÔNIO CULTURAL</t>
  </si>
  <si>
    <t>4318 - INSPEÇÃO DE PRODUTOS DE ORIGEM VEGETAL</t>
  </si>
  <si>
    <t>4102 - DIVULGAÇÃO DOS CANAIS E AÇÕES DA OUVIDORIA</t>
  </si>
  <si>
    <t>4067 - IMPLANTAÇÃO DO PLANTÃO DIGITAL</t>
  </si>
  <si>
    <t>2059 - ENSINO MÉDIO</t>
  </si>
  <si>
    <t>4363 - REGULARIZAÇÃO FUNDIÁRIA DE IMÓVEIS RURAIS</t>
  </si>
  <si>
    <t>4343 - GESTÃO DO FOMENTO E MUNICIPALIZAÇÃO DA CULTURA</t>
  </si>
  <si>
    <t>4096 - GESTÃO ESTRATÉGICA E PLANEJAMENTO FINANCEIRO</t>
  </si>
  <si>
    <t>4503 - GESTAO DE CONCESSOES DO TRANSPORTE COLETIVO E TERMINAIS</t>
  </si>
  <si>
    <t>4353 - UNIDADES DE SAÚDE DO SISTEMA PRISIONAL</t>
  </si>
  <si>
    <t>4046 - MUDANÇAS CLIMÁTICAS E QUALIDADE AMBIENTAL</t>
  </si>
  <si>
    <t>4478 - TRANSFORMA MINAS</t>
  </si>
  <si>
    <t>4311 - APURAÇÃO DE RESPONSABILIDADE DE AGENTES PÚBLICOS E PESSOAS JURÍDICAS</t>
  </si>
  <si>
    <t>4120 -  MODERNIZAÇÃO E ESTRUTURAÇÃO DO CORPO DE BOMBEIROS MILITAR DE MINAS GERAIS</t>
  </si>
  <si>
    <t>4530 - OPERAÇÃO VIÁRIA E FISCALIZAÇÃO DE TRANSPORTE E TRÂNSITO</t>
  </si>
  <si>
    <t>2022 - REMUNERAÇÃO DE PESSOAL ATIVO E ENCARGOS SOCIAIS</t>
  </si>
  <si>
    <t>2015 - CERTIFICAÇÕES PELO NÚCLEO DE FORMAÇÃO PRESENCIAL E À DISTÂNCIA</t>
  </si>
  <si>
    <t>4226 - COMPLEXO DE SAÚDE (FHEMIG)</t>
  </si>
  <si>
    <t>4263 - APOIO AOS COMITÊS DE BACIAS HIDROGRÁFICAS</t>
  </si>
  <si>
    <t>2023 - POLÍTICAS E AÇÕES DE TECNOLOGIAS DA INFORMAÇÃO E COMUNICAÇÃO (TIC)</t>
  </si>
  <si>
    <t>7028 - BENEFÍCIOS PREVIDENCIÁRIOS - TJMG</t>
  </si>
  <si>
    <t>4155 - MODERNIZAÇÃO, ESTRUTURAÇÃO, CAPACITAÇÃO EM DEFESA CIVIL</t>
  </si>
  <si>
    <t>4278 - PROTEÇÃO DO PATRIMÔNIO CULTURAL</t>
  </si>
  <si>
    <t>4319 - INSPEÇÃO E FISCALIZAÇÃO DE PRODUTOS DE ORIGEM ANIMAL</t>
  </si>
  <si>
    <t>4109 - FOMENTO À PARTICIPAÇÃO SOCIAL NO ESTADO DE MINAS GERAIS</t>
  </si>
  <si>
    <t>5002 - GESTÃO DA LEI ESTADUAL DE INCENTIVO À CULTURA</t>
  </si>
  <si>
    <t>1071 - MINAS LIVRE PARA CRESCER</t>
  </si>
  <si>
    <t>4480 - FOMENTO À INCLUSÃO SOCIAL, ACESSIBILIDADE E GARANTIA DE DIREITOS PARA PESSOAS COM DEFICIÊNCIA - PROMAIS</t>
  </si>
  <si>
    <t>2038 - SUPORTE FUNCIONAL PARA ÁREA EDUCACIONAL</t>
  </si>
  <si>
    <t>4097 - CONTADORIA TRANSPARENTE</t>
  </si>
  <si>
    <t>2044 - PRODUÇÃO, MODERNIZAÇÃO E AMPLIAÇÃO DO ACESSO AO ACERVO DO DOMG-E</t>
  </si>
  <si>
    <t>4205 - ESTRUTURACAO, MODELAGEM E GESTAO DE CONCESSOES E PARCERIAS</t>
  </si>
  <si>
    <t>4047 - PROMOÇÃO DAS POLÍTICAS PÚBLICAS DE PROTEÇÃO À FAUNA DOMÉSTICA</t>
  </si>
  <si>
    <t>4138 - SUPORTE ÀS AÇÕES DE PREVENÇÃO, MITIGAÇÃO, PREPARAÇÃO E RESPOSTA AOS INCÊNDIOS EM VEGETAÇÃO</t>
  </si>
  <si>
    <t>4092 - OFICINAS PEDAGÓGICAS : UM OLHAR AO CIDADÃO!</t>
  </si>
  <si>
    <t>4249 - ASSESSORAMENTO EM POLÍTICAS PÚBLICAS</t>
  </si>
  <si>
    <t>4227 - COMPLEXO DE SAÚDE (FUNED)</t>
  </si>
  <si>
    <t>4264 - MODERNIZAÇÃO DA REDE DE MONITORAMENTO HIDROLÓGICO DO ESTADO DE MINAS GERAIS</t>
  </si>
  <si>
    <t>2024 - GESTÃO REGIONAL EM SAÚDE</t>
  </si>
  <si>
    <t>7031 - BENEFÍCIOS PREVIDENCIÁRIOS - MPMG</t>
  </si>
  <si>
    <t>4356 - GESTÃO DE DESASTRE</t>
  </si>
  <si>
    <t>2014 - ASSESSORAMENTO E GESTÃO PREVIDENCIÁRIA</t>
  </si>
  <si>
    <t>4279 - CONSERVAÇÃO E RESTAURAÇÃO DO PATRIMÔNIO CULTURAL PROTEGIDO</t>
  </si>
  <si>
    <t>4110 - RECEBIMENTO, ANÁLISE E TRATAMENTO DE MANIFESTAÇÕES</t>
  </si>
  <si>
    <t>1004 - MODERNIZAÇÃO DA IDENTIFICAÇÃO CIVIL E CRIMINAL</t>
  </si>
  <si>
    <t>2061 - EDUCAÇÃO PROFISSIONAL DE SEGURANÇA PÚBLICA</t>
  </si>
  <si>
    <t>1053 - AGROEXTRATIVISMO</t>
  </si>
  <si>
    <t>1072 - DESENVOLVIMENTO DOS ARRANJOS PRODUTIVOS LOCAIS</t>
  </si>
  <si>
    <t>4551 - POLÍTICA DE APOIO E AUXÍLIO BIOPSICOSSOCIAL AOS CUIDADORES EXCLUSIVOS DE PESSOAS COM DEFICIÊNCIA E TRANSTORNOS DO NEURODESENVOLVIVEMENTO</t>
  </si>
  <si>
    <t>2040 - RECRUTAMENTO E SELEÇÃO DE PESSOAL</t>
  </si>
  <si>
    <t>4098 - CONTADORIA LEGAL</t>
  </si>
  <si>
    <t>4346 - METRO DA RMBH</t>
  </si>
  <si>
    <t>1054 - PRODUÇÃO DE INFORMAÇÕES E CONHECIMENTOS DE JUSTIÇA E SEGURANÇA PÚBLICA</t>
  </si>
  <si>
    <t>4448 - APRIMORAMENTO DA GOVERNANÇA DE TECNOLOGIA DA INFORMAÇÃO E COMUNICAÇÃO</t>
  </si>
  <si>
    <t>4312 - FORTALECIMENTO DO CONTROLE INTERNO E DAS REDES DE CONTROLE</t>
  </si>
  <si>
    <t>4140 - MODERNIZAÇÃO E ESTRUTURAÇÃO DO CORPO DE BOMBEIROS MILITAR DE MINAS GERAIS - REPARAÇÃO BRUMADINHO</t>
  </si>
  <si>
    <t>4093 - ATENDIMENTO NA CLÍNICA PSICOPEDAGÓGICA ÉDOUARD CLAPARÉDE</t>
  </si>
  <si>
    <t>4250 - FOMENTO À AVALIAÇÃO DE POLÍTICAS PÚBLICAS</t>
  </si>
  <si>
    <t>4334 - IMPLANTAÇÃO, RECUPERAÇÃO, MODERNIZAÇÃO, MANUTENÇÃO E OPERAÇÃO DE TERMINAIS E ESTAÇÕES DE TRANSPORTE DE PASSAGEIROS</t>
  </si>
  <si>
    <t>2026 - SATISFAÇÃO, RECONHECIMENTO E EDUCAÇÃO NA SAÚDE</t>
  </si>
  <si>
    <t>7032 - BENEFÍCIOS PREVIDENCIÁRIOS - TJMMG</t>
  </si>
  <si>
    <t>4390 - GESTÃO DO RISCO DE DESASTRES</t>
  </si>
  <si>
    <t>2039 - ASSESSORAMENTO E GESTÃO DAS UNIDADES REGIONAIS DO IPSEMG</t>
  </si>
  <si>
    <t>4281 - VISTORIAS TÉCNICAS NO PATRIMÔNIO CULTURAL</t>
  </si>
  <si>
    <t>4498 - APOIO À AGROINDÚSTRIA FAMILIAR</t>
  </si>
  <si>
    <t>5005 - PREVENÇÃO E COMBATE AO ASSÉDIO MORAL E SEXUAL</t>
  </si>
  <si>
    <t>4065 - IDENTIFICAÇÃO CIVIL E CRIMINAL</t>
  </si>
  <si>
    <t>2063 - COMUNICAÇÕES OPERACIONAIS</t>
  </si>
  <si>
    <t>4383 - APOIO ÀS CADEIAS PRODUTIVAS DA AGROPECUÁRIA</t>
  </si>
  <si>
    <t>4322 - GESTÃO, MANUTENÇÃO E MODERNIZAÇÃO DE EQUIPAMENTOS CULTURAIS PARA ATENDIMENTO AO PÚBLICO</t>
  </si>
  <si>
    <t>1073 - FOMENTO AOS PEQUENOS NEGÓCIOS</t>
  </si>
  <si>
    <t>2080 - EDUCAÇÃO INTEGRAL - ENSINO FUNDAMENTAL</t>
  </si>
  <si>
    <t>4103 - GOVERNANÇA DO SISTEMA INTEGRADO UTILIZADO PARA A EXECUÇÃO ORÇAMENTÁRIA, FINANCEIRA, PATRIMONIAL E CONTÁBIL</t>
  </si>
  <si>
    <t>2050 - GESTÃO, OTIMIZAÇÃO E MANUTENÇÃO DOS REGULAMENTOS E SISTEMAS DE COORDENAÇÃO E OPERACIONALIZAÇÃO DAS TRANSFERÊNCIAS DE RECURSOS PARA PARCEIROS ESTADUAIS</t>
  </si>
  <si>
    <t>4375 - ESTRUTURAÇÃO E MANUTENÇÃO DE UM SISTEMA ESTADUAL DE INTELIGÊNCIA DE SEGURANÇA PÚBLICA EM MINAS GERAIS</t>
  </si>
  <si>
    <t>1074 - TRANSFORMAÇÃO DIGITAL DO SISEMA</t>
  </si>
  <si>
    <t>4450 - DISPONIBILIZAÇÃO DE PROCESSOS E DOCUMENTOS DIGITAIS NO ESTADO</t>
  </si>
  <si>
    <t>4313 - COORDENAÇÃO DAS UNIDADES DESCENTRALIZADAS DA CGE</t>
  </si>
  <si>
    <t>4141 - MANUTENÇÃO E AMPLIAÇÃO DO SISTEMA DE TIC PARA POTENCIALIZAÇÃO DO SERVIÇO DE SEGURANÇA CONTRA INCÊNDIO E PÂNICO - REPARAÇÃO BRUMADINHO</t>
  </si>
  <si>
    <t>4251 - PESQUISAS EM POLÍTICAS PÚBLICAS</t>
  </si>
  <si>
    <t>2027 - PROGRAMA ESTADUAL DE MUNICIPALIZAÇÃO</t>
  </si>
  <si>
    <t>7033 - BENEFÍCIOS PREVIDENCIÁRIOS - TCEMG</t>
  </si>
  <si>
    <t>4365 - POLICIAMENTO OSTENSIVO GERAL</t>
  </si>
  <si>
    <t>4384 - FORTALECIMENTO E DESENVOLVIMENTO FLORESTAL</t>
  </si>
  <si>
    <t>4326 - GESTÃO DE ÓRGÃOS COLEGIADOS</t>
  </si>
  <si>
    <t>4474 - ARTESANATO EMPREENDEDOR</t>
  </si>
  <si>
    <t>4186 - PROGRAMA DE PROTEÇÃO A CRIANÇAS E ADOLESCENTES AMEAÇADOS DE MORTE - PPCAAM</t>
  </si>
  <si>
    <t>2081 - ENSINO FUNDAMENTAL - APOIO ADMINISTRATIVO</t>
  </si>
  <si>
    <t>4105 - GESTÃO DE ATIVOS E HAVERES</t>
  </si>
  <si>
    <t>2051 - GESTÃO E OPERACIONALIZAÇÃO DE EMENDAS PARLAMENTARES ESTADUAIS</t>
  </si>
  <si>
    <t>4376 - INTEGRAÇÃO OPERACIONAL E AÇÕES DE COMANDO E CONTROLE NO ATENDIMENTO DE DENÚNCIAS E CHAMADAS DE EMERGÊNCIA POLICIAL E DE BOMBEIRO</t>
  </si>
  <si>
    <t>4451 - GESTÃO DOS CANAIS DIGITAIS DE ATENDIMENTO AO CIDADÃO</t>
  </si>
  <si>
    <t>4314 - GOVERNANÇA TIC PARA O CONTROLE INTERNO</t>
  </si>
  <si>
    <t>1023 - CENTRO DE PESQUISA AMBIENTAL E INOVAÇÃO TECNOLÓGICA</t>
  </si>
  <si>
    <t>4458 - PROMOÇÃO E FORTALECIMENTO DA PARTICIPAÇÃO DO CONTROLE SOCIAL NA ÁREA DA SAÚDE</t>
  </si>
  <si>
    <t>7034 - BENEFÍCIOS PREVIDENCIÁRIOS - DEF PUB</t>
  </si>
  <si>
    <t>4354 - GESTÃO DE BENS,SERVIÇOS E LOGISTICA DOS PRÉDIOS GOVERNAMENTAIS</t>
  </si>
  <si>
    <t>4440 - CERTIFICAÇÃO DE PRODUTOS E DE PROPRIEDADES AGROPECUÁRIAS E AGROINDUSTRIAIS</t>
  </si>
  <si>
    <t>2008 - SAÚDE DO SERVIDOR</t>
  </si>
  <si>
    <t>4366 - ESTRUTURAÇÃO E MODERNIZAÇÃO</t>
  </si>
  <si>
    <t>4420 - MECANIZAÇÃO NO CAMPO</t>
  </si>
  <si>
    <t>4329 - ORQUESTRA FILARMÔNICA DE MINAS GERAIS</t>
  </si>
  <si>
    <t>4270 - FORMAÇÃO E CAPACITAÇÃO DO SISTEMA DE GARANTIA DE DIREITOS</t>
  </si>
  <si>
    <t>2082 - ENSINO FUNDAMENTAL - EDUCAÇÃO DE JOVENS E ADULTOS - EJA</t>
  </si>
  <si>
    <t>4106 - ENDIVIDAMENTO SUSTENTÁVEL</t>
  </si>
  <si>
    <t>2138 - RESERVA PARA ATENDIMENTO DAS EMENDAS PARLAMENTARES INDIVIDUAIS E DE BLOCOS E BANCADAS</t>
  </si>
  <si>
    <t>1035 - REQUALIFICAÇÃO URBANA E AMBIENTAL DO RIBEIRÃO ARRUDAS -  PAC ARRUDAS COMPLEMENTO</t>
  </si>
  <si>
    <t>4377 - MANUTENÇÃO DE MORADIAS FUNCIONAIS PARA SERVIDORES EM SITUAÇÃO DE RISCO</t>
  </si>
  <si>
    <t>4452 - GESTÃO DAS UNIDADES DE ATENDIMENTO INTEGRADO - UAI</t>
  </si>
  <si>
    <t>4094 - SUPORTE BÁSICO E AVANÇADO DE VIDA</t>
  </si>
  <si>
    <t>1024 - COMPLEXO ESPORTIVO HELENA ANTIPOFF</t>
  </si>
  <si>
    <t>4254 - MANUTENÇÃO DA DIVISÃO TERRITORIAL, CONSTRUÇÃO DE MAPEAMENTO DE MINAS GERAIS E GESTÃO DA IEDE</t>
  </si>
  <si>
    <t>7037 - BENEFÍCIOS PREVIDENCIÁRIOS - SEF</t>
  </si>
  <si>
    <t>2011 - COLÉGIO ORDEM E PROGRESSO</t>
  </si>
  <si>
    <t>4373 - POLICIAMENTO DE PROXIMIDADE</t>
  </si>
  <si>
    <t>1075 - FONTES RENOVÁVEIS DE ENERGIA</t>
  </si>
  <si>
    <t>4301 - APOIO AOS ÓRGÃOS COLEGIADOS DE CRIANÇAS E ADOLESCENTES</t>
  </si>
  <si>
    <t>2083 - ENSINO FUNDAMENTAL - EDUCAÇÃO ESPECIAL</t>
  </si>
  <si>
    <t>4107 - GERENCIAMENTO DE RISCOS FISCAIS</t>
  </si>
  <si>
    <t>1036 - CONTENÇÃO DE ENCOSTAS EM ÁREAS DE RISCO - PAC ENCOSTAS</t>
  </si>
  <si>
    <t>4378 - OPERACIONALIZAÇÃO DA POLÍTICA DE INTEGRAÇÃO DA SEGURANÇA PÚBLICA DE MINAS GERAIS</t>
  </si>
  <si>
    <t>4483 - APRIMORAMENTO DA GOVERNANÇA DE TECNOLOGIA DA INFORMAÇÃO E COMUNICAÇÃO</t>
  </si>
  <si>
    <t>4255 - SISTEMATIZAÇÃO DAS INFORMAÇÕES ESTATÍSTICAS E GEOINFORMAÇÕES DE MG</t>
  </si>
  <si>
    <t>1022 - SAÚDE EM REDE</t>
  </si>
  <si>
    <t>7039 - BENEFÍCIOS PREVIDENCIÁRIOS - ARMVA</t>
  </si>
  <si>
    <t>4335 - SERVIÇO ESPECIAL DE SEGURANÇA GOVERNAMENTAL</t>
  </si>
  <si>
    <t>4439 - EDUCAÇÃO SANITÁRIA</t>
  </si>
  <si>
    <t>4066 - FORMAÇÃO E CAPACITAÇÃO</t>
  </si>
  <si>
    <t>4374 - POLICIAMENTO ESPECIALIZADO</t>
  </si>
  <si>
    <t>4397 - CERTIFICA MINAS</t>
  </si>
  <si>
    <t>4336 - ASSESSORIAS TÉCNICAS PARA GESTÃO DE BIBLIOTECAS E MUSEUS</t>
  </si>
  <si>
    <t>1076 - REGULAÇÃO DO GÁS NATURAL E DERIVADOS</t>
  </si>
  <si>
    <t>4321 - ARTICULAÇÃO INSTITUCIONAL E APOIO A SISTEMA DE GARANTIA DE DIREITOS</t>
  </si>
  <si>
    <t>2085 - ENSINO FUNDAMENTAL - PROFISSIONAIS DO MAGISTÉRIO</t>
  </si>
  <si>
    <t>1038 - REQUALIFICAÇÃO URBANA E AMBIENTAL DO RIBEIRÃO ARRUDAS -  PAC FNHIS</t>
  </si>
  <si>
    <t>4379 - RECRUTAMENTO, SELEÇÃO, FORMAÇÃO, CAPACITAÇÃO E TREINAMENTO DOS PROFISSIONAIS DO SISTEMA DE JUSTIÇA E SEGURANÇA PÚBLICA</t>
  </si>
  <si>
    <t>5003 - ALÔ, MINAS! - IMPLANTAÇÃO DE SINAL DE TELEFONIA CELULAR NAS LOCALIDADES E DISTRITOS DOS MUNICÍPIOS MINEIROS</t>
  </si>
  <si>
    <t>4198 - ATENDIMENTO NO ENSINO TECNICO PROFISSIONALIZANTE</t>
  </si>
  <si>
    <t>4257 - TRANSFORMAÇÃO DIGITAL</t>
  </si>
  <si>
    <t>4125 - FORTALECIMENTO DA ATENÇÃO PRIMÁRIA À SAÚDE</t>
  </si>
  <si>
    <t>7040 - BENEFÍCIOS PREVIDENCIÁRIOS - SEC GERAL</t>
  </si>
  <si>
    <t>4403 - PLANO QUEIJO MINAS LEGAL</t>
  </si>
  <si>
    <t>4337 - CAPACITAÇÕES TÉCNICO-CULTURAIS</t>
  </si>
  <si>
    <t>1077 - GESTÃO DA POLÍTICA MINERÁRIA</t>
  </si>
  <si>
    <t>4352 - PREVENÇÃO, MONITORAMENTO E ENFRENTAMENTO DAS VIOLÊNCIAS E VIOLAÇÕES CONTRA CRIANÇAS E ADOLESCENTES.</t>
  </si>
  <si>
    <t>2086 - ENSINO MÉDIO - APOIO ADMINISTRATIVO</t>
  </si>
  <si>
    <t>1015 - REVITALIZAÇÃO DAS UNIDADES FAZENDÁRIAS</t>
  </si>
  <si>
    <t>1039 - REQUALIFICAÇÃO URBANA E AMBIENTAL E CONTROLE DE CHEIAS DO CÓRREGO FERRUGEM - PAC FERRUGEM</t>
  </si>
  <si>
    <t>4556 - AMPLIAÇÃO DE POSTOS DE ABASTECIMENTO PRÓPRIOS DO ESTADO - CBMMG</t>
  </si>
  <si>
    <t>4199 - ENSINO MÉDIO EM TEMPO INTEGRAL - EMTI</t>
  </si>
  <si>
    <t>4126 - PROMOÇÃO À SAÚDE E POLÍTICAS DE EQUIDADE</t>
  </si>
  <si>
    <t>7044 - BENEFÍCIOS PREVIDENCIÁRIOS - CGE</t>
  </si>
  <si>
    <t>4406 - PROMOÇÃO DA CACHAÇA DE ALAMBIQUE</t>
  </si>
  <si>
    <t>1078 - LOGÍSTICA E MOBILIDADE DO FUTURO</t>
  </si>
  <si>
    <t>2088 - ENSINO MÉDIO - EDUCAÇÃO DE JOVENS E ADULTOS - EJA</t>
  </si>
  <si>
    <t>4079 - GESTÃO EFICENTE E TRANSPARÊNCIA DO CONTENCIOSO ADMINISTRATIVO TRIBUTÁRIO</t>
  </si>
  <si>
    <t>1040 - REQUALIFICAÇÃO URBANA E AMBIENTAL E CONTROLE DE CHEIAS DO CÓRREGO FERRUGEM - PAC FERRUGEM (VALE)</t>
  </si>
  <si>
    <t>4437 - APOIO À REDE COMPLEMENTAR DE SUPORTE SOCIAL NA ATENÇÃO AO DEPENDENTE QUÍMICO</t>
  </si>
  <si>
    <t>4380 - AUTOMATIZA.MG</t>
  </si>
  <si>
    <t>4127 - ESTRUTURAÇÃO DA ATENÇÃO PRIMÁRIA</t>
  </si>
  <si>
    <t>7046 - BENEFÍCIOS PREVIDENCIÁRIOS - UNIMONTES</t>
  </si>
  <si>
    <t>4407 - DIGA SIM AO SERVIÇO DE INSPEÇÃO MUNICIPAL - SIM</t>
  </si>
  <si>
    <t>4338 - CONSERVAÇÃO PREVENTIVA E CURATIVA, RESTAURAÇÃO, AQUISIÇÃO E GESTÃO TÉCNICA DE ACERVOS</t>
  </si>
  <si>
    <t>1079 - PROMOÇÃO DO COMÉRCIO EXTERIOR MINEIRO</t>
  </si>
  <si>
    <t>4153 - ASSESSORAMENTO DAS UNIDADES DE ATENDIMENTO AO TRABALHADOR</t>
  </si>
  <si>
    <t>2089 - ENSINO MÉDIO - EDUCAÇÃO ESPECIAL</t>
  </si>
  <si>
    <t>4081 - RECEITA ESTADUAL MAIS JUSTA</t>
  </si>
  <si>
    <t>1041 - REQUALIFICAÇÃO URBANA E AMBIENTAL E DE CONTROLE DE CHEIAS DO CÓRREGO RIACHO DAS PEDRAS - PAC RIACHO</t>
  </si>
  <si>
    <t>4438 - DESCENTRALIZAÇÃO DA POLÍTICA SOBRE DROGAS</t>
  </si>
  <si>
    <t>4453 - PROMOÇÃO DA INOVAÇÃO NA GESTÃO PÚBLICA</t>
  </si>
  <si>
    <t>7010 - BENEFÍCIOS ASSISTENCIAIS</t>
  </si>
  <si>
    <t>4233 - MUSEU HELENA ANTIPOFF</t>
  </si>
  <si>
    <t>7047 - BENEFÍCIOS PREVIDENCIÁRIOS - IPEM/MG</t>
  </si>
  <si>
    <t>4408 - MINAS + VERDE</t>
  </si>
  <si>
    <t>4339 - ORGANIZAÇÃO, DESCRIÇÃO E PRESERVAÇÃO DE ACERVOS ARQUIVÍSTICOS</t>
  </si>
  <si>
    <t>1081 - INVISTA EM MINAS - PROMOÇÃO DE INVESTIMENTOS</t>
  </si>
  <si>
    <t>4154 - FOMENTO PARA ECONOMIA POPULAR SOLIDÁRIA E PROMOÇÃO DA INCLUSÃO PRODUTIVA</t>
  </si>
  <si>
    <t>2090 - ENSINO MÉDIO - PROFISSIONAIS DO MAGISTÉRIO</t>
  </si>
  <si>
    <t>4082 - RECEITA ESTADUAL EFICIENTE</t>
  </si>
  <si>
    <t>1042 - REQUALIFICAÇÃO URBANA E AMBIENTAL E DE CONTROLE DE CHEIAS DO CÓRREGO RIACHO DAS PEDRAS (VALE)</t>
  </si>
  <si>
    <t>4454 - GESTÃO DOS PROJETOS ESTRATÉGICOS</t>
  </si>
  <si>
    <t>4234 - FORMAÇÃO NA PERSPECTIVA ANTIPOFFIANA</t>
  </si>
  <si>
    <t>4129 - APOIO E FORTALECIMENTO DA REDE DE CUIDADO À PESSOA COM DEFICIÊNCIA</t>
  </si>
  <si>
    <t>7048 - BENEFÍCIOS PREVIDENCIÁRIOS - PCMG</t>
  </si>
  <si>
    <t>0000 - PROJETO CONVIVÊNCIA COM A SECA E ESTIAGEM</t>
  </si>
  <si>
    <t>4342 - ASSESSORIAS TÉCNICAS EM GESTÃO DE DOCUMENTOS, CRIAÇÃO E MANUTENÇÃO DE ARQUIVOS PÚBLICOS</t>
  </si>
  <si>
    <t>1090 - IMPLEMENTAÇÃO DA POLÍTICA DE DESESTATIZAÇÃO</t>
  </si>
  <si>
    <t>4157 - FOMENTO À INCLUSÃO PRODUTIVA DE MULHERES</t>
  </si>
  <si>
    <t>2092 - EDUCAÇÃO INFANTIL</t>
  </si>
  <si>
    <t>4083 - RECEITA ESTADUAL DIGITAL</t>
  </si>
  <si>
    <t>4261 - DESENVOLVIMENTO DA INFRAESTRUTURA PÚBLICA NO ESTADO DE MINAS GERAIS</t>
  </si>
  <si>
    <t>4441 - ADEQUAÇÃO, MANUTENÇÃO E DESENVOLVIMENTO DO ATENDIMENTO SOCIOEDUCATIVO</t>
  </si>
  <si>
    <t>4130 - APOIO E FORTALECIMENTO DA REDE DE ATENÇÃO PSICOSSOCIAL</t>
  </si>
  <si>
    <t>7049 - BENEFÍCIOS PREVIDENCIÁRIOS - SEPLAG</t>
  </si>
  <si>
    <t>0000 - OPERAÇÃO CAMINHÃO PIPA</t>
  </si>
  <si>
    <t>4399 - GARANTIA SAFRA</t>
  </si>
  <si>
    <t>1091 - INTEGRAÇÃO DAS CADEIAS PRODUTIVAS</t>
  </si>
  <si>
    <t>2093 - EDUCAÇÃO INTEGRAL - ENSINO MÉDIO</t>
  </si>
  <si>
    <t>4085 - RECEITA ESTADUAL MODERNIZADA</t>
  </si>
  <si>
    <t>4262 - FOMENTO À INFRAESTRUTURA PÚBLICA MUNICIPAL</t>
  </si>
  <si>
    <t>4442 - FORMAÇÃO EDUCACIONAL E PROFISSIONAL DO ADOLESCENTE EM CUMPRIMENTO DE MEDIDA SOCIOEDUCATIVA</t>
  </si>
  <si>
    <t>4461 - RECUPERAÇÃO E COMPENSAÇÃO DOS DANOS EM FUNÇÃO DO DESASTRE MINERÁRIO DA SAMARCO EM MARIANA</t>
  </si>
  <si>
    <t>2130 - MELHORIA NA ALIMENTAÇÃO</t>
  </si>
  <si>
    <t>4131 - ATENÇÃO ESPECIALIZADA AMBULATORIAL</t>
  </si>
  <si>
    <t>7051 - BENEFÍCIOS PREVIDENCIÁRIOS - SEGOV</t>
  </si>
  <si>
    <t>4400 - AGRO SEGURO</t>
  </si>
  <si>
    <t>4499 - GOVERNANÇA DAS EMPRESAS ESTATAIS</t>
  </si>
  <si>
    <t>4158 - QUALIFICAÇÃO PROFISSIONAL</t>
  </si>
  <si>
    <t>2094 - EDUCAÇÃO PROFISSIONAL</t>
  </si>
  <si>
    <t>4265 - DESENVOLVIMENTO DA INFRAESTRUTURA GOVERNAMENTAL</t>
  </si>
  <si>
    <t>4443 - ATENDIMENTO À SAÚDE DO ADOLESCENTE EM CONFLITO COM A LEI</t>
  </si>
  <si>
    <t>4462 - RECUPERAÇÃO E COMPENSAÇÃO DOS DANOS EM FUNÇÃO DO DESASTRE MINERÁRIO DA VALE S.A EM BRUMADINHO</t>
  </si>
  <si>
    <t>4132 - APOIO E FORTALECIMENTO DA REDE DE ATENÇÃO À SAÚDE BUCAL</t>
  </si>
  <si>
    <t>7052 - BENEFÍCIOS PREVIDENCIÁRIOS - SEDESE</t>
  </si>
  <si>
    <t>2095 - DESENVOLVIMENTO E CAPACITAÇÃO DE PESSOAL</t>
  </si>
  <si>
    <t>7055 - BENEFÍCIOS PREVIDENCIÁRIOS - OGE</t>
  </si>
  <si>
    <t>4393 - GESTÃO DE BARRAGENS</t>
  </si>
  <si>
    <t>4449 - APOIO À GESTÃO DE PROJETOS DE INOVAÇÃO TECNOLÓGICA</t>
  </si>
  <si>
    <t>4364 - ALIMENTAÇÃO COMPLEMENTAR NA PRIMEIRA INFÂNCIA</t>
  </si>
  <si>
    <t>2096 - PROFISSIONAIS DO ÓRGÃO CENTRAL</t>
  </si>
  <si>
    <t>4290 - MELHORIA DA MOBILIDADE E INFRAESTRUTURA DE TRANSPORTES EM MINAS GERAIS</t>
  </si>
  <si>
    <t>1085 - ABRIGOS E CAMINHOS NA CA</t>
  </si>
  <si>
    <t>4133 - ATENDIMENTO ÀS MEDIDAS JUDICIAIS</t>
  </si>
  <si>
    <t>7056 - BENEFÍCIOS PREVIDENCIÁRIOS - SEDE</t>
  </si>
  <si>
    <t>4394 - PROJETO JAÍBA</t>
  </si>
  <si>
    <t>4472 - APOIO À GESTÃO DE PROJETOS DE PESQUISA E TECNOLOGIA</t>
  </si>
  <si>
    <t>4367 - CAPACITA MINAS PRIMEIRA INFÂNCIA</t>
  </si>
  <si>
    <t>2097 - PROFISSIONAIS DAS SUPERINTENDÊNCIAS REGIONAIS DE ENSINO - SRE</t>
  </si>
  <si>
    <t>4291 - PESQUISA E DESENVOLVIMENTO TECNOLÓGICO EM TRANSPORTES, LOGÍSTICA E MOBILIDADE</t>
  </si>
  <si>
    <t>4465 - GESTÃO DA INFRAESTRUTURA DA CIDADE ADMINISTRATIVA</t>
  </si>
  <si>
    <t>4134 - ACESSO DE URGÊNCIA E EMERGÊNCIA</t>
  </si>
  <si>
    <t>7058 - BENEFÍCIOS PREVIDENCIÁRIOS - SEAPA</t>
  </si>
  <si>
    <t>4396 - RECUPERAÇÃO INTEGRADA DA CAPACIDADE PRODUTIVA DAS BACIAS</t>
  </si>
  <si>
    <t>4368 - POLÍTICA ESTADUAL PARA REGISTRO CIVIL DE NASCIMENTO</t>
  </si>
  <si>
    <t>2098 - PROFISSIONAIS DO CONSELHO ESTADUAL DE EDUCAÇÃO</t>
  </si>
  <si>
    <t>4292 - GESTÃO DE AEROPORTOS REGIONAIS EM MINAS GERAIS</t>
  </si>
  <si>
    <t>4466 - GESTÃO DE TECNOLOGIA DA INFORMAÇÃO E COMUNICAÇÃO (TIC) DA CIDADE ADMINISTRATIVA</t>
  </si>
  <si>
    <t>4135 - ACESSO ELETIVO</t>
  </si>
  <si>
    <t>7059 - BENEFÍCIOS PREVIDENCIÁRIOS - SECULT</t>
  </si>
  <si>
    <t>4398 - IRRIGA MINAS - AGRICULTURA IRRIGADA SUSTENTÁVEL</t>
  </si>
  <si>
    <t>2099 - TRILHAS DE FUTURO - EDUCADORES</t>
  </si>
  <si>
    <t>4501 - TRANSPORTE FERROVIÁRIO</t>
  </si>
  <si>
    <t>4467 - GESTÃO DOS SERVIÇOS OPERACIONAIS E LOGÍSTICOS DA CIDADE ADMINISTRATIVA</t>
  </si>
  <si>
    <t>4136 - SERVIÇOS MÓVEIS DE URGÊNCIA E EMERGÊNCIA</t>
  </si>
  <si>
    <t>7060 - BENEFÍCIOS PREVIDENCIÁRIOS - UEMG</t>
  </si>
  <si>
    <t>4419 - ESTRADAS E INFRAESTRUTURA RURAL</t>
  </si>
  <si>
    <t>4163 - PROMOÇÃO DOS JOGOS DO INTERIOR DE MINAS</t>
  </si>
  <si>
    <t>4504 - RECRUTAMENTO E SELEÇÃO DE PESSOAL</t>
  </si>
  <si>
    <t>4137 - PROGRAMAÇÃO, CONTRATAÇÃO E PROCESSAMENTO DE SERVIÇOS DE SAÚDE</t>
  </si>
  <si>
    <t>7061 - BENEFÍCIOS PREVIDENCIÁRIOS - SEINFRA</t>
  </si>
  <si>
    <t>4164 - PROJETOS VIABILIZADOS PELA LEI ESTADUAL DE INCENTIVO AO ESPORTE</t>
  </si>
  <si>
    <t>1055 - PROJETOS, CONSTRUÇÕES, REFORMAS E AMPLIAÇÕES DE UNIDADES DE SEGURANÇA PÚBLICA</t>
  </si>
  <si>
    <t>4463 - PARCERIAS COM ORGANIZAÇÕES DA SOCIEDADE CIVIL DE INTERESSE PÚBLICO - OSCIP E ORGANIZAÇÕES SOCIAIS - OS.</t>
  </si>
  <si>
    <t>7063 - BENEFÍCIOS PREVIDENCIÁRIOS - SEMAD</t>
  </si>
  <si>
    <t>4386 - AGRODADOS</t>
  </si>
  <si>
    <t>4165 - GESTÃO DO ICMS ESPORTIVO</t>
  </si>
  <si>
    <t>2100 - APOIO AOS PROGRAMAS DE ALIMENTAÇÃO ESCOLAR</t>
  </si>
  <si>
    <t>4464 - GESTÃO DO PROCESSO DE ELABORAÇÃO E ACOMPANHAMENTO DO PLANEJAMENTO E ORÇAMENTO ESTADUAL</t>
  </si>
  <si>
    <t>1021 - VACINA MAIS MINAS</t>
  </si>
  <si>
    <t>7064 - BENEFÍCIOS PREVIDENCIÁRIOS - PMMG</t>
  </si>
  <si>
    <t>4391 - AGRITECH</t>
  </si>
  <si>
    <t>4166 - PROMOÇÃO DO ESPORTE EDUCACIONAL COMO INSTRUMENTO DE DESENVOLVIMENTO SOCIAL</t>
  </si>
  <si>
    <t>2101 - PROGRAMA ESTADUAL DE ALIMENTAÇÃO ESCOLAR - PEAE</t>
  </si>
  <si>
    <t>4143 - ASSESSORAMENTO E GERENCIAMENTO DE POLÍTICAS DE VIGILÂNCIA EM SAÚDE</t>
  </si>
  <si>
    <t>7065 - BENEFÍCIOS PREVIDENCIÁRIOS - CBMMG</t>
  </si>
  <si>
    <t>4167 - APOIO À GESTÃO ESPORTIVA</t>
  </si>
  <si>
    <t>2102 - PROGRAMA NACIONAL DE ALIMENTAÇÃO ESCOLAR - PNAE</t>
  </si>
  <si>
    <t>4470 - AMPLIAÇÃO DA CENTRALIZAÇÃO DAS COMPRAS E CONTRATAÇÕES</t>
  </si>
  <si>
    <t>4144 - VIGILÂNCIA DE CONDIÇÕES CRÔNICAS</t>
  </si>
  <si>
    <t>7088 - BENEFÍCIOS PREVIDENCIÁRIOS - IMA</t>
  </si>
  <si>
    <t>4405 - APOIO AO JOVEM RURAL</t>
  </si>
  <si>
    <t>4168 - PROMOÇÃO DOS JOGOS ESCOLARES DE MINAS GERAIS</t>
  </si>
  <si>
    <t>4473 - MODERNIZAÇÃO EM GESTÃO DE COMPRAS</t>
  </si>
  <si>
    <t>4145 - VIGILÂNCIA DE DOENÇAS TRANSMISSÍVEIS E IMUNIZAÇÃO</t>
  </si>
  <si>
    <t>7089 - BENEFÍCIOS PREVIDENCIÁRIOS - FHA</t>
  </si>
  <si>
    <t>4169 - BOLSA ATLETA E BOLSA TÉCNICO</t>
  </si>
  <si>
    <t>2104 - ATENDIMENTO AS INSTITUIÇÕES PÚBLICAS DE ENSINO SUPERIOR</t>
  </si>
  <si>
    <t>4146 - VIGILÂNCIA EM SAÚDE AMBIENTAL E SAÚDE DO TRABALHADOR</t>
  </si>
  <si>
    <t>7091 - BENEFÍCIOS PREVIDENCIÁRIOS - FUCAM</t>
  </si>
  <si>
    <t>4170 - APOIO À REALIZAÇÃO DE AÇÕES ESPORTIVAS</t>
  </si>
  <si>
    <t>1084 - MODERNIZAÇÃO DA GESTÃO DOS IMÓVEIS DO ESTADO DE MINAS GERAIS</t>
  </si>
  <si>
    <t>4147 - VIGILÂNCIA SANITÁRIA</t>
  </si>
  <si>
    <t>7094 - BENEFÍCIOS PREVIDENCIÁRIOS - FAOP</t>
  </si>
  <si>
    <t>4514 - PROMOÇÃO DO ESPORTE DE PARTICIPAÇÃO E RENDIMENTO COMO INSTRUMENTO DE DESENVOLVIMENTO SOCIAL</t>
  </si>
  <si>
    <t>1094 - GESTAO PELA APRENDIZAGEM</t>
  </si>
  <si>
    <t>4485 - GESTÃO DOS PROCESSOS DE LOGÍSTICA CORPORATIVA</t>
  </si>
  <si>
    <t>7096 - BENEFÍCIOS PREVIDENCIÁRIOS - FCS</t>
  </si>
  <si>
    <t>2105 - PROJETO SOMAR</t>
  </si>
  <si>
    <t>4486 - GESTÃO DA DESTINAÇÃO DE IMÓVEIS</t>
  </si>
  <si>
    <t>4148 - ABASTECIMENTO DE MEDICAMENTOS</t>
  </si>
  <si>
    <t>7104 - BENEFÍCIOS PREVIDENCIÁRIOS - IEPHA</t>
  </si>
  <si>
    <t>4171 - IMPLEMENTAÇÃO E MANUTENÇÃO DOS CENTROS DE REFERÊNCIA EM DIREITOS HUMANOS</t>
  </si>
  <si>
    <t>2107 - AVALIAÇÕES EDUCACIONAIS</t>
  </si>
  <si>
    <t>4487 - GESTÃO E DISPONIBILIZAÇÃO DOS SISTEMAS CORPORATIVOS DE GESTÃO LOGÍSTICA E PATRIMONIAL</t>
  </si>
  <si>
    <t>4149 - POLÍTICAS DE ASSISTÊNCIA FARMACÊUTICA</t>
  </si>
  <si>
    <t>7105 - BENEFÍCIOS PREVIDENCIÁRIOS - TV MINAS</t>
  </si>
  <si>
    <t>4173 - PROGRAMA DE PROTEÇÃO A VÍTIMAS E TESTEMUNHAS AMEAÇADAS - PROVITA</t>
  </si>
  <si>
    <t>2127 - ORGANIZAÇÃO E FUNCIONAMENTO ESCOLAR</t>
  </si>
  <si>
    <t>7205 - BENEFÍCIOS PREVIDENCIÁRIOS - DEER</t>
  </si>
  <si>
    <t>4174 - PROMOÇÃO, PROTEÇÃO E REPARAÇÃO DE DIREITOS HUMANOS</t>
  </si>
  <si>
    <t>4491 - APREENSÃO E LIBERAÇÃO DE VEÍCULOS</t>
  </si>
  <si>
    <t>4490 - FILHOS DE MINAS</t>
  </si>
  <si>
    <t>7209 - BENEFÍCIOS PREVIDENCIÁRIOS - FUNED</t>
  </si>
  <si>
    <t>4176 - PROGRAMA DE PROTEÇÃO AOS DEFENSORES DE DIREITOS HUMANOS - PPDDH</t>
  </si>
  <si>
    <t>1032 - MODALLIDADES E TEMÁTICAS ESPECIAIS</t>
  </si>
  <si>
    <t>4492 - FISCALIZAÇÃO, PREVENÇÃO E CONTROLE DE INFRAÇÕES DE TRÂNSITO</t>
  </si>
  <si>
    <t>7225 - BENEFÍCIOS PREVIDENCIÁRIOS - FHEMIG</t>
  </si>
  <si>
    <t>4177 - PROGRAMA DE PROTEÇÃO A CRIANÇAS E ADOLESCENTES AMEAÇADOS DE MORTE - PPCAAM</t>
  </si>
  <si>
    <t>1033 - MODALIDADES E TEMÁTICAS ESPECIAIS</t>
  </si>
  <si>
    <t>4494 - REGISTRO DE CONDUTORES</t>
  </si>
  <si>
    <t>2110 - DESENVOLVIMENTO DAS AÇÕES DE SAÚDE NO ÂMBITO DA ESCOLA DE SAÚDE PÚBLICA DO ESTADO DE MINAS GERAIS- ESP</t>
  </si>
  <si>
    <t>7312 - BENEFÍCIOS PREVIDENCIÁRIOS - HEMOMINAS</t>
  </si>
  <si>
    <t>4178 - MANUTENÇÃO E APOIO AOS ÓRGÃOS COLEGIADOS DE DIREITOS HUMANOS</t>
  </si>
  <si>
    <t>1092 - DESENVOLVIMENTO DO ESPORTE ESCOLAR</t>
  </si>
  <si>
    <t>4495 - REGISTRO DE VEÍCULOS</t>
  </si>
  <si>
    <t>2111 - DESENVOLVIMENTO DAS AÇÕES DE SAÚDE NO ÂMBITO DA FUNDAÇÃO HOSPITALAR DO ESTADO DE MINAS GERAIS- FHEMIG</t>
  </si>
  <si>
    <t>7428 - BENEFÍCIOS PREVIDENCIÁRIOS - FEAM</t>
  </si>
  <si>
    <t>4181 - OPERACIONALIZAÇÃO DOS SERVIÇOS DE TRADUÇÃO E INTERPRETAÇÃO DE LIBRAS</t>
  </si>
  <si>
    <t>1093 - PLANO DE RECOMPOSIÇAO DAS APRENDIZAGENS - PRA</t>
  </si>
  <si>
    <t>4496 - ATENDIMENTO E TRANSFORMAÇÃO DE SERVIÇOS DE TRÂNSITO</t>
  </si>
  <si>
    <t>2112 - DESENVOLVIMENTO DAS AÇÕES DE SAÚDE NO ÂMBITO DA SECRETARIA DE ESTADO DE JUSTIÇA E SEGURANÇA PÚBLICA - SEJUSP</t>
  </si>
  <si>
    <t>7473 - BENEFÍCIOS PREVIDENCIÁRIOS - IEF</t>
  </si>
  <si>
    <t>4182 - ARTICULAÇÃO INSTITUCIONAL, MANUTENÇÃO DE EQUIPAMENTOS E POLÍTICAS DE DIREITOS HUMANOS</t>
  </si>
  <si>
    <t>2116 - PROJETO SAÚDE NA ESCOLA</t>
  </si>
  <si>
    <t>2115 - DESENVOLVIMENTO DAS AÇÕES DE SAÚDE NO ÂMBITO DO CORPO DE BOMBEIROS MILITAR DO ESTADO DE MINAS GERAIS</t>
  </si>
  <si>
    <t>7484 - BENEFÍCIOS PREVIDENCIÁRIOS - IGAM</t>
  </si>
  <si>
    <t>4183 - FOMENTO À INCLUSÃO SOCIAL, ACESSIBILIDADE E GARANTIA DE DIREITOS PARA PESSOAS COM DEFICIÊNCIA</t>
  </si>
  <si>
    <t>2117 - PROJETO SAÚDE EM CICLO</t>
  </si>
  <si>
    <t>2135 - DESENVOLVIMENTO DAS AÇÕES DE SAÚDE NO ÂMBITO DA FUNDAÇÃO CENTRO DE HEMATOLOGIA E HEMOTERAPIA DE MINAS GERAIS- HEMOMINAS</t>
  </si>
  <si>
    <t>7529 - BENEFÍCIOS PREVIDENCIÁRIOS - JUCEMG</t>
  </si>
  <si>
    <t>2118 - TRILHAS DE FUTURO - ESTUDANTES</t>
  </si>
  <si>
    <t>2136 - DESENVOLVIMENTO DAS AÇÕES DE SAÚDE NO ÂMBITO DA FUNDAÇÃO EZEQUIEL DIAS- FUNED</t>
  </si>
  <si>
    <t>7586 - BENEFÍCIOS PREVIDENCIÁRIOS - UTRAMIG</t>
  </si>
  <si>
    <t>2134 - ASSESSORAMENTO À POLÍTICA ESTADUAL DE ASSISTÊNCIA SOCIAL</t>
  </si>
  <si>
    <t>2119 - DESENVOLVIMENTO DA EDUCAÇÃO DE JOVENS E ADULTOS - EJA</t>
  </si>
  <si>
    <t>2137 - DESENVOLVIMENTO DAS AÇÕES DE SAÚDE NO ÂMBITO DA ADMINISTRAÇÃO PÚBLICA ESTADUAL</t>
  </si>
  <si>
    <t>7617 - BENEFÍCIOS PREVIDENCIÁRIOS - LEMG</t>
  </si>
  <si>
    <t>2120 - DESENVOLVIMENTO DA EDUCAÇÃO ESPECIAL</t>
  </si>
  <si>
    <t>7722 - BENEFÍCIOS PREVIDENCIÁRIOS - FJP</t>
  </si>
  <si>
    <t>4184 - APOIO AOS MUNICÍPIOS NA IMPLEMENTAÇÃO DA POLÍTICA HABITACIONAL E NA ELABORAÇÃO E REVISÃO DE PLANOS LOCAIS DE HABITAÇÃO DE INTERESSE SOCIAL (PLHIS)</t>
  </si>
  <si>
    <t>2122 - DESENVOLVIMENTO DO ENSINO FUNDAMENTAL</t>
  </si>
  <si>
    <t>2034 - REMUNERAÇÃO DE PESSOAL ATIVO E ENCARGOS SOCIAIS</t>
  </si>
  <si>
    <t>7725 - BENEFÍCIOS PREVIDENCIÁRIOS - IPSEMG</t>
  </si>
  <si>
    <t>4185 - APOIO À PRODUÇÃO E À AQUISIÇÃO DE UNIDADES HABITACIONAIS</t>
  </si>
  <si>
    <t>2123 - ESCOLA DE FORMAÇÃO PROFISSIONAL</t>
  </si>
  <si>
    <t>2087 - RESERVA PARA ATENDIMENTO DAS EMENDAS PARLAMENTARES INDIVIDUAIS VINCULADAS ÀS AÇÕES E SERVIÇOS PÚBLICOS DE SAÚDE</t>
  </si>
  <si>
    <t>7840 - BENEFÍCIOS PREVIDENCIÁRIOS - IPSM</t>
  </si>
  <si>
    <t>4388 - REFORMA E MELHORIAS DE UNIDADES HABITACIONAIS</t>
  </si>
  <si>
    <t>4505 - DESENVOLVIMENTO DA EDUCAÇÃO QUILOMBOLA</t>
  </si>
  <si>
    <t>7939 - BENEFÍCIOS PREVIDENCIÁRIOS - IDENE</t>
  </si>
  <si>
    <t>4506 - DESENVOLVIMENTO DA EDUCAÇÃO INDIGENA</t>
  </si>
  <si>
    <t>7957 - BENEFÍCIOS PREVIDENCIÁRIOS - SEE</t>
  </si>
  <si>
    <t>2033 - DESENVOLVIMENTO DO SISTEMA DE SEGURANÇA ALIMENTAR E NUTRICIONAL EM MINAS GERAIS - SISAN MG</t>
  </si>
  <si>
    <t>4507 - DESENVOLVIMENTO DA EDUCAÇÃO DO CAMPO</t>
  </si>
  <si>
    <t>7959 - BENEFÍCIOS PREVIDENCIÁRIOS - SES</t>
  </si>
  <si>
    <t>4196 - APOIO, FOMENTO E ARTICULAÇÃO DE AÇÕES, PROJETOS E PROGRAMAS RELATIVOS À TEMÁTICA DE SEGURANÇA ALIMENTAR E NUTRICIONAL SUSTENTÁVEL</t>
  </si>
  <si>
    <t>4508 - DESENVOLVIMENTO DA EDUCAÇÃO INTEGRAL</t>
  </si>
  <si>
    <t>4197 - APOIO ÀS AÇÕES DESENVOLVIDAS PELO CONSELHO DE SEGURANÇA ALIMENTAR E NUTRICIONAL SUSTENTÁVEL DE MINAS GERAIS (CONSEA-MG)</t>
  </si>
  <si>
    <t>4509 - DESENVOLVIMENTO DA EDUCAÇÃO PRISIONAL E SOCIOEDUCATIVA</t>
  </si>
  <si>
    <t>4511 - DESENVOLVIMENTO DO ENSINO MEDIO</t>
  </si>
  <si>
    <t>2035 - APOIO E COORDENAÇÃO DE POLÍTICAS INTERSETORIAIS DE DESENVOLVIMENTO SOCIAL NO CONTEXTO DO PROGRAMA PERCURSOS GERAIS: TRAJETÓRIA PARA AUTONOMIA</t>
  </si>
  <si>
    <t>4512 - DESENVOLVIMENTO DA EDUCAÇÃO PROFISSIONAL</t>
  </si>
  <si>
    <t>4412 - ACESSO AO TRABALHO E À RENDA</t>
  </si>
  <si>
    <t>4416 - RAÍZES DE MINAS</t>
  </si>
  <si>
    <t>2124 - PREVENÇÃO À VIOLÊNCIA E SEGURANÇA NAS ESCOLAS</t>
  </si>
  <si>
    <t>4418 - REFORMA E MELHORIAS DE UNIDADES HABITACIONAIS</t>
  </si>
  <si>
    <t>2125 - PREVENÇÃO ÀS CHUVAS</t>
  </si>
  <si>
    <t>2126 - RENOVAÇÃO DE MOBILIÁRIO E/OU EQUIPAMENTO</t>
  </si>
  <si>
    <t>2036 - DESENVOLVIMENTO DE ESTUDOS, PESQUISAS, FERRAMENTAS DE MONITORAMENTO E AVALIAÇÃO EM DESENVOLVIMENTO SOCIAL E DE PREVENÇÃO E RESPOSTA À SITUAÇÕES DE CALAMIDADE PÚBLICA E DESASTRE</t>
  </si>
  <si>
    <t>4510 - ATENDIMENTO ÀS ESCOLAS FAMÍLIA AGRÍCOLA</t>
  </si>
  <si>
    <t>2037 - FOMENTO A INOVAÇÃO E APRIMORAMENTO DE PROJETOS DE DESENVOLVIMENTO SOCIAL</t>
  </si>
  <si>
    <t>4517 - ACESSIBILIDADE E IMPLEMENTAÇÃO DE PROJETOS DE INCÊNDIO NAS UNIDADES ESCOLARES</t>
  </si>
  <si>
    <t>4204 - APOIO TÉCNICO AOS MUNICÍPIOS PARA PROMOÇÃO DO DESENVOLVIMENTO REGIONAL</t>
  </si>
  <si>
    <t>4519 - MÃOS À OBRA</t>
  </si>
  <si>
    <t>4520 - APOIO A GESTÃO DE INFRAESTRUTURA EDUCACIONAL</t>
  </si>
  <si>
    <t>4414 - ENFRENTAMENTO À VIOLÊNCIA DOMÉSTICA E INTRAFAMILIAR CONTRA AS MULHERES</t>
  </si>
  <si>
    <t>4521 - CONECTIVIDADE ESCOLAR</t>
  </si>
  <si>
    <t>4415 - PROMOÇÃO, DEFESA E GARANTIA DOS DIREITOS DAS MULHERES</t>
  </si>
  <si>
    <t>4522 - RENOVAÇÃO DA REDE LÓGICA E ELÉTRICA E IMPLEMENTAÇÃO DE ENERGIA ALTERNATIVA</t>
  </si>
  <si>
    <t>4542 - ENFRENTAMENTO À VIOLÊNCIA POLÍTICA CONTRA AS MULHERES</t>
  </si>
  <si>
    <t>4523 - REALIZAÇÃO DE OBRAS ESTRUTURAIS</t>
  </si>
  <si>
    <t>4524 - MANUTENÇÃO PREDIAL</t>
  </si>
  <si>
    <t>2076 - GESTÃO E MONITORAMENTO DE CONVÊNIOS E PARCERIAS</t>
  </si>
  <si>
    <t>2079 - APOIO FINANCEIRO E MATERIAL ÀS INSTITUIÇÕES NA PROMOÇÃO DO DESENVOLVIMENTO SOCIAL</t>
  </si>
  <si>
    <t>4527 - CUSTEIO DAS UNIDADES ESCOLARES</t>
  </si>
  <si>
    <t>2064 - GESTÃO DAS SUPERINTENDÊNCIAS REGIONAIS DE ENSINO</t>
  </si>
  <si>
    <t>2129 - OPERACIONALIZAÇÃO DAS AÇÕES DOS CONSELHOS</t>
  </si>
  <si>
    <t>4099 - FORMAÇÃO CIDADÃ</t>
  </si>
  <si>
    <t>4531 - EDUCAÇÃO QUILOMBOLA</t>
  </si>
  <si>
    <t>4532 - EDUCAÇÃO INDIGENA</t>
  </si>
  <si>
    <t>4533 - EDUCAÇÃO DO CAMPO</t>
  </si>
  <si>
    <t>4534 - EDUCAÇÃO DAS RELAÇÕES ÉTNICO-RACIAIS</t>
  </si>
  <si>
    <t>4536 - MOBILIZAÇÃO DAS JUVENTUDES</t>
  </si>
  <si>
    <t>4537 - ENSINO DO SISTEMA PRISIONAL E SOCIOEDUCATIVO</t>
  </si>
  <si>
    <t>4538 - ATENDIMENTO ÀS ESCOLAS FAMÍLIA AGRÍCOLA</t>
  </si>
  <si>
    <t>4540 - PROGRAMA CONVIVÊNCIA DEMOCRÁTICA</t>
  </si>
  <si>
    <t>4543 - PROGRAMA MÃOS DADAS</t>
  </si>
  <si>
    <t>4545 - PROGRAMA DE FORTALECIMENTO DAS ESCOLAS MUNICIPAIS</t>
  </si>
  <si>
    <t>4546 - APOIO AO TRANSPORTE ESCOLAR</t>
  </si>
  <si>
    <t>4547 - PROGRAMA ESTADUAL DO TRANSPORTE ESCOLAR - PTE/MG</t>
  </si>
  <si>
    <t>4548 - REGIME DE COLABORAÇÃO ESTADO-MUNICÍPIO NA ÁREA EDUCACIONAL</t>
  </si>
  <si>
    <t>UO_COD</t>
  </si>
  <si>
    <t>nome</t>
  </si>
  <si>
    <t>EI</t>
  </si>
  <si>
    <t>concatagrup</t>
  </si>
  <si>
    <t>AGRUPAMENTO</t>
  </si>
  <si>
    <t>Elementos itens</t>
  </si>
  <si>
    <t>0810 - SALÁRIO-FAMÍLIA</t>
  </si>
  <si>
    <t>Auxílios diversos (transp alim funeral e etc)</t>
  </si>
  <si>
    <t>0802 - AUXILIO-FUNERAL</t>
  </si>
  <si>
    <t>1401 - DIARIAS CIVIL</t>
  </si>
  <si>
    <t>0803 - AUXILIO-CRECHE OU ASSISTENCIA PRE-ESCOLAR</t>
  </si>
  <si>
    <t>1501 - DIARIAS MILITAR</t>
  </si>
  <si>
    <t>0805 - AUXILIO-NATALIDADE</t>
  </si>
  <si>
    <t>3001 - ARTIGOS PARA CONFECCAO E VESTUARIO</t>
  </si>
  <si>
    <t>Material de consumo</t>
  </si>
  <si>
    <t>0809 - AUXILIO RECLUSAO</t>
  </si>
  <si>
    <t>0810 - SALARIO FAMILIA</t>
  </si>
  <si>
    <t>0811 - PECULIO E SEGURO COLETIVO</t>
  </si>
  <si>
    <t>3004 - MATERIAL GRAFICO E IMPRESSOS</t>
  </si>
  <si>
    <t>0899 - AUXILIOS DIVERSOS</t>
  </si>
  <si>
    <t>3005 - MATERIAL PARA ESCRITORIO</t>
  </si>
  <si>
    <t>1314 - OBRIGACAO PATRONAL - ENCARGOS POR PAGAMENTO EM ATRASO</t>
  </si>
  <si>
    <t>3008 - PRODUTOS ALIMENTICIOS</t>
  </si>
  <si>
    <t>1317 - INSS - DEMAIS DESPESAS</t>
  </si>
  <si>
    <t>3010 - MATERIAL MEDICO E HOSPITALAR</t>
  </si>
  <si>
    <t>Serviços de saúde e medicamentos</t>
  </si>
  <si>
    <t>1501 - DIARIAS - MILITAR</t>
  </si>
  <si>
    <t>3013 - MATERIAIS DE LABORATORIO E PRODUTOS QUIMICOS EM GERAL</t>
  </si>
  <si>
    <t>1502 - DIARIAS MILITAR - SCDP</t>
  </si>
  <si>
    <t>3015 - MATERIAL FOTOGRAFICO, CINEMATOGRAFICO E DE COMUNICACAO</t>
  </si>
  <si>
    <t>1801 - AUXILIO FINANCEIRO A ESTUDANTES</t>
  </si>
  <si>
    <t>3016 - MATERIAL DE INFORMATICA</t>
  </si>
  <si>
    <t>2001 - AUXILIO FINANCEIRO A PESQUISADORES</t>
  </si>
  <si>
    <t>2701 - ENCARGOS PELA HONRA DE AVAIS, GARANTIAS, SEGUROS E SIMILARES</t>
  </si>
  <si>
    <t>3019 - MATERIAL PARA MANUTENCAO E REPAROS DE IMOVEIS DE PROPRIEDADE DA ADMINISTRACAO PUBLICA</t>
  </si>
  <si>
    <t>Reparo de imóveis</t>
  </si>
  <si>
    <t>3020 - MATERIAL ELETRICO E ELETRONICO</t>
  </si>
  <si>
    <t>3021 - MATERIAL PARA MANUTENCAO E REPAROS DE BENS DE DOMINIO PUBLICO OU DE TERCEIROS</t>
  </si>
  <si>
    <t>3023 - MATERIAL PARA MANUTENCAO DE VEICULOS AUTOMOTORES</t>
  </si>
  <si>
    <t>Frota</t>
  </si>
  <si>
    <t>3025 - MATERIAL DE SEGURANCA, APETRECHOS OPERACIONAIS E POLICIAIS</t>
  </si>
  <si>
    <t>3026 - COMBUSTIVEIS E LUBRIFICANTES PARA VEICULOS AUTOMOTORES</t>
  </si>
  <si>
    <t>3027 - COMBUSTIVEIS E LUBRIFICANTES PARA EQUIPAMENTOS E OUTROS MATERIAIS PERMANENTES</t>
  </si>
  <si>
    <t>3011 - MATERIAL ODONTOLOGICO</t>
  </si>
  <si>
    <t>3032 - MATERIAL CIVICO E EDUCATIVO</t>
  </si>
  <si>
    <t>3033 - COMBUSTIVEIS E LUBRIFICANTES PARA AERONAVES</t>
  </si>
  <si>
    <t>Despesas com aeronaves</t>
  </si>
  <si>
    <t>3014 - MATERIAL RADIOLOGICO</t>
  </si>
  <si>
    <t>3101 - PREMIOS, DIPLOMAS, CONDECORACOES E MEDALHAS</t>
  </si>
  <si>
    <t>Demais despesas de custeio</t>
  </si>
  <si>
    <t>3018 - MATERIA-PRIMA E PROD. P/ MANIPULACAO E INDUSTRIAS DE TRANSFORMACAO</t>
  </si>
  <si>
    <t>3019 - MATERIAL P/ MANUT. E REPAROS DE IMOVEIS DE PROPRIEDADE DA ADM. PUBLICA</t>
  </si>
  <si>
    <t>3202 - MATERIAL DE ASSISTENCIA HUMANITARIA</t>
  </si>
  <si>
    <t>Ajuda Humanitária</t>
  </si>
  <si>
    <t>3020 - MATERIAL ELETRICO</t>
  </si>
  <si>
    <t>3021 - MATERIAL P/ MANUT. E REPAROS DE BENS DE DOMINIO PUB. OU DE TERCEIROS</t>
  </si>
  <si>
    <t>3302 - DESPESAS COM TRANSPORTE URBANO, PEDAGIO E ESTACIONAMENTO - PESSOA FISICA</t>
  </si>
  <si>
    <t>3022 - FERRAMENTAS, FERRAGENS E UTENSILIOS</t>
  </si>
  <si>
    <t>3304 - PASSAGENS - PESSOA JURIDICA</t>
  </si>
  <si>
    <t>3024 - PECAS E ACESSORIOS P/ EQUIP.  E OUTROS MATERIAIS PERMANENTES</t>
  </si>
  <si>
    <t>3612 - DESPESAS MIUDAS DE PRONTO PAGAMENTO</t>
  </si>
  <si>
    <t>3701 - LOCACAO DE SERVICOS DE CONSERVACAO E LIMPEZA</t>
  </si>
  <si>
    <t>Terceirizados - Demais empresas</t>
  </si>
  <si>
    <t>3027 - COMBUSTIVEIS E LUBRIFICANTES P/ EQUIP. E OUTROS MAT.  PERMANENTES</t>
  </si>
  <si>
    <t>3703 - LOCACAO DE SERVICOS DE CONSERVACAO E LIMPEZA REALIZADOS PELA MGS</t>
  </si>
  <si>
    <t>3029 - SEMENTES, MUDAS DE PLANTAS E INSUMOS</t>
  </si>
  <si>
    <t>3704 - LOCACAO DE SERVICOS DE APOIO ADMINISTRATIVO REALIZADOS PELA MGS</t>
  </si>
  <si>
    <t>3705 - DESPESAS COM O PAGAMENTO DE ENCARGOS TRABALHISTAS A MGS</t>
  </si>
  <si>
    <t>3031 - LIVROS TECNICOS</t>
  </si>
  <si>
    <t>3903 - FORNECIMENTO DE ALIMENTACAO</t>
  </si>
  <si>
    <t>3908 - PUBLICAÇÃO E DIVULGAÇÃO</t>
  </si>
  <si>
    <t>3034 - PECAS E ACESSORIOS PARA AERONAVES</t>
  </si>
  <si>
    <t>3912 - TARIFA DE ENERGIA ELETRICA</t>
  </si>
  <si>
    <t>Utilidade Pública</t>
  </si>
  <si>
    <t>3041 - MATERIAL DE PROTECAO E SEGURANCA</t>
  </si>
  <si>
    <t>3913 - TARIFA DE AGUA E ESGOTO</t>
  </si>
  <si>
    <t>3104 - PREMIACOES</t>
  </si>
  <si>
    <t>3917 - LOCACAO DE VEICULOS</t>
  </si>
  <si>
    <t>3105 - PREMIACAO - NOTA FISCAL MINEIRA</t>
  </si>
  <si>
    <t>3918 - REPAROS DE VEICULOS</t>
  </si>
  <si>
    <t>3201 - MATERIAL DE DISTRIBUICAO GRATUITA</t>
  </si>
  <si>
    <t>3919 - LOCACAO DE MAQUINAS E EQUIPAMENTOS</t>
  </si>
  <si>
    <t>Gestão de equipamentos</t>
  </si>
  <si>
    <t>3921 - INSTALACAO, REPARACAO, ADAPTACAO E CONSERVACAO DE EQUIPAMENTO E MATERIAL PERMANENTE</t>
  </si>
  <si>
    <t>3922 - REPAROS DE BENS IMOVEIS</t>
  </si>
  <si>
    <t>Cursos de formação e capacitações</t>
  </si>
  <si>
    <t>3305 - SERVICOS DE TRANSPORTES DE PASSAGEIROS, FRETAMENTO E LOCACAO PES JURID</t>
  </si>
  <si>
    <t>Encargos e Multas</t>
  </si>
  <si>
    <t>3501 - SERVICOS DE CONSULTORIA - PESSOA FISICA</t>
  </si>
  <si>
    <t>3927 - SERVIÇOS DE TECNOLOGIA DA INFORMAÇÃO</t>
  </si>
  <si>
    <t>Serviços de TIC</t>
  </si>
  <si>
    <t>3502 - SERVICOS DE CONSULTORIA - PESSOA JURIDICA</t>
  </si>
  <si>
    <t>3929 - SERVICOS MEDICOS, ODONTOLOGICOS E LABORATORIAIS</t>
  </si>
  <si>
    <t>3601 - ESTAGIARIOS</t>
  </si>
  <si>
    <t>3602 - MEDICOS RESIDENTES</t>
  </si>
  <si>
    <t>3603 - SALARIOS DE INTERNOS</t>
  </si>
  <si>
    <t>3935 - REPARO E MANUTENCAO DE AERONAVES</t>
  </si>
  <si>
    <t>3604 - DIARIAS A COLABORADORES EVENTUAIS</t>
  </si>
  <si>
    <t>3936 - SERVIÇOS DE INFORMÁTICA EXECUTADOS PELA PRODEMGE</t>
  </si>
  <si>
    <t>3608 - MEDICOS</t>
  </si>
  <si>
    <t>3940 - SERVIÇO DE TELECOMUNICAÇÃO</t>
  </si>
  <si>
    <t>3943 - SERVICOS DE ADMINISTRACAO E GERENCIAMENTO DE FROTA DE VEICULOS</t>
  </si>
  <si>
    <t>3611 - LOCACAO DE BENS IMOVEIS</t>
  </si>
  <si>
    <t>3950 - SERVICOS DE AGENCIAMENTO DE VIAGENS</t>
  </si>
  <si>
    <t>3616 - REPARO E MANUTENCAO DE VEICULOS</t>
  </si>
  <si>
    <t>3617 - REPAROS DE EQUIPAMENTOS, INSTALACOES E MATERIAL PERMANENTE</t>
  </si>
  <si>
    <t>3959 - SERVICOS SANITARIOS E TRATAMENTO DE RESIDUOS</t>
  </si>
  <si>
    <t>3618 - REPAROS DE BENS IMOVEIS</t>
  </si>
  <si>
    <t>3961 - SERVICOS DE CONSERVACAO E LIMPEZA</t>
  </si>
  <si>
    <t>3619 - CONFERENCIAS E EXPOSICOES</t>
  </si>
  <si>
    <t>3966 - SERVICOS DE ABASTECIMENTO E DISTRIBUICAO DE AGUA</t>
  </si>
  <si>
    <t>3622 - TAXA DE CONDOMINIO</t>
  </si>
  <si>
    <t>3970 - REDE IP MULTISSERVIÇOS</t>
  </si>
  <si>
    <t>3623 - GRATIFICACAO POR ENCARGO DE CURSO OU CONCURSO</t>
  </si>
  <si>
    <t>Serviços de vigilância</t>
  </si>
  <si>
    <t>3624 - SERVICOS TECNICOS JUDICIAIS - HONORARIOS JUSTICA GRATUITA</t>
  </si>
  <si>
    <t>3625 - CONTRATACAO PARA PRESTACAO DE SERVIÇO POR CREDENCIADOS</t>
  </si>
  <si>
    <t>3987 - SERVICOS DE GERENCIAMENTO E FORNECIMENTO DE COMBUSTIVEL</t>
  </si>
  <si>
    <t>3626 - SERVICOS DE ABASTECIMENTO E DISTRIBUICAO DE AGUA</t>
  </si>
  <si>
    <t>3994 - CAPACITACAO RELACIONADA AS ATIVIDADES DE AVIACAO</t>
  </si>
  <si>
    <t>3627 - JUIZES LEIGOS</t>
  </si>
  <si>
    <t>3999 - OUTROS SERVICOS-PESSOA JURIDICA</t>
  </si>
  <si>
    <t>4002 - SERVICOS DE TECNOLOGIA DA INFORMACAO</t>
  </si>
  <si>
    <t>3630 - SERVICOS MEDICOS PRESTADOS POR CONTRATO</t>
  </si>
  <si>
    <t>4003 - SERVICOS DE INFORMATICA EXECUTADOS PELA PRODEMGE</t>
  </si>
  <si>
    <t>3631 - SERVICOS DE TREINAMENTO, CAPACITACAO E APERFEICOAMENTO DE PESSOAL</t>
  </si>
  <si>
    <t>4004 - SERVICO DE TELECOMUNICACAO</t>
  </si>
  <si>
    <t>3699 - OUTRAS DESPESAS PAGAS A PESSOAS FISICAS</t>
  </si>
  <si>
    <t>4005 - REDE IP MULTISSERVICOS</t>
  </si>
  <si>
    <t>4701 - OBRIGAÇÕES TRIBUTÁRIAS E CONTRIBUTIVAS</t>
  </si>
  <si>
    <t>Obrigações tributárias</t>
  </si>
  <si>
    <t>3702 - LOCACAO DE SERVICOS DE APOIO ADMINISTRATIVO</t>
  </si>
  <si>
    <t>5101 - ESTUDOS E PROJETOS DE BENS PATRIMONIAVEIS</t>
  </si>
  <si>
    <t>Obras e projetos de obras</t>
  </si>
  <si>
    <t>5103 - EXECUCAO DE OBRAS POR CONTRATO DE BENS PATRIMONIAVEIS</t>
  </si>
  <si>
    <t>5204 - MAQUINAS, APARELHOS, UTENSILIOS E EQUIPAMENTOS DE USO INDUSTRIAL</t>
  </si>
  <si>
    <t>Demais despesas de capital</t>
  </si>
  <si>
    <t>3902 - VALE-REFEICAO</t>
  </si>
  <si>
    <t>Aquisições de itens de TIC</t>
  </si>
  <si>
    <t>5207 - EQUIPAMENTOS DE INFORMATICA</t>
  </si>
  <si>
    <t>3904 - CONFECCAO EM GERAL</t>
  </si>
  <si>
    <t>5208 - EQUIPAMENTOS DE SOM, VIDEO, FOTOGRAFICO E CINEMATOGRAFICO</t>
  </si>
  <si>
    <t>3906 - TRANSPORTE E ACONDICIONAMENTO DE MATERIAIS</t>
  </si>
  <si>
    <t>3908 - PUBLICACAO E DIVULGACAO</t>
  </si>
  <si>
    <t>5210 - FERRAMENTAS, EQUIPAMENTOS E INSTRUMENTOS PARA OFICINA, MEDICAO E INSPECAO</t>
  </si>
  <si>
    <t>5212 - MAQUINAS, APARELHOS, UTENSILIOS E EQUIPAMENTOS DE USO ADMINISTRATIVO</t>
  </si>
  <si>
    <t>3910 - PREMIOS DE SEGUROS</t>
  </si>
  <si>
    <t>3911 - ASSINATURAS DE JORNAIS, REVISTAS E PERIODICOS</t>
  </si>
  <si>
    <t>Aquisição de Veículos</t>
  </si>
  <si>
    <t>5220 - EQUIPAMENTOS DE SEGURANCA ELETRONICA</t>
  </si>
  <si>
    <t>3914 - SERVICO DE TELEFONIA</t>
  </si>
  <si>
    <t>5226 - EQUIPAMENTOS DE PROTECAO, SEGURANCA E SOCORRO</t>
  </si>
  <si>
    <t>3915 - SERVICO POSTAL-TELEGRAFICO</t>
  </si>
  <si>
    <t>5227 - PEÇAS NÃO INCORPORÁVEIS A IMÓVEIS</t>
  </si>
  <si>
    <t>3916 - LOCACAO DE TV POR ASSINATURA</t>
  </si>
  <si>
    <t>9202 - DESPESAS DE EXERCÍCIOS ANTERIORES ? OUTRAS DESPESAS</t>
  </si>
  <si>
    <t>DEAs</t>
  </si>
  <si>
    <t>Restituição de convênios</t>
  </si>
  <si>
    <t>3920 - LOCACAO DE BENS IMOVEIS</t>
  </si>
  <si>
    <t>3921 - REPAROS DE EQUIPAMENTOS, INSTALACOES E MATERIAL PERMANENTE</t>
  </si>
  <si>
    <t>9399 - OUTRAS INDENIZACOES E RESTITUICOES</t>
  </si>
  <si>
    <t>3923 - RECEPCOES, HOSPEDAGENS, HOMENAGENS E FESTIVIDADES</t>
  </si>
  <si>
    <t>INSS e Obrigações patronais</t>
  </si>
  <si>
    <t>3928 - SERVICOS DE SAUDE EXECUTADOS COM RECURSOS DO SUS</t>
  </si>
  <si>
    <t>3929 - SERVICOS DE SAUDE PRESTADOS POR PESSOA JURIDICA</t>
  </si>
  <si>
    <t>3930 - MULTAS DE TRANSITO</t>
  </si>
  <si>
    <t>3933 - TAXA DE ADMINISTRACAO</t>
  </si>
  <si>
    <t>3934 - SEGUROS DE AERONAVES</t>
  </si>
  <si>
    <t>3935 - REPARO, MANUTENCAO, E SERVICOS AEROPORTUARIOS PARA AERONAVES</t>
  </si>
  <si>
    <t>3937 - TAXA DE CONDOMINIO</t>
  </si>
  <si>
    <t>3939 - SERVICOS DE PUBLICACAO E DIVULGACAO</t>
  </si>
  <si>
    <t>3941 - ANUIDADES</t>
  </si>
  <si>
    <t>3942 - SERVICOS GRAFICOS DE SEGURANCA</t>
  </si>
  <si>
    <t>3943 - SERVICO DE ADMINISTRACAO E GERENCIAMENTO DE FROTA DE VEICULOS</t>
  </si>
  <si>
    <t>3946 - TERMO DE PARCERIA COM ORGANIZACAO DA SOCIEDADE CIVIL DE INTERESSE PUBL</t>
  </si>
  <si>
    <t>3947 - TAXA DE ADMINISTRACAO DE CREDITO DE FINANCIAMENTOS HABITACIONAIS</t>
  </si>
  <si>
    <t>3948 - CURSOS DE FORMACAO, CAPACITACAO E POS-GRADUACAO PARA SERVIDORES</t>
  </si>
  <si>
    <t>3949 - CURSOS DE FORMACAO E CAPACITACAO PARA O CIDADAO</t>
  </si>
  <si>
    <t>3951 - SERVICOS DE GERENCIAMENTO, SUPERVISAO E FISCALIZACAO DE OBRAS</t>
  </si>
  <si>
    <t>3952 - CONTRATACAO DE ESTAGIARIOS</t>
  </si>
  <si>
    <t>3953 - CURSOS DE FORMACAO E CAPACITACAO PROMOVIDOS PELO ESTADO</t>
  </si>
  <si>
    <t>3955 - EVENTOS DE COMUNICACAO INSTITUCIONAL</t>
  </si>
  <si>
    <t>3956 - SERVICOS DE PESQUISAS</t>
  </si>
  <si>
    <t>3960 - SERVICOS DE ATENDIMENTO AO CIDADAO</t>
  </si>
  <si>
    <t>3962 - SERVICOS DE VIGILANCIA OSTENSIVA</t>
  </si>
  <si>
    <t>3964 - SERVICOS DE MAPEAMENTO E GEORREFERENCIAMENTO</t>
  </si>
  <si>
    <t>3965 - SERVICOS DE PRODUCAO E LOGISTICA DE MEDICAMENTOS</t>
  </si>
  <si>
    <t>Advogados Dativos</t>
  </si>
  <si>
    <t>Aluguéis e condomínios</t>
  </si>
  <si>
    <t>3968 - SERVICO DE IMPRENSA</t>
  </si>
  <si>
    <t>3971 - SERVICOS TECN DE IMPLANTACAO GESTAO E ADM DO SIST DE OBSERV ELETRONICA</t>
  </si>
  <si>
    <t>3972 - CONTRATOS DE ABASTECIMENTO DE AGUA E COLETA E TRATAMENTO DE ESGOTO</t>
  </si>
  <si>
    <t>3973 - SERVICO DE ENGENHARIA PARA OPERACAO DE BENS DE DOMINIO PUBLICO</t>
  </si>
  <si>
    <t>3975 - SERVICO DE GERENCIAMENTO, SUPERVISAO E FISCALIZACAO DE SERVICOS</t>
  </si>
  <si>
    <t>3976 - SERVICO DE REMOCAO E TRANSPORTE DE CADAVERES</t>
  </si>
  <si>
    <t>3978 - SERVICO DE APOIO ADMINISTRATIVO</t>
  </si>
  <si>
    <t>3981 - SERVICO DE ELABORACAO DE ESTUDOS PREVIOS</t>
  </si>
  <si>
    <t>3982 - SERVICOS TECNICOS JUDICIAIS - HONORARIOS JUSTICA GRATUITA</t>
  </si>
  <si>
    <t>3993 - APOIO A PROJETOS DE INCENTIVO E INOVAÇAO E A PESQUISA CIENTIFICA E TEC</t>
  </si>
  <si>
    <t>3996 - TRANSFERENCIA ONEROSA DA POSSE DE IMOVEIS DE PROPRIEDADE DO ESTADO</t>
  </si>
  <si>
    <t>3998 - SERVICOS DE SAUDE PRESTADOS CONTRATUALMENTE POR PESSOA JURIDICA</t>
  </si>
  <si>
    <t>Encargos judiciais</t>
  </si>
  <si>
    <t>4002 - SERVICO DE TECNOLOGIA DA INFORMACAO</t>
  </si>
  <si>
    <t>4003 - SERVICO DE INFORMATICA EXECUTADO PELA PRODEMGE</t>
  </si>
  <si>
    <t>4101 - CONTRIBUICOES</t>
  </si>
  <si>
    <t>4103 - CONTRIBUICOES AO IPLEMG</t>
  </si>
  <si>
    <t>4104 - CONTRIBUICOES DO FUNDO ESTADUAL DE SAUDE - FES - LC 141/2012</t>
  </si>
  <si>
    <t>4106 - TRANSFERENCIA PARA FINANCIAMENTO DO TRANSPORTE ESCOLAR</t>
  </si>
  <si>
    <t>4201 - AUXILIOS</t>
  </si>
  <si>
    <t>4301 - SUBVENCOES SOCIAIS</t>
  </si>
  <si>
    <t>4504 - SUBVENCAO ECONOMICA - CULTURA</t>
  </si>
  <si>
    <t>4602 - AUXILIO ALIMENTACAO BILHETE OU CARTAO MAGNETICO</t>
  </si>
  <si>
    <t>Concurso público</t>
  </si>
  <si>
    <t>4704 - IMPOSTO SOBRE OPERACOES FINANCEIRAS - IOF</t>
  </si>
  <si>
    <t>4706 - CONTRIBUICAO PARA A FORMACAO DO PASEP/PIS</t>
  </si>
  <si>
    <t>4707 - TAXA DE LIMPEZA PUBLICA E COLETA DE RESIDUOS</t>
  </si>
  <si>
    <t>4708 - TAXA DE ILUMINACAO PUBLICA</t>
  </si>
  <si>
    <t>4710 - PASEP - ADESAO AO PARCELAMENTO DECORRENTE DE LEI ESPECIFICA</t>
  </si>
  <si>
    <t>4799 - OUTROS - OBRIGACOES TRIBUTARIAS E CONTRIBUTIVAS</t>
  </si>
  <si>
    <t>4007 - AQUISICAO DE SOFTWARE DESENVOLVIDOS PELA PRODEMGE</t>
  </si>
  <si>
    <t>4801 - OUTROS AUXILIOS FINANCEIROS A PESSOAS FISICAS</t>
  </si>
  <si>
    <t>4803 - AUXILIO PARA PROFISSIONAIS DE PROGRAMAS DE CAPACITACAO E FORMACAO</t>
  </si>
  <si>
    <t>4903 - DESPESA DE TRANSPORTE DEVIDA A SERVIDORES DOS PODERES DO ESTADO</t>
  </si>
  <si>
    <t>4904 - AUXILIO TRANSPORTE BILHETE OU CARTAO MAGNETICO</t>
  </si>
  <si>
    <t>4905 - AUXILIO TRANSPORTE PAGO A ESTAGIARIOS PECUNIA</t>
  </si>
  <si>
    <t>4906 - AUXILIO TRANSPORTE PAGO A ESTAGIARIO BILHETE OU CARTAO MAGNETICO</t>
  </si>
  <si>
    <t>5106 - ESTUDOS E PROJETOS DE BENS NAO PATRIMONIAVEIS</t>
  </si>
  <si>
    <t>5107 - EXECUCAO DE OBRAS POR CONTRATO DE BENS NAO PATRIMONIAVEIS</t>
  </si>
  <si>
    <t>5112 - MATERIAL PARA OBRAS - BENS NAO PATRIMONIAVEIS</t>
  </si>
  <si>
    <t>5113 - INSTALACAO PARA INCORPORACAO A BENS IMOVEIS</t>
  </si>
  <si>
    <t>5114 - EXECUCAO DE OBRAS POR EMPRESAS CONTROLADAS</t>
  </si>
  <si>
    <t>5230 - MÁQUINAS E EQUIPAMENTOS ENERGÉTICOS</t>
  </si>
  <si>
    <t>5206 - EQUIPAMENTOS DE COMUNICACAO E TELEFONIA</t>
  </si>
  <si>
    <t>Indenizações e restituições</t>
  </si>
  <si>
    <t>5209 - EQUIPAMENTOS HOSPITALARES, ODONTOLOGICOS E DE LABORATORIO</t>
  </si>
  <si>
    <t>5210 - FERRAMENTAS, EQUIP. E INSTRUMENTOS P/ OFICINA, MEDICAO E INSPECAO</t>
  </si>
  <si>
    <t>5211 - INSTRUMENTOS DE LABORATORIO, MEDICOS E ODONTOLOGICOS</t>
  </si>
  <si>
    <t>5212 - MAQUINAS, APARELHOS, UTENSILIOS E EQUIPAMENTOS  USO ADMINISTRATIVO</t>
  </si>
  <si>
    <t>5214 - MOBILIARIO</t>
  </si>
  <si>
    <t>5217 - VEICULOS</t>
  </si>
  <si>
    <t>5218 - COLECAO E MATERIAIS BIBLIOGRAFICOS</t>
  </si>
  <si>
    <t>5219 - INSTRUMENTOS MUSICAIS E ARTISTICOS</t>
  </si>
  <si>
    <t>5221 - MATERIAL DIDATICO</t>
  </si>
  <si>
    <t>5225 - APARELHOS E UTENSILIOS DOMESTICOS</t>
  </si>
  <si>
    <t>5227 - PECAS NAO INCORPORAVEIS A IMOVEIS</t>
  </si>
  <si>
    <t>5905 - PENSAO DECORRENTE DE SENTENCA JUDICIAL - TERCEIROS</t>
  </si>
  <si>
    <t>6102 - SALAS E ESCRITORIOS</t>
  </si>
  <si>
    <t>6106 - IMOVEIS NECESSARIOS A REALIZACAO DE OBRAS DE BENS PATRIMONIAVEIS</t>
  </si>
  <si>
    <t>6107 - IMOVEIS NECESSARIOS A REALIZACAO DE OBRAS DE BENS NAO-PATRIMONIAVEIS</t>
  </si>
  <si>
    <t>6501 - CONSTITUICAO OU AUMENTO DE CAPITAL DE EMPRESAS-CAPITAL A INTEGRALIZAR</t>
  </si>
  <si>
    <t>6502 - CONSTITUICAO OU AUMENTO DE CAPITAL DE EMPRESAS-CAPITAL INTEGRALIZADO</t>
  </si>
  <si>
    <t>6603 - CONCESSAO DE FINANCIAMENTOS HABITACIONAIS</t>
  </si>
  <si>
    <t>8201 - APORTE DE RECURSOS PELO PARCEIRO PÚBLICO EM FAVOR DO PARCEIRO PRIVADO DECORRENTE DE CONTRATO DE PARCERIA PÚBLICO-PRIVADA - PPP</t>
  </si>
  <si>
    <t>8301 - PARCELAS DAS CONTRAPRESTACOES REFERENTES A REMUNERACAO DO PARCEIRO</t>
  </si>
  <si>
    <t>8303 - OUTRAS DESPESAS DECORRENTES DE CONTRATO DE PARCERIA PUBLICO-PRIVADA</t>
  </si>
  <si>
    <t>8501 - CONTRATO DE GESTAO COM ORGANIZACAO SOCIAL - OS</t>
  </si>
  <si>
    <t>8502 - CONTRATO DE GESTAO COM SERVICO SOCIAL AUTONOMO - SSA</t>
  </si>
  <si>
    <t>8601 - COMPENSACAO FINANCEIRA DOS REGIMES DE PREVIDENCIA</t>
  </si>
  <si>
    <t>9108 - OUTRAS DECISOES JUDICIAIS - DEPOSITO EM CONTA CORRENTE OU A DISPOSICAO</t>
  </si>
  <si>
    <t>9110 - SERVICOS DE SAUDE PRESTADO POR PESSOA FISICA - DECISAO JUDICIAL</t>
  </si>
  <si>
    <t>9111 - SERVICOS DE SAUDE PRESTADO POR PESSOA JURIDICA - DECISAO JUDICIAL</t>
  </si>
  <si>
    <t>9112 - MEDICAMENTOS E MATERIAL MEDICO HOSPITALAR - DECISAO JUDICIAL</t>
  </si>
  <si>
    <t>9113 - INDENIZACOES DETERMINADAS POR DECISOES JUDICIAIS</t>
  </si>
  <si>
    <t>9117 - ACORDOS ADM. OU JUDICIAIS FIRMADOS COM A CONCILIACAO E MEDIACAO DA CPR</t>
  </si>
  <si>
    <t>9201 - DESPESAS DE EXERCICIOS ANTERIORES - PESSOAL</t>
  </si>
  <si>
    <t>9202 - DESPESAS DE EXERCICIOS ANTERIORES - OUTRAS DESPESAS</t>
  </si>
  <si>
    <t>9203 - DESPESA DE EXERCICIOS ANTERIORES - OBRIGACOES PATRONAIS</t>
  </si>
  <si>
    <t>9305 - DESPESAS DECORRENTES DE CONTRATOS DE CONCESSAO OU PERMISSAO</t>
  </si>
  <si>
    <t>9306 - REST DE REC DE CONVENIOS, DE CONTRAPARTIDAS E INSTRUMENTOS CONGENERES</t>
  </si>
  <si>
    <t>9308 - DESPESAS DE CARATER INDENIZATORIO RELATIVAS AO MANDATO PARLAMENTAR</t>
  </si>
  <si>
    <t>9310 - RESTITUICAO DE RECEITA - EXERCICIO ANTERIOR</t>
  </si>
  <si>
    <t>9312 - INDENIZACAO POR UTILIZACAO DE BENS DE TERCEIROS</t>
  </si>
  <si>
    <t>9313 - REEMBOLSO DE DESPESAS MEDICO-HOSPITALARES</t>
  </si>
  <si>
    <t>9316 - INDENIZACOES DETERMINADAS POR LEI ESPECIFICA</t>
  </si>
  <si>
    <t>9318 - AUXILIO MORADIA DE CARATER INDENIZATORIO RELATIVO AO MANDATO PARLAMENT</t>
  </si>
  <si>
    <t>9319 - IND.DECORRENTES DA UTILZ. DE LEITOS DE INSTITUICOES DE SAUDE PRIVADAS</t>
  </si>
  <si>
    <t>9323 - INDENIZACAO DECORRENTE DE AUXILIO SAUDE</t>
  </si>
  <si>
    <t>9326 - RESTITUICAO REFERENTE A TAXA DE INSCRICAO, MATERIAL E SIMILARES</t>
  </si>
  <si>
    <t>9327 - INDENIZACAO DE TRANSPORTE DEVIDA AO OFICIAL DE JUSTICA</t>
  </si>
  <si>
    <t>9329 - RESSARCIMENTO SOBRE A REMUNERACAO DOS PRESOS EM TRABALHO</t>
  </si>
  <si>
    <t>Nota Fiscal Mineira</t>
  </si>
  <si>
    <t>3303 - FRETAMENTO E LOCACAO - PESSOA FISICA</t>
  </si>
  <si>
    <t>3502 - SERVICOS DE CONSULTORIA ? PESSOA JURIDICA</t>
  </si>
  <si>
    <t>3938 - SERVICOS DE IMPRESSAO E ENCADERNACAO</t>
  </si>
  <si>
    <t>3995 - SERVIÇOS NOTARIAIS E DE REGISTRO</t>
  </si>
  <si>
    <t>3996 - TRANSFERÊNCIA ONEROSA DA POSSE DE BENS IMÓVEIS DE PROPRIEDADE DO ESTADO DE MINAS GERAIS</t>
  </si>
  <si>
    <t>4905 - AUXILIO-TRANSPORTE PAGO A ESTAGIARIOS - PECUNIA</t>
  </si>
  <si>
    <t>3963 - SERVICOS DE LEVANTAMENTO E CADASTRAMENTO PARA EXECUCAO DE POL PUBLICAS</t>
  </si>
  <si>
    <t>Cadastramento para regularização fundiária</t>
  </si>
  <si>
    <t>Contribuições</t>
  </si>
  <si>
    <t>5114 - EXECUCAO DE OBRAS POR EMPRESAS CONTROLADAS JURIDICA</t>
  </si>
  <si>
    <t>Execução de obra por empresa controlada</t>
  </si>
  <si>
    <t>9108 - OUTRAS DECISÕES JUDICIAIS - DEPÓSITO EM CONTA CORRENTE OU À DISPOSIÇÃO</t>
  </si>
  <si>
    <t>Precatórios</t>
  </si>
  <si>
    <t>Material de distribuição gratuita</t>
  </si>
  <si>
    <t>Serviços de Mapeamento e Georreferenciamento</t>
  </si>
  <si>
    <t>Serviços de engenharia</t>
  </si>
  <si>
    <t>3980 - ADESÃO AO PARCELAMENTO DECORRENTE DA LEI FEDERAL N.11.941/2009</t>
  </si>
  <si>
    <t>3989 - LOCACAO OU FRETAMENTO DE AERONAVE</t>
  </si>
  <si>
    <t>Instrumentos de Saída</t>
  </si>
  <si>
    <t>Aquisição de Imóveis</t>
  </si>
  <si>
    <t>9201 - DESPESAS DE EXERCÍCIOS ANTERIORES - PESSOAL</t>
  </si>
  <si>
    <t>0899 - AUXÍLIOS DIVERSOS</t>
  </si>
  <si>
    <t>1313 - OBRIGAÇÃO PATRONAL – MÉDICOS RESIDENTES</t>
  </si>
  <si>
    <t>1502 - DIÁRIAS MILITAR – SCDP</t>
  </si>
  <si>
    <t>3932 - MONITORAMENTO E RASTREAMENTO VEICULAR</t>
  </si>
  <si>
    <t>3990 - CURSOS DE FORMACAO, CAPACITACAO E TREINAMENTO DE TRIPULANTES DE AERONAVES</t>
  </si>
  <si>
    <t>Capacitação Aeronave</t>
  </si>
  <si>
    <t>3998 - SERVICOS DE SAUDE PRESTADOS POR CONTRATO</t>
  </si>
  <si>
    <t>Ajuda de Custo</t>
  </si>
  <si>
    <t>1307 - OBRIGAÇÃO PATRONAL – CONTRATOS DE TERCEIRIZAÇÃO</t>
  </si>
  <si>
    <t>Bolsas de estudos</t>
  </si>
  <si>
    <t>Contratos Administrativos</t>
  </si>
  <si>
    <t>3405 - SALÁRIO - FAMÍLIA</t>
  </si>
  <si>
    <t>3501 - SERVICOS DE CONSULTORIA ? PESSOA FISICA</t>
  </si>
  <si>
    <t>3605 - LOCAÇÃO DE SERVIÇOS TÉCNICOS E ESPECIALIZADOS ? PESSOA FÍSICA</t>
  </si>
  <si>
    <t>Termos de parceria e contratos de gestão</t>
  </si>
  <si>
    <t>3992 - CONTRATO DE GESTAO COM ORGANIZACAO SOCIAL - OS</t>
  </si>
  <si>
    <t>4106 - TRANSFERENCIAS PARA FINANCIAMENTO DO TRANSPORTE ESCOLAR</t>
  </si>
  <si>
    <t>Transporte escolar</t>
  </si>
  <si>
    <t>SUBVENÇÕES SOCIAIS</t>
  </si>
  <si>
    <t>4904 - AUXÍLIO-TRANSPORTE ? BILHETE OU CARTÃO MAGNÉTICO</t>
  </si>
  <si>
    <t>5218 - COLECOES E MATERIAIS BIBLIOGRAFICOS</t>
  </si>
  <si>
    <t>3036 - MATERIAL BIBLIOGRAFICO PARA BIBLIOTECAS PUBLICAS</t>
  </si>
  <si>
    <t>Subvenções econômicas</t>
  </si>
  <si>
    <t>8501 - CONTRATO DE GESTÃO COM ORGANIZAÇÃO SOCIAL - OS</t>
  </si>
  <si>
    <t>Garantias</t>
  </si>
  <si>
    <t>3975 - SERVICO DE GERENCIAMENTO, SUPERVISAO E FISCALIZACAO DE SERVICOS CONTRATADOS</t>
  </si>
  <si>
    <t>Fiscalização de serviços</t>
  </si>
  <si>
    <t>Elaboração de estudos prévios</t>
  </si>
  <si>
    <t>3993 - APOIO A PROJETOS DE INCENTIVO A INOVACAO E A PESQUISA CIENTIFICA E TECNOLOGICA, A CAPACITACAO TECNOLOGICA E AO ALCANCE DA AUTONOMIA TECNOLOGICA</t>
  </si>
  <si>
    <t>Subvenções Econômicas - Colchão Metrô</t>
  </si>
  <si>
    <t>4502 - SUBVENÇÃO ECONÔMICA - TRANSPORTE PÚBLICO COLETIVO</t>
  </si>
  <si>
    <t>Subvenção econômica</t>
  </si>
  <si>
    <t>5115 - EXECUÇÃO DE OBRAS - METRÔ RMBH</t>
  </si>
  <si>
    <t>Aporte de recursos pelo PPP</t>
  </si>
  <si>
    <t>0409 - OBRIGAÇÃO PATRONAL – CONTRATOS POR TEMPO DETERMINADO – ENCARGOS POR PAGAMENTO EM ATRASO</t>
  </si>
  <si>
    <t>PREMIOS, DIPLOMAS, CONDECORACOES E MEDALHAS</t>
  </si>
  <si>
    <t>LOCAÇÃO DE SERVIÇOS TÉCNICOS E ESPECIALIZADOS ? PESSOA FÍSICA</t>
  </si>
  <si>
    <t>EVENTUAL DE GABINETE</t>
  </si>
  <si>
    <t>DESPESAS MIÚDAS DE PRONTO PAGAMENTO</t>
  </si>
  <si>
    <t>REPAROS DE EQUIPAMENTOS, INSTALAÇÕES E MATERIAL PERMANENTE</t>
  </si>
  <si>
    <t>OUTRAS DESPESAS PAGAS A PESSOAS FÍSICAS</t>
  </si>
  <si>
    <t>CONFECÇÃO EM GERAL</t>
  </si>
  <si>
    <t>TRANSPORTE E ACONDICIONAMENTO DE MATERIAIS E EQUIPAMENTOS</t>
  </si>
  <si>
    <t>Seguros</t>
  </si>
  <si>
    <t>LOCACAO DE SERVICOS GRAFICOS</t>
  </si>
  <si>
    <t>SERVIÇOS DE PUBLICAÇÃO E DIVULGAÇÃO</t>
  </si>
  <si>
    <t>ANUIDADES, CERTIFICADOS E REGISTROS</t>
  </si>
  <si>
    <t>EVENTOS DE COMUNICAÇÃO INSTITUCIONAL</t>
  </si>
  <si>
    <t>Pesquisas</t>
  </si>
  <si>
    <t>SERVICOS DE ATENDIMENTO AO CIDADAO</t>
  </si>
  <si>
    <t>SERVIÇO DE ENGENHARIA PARA OPERAÇÃO DE BENS DE DOMÍNIO PÚBLICO</t>
  </si>
  <si>
    <t>SERVIÇOS DE ELABORAÇÃO DE ESTUDOS PRÉVIOS</t>
  </si>
  <si>
    <t>MULTA POR ATO INFRACIONAL</t>
  </si>
  <si>
    <t>TRANSFERENCIA ONEROSA DA POSSE DE BENS IMOVEIS DE PROPRIEDADE DO ESTADO DE MINAS GERAIS</t>
  </si>
  <si>
    <t>OUTROS SERVICOS-PESSOA JURIDICA</t>
  </si>
  <si>
    <t>INDENIZAÇÃO POR UTILIZAÇÃO DE BENS DE TERCEIROS</t>
  </si>
  <si>
    <t>OUTRAS INDENIZAÇÕES E RESTITUIÇÕES</t>
  </si>
  <si>
    <t>Prêmios, diplomas, condecorações e medalhas</t>
  </si>
  <si>
    <t>3607 - CONFECCAO EM GERAL</t>
  </si>
  <si>
    <t>4602 - AUXILIO ALIMENTACAO POR BILHETE OU CARTAO MAGNETICO</t>
  </si>
  <si>
    <t>0805 - AUXÍLIO NATALIDADE</t>
  </si>
  <si>
    <t>1323 - OBRIGAÇÃO PATRONAL -  CONTRATOS DE TERCEIRIZAÇÃO - DESPESAS COM ASSISTÊNCIA À SAÚDE</t>
  </si>
  <si>
    <t>Pronto Pagamento</t>
  </si>
  <si>
    <t>5102 - EXECUCAO DIRETA DE OBRAS DE BENS PATRIMONIAVEIS</t>
  </si>
  <si>
    <t>9113 - INDENIZAÇÕES DETERMINADAS POR DECISÕES JUDICIAIS</t>
  </si>
  <si>
    <t>5109 - EXECUCAO DIRETA DE OBRAS DE BENS NAO PATRIMONIAVEIS</t>
  </si>
  <si>
    <t>5224 - MAQUINAS, INSTALACOES E UTENSILIOS DE ESCRITORIO</t>
  </si>
  <si>
    <t>4109 - TRANSFERÊNCIAS ESPECIAIS A MUNICÍPIOS - OUTRAS</t>
  </si>
  <si>
    <t>Transferência Especial</t>
  </si>
  <si>
    <t>9117 - ACORDOS ADMINISTRATIVOS OU JUDICIAIS FIRMADOS COM A CONCILIAÇÃO E MEDIAÇÃO DA CPRAC OU COMPOR</t>
  </si>
  <si>
    <t>Outros</t>
  </si>
  <si>
    <t>Publicidade</t>
  </si>
  <si>
    <t>EGE-SEF</t>
  </si>
  <si>
    <t>Remuneraçao TJMG</t>
  </si>
  <si>
    <t>9333 - RESTITUIÇÃO DE RECURSOS – LC 151/2015</t>
  </si>
  <si>
    <t>9334 - RECOMPOSIÇÃO DOS DEPÓSITOS JUDICIAIS – LC 151/2015</t>
  </si>
  <si>
    <t>9335 - RESTITUIÇÃO DE RECURSOS DE DEPÓSITOS ADMINISTRATIVOS E JUDICIAIS</t>
  </si>
  <si>
    <t>9701 - APORTE PARA COBERTURA DO DÉFICIT ATUARIAL DO RPPS</t>
  </si>
  <si>
    <t>PART.EMPRESAS</t>
  </si>
  <si>
    <t>5908 - PENSÕES DECORRENTES DA LEI Nº 21.527/2014</t>
  </si>
  <si>
    <t>3624 - SERVICOS TECNICOS JUDICIAIS ? HONORARIOS PERICIAIS ? JUSTICA GRATUITA</t>
  </si>
  <si>
    <t>3632 - SERVIÇOS DE SAÚDE – DECISÃO JUDICIAL</t>
  </si>
  <si>
    <t>3982 - SERVICOS TECNICOS JUDICIAIS ? HONORARIOS JUDICIAIS</t>
  </si>
  <si>
    <t>9112 - MEDICAMENTOS  E  MATERIAL  MÉDICO HOSPITALAR – DECISÃO JUDICIAL</t>
  </si>
  <si>
    <t>Constituição ou aumento de capital de empresas</t>
  </si>
  <si>
    <t>6502 - CONSTITUICAO OU AUMENTO DE CAPITAL DE EMPRESAS ? CAPITAL INTEGRALIZADO</t>
  </si>
  <si>
    <t>DESPESAS MIUDAS DE PRONTO PAGAMENTO</t>
  </si>
  <si>
    <t>REPAROS DE EQUIPAMENTOS, INSTALACOES E MATERIAL PERMANENTE</t>
  </si>
  <si>
    <t>CONFECCAO EM GERAL</t>
  </si>
  <si>
    <t>PUBLICAÇÃO E DIVULGAÇÃO</t>
  </si>
  <si>
    <t>ASSINATURAS DE JORNAIS, REVISTAS E PERIÓDICOS</t>
  </si>
  <si>
    <t>ENCARGOS JUDICIAIS</t>
  </si>
  <si>
    <t>SERVICOS GRAFICOS DE SEGURANCA</t>
  </si>
  <si>
    <t>CONTRATAÇÃO DE PROJETOS EM PESQUISA DE CIÊNCIA, INOVAÇÃO E TECNOLOGIA</t>
  </si>
  <si>
    <t>APORTE PARA COBERTURA DO DÉFICIT ATUARIAL DO RPPS</t>
  </si>
  <si>
    <t>MATERIAL DE PROTECAO E SEGURANCA</t>
  </si>
  <si>
    <t>CONFERÊNCIAS E EXPOSIÇÕES</t>
  </si>
  <si>
    <t>LOCAÇÃO DE SERVIÇOS GRÁFICOS</t>
  </si>
  <si>
    <t>APOIO A PROJETOS DE INCENTIVO A INOVACAO E A PESQUISA CIENTIFICA E TECNOLOGICA, A CAPACITACAO TECNOLOGICA E AO ALCANCE DA AUTONOMIA TECNOLOGICA</t>
  </si>
  <si>
    <t>0501 - AUXÍLIO-RECLUSÃO</t>
  </si>
  <si>
    <t>0505 - PECÚLIO E SEGURO COLETIVO</t>
  </si>
  <si>
    <t>0809 - AUXILIO-RECLUSAO</t>
  </si>
  <si>
    <t>3037 - MEDICAMENTOS - DECISAO JUDICIAL</t>
  </si>
  <si>
    <t>4906 - AUXILIO-TRANSPORTE PAGO A ESTAGIARIOS - BILHETE OU CARTAO MAGNETICO</t>
  </si>
  <si>
    <t>3606 - FORNECIMENTO DE ALIMENTACAO</t>
  </si>
  <si>
    <t>Premiações</t>
  </si>
  <si>
    <t>3707 - DESPESAS COM O PAGAMENTO DE OBRIGAÇÕES TRABALHISTAS</t>
  </si>
  <si>
    <t>Credenciados</t>
  </si>
  <si>
    <t>9203 - DESPESAS DE EXERCÍCIOS ANTERIORES – OBRIGAÇÕES PATRONAIS</t>
  </si>
  <si>
    <t>Indenizações</t>
  </si>
  <si>
    <t>Mapeamento e georreferenciamento</t>
  </si>
  <si>
    <t>0702 - CONTRIBUIÇÃO A ENTIDADES FECHADAS DE PREVIDÊNCIA - ENCARGOS POR PAGAMENTO EM ATRASO</t>
  </si>
  <si>
    <t>CONTRATACAO PARA PRESTACAO DE SERVICO POR CREDENCIADOS</t>
  </si>
  <si>
    <t>TAXA DE ADMINISTRAÇÃO</t>
  </si>
  <si>
    <t>SERVICOS DE PUBLICACAO E DIVULGACAO</t>
  </si>
  <si>
    <t>Outros serviços PJ</t>
  </si>
  <si>
    <t>Contribuições aos Comitês de Bacia</t>
  </si>
  <si>
    <t>RESTITUIÇÃO DE RECEITA - EXERCÍCIO ANTERIOR</t>
  </si>
  <si>
    <t>0803 - AUXILIO-CRECHE ASSISTENCIA PRE-ESCOLAR</t>
  </si>
  <si>
    <t>4601 - AUXÍLIO ALIMENTAÇÃO - PECÚNIA</t>
  </si>
  <si>
    <t>Serviços gráficos</t>
  </si>
  <si>
    <t>Auxílio para profissionais de programas de capacitação e formação</t>
  </si>
  <si>
    <t>Transporte de materiais e equipamentos</t>
  </si>
  <si>
    <t>Demais aquisições</t>
  </si>
  <si>
    <t>9330 - REEMBOLSO DE DESPESA REALIZADA EM CONTRATOS OU CONVÊNIOS FIRMADOS EM REGIME DE PARCERIA COM O PODER EXECUTIVO</t>
  </si>
  <si>
    <t>5223 - MAQUINAS E EQUIPAMENTOS GRAFICOS</t>
  </si>
  <si>
    <t>IPEM/MG</t>
  </si>
  <si>
    <t>Particição em feiras</t>
  </si>
  <si>
    <t>ARSAE-MG</t>
  </si>
  <si>
    <t>3502 - -SERVICOS DE CONSULTORIA - PESSOA JURIDICA</t>
  </si>
  <si>
    <t>3951 - -SERVICOS DE GERENCIAMENTO, SUPERVISAO E FISCALIZACAO DE OBRAS</t>
  </si>
  <si>
    <t>3975 - -SERVICO DE GERENCIAMENTO, SUPERVISAO E FISCALIZACAO DE SERVICOS</t>
  </si>
  <si>
    <t>3981 - -SERVICO DE ELABORACAO DE ESTUDOS PREVIOS</t>
  </si>
  <si>
    <t>4601 - -AUXILIO-ALIMENTACAO - PECUNIA</t>
  </si>
  <si>
    <t>4901 - -AUXILIO-TRANSPORTE - PECUNIA</t>
  </si>
  <si>
    <t>5103 - -EXECUCAO DE OBRAS POR CONTRATO DE BENS PATRIMONIAVEIS</t>
  </si>
  <si>
    <t>5115 - -EXECUCAO DE OBRAS - METRO RMBH</t>
  </si>
  <si>
    <t>4901 - AUXILIO - TRANSPORTE - PECUNIA</t>
  </si>
  <si>
    <t>FIA</t>
  </si>
  <si>
    <t>FEH</t>
  </si>
  <si>
    <t>FPE</t>
  </si>
  <si>
    <t>9319 - INDENIZACOES DECORRENTES DA UTILIZACAO DE LEITOS DE INSTITUICOES DE SAUDE PRIVADAS</t>
  </si>
  <si>
    <t>SERVIÇOS DE CONSULTORIA ? PESSOA JURÍDICA</t>
  </si>
  <si>
    <t>CONTRATAÇÃO DE SERVIÇO DE TERCEIROS PARA EXECUTAR E MONITORAR O PROGRAMA ESTADUAL DE PSA</t>
  </si>
  <si>
    <t>CONTRIBUICOES</t>
  </si>
  <si>
    <t>Bolsa Verde</t>
  </si>
  <si>
    <t>FUNDIF</t>
  </si>
  <si>
    <t>FEC</t>
  </si>
  <si>
    <t>FAHMEMG</t>
  </si>
  <si>
    <t>FEI</t>
  </si>
  <si>
    <t>MG INVESTE</t>
  </si>
  <si>
    <t>8301 - PARCELAS DAS CONTRAPRESTAÇÕES REFERENTES À REMUNERAÇÃO DO PARCEIRO PRIVADO POR SERVIÇOS EM CONCESSÕES ADMINISTRATIVAS</t>
  </si>
  <si>
    <t>Despesas de contrato de PPP</t>
  </si>
  <si>
    <t>8303 - OUTRAS DESPESAS DECORRENTES DE CONTRATO DE PARCERIA PÚBLICO-PRIVADA - PPP, EXCETO SUBVENÇÕES ECONÔMICAS, APORTE E FUNDO GARANTIDOR</t>
  </si>
  <si>
    <t>9109 - SENTENÇA ARBITRAL</t>
  </si>
  <si>
    <t>FESP-MG</t>
  </si>
  <si>
    <t>FET-MG</t>
  </si>
  <si>
    <t>1 - RECURSOS DO TESOURO</t>
  </si>
  <si>
    <t>2 - RECURSOS PRÓPRIOS</t>
  </si>
  <si>
    <t>DER-MG</t>
  </si>
  <si>
    <t>10.1</t>
  </si>
  <si>
    <t>59.1</t>
  </si>
  <si>
    <t>83.1</t>
  </si>
  <si>
    <t>52.1</t>
  </si>
  <si>
    <t>71.1</t>
  </si>
  <si>
    <t>26.1</t>
  </si>
  <si>
    <t>31.1</t>
  </si>
  <si>
    <t>60.1</t>
  </si>
  <si>
    <t>45.1</t>
  </si>
  <si>
    <t>99.1</t>
  </si>
  <si>
    <t>91.1</t>
  </si>
  <si>
    <t>38.1</t>
  </si>
  <si>
    <t>56.1</t>
  </si>
  <si>
    <t>83.2</t>
  </si>
  <si>
    <t>72.1</t>
  </si>
  <si>
    <t>61.1</t>
  </si>
  <si>
    <t>47.1</t>
  </si>
  <si>
    <t>32.1</t>
  </si>
  <si>
    <t>33.1</t>
  </si>
  <si>
    <t>54.2</t>
  </si>
  <si>
    <t>60.2</t>
  </si>
  <si>
    <t>PARECER DCMEFO</t>
  </si>
  <si>
    <t>DELIBERAÇÃO COFIN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</si>
</sst>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4" formatCode="_-&quot;R$&quot;\ * #,##0.00_-;\-&quot;R$&quot;\ * #,##0.00_-;_-&quot;R$&quot;\ * &quot;-&quot;??_-;_-@_-"/>
    <numFmt numFmtId="43" formatCode="_-* #,##0.00_-;\-* #,##0.00_-;_-* &quot;-&quot;??_-;_-@_-"/>
    <numFmt numFmtId="164" formatCode="_-&quot;R$&quot;\ * #,##0_-;\-&quot;R$&quot;\ * #,##0_-;_-&quot;R$&quot;\ * &quot;-&quot;??_-;_-@_-"/>
    <numFmt numFmtId="165" formatCode="_-* #,##0_-;\-* #,##0_-;_-* &quot;-&quot;??_-;_-@_-"/>
    <numFmt numFmtId="166" formatCode="_-[$R$-416]\ * #,##0.00_-;\-[$R$-416]\ * #,##0.00_-;_-[$R$-416]\ * &quot;-&quot;??_-;_-@_-"/>
  </numFmts>
  <fonts count="34" x14ac:knownFonts="1">
    <font>
      <sz val="11"/>
      <color theme="1"/>
      <name val="Calibri"/>
      <family val="2"/>
      <scheme val="minor"/>
    </font>
    <font>
      <sz val="11"/>
      <color theme="1"/>
      <name val="Calibri"/>
      <family val="2"/>
      <scheme val="minor"/>
    </font>
    <font>
      <b/>
      <sz val="11"/>
      <color theme="1"/>
      <name val="Calibri"/>
      <family val="2"/>
      <scheme val="minor"/>
    </font>
    <font>
      <sz val="10"/>
      <name val="Calibri"/>
      <family val="2"/>
      <scheme val="minor"/>
    </font>
    <font>
      <b/>
      <sz val="8"/>
      <color rgb="FFFFFFFF"/>
      <name val="Arial"/>
      <family val="2"/>
    </font>
    <font>
      <sz val="10"/>
      <name val="Arial"/>
      <family val="2"/>
    </font>
    <font>
      <sz val="10"/>
      <color rgb="FF000000"/>
      <name val="Calibri"/>
      <family val="2"/>
      <scheme val="minor"/>
    </font>
    <font>
      <sz val="8"/>
      <name val="Calibri"/>
      <family val="2"/>
      <scheme val="minor"/>
    </font>
    <font>
      <sz val="9"/>
      <color indexed="81"/>
      <name val="Segoe UI"/>
      <family val="2"/>
    </font>
    <font>
      <b/>
      <sz val="9"/>
      <color indexed="81"/>
      <name val="Segoe UI"/>
      <family val="2"/>
    </font>
    <font>
      <u/>
      <sz val="9"/>
      <color indexed="81"/>
      <name val="Segoe UI"/>
      <family val="2"/>
    </font>
    <font>
      <sz val="9"/>
      <color theme="1"/>
      <name val="Calibri"/>
      <family val="2"/>
      <scheme val="minor"/>
    </font>
    <font>
      <sz val="9"/>
      <color rgb="FF000000"/>
      <name val="Arial"/>
      <family val="2"/>
    </font>
    <font>
      <sz val="7"/>
      <color theme="1"/>
      <name val="Calibri"/>
      <family val="2"/>
      <scheme val="minor"/>
    </font>
    <font>
      <sz val="7"/>
      <name val="Calibri"/>
      <family val="2"/>
      <scheme val="minor"/>
    </font>
    <font>
      <b/>
      <sz val="8"/>
      <color theme="0"/>
      <name val="Calibri"/>
      <family val="2"/>
      <scheme val="minor"/>
    </font>
    <font>
      <b/>
      <sz val="11"/>
      <color theme="0"/>
      <name val="Calibri"/>
      <family val="2"/>
      <scheme val="minor"/>
    </font>
    <font>
      <b/>
      <sz val="11"/>
      <color rgb="FFFF0000"/>
      <name val="Calibri"/>
      <family val="2"/>
      <scheme val="minor"/>
    </font>
    <font>
      <b/>
      <u/>
      <sz val="9"/>
      <color indexed="81"/>
      <name val="Segoe UI"/>
      <family val="2"/>
    </font>
    <font>
      <b/>
      <sz val="26"/>
      <color theme="1"/>
      <name val="Calibri"/>
      <family val="2"/>
      <scheme val="minor"/>
    </font>
    <font>
      <b/>
      <u/>
      <sz val="20"/>
      <color theme="1"/>
      <name val="Calibri"/>
      <family val="2"/>
      <scheme val="minor"/>
    </font>
    <font>
      <sz val="18"/>
      <color theme="1"/>
      <name val="Calibri"/>
      <family val="2"/>
      <scheme val="minor"/>
    </font>
    <font>
      <u/>
      <sz val="11"/>
      <color theme="10"/>
      <name val="Calibri"/>
      <family val="2"/>
      <scheme val="minor"/>
    </font>
    <font>
      <sz val="18"/>
      <color theme="10"/>
      <name val="Calibri"/>
      <family val="2"/>
      <scheme val="minor"/>
    </font>
    <font>
      <b/>
      <u/>
      <sz val="11"/>
      <color rgb="FF0070C0"/>
      <name val="Calibri"/>
      <family val="2"/>
      <scheme val="minor"/>
    </font>
    <font>
      <b/>
      <sz val="18"/>
      <color theme="1"/>
      <name val="Calibri"/>
      <family val="2"/>
      <scheme val="minor"/>
    </font>
    <font>
      <b/>
      <u/>
      <sz val="11"/>
      <color theme="1"/>
      <name val="Calibri"/>
      <family val="2"/>
      <scheme val="minor"/>
    </font>
    <font>
      <sz val="12"/>
      <color rgb="FF000000"/>
      <name val="Calibri Light"/>
      <family val="2"/>
      <scheme val="major"/>
    </font>
    <font>
      <b/>
      <sz val="12"/>
      <color rgb="FF000000"/>
      <name val="Calibri Light"/>
      <family val="2"/>
      <scheme val="major"/>
    </font>
    <font>
      <b/>
      <u/>
      <sz val="11"/>
      <color theme="10"/>
      <name val="Calibri"/>
      <family val="2"/>
      <scheme val="minor"/>
    </font>
    <font>
      <b/>
      <sz val="24"/>
      <color theme="1"/>
      <name val="Calibri"/>
      <family val="2"/>
      <scheme val="minor"/>
    </font>
    <font>
      <b/>
      <sz val="20"/>
      <color theme="1"/>
      <name val="Calibri"/>
      <family val="2"/>
      <scheme val="minor"/>
    </font>
    <font>
      <sz val="11"/>
      <color rgb="FF000000"/>
      <name val="Calibri"/>
      <family val="2"/>
      <scheme val="minor"/>
    </font>
    <font>
      <sz val="11"/>
      <color theme="1"/>
      <name val="Calibri"/>
      <family val="2"/>
    </font>
  </fonts>
  <fills count="22">
    <fill>
      <patternFill patternType="none"/>
    </fill>
    <fill>
      <patternFill patternType="gray125"/>
    </fill>
    <fill>
      <patternFill patternType="solid">
        <fgColor theme="7" tint="0.39997558519241921"/>
        <bgColor indexed="64"/>
      </patternFill>
    </fill>
    <fill>
      <patternFill patternType="solid">
        <fgColor rgb="FF003366"/>
        <bgColor rgb="FF003366"/>
      </patternFill>
    </fill>
    <fill>
      <patternFill patternType="solid">
        <fgColor theme="7"/>
        <bgColor indexed="64"/>
      </patternFill>
    </fill>
    <fill>
      <patternFill patternType="solid">
        <fgColor theme="4"/>
        <bgColor indexed="64"/>
      </patternFill>
    </fill>
    <fill>
      <patternFill patternType="solid">
        <fgColor theme="9"/>
        <bgColor indexed="64"/>
      </patternFill>
    </fill>
    <fill>
      <patternFill patternType="solid">
        <fgColor rgb="FFC00000"/>
        <bgColor indexed="64"/>
      </patternFill>
    </fill>
    <fill>
      <patternFill patternType="solid">
        <fgColor theme="5"/>
        <bgColor indexed="64"/>
      </patternFill>
    </fill>
    <fill>
      <patternFill patternType="solid">
        <fgColor rgb="FFFFFFFF"/>
        <bgColor rgb="FFFFFFFF"/>
      </patternFill>
    </fill>
    <fill>
      <patternFill patternType="solid">
        <fgColor theme="0"/>
        <bgColor indexed="64"/>
      </patternFill>
    </fill>
    <fill>
      <patternFill patternType="solid">
        <fgColor theme="0" tint="-4.9989318521683403E-2"/>
        <bgColor indexed="64"/>
      </patternFill>
    </fill>
    <fill>
      <patternFill patternType="solid">
        <fgColor theme="9" tint="0.39997558519241921"/>
        <bgColor indexed="64"/>
      </patternFill>
    </fill>
    <fill>
      <patternFill patternType="solid">
        <fgColor theme="5" tint="0.79998168889431442"/>
        <bgColor indexed="64"/>
      </patternFill>
    </fill>
    <fill>
      <patternFill patternType="solid">
        <fgColor rgb="FFD9E1F2"/>
        <bgColor indexed="64"/>
      </patternFill>
    </fill>
    <fill>
      <patternFill patternType="solid">
        <fgColor rgb="FFFFC000"/>
        <bgColor indexed="64"/>
      </patternFill>
    </fill>
    <fill>
      <patternFill patternType="solid">
        <fgColor rgb="FFFFFFFF"/>
        <bgColor indexed="64"/>
      </patternFill>
    </fill>
    <fill>
      <patternFill patternType="solid">
        <fgColor rgb="FFFF0000"/>
        <bgColor indexed="64"/>
      </patternFill>
    </fill>
    <fill>
      <patternFill patternType="solid">
        <fgColor theme="2"/>
        <bgColor indexed="64"/>
      </patternFill>
    </fill>
    <fill>
      <patternFill patternType="solid">
        <fgColor theme="9" tint="-0.249977111117893"/>
        <bgColor indexed="64"/>
      </patternFill>
    </fill>
    <fill>
      <patternFill patternType="solid">
        <fgColor rgb="FFF3F3F3"/>
        <bgColor indexed="64"/>
      </patternFill>
    </fill>
    <fill>
      <patternFill patternType="solid">
        <fgColor rgb="FFF2F2F2"/>
        <bgColor rgb="FF000000"/>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theme="1"/>
      </left>
      <right style="medium">
        <color theme="1"/>
      </right>
      <top style="medium">
        <color theme="1"/>
      </top>
      <bottom style="medium">
        <color theme="1"/>
      </bottom>
      <diagonal/>
    </border>
    <border>
      <left/>
      <right/>
      <top/>
      <bottom style="medium">
        <color indexed="64"/>
      </bottom>
      <diagonal/>
    </border>
    <border>
      <left/>
      <right/>
      <top/>
      <bottom style="medium">
        <color theme="1"/>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rgb="FF000000"/>
      </left>
      <right style="medium">
        <color rgb="FF000000"/>
      </right>
      <top/>
      <bottom style="medium">
        <color rgb="FF000000"/>
      </bottom>
      <diagonal/>
    </border>
    <border>
      <left/>
      <right/>
      <top/>
      <bottom style="medium">
        <color rgb="FF00000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rgb="FF000000"/>
      </left>
      <right style="medium">
        <color rgb="FF000000"/>
      </right>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indexed="64"/>
      </top>
      <bottom/>
      <diagonal/>
    </border>
    <border>
      <left style="thin">
        <color indexed="64"/>
      </left>
      <right style="thin">
        <color indexed="64"/>
      </right>
      <top/>
      <bottom style="thin">
        <color indexed="64"/>
      </bottom>
      <diagonal/>
    </border>
    <border>
      <left/>
      <right/>
      <top/>
      <bottom style="thin">
        <color indexed="64"/>
      </bottom>
      <diagonal/>
    </border>
    <border>
      <left/>
      <right style="medium">
        <color rgb="FF000000"/>
      </right>
      <top/>
      <bottom style="medium">
        <color rgb="FF000000"/>
      </bottom>
      <diagonal/>
    </border>
  </borders>
  <cellStyleXfs count="9">
    <xf numFmtId="0" fontId="0" fillId="0" borderId="0"/>
    <xf numFmtId="44" fontId="1" fillId="0" borderId="0" applyFont="0" applyFill="0" applyBorder="0" applyAlignment="0" applyProtection="0"/>
    <xf numFmtId="0" fontId="5" fillId="0" borderId="0"/>
    <xf numFmtId="0" fontId="22" fillId="0" borderId="0" applyNumberForma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149">
    <xf numFmtId="0" fontId="0" fillId="0" borderId="0" xfId="0"/>
    <xf numFmtId="0" fontId="3" fillId="0" borderId="0" xfId="0" applyFont="1"/>
    <xf numFmtId="0" fontId="0" fillId="0" borderId="0" xfId="0" applyAlignment="1">
      <alignment horizontal="center"/>
    </xf>
    <xf numFmtId="0" fontId="3" fillId="2" borderId="0" xfId="0" applyFont="1" applyFill="1" applyAlignment="1">
      <alignment horizontal="center"/>
    </xf>
    <xf numFmtId="0" fontId="0" fillId="2" borderId="0" xfId="0" applyFill="1" applyAlignment="1">
      <alignment horizontal="center"/>
    </xf>
    <xf numFmtId="0" fontId="4" fillId="3" borderId="0" xfId="0" applyFont="1" applyFill="1" applyAlignment="1">
      <alignment horizontal="center" vertical="center" wrapText="1"/>
    </xf>
    <xf numFmtId="0" fontId="0" fillId="0" borderId="0" xfId="0" applyAlignment="1">
      <alignment horizontal="center" vertical="center" wrapText="1"/>
    </xf>
    <xf numFmtId="0" fontId="2" fillId="5" borderId="0" xfId="0" applyFont="1" applyFill="1" applyAlignment="1">
      <alignment horizontal="center" vertical="center" wrapText="1"/>
    </xf>
    <xf numFmtId="0" fontId="6" fillId="0" borderId="0" xfId="2" applyFont="1" applyAlignment="1">
      <alignment horizontal="center"/>
    </xf>
    <xf numFmtId="0" fontId="6" fillId="0" borderId="0" xfId="2" applyFont="1" applyAlignment="1">
      <alignment horizontal="left"/>
    </xf>
    <xf numFmtId="0" fontId="0" fillId="10" borderId="0" xfId="0" applyFill="1" applyAlignment="1">
      <alignment horizontal="center"/>
    </xf>
    <xf numFmtId="0" fontId="2" fillId="4" borderId="0" xfId="0" applyFont="1" applyFill="1" applyAlignment="1">
      <alignment horizontal="center" vertical="center" wrapText="1"/>
    </xf>
    <xf numFmtId="0" fontId="2" fillId="6" borderId="0" xfId="0" applyFont="1" applyFill="1" applyAlignment="1">
      <alignment horizontal="center" vertical="center" wrapText="1"/>
    </xf>
    <xf numFmtId="0" fontId="2" fillId="7" borderId="0" xfId="0" applyFont="1" applyFill="1" applyAlignment="1">
      <alignment horizontal="center" vertical="center" wrapText="1"/>
    </xf>
    <xf numFmtId="0" fontId="2" fillId="8" borderId="0" xfId="0" applyFont="1" applyFill="1" applyAlignment="1">
      <alignment horizontal="center" vertical="center" wrapText="1"/>
    </xf>
    <xf numFmtId="0" fontId="2" fillId="0" borderId="0" xfId="0" applyFont="1" applyAlignment="1">
      <alignment horizontal="center" vertical="center" wrapText="1"/>
    </xf>
    <xf numFmtId="0" fontId="11" fillId="8" borderId="0" xfId="0" applyFont="1" applyFill="1"/>
    <xf numFmtId="0" fontId="11" fillId="10" borderId="0" xfId="0" applyFont="1" applyFill="1"/>
    <xf numFmtId="0" fontId="12" fillId="9" borderId="0" xfId="0" applyFont="1" applyFill="1" applyAlignment="1">
      <alignment horizontal="left" vertical="top"/>
    </xf>
    <xf numFmtId="0" fontId="11" fillId="0" borderId="0" xfId="0" applyFont="1"/>
    <xf numFmtId="0" fontId="13" fillId="2" borderId="0" xfId="0" applyFont="1" applyFill="1"/>
    <xf numFmtId="0" fontId="0" fillId="11" borderId="0" xfId="0" applyFill="1" applyAlignment="1">
      <alignment horizontal="center" vertical="center" wrapText="1"/>
    </xf>
    <xf numFmtId="0" fontId="0" fillId="11" borderId="1" xfId="0" applyFill="1" applyBorder="1" applyAlignment="1">
      <alignment horizontal="center" vertical="center" wrapText="1"/>
    </xf>
    <xf numFmtId="164" fontId="0" fillId="11" borderId="1" xfId="1" applyNumberFormat="1" applyFont="1" applyFill="1" applyBorder="1" applyAlignment="1">
      <alignment horizontal="center" vertical="center" wrapText="1"/>
    </xf>
    <xf numFmtId="0" fontId="0" fillId="11" borderId="2" xfId="0" applyFill="1" applyBorder="1" applyAlignment="1">
      <alignment horizontal="center" vertical="center" wrapText="1"/>
    </xf>
    <xf numFmtId="44" fontId="0" fillId="11" borderId="1" xfId="1" applyFont="1" applyFill="1" applyBorder="1" applyAlignment="1">
      <alignment horizontal="center" vertical="center" wrapText="1"/>
    </xf>
    <xf numFmtId="0" fontId="0" fillId="12" borderId="1" xfId="0" applyFill="1" applyBorder="1" applyAlignment="1">
      <alignment horizontal="center" vertical="center" wrapText="1"/>
    </xf>
    <xf numFmtId="44" fontId="0" fillId="12" borderId="1" xfId="1" applyFont="1" applyFill="1" applyBorder="1" applyAlignment="1">
      <alignment horizontal="center" vertical="center" wrapText="1"/>
    </xf>
    <xf numFmtId="0" fontId="0" fillId="12" borderId="2" xfId="0" applyFill="1" applyBorder="1" applyAlignment="1">
      <alignment horizontal="center" vertical="center" wrapText="1"/>
    </xf>
    <xf numFmtId="164" fontId="0" fillId="12" borderId="1" xfId="1" applyNumberFormat="1" applyFont="1" applyFill="1" applyBorder="1" applyAlignment="1">
      <alignment horizontal="center" vertical="center" wrapText="1"/>
    </xf>
    <xf numFmtId="0" fontId="0" fillId="13" borderId="1" xfId="0" applyFill="1" applyBorder="1" applyAlignment="1">
      <alignment horizontal="center" vertical="center" wrapText="1"/>
    </xf>
    <xf numFmtId="44" fontId="0" fillId="13" borderId="1" xfId="1" applyFont="1" applyFill="1" applyBorder="1" applyAlignment="1">
      <alignment horizontal="center" vertical="center" wrapText="1"/>
    </xf>
    <xf numFmtId="0" fontId="0" fillId="13" borderId="2" xfId="0" applyFill="1" applyBorder="1" applyAlignment="1">
      <alignment horizontal="center" vertical="center" wrapText="1"/>
    </xf>
    <xf numFmtId="164" fontId="0" fillId="13" borderId="1" xfId="1" applyNumberFormat="1" applyFont="1" applyFill="1" applyBorder="1" applyAlignment="1">
      <alignment horizontal="center" vertical="center" wrapText="1"/>
    </xf>
    <xf numFmtId="0" fontId="17" fillId="13" borderId="1" xfId="0" applyFont="1" applyFill="1" applyBorder="1" applyAlignment="1">
      <alignment horizontal="center" vertical="center" wrapText="1"/>
    </xf>
    <xf numFmtId="0" fontId="16" fillId="7" borderId="0" xfId="0" applyFont="1" applyFill="1" applyAlignment="1">
      <alignment horizontal="center" vertical="center" wrapText="1"/>
    </xf>
    <xf numFmtId="44" fontId="17" fillId="13" borderId="1" xfId="1" applyFont="1" applyFill="1" applyBorder="1" applyAlignment="1">
      <alignment horizontal="center" vertical="center" wrapText="1"/>
    </xf>
    <xf numFmtId="0" fontId="17" fillId="13" borderId="2" xfId="0" applyFont="1" applyFill="1" applyBorder="1" applyAlignment="1">
      <alignment horizontal="center" vertical="center" wrapText="1"/>
    </xf>
    <xf numFmtId="164" fontId="17" fillId="13" borderId="1" xfId="1" applyNumberFormat="1" applyFont="1" applyFill="1" applyBorder="1" applyAlignment="1">
      <alignment horizontal="center" vertical="center" wrapText="1"/>
    </xf>
    <xf numFmtId="0" fontId="17" fillId="11" borderId="0" xfId="0" applyFont="1" applyFill="1" applyAlignment="1">
      <alignment horizontal="center" vertical="center" wrapText="1"/>
    </xf>
    <xf numFmtId="0" fontId="14" fillId="6" borderId="0" xfId="0" applyFont="1" applyFill="1"/>
    <xf numFmtId="0" fontId="13" fillId="6" borderId="0" xfId="0" applyFont="1" applyFill="1"/>
    <xf numFmtId="0" fontId="0" fillId="10" borderId="1" xfId="0" applyFill="1" applyBorder="1" applyAlignment="1">
      <alignment horizontal="center" vertical="center" wrapText="1"/>
    </xf>
    <xf numFmtId="0" fontId="17" fillId="10" borderId="1" xfId="0" applyFont="1" applyFill="1" applyBorder="1" applyAlignment="1">
      <alignment horizontal="center" vertical="center" wrapText="1"/>
    </xf>
    <xf numFmtId="0" fontId="0" fillId="10" borderId="0" xfId="0" applyFill="1" applyAlignment="1">
      <alignment horizontal="center" vertical="center" wrapText="1"/>
    </xf>
    <xf numFmtId="0" fontId="24" fillId="14" borderId="0" xfId="3" applyFont="1" applyFill="1" applyAlignment="1">
      <alignment horizontal="center" vertical="center" wrapText="1"/>
    </xf>
    <xf numFmtId="0" fontId="0" fillId="14" borderId="0" xfId="0" applyFill="1"/>
    <xf numFmtId="0" fontId="20" fillId="14" borderId="0" xfId="0" applyFont="1" applyFill="1"/>
    <xf numFmtId="0" fontId="23" fillId="14" borderId="3" xfId="3" applyFont="1" applyFill="1" applyBorder="1" applyAlignment="1">
      <alignment horizontal="center"/>
    </xf>
    <xf numFmtId="0" fontId="21" fillId="14" borderId="0" xfId="0" applyFont="1" applyFill="1" applyAlignment="1">
      <alignment horizontal="center"/>
    </xf>
    <xf numFmtId="0" fontId="25" fillId="14" borderId="5" xfId="3" applyFont="1" applyFill="1" applyBorder="1" applyAlignment="1">
      <alignment horizontal="center"/>
    </xf>
    <xf numFmtId="0" fontId="19" fillId="10" borderId="0" xfId="0" applyFont="1" applyFill="1" applyAlignment="1">
      <alignment horizontal="center" vertical="center" wrapText="1"/>
    </xf>
    <xf numFmtId="0" fontId="0" fillId="11" borderId="1" xfId="0" applyFill="1" applyBorder="1" applyAlignment="1" applyProtection="1">
      <alignment horizontal="center" vertical="center" wrapText="1"/>
      <protection locked="0"/>
    </xf>
    <xf numFmtId="0" fontId="0" fillId="11" borderId="2" xfId="0" applyFill="1" applyBorder="1" applyAlignment="1" applyProtection="1">
      <alignment horizontal="center" vertical="center" wrapText="1"/>
      <protection locked="0"/>
    </xf>
    <xf numFmtId="0" fontId="0" fillId="0" borderId="0" xfId="0" applyAlignment="1" applyProtection="1">
      <alignment horizontal="center" vertical="center" wrapText="1"/>
      <protection locked="0"/>
    </xf>
    <xf numFmtId="0" fontId="0" fillId="11" borderId="0" xfId="0" applyFill="1" applyAlignment="1" applyProtection="1">
      <alignment horizontal="center" vertical="center" wrapText="1"/>
      <protection locked="0"/>
    </xf>
    <xf numFmtId="0" fontId="0" fillId="10" borderId="0" xfId="0" applyFill="1" applyAlignment="1" applyProtection="1">
      <alignment horizontal="center" vertical="center" wrapText="1"/>
      <protection locked="0"/>
    </xf>
    <xf numFmtId="0" fontId="24" fillId="14" borderId="0" xfId="3" applyFont="1" applyFill="1" applyAlignment="1" applyProtection="1">
      <alignment horizontal="center" vertical="center" wrapText="1"/>
      <protection locked="0"/>
    </xf>
    <xf numFmtId="164" fontId="0" fillId="11" borderId="1" xfId="1" applyNumberFormat="1" applyFont="1" applyFill="1" applyBorder="1" applyAlignment="1" applyProtection="1">
      <alignment horizontal="center" vertical="center" wrapText="1"/>
    </xf>
    <xf numFmtId="0" fontId="13" fillId="15" borderId="0" xfId="0" applyFont="1" applyFill="1"/>
    <xf numFmtId="0" fontId="14" fillId="15" borderId="0" xfId="0" applyFont="1" applyFill="1"/>
    <xf numFmtId="0" fontId="2" fillId="0" borderId="0" xfId="0" applyFont="1" applyAlignment="1">
      <alignment horizontal="right"/>
    </xf>
    <xf numFmtId="0" fontId="0" fillId="0" borderId="0" xfId="0" applyAlignment="1">
      <alignment vertical="top" wrapText="1"/>
    </xf>
    <xf numFmtId="0" fontId="27" fillId="16" borderId="10" xfId="0" applyFont="1" applyFill="1" applyBorder="1" applyAlignment="1">
      <alignment horizontal="right" vertical="center" wrapText="1"/>
    </xf>
    <xf numFmtId="0" fontId="27" fillId="16" borderId="11" xfId="0" applyFont="1" applyFill="1" applyBorder="1" applyAlignment="1">
      <alignment horizontal="right" vertical="center" wrapText="1"/>
    </xf>
    <xf numFmtId="0" fontId="27" fillId="16" borderId="12" xfId="0" applyFont="1" applyFill="1" applyBorder="1" applyAlignment="1">
      <alignment horizontal="left" vertical="center" wrapText="1"/>
    </xf>
    <xf numFmtId="0" fontId="27" fillId="16" borderId="24" xfId="0" applyFont="1" applyFill="1" applyBorder="1" applyAlignment="1">
      <alignment horizontal="right" vertical="center" wrapText="1"/>
    </xf>
    <xf numFmtId="0" fontId="27" fillId="16" borderId="25" xfId="0" applyFont="1" applyFill="1" applyBorder="1" applyAlignment="1">
      <alignment horizontal="right" vertical="center" wrapText="1"/>
    </xf>
    <xf numFmtId="0" fontId="27" fillId="16" borderId="25" xfId="0" applyFont="1" applyFill="1" applyBorder="1" applyAlignment="1">
      <alignment horizontal="left" vertical="center" wrapText="1"/>
    </xf>
    <xf numFmtId="165" fontId="27" fillId="16" borderId="24" xfId="4" applyNumberFormat="1" applyFont="1" applyFill="1" applyBorder="1" applyAlignment="1">
      <alignment horizontal="right" vertical="center" wrapText="1"/>
    </xf>
    <xf numFmtId="165" fontId="27" fillId="16" borderId="25" xfId="4" applyNumberFormat="1" applyFont="1" applyFill="1" applyBorder="1" applyAlignment="1">
      <alignment horizontal="right" vertical="center" wrapText="1"/>
    </xf>
    <xf numFmtId="0" fontId="27" fillId="16" borderId="25" xfId="0" applyFont="1" applyFill="1" applyBorder="1" applyAlignment="1">
      <alignment horizontal="left" vertical="top" wrapText="1"/>
    </xf>
    <xf numFmtId="0" fontId="27" fillId="16" borderId="26" xfId="0" applyFont="1" applyFill="1" applyBorder="1" applyAlignment="1">
      <alignment horizontal="right" vertical="center" wrapText="1"/>
    </xf>
    <xf numFmtId="0" fontId="27" fillId="16" borderId="26" xfId="0" applyFont="1" applyFill="1" applyBorder="1" applyAlignment="1">
      <alignment horizontal="left" vertical="center" wrapText="1"/>
    </xf>
    <xf numFmtId="165" fontId="27" fillId="16" borderId="10" xfId="4" applyNumberFormat="1" applyFont="1" applyFill="1" applyBorder="1" applyAlignment="1">
      <alignment horizontal="right" vertical="center" wrapText="1"/>
    </xf>
    <xf numFmtId="165" fontId="27" fillId="16" borderId="26" xfId="4" applyNumberFormat="1" applyFont="1" applyFill="1" applyBorder="1" applyAlignment="1">
      <alignment horizontal="right" vertical="center" wrapText="1"/>
    </xf>
    <xf numFmtId="0" fontId="27" fillId="16" borderId="26" xfId="0" applyFont="1" applyFill="1" applyBorder="1" applyAlignment="1">
      <alignment horizontal="left" vertical="top" wrapText="1"/>
    </xf>
    <xf numFmtId="0" fontId="28" fillId="16" borderId="10" xfId="0" applyFont="1" applyFill="1" applyBorder="1" applyAlignment="1">
      <alignment horizontal="center" vertical="center" wrapText="1"/>
    </xf>
    <xf numFmtId="0" fontId="28" fillId="16" borderId="26" xfId="0" applyFont="1" applyFill="1" applyBorder="1" applyAlignment="1">
      <alignment horizontal="center" vertical="center" wrapText="1"/>
    </xf>
    <xf numFmtId="0" fontId="26" fillId="0" borderId="0" xfId="0" applyFont="1" applyAlignment="1">
      <alignment vertical="center" wrapText="1"/>
    </xf>
    <xf numFmtId="0" fontId="2" fillId="6" borderId="1" xfId="0" applyFont="1" applyFill="1" applyBorder="1" applyAlignment="1">
      <alignment horizontal="center" vertical="center" wrapText="1"/>
    </xf>
    <xf numFmtId="0" fontId="2" fillId="4" borderId="1" xfId="0" applyFont="1" applyFill="1" applyBorder="1" applyAlignment="1" applyProtection="1">
      <alignment horizontal="center" vertical="center" wrapText="1"/>
      <protection locked="0"/>
    </xf>
    <xf numFmtId="0" fontId="2" fillId="5" borderId="1" xfId="0" applyFont="1" applyFill="1" applyBorder="1" applyAlignment="1" applyProtection="1">
      <alignment horizontal="center" vertical="center" wrapText="1"/>
      <protection locked="0"/>
    </xf>
    <xf numFmtId="0" fontId="2" fillId="6" borderId="1" xfId="0" applyFont="1" applyFill="1" applyBorder="1" applyAlignment="1" applyProtection="1">
      <alignment horizontal="center" vertical="center" wrapText="1"/>
      <protection locked="0"/>
    </xf>
    <xf numFmtId="0" fontId="2" fillId="7" borderId="1" xfId="0" applyFont="1" applyFill="1" applyBorder="1" applyAlignment="1" applyProtection="1">
      <alignment horizontal="center" vertical="center" wrapText="1"/>
      <protection locked="0"/>
    </xf>
    <xf numFmtId="0" fontId="2" fillId="8" borderId="1" xfId="0" applyFont="1" applyFill="1" applyBorder="1" applyAlignment="1" applyProtection="1">
      <alignment horizontal="center" vertical="center" wrapText="1"/>
      <protection locked="0"/>
    </xf>
    <xf numFmtId="0" fontId="0" fillId="11" borderId="30" xfId="0" applyFill="1" applyBorder="1" applyAlignment="1" applyProtection="1">
      <alignment horizontal="center" vertical="center" wrapText="1"/>
      <protection locked="0"/>
    </xf>
    <xf numFmtId="2" fontId="0" fillId="11" borderId="1" xfId="0" applyNumberFormat="1" applyFill="1" applyBorder="1" applyAlignment="1" applyProtection="1">
      <alignment horizontal="center" vertical="center" wrapText="1"/>
      <protection locked="0"/>
    </xf>
    <xf numFmtId="166" fontId="0" fillId="0" borderId="0" xfId="0" applyNumberFormat="1" applyAlignment="1" applyProtection="1">
      <alignment horizontal="center" vertical="center" wrapText="1"/>
      <protection locked="0"/>
    </xf>
    <xf numFmtId="0" fontId="13" fillId="17" borderId="0" xfId="0" applyFont="1" applyFill="1"/>
    <xf numFmtId="0" fontId="30" fillId="10" borderId="0" xfId="0" applyFont="1" applyFill="1" applyAlignment="1" applyProtection="1">
      <alignment horizontal="center" vertical="center" wrapText="1"/>
      <protection locked="0"/>
    </xf>
    <xf numFmtId="0" fontId="0" fillId="0" borderId="1" xfId="0" applyBorder="1" applyAlignment="1" applyProtection="1">
      <alignment horizontal="center" vertical="center" wrapText="1"/>
      <protection locked="0"/>
    </xf>
    <xf numFmtId="0" fontId="0" fillId="0" borderId="1" xfId="0" applyBorder="1" applyAlignment="1">
      <alignment horizontal="center" vertical="center" wrapText="1"/>
    </xf>
    <xf numFmtId="44" fontId="0" fillId="0" borderId="1" xfId="1" applyFont="1" applyFill="1" applyBorder="1" applyAlignment="1">
      <alignment horizontal="center" vertical="center" wrapText="1"/>
    </xf>
    <xf numFmtId="0" fontId="0" fillId="0" borderId="2" xfId="0" applyBorder="1" applyAlignment="1">
      <alignment horizontal="center" vertical="center" wrapText="1"/>
    </xf>
    <xf numFmtId="164" fontId="0" fillId="18" borderId="1" xfId="1" applyNumberFormat="1" applyFont="1" applyFill="1" applyBorder="1" applyAlignment="1">
      <alignment horizontal="center" vertical="center" wrapText="1"/>
    </xf>
    <xf numFmtId="0" fontId="2" fillId="0" borderId="0" xfId="0" applyFont="1"/>
    <xf numFmtId="0" fontId="2" fillId="5"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19" borderId="1" xfId="0" applyFont="1" applyFill="1" applyBorder="1" applyAlignment="1">
      <alignment horizontal="center" vertical="center" wrapText="1"/>
    </xf>
    <xf numFmtId="0" fontId="25" fillId="10" borderId="31" xfId="0" applyFont="1" applyFill="1" applyBorder="1" applyAlignment="1" applyProtection="1">
      <alignment horizontal="center" vertical="center" wrapText="1"/>
      <protection locked="0"/>
    </xf>
    <xf numFmtId="0" fontId="32" fillId="0" borderId="0" xfId="0" applyFont="1"/>
    <xf numFmtId="0" fontId="33" fillId="20" borderId="32" xfId="0" applyFont="1" applyFill="1" applyBorder="1" applyAlignment="1">
      <alignment vertical="center" wrapText="1"/>
    </xf>
    <xf numFmtId="0" fontId="33" fillId="20" borderId="32" xfId="0" applyFont="1" applyFill="1" applyBorder="1" applyAlignment="1">
      <alignment horizontal="center" vertical="center" wrapText="1"/>
    </xf>
    <xf numFmtId="0" fontId="33" fillId="20" borderId="10" xfId="0" applyFont="1" applyFill="1" applyBorder="1" applyAlignment="1">
      <alignment horizontal="center" vertical="center" wrapText="1"/>
    </xf>
    <xf numFmtId="0" fontId="32" fillId="21" borderId="1" xfId="0" applyFont="1" applyFill="1" applyBorder="1" applyAlignment="1" applyProtection="1">
      <alignment horizontal="center" vertical="center" wrapText="1"/>
      <protection locked="0"/>
    </xf>
    <xf numFmtId="0" fontId="25" fillId="10" borderId="0" xfId="0" applyFont="1" applyFill="1" applyAlignment="1" applyProtection="1">
      <alignment horizontal="center" vertical="center" wrapText="1"/>
      <protection locked="0"/>
    </xf>
    <xf numFmtId="0" fontId="31" fillId="10" borderId="31" xfId="0" applyFont="1" applyFill="1" applyBorder="1" applyAlignment="1" applyProtection="1">
      <alignment horizontal="center" vertical="center" wrapText="1"/>
      <protection locked="0"/>
    </xf>
    <xf numFmtId="0" fontId="2" fillId="0" borderId="2" xfId="0" applyFont="1" applyBorder="1" applyAlignment="1">
      <alignment horizontal="left" vertical="top" wrapText="1"/>
    </xf>
    <xf numFmtId="0" fontId="0" fillId="0" borderId="6" xfId="0" applyBorder="1" applyAlignment="1">
      <alignment horizontal="left" vertical="top" wrapText="1"/>
    </xf>
    <xf numFmtId="0" fontId="0" fillId="0" borderId="2" xfId="0" applyBorder="1" applyAlignment="1">
      <alignment horizontal="left" vertical="top" wrapText="1"/>
    </xf>
    <xf numFmtId="0" fontId="0" fillId="0" borderId="2" xfId="0" applyBorder="1" applyAlignment="1">
      <alignment horizontal="left" vertical="center" wrapText="1"/>
    </xf>
    <xf numFmtId="0" fontId="0" fillId="0" borderId="7"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top" wrapText="1"/>
    </xf>
    <xf numFmtId="0" fontId="19" fillId="10" borderId="0" xfId="0" applyFont="1" applyFill="1" applyAlignment="1">
      <alignment horizontal="center" vertical="center" wrapText="1"/>
    </xf>
    <xf numFmtId="0" fontId="26" fillId="0" borderId="0" xfId="0" applyFont="1" applyAlignment="1">
      <alignment horizontal="center" vertical="center" wrapText="1"/>
    </xf>
    <xf numFmtId="0" fontId="2" fillId="0" borderId="9" xfId="0" applyFont="1" applyBorder="1" applyAlignment="1">
      <alignment horizontal="center"/>
    </xf>
    <xf numFmtId="0" fontId="2" fillId="0" borderId="4" xfId="0" applyFont="1" applyBorder="1" applyAlignment="1">
      <alignment horizontal="center"/>
    </xf>
    <xf numFmtId="0" fontId="2" fillId="0" borderId="8" xfId="0" applyFont="1" applyBorder="1" applyAlignment="1">
      <alignment horizontal="center"/>
    </xf>
    <xf numFmtId="0" fontId="0" fillId="0" borderId="15" xfId="0" applyBorder="1" applyAlignment="1">
      <alignment horizontal="left" vertical="top" wrapText="1"/>
    </xf>
    <xf numFmtId="0" fontId="0" fillId="0" borderId="14" xfId="0" applyBorder="1" applyAlignment="1">
      <alignment horizontal="left" vertical="top" wrapText="1"/>
    </xf>
    <xf numFmtId="0" fontId="0" fillId="0" borderId="13" xfId="0" applyBorder="1" applyAlignment="1">
      <alignment horizontal="left" vertical="top" wrapText="1"/>
    </xf>
    <xf numFmtId="0" fontId="0" fillId="0" borderId="21" xfId="0" applyBorder="1" applyAlignment="1">
      <alignment horizontal="left" vertical="top" wrapText="1"/>
    </xf>
    <xf numFmtId="0" fontId="0" fillId="0" borderId="0" xfId="0" applyAlignment="1">
      <alignment horizontal="left" vertical="top" wrapText="1"/>
    </xf>
    <xf numFmtId="0" fontId="0" fillId="0" borderId="22" xfId="0" applyBorder="1" applyAlignment="1">
      <alignment horizontal="left" vertical="top" wrapText="1"/>
    </xf>
    <xf numFmtId="0" fontId="0" fillId="0" borderId="9" xfId="0" applyBorder="1" applyAlignment="1">
      <alignment horizontal="left" vertical="top" wrapText="1"/>
    </xf>
    <xf numFmtId="0" fontId="0" fillId="0" borderId="4" xfId="0" applyBorder="1" applyAlignment="1">
      <alignment horizontal="left" vertical="top" wrapText="1"/>
    </xf>
    <xf numFmtId="0" fontId="0" fillId="0" borderId="8" xfId="0" applyBorder="1" applyAlignment="1">
      <alignment horizontal="left" vertical="top" wrapText="1"/>
    </xf>
    <xf numFmtId="0" fontId="0" fillId="0" borderId="19" xfId="0" applyBorder="1" applyAlignment="1">
      <alignment horizontal="left" vertical="top" wrapText="1"/>
    </xf>
    <xf numFmtId="0" fontId="0" fillId="0" borderId="18" xfId="0" applyBorder="1" applyAlignment="1">
      <alignment horizontal="left" vertical="top" wrapText="1"/>
    </xf>
    <xf numFmtId="0" fontId="0" fillId="0" borderId="17" xfId="0" applyBorder="1" applyAlignment="1">
      <alignment horizontal="left" vertical="top" wrapText="1"/>
    </xf>
    <xf numFmtId="0" fontId="2" fillId="0" borderId="15" xfId="0" applyFont="1" applyBorder="1" applyAlignment="1">
      <alignment horizontal="center" wrapText="1"/>
    </xf>
    <xf numFmtId="0" fontId="2" fillId="0" borderId="14" xfId="0" applyFont="1" applyBorder="1" applyAlignment="1">
      <alignment horizontal="center"/>
    </xf>
    <xf numFmtId="0" fontId="2" fillId="0" borderId="13" xfId="0" applyFont="1" applyBorder="1" applyAlignment="1">
      <alignment horizontal="center"/>
    </xf>
    <xf numFmtId="0" fontId="29" fillId="14" borderId="0" xfId="3" applyFont="1" applyFill="1" applyAlignment="1">
      <alignment horizontal="center" vertical="center" wrapText="1"/>
    </xf>
    <xf numFmtId="0" fontId="29" fillId="14" borderId="4" xfId="3" applyFont="1" applyFill="1" applyBorder="1" applyAlignment="1">
      <alignment horizontal="center" vertical="center" wrapText="1"/>
    </xf>
    <xf numFmtId="0" fontId="28" fillId="16" borderId="29" xfId="0" applyFont="1" applyFill="1" applyBorder="1" applyAlignment="1">
      <alignment horizontal="center" vertical="center" wrapText="1"/>
    </xf>
    <xf numFmtId="0" fontId="28" fillId="16" borderId="10" xfId="0" applyFont="1" applyFill="1" applyBorder="1" applyAlignment="1">
      <alignment horizontal="center" vertical="center" wrapText="1"/>
    </xf>
    <xf numFmtId="0" fontId="28" fillId="16" borderId="28" xfId="0" applyFont="1" applyFill="1" applyBorder="1" applyAlignment="1">
      <alignment horizontal="center" vertical="center" wrapText="1"/>
    </xf>
    <xf numFmtId="0" fontId="28" fillId="16" borderId="27" xfId="0" applyFont="1" applyFill="1" applyBorder="1" applyAlignment="1">
      <alignment horizontal="center" vertical="center" wrapText="1"/>
    </xf>
    <xf numFmtId="0" fontId="22" fillId="0" borderId="0" xfId="3" applyAlignment="1">
      <alignment horizontal="left"/>
    </xf>
    <xf numFmtId="0" fontId="27" fillId="16" borderId="15" xfId="0" applyFont="1" applyFill="1" applyBorder="1" applyAlignment="1">
      <alignment horizontal="left" vertical="top" wrapText="1"/>
    </xf>
    <xf numFmtId="0" fontId="27" fillId="16" borderId="21" xfId="0" applyFont="1" applyFill="1" applyBorder="1" applyAlignment="1">
      <alignment horizontal="left" vertical="top" wrapText="1"/>
    </xf>
    <xf numFmtId="0" fontId="27" fillId="16" borderId="9" xfId="0" applyFont="1" applyFill="1" applyBorder="1" applyAlignment="1">
      <alignment horizontal="left" vertical="top" wrapText="1"/>
    </xf>
    <xf numFmtId="0" fontId="27" fillId="16" borderId="23" xfId="0" applyFont="1" applyFill="1" applyBorder="1" applyAlignment="1">
      <alignment horizontal="right" vertical="center" wrapText="1"/>
    </xf>
    <xf numFmtId="0" fontId="27" fillId="16" borderId="20" xfId="0" applyFont="1" applyFill="1" applyBorder="1" applyAlignment="1">
      <alignment horizontal="right" vertical="center" wrapText="1"/>
    </xf>
    <xf numFmtId="0" fontId="27" fillId="16" borderId="16" xfId="0" applyFont="1" applyFill="1" applyBorder="1" applyAlignment="1">
      <alignment horizontal="right" vertical="center" wrapText="1"/>
    </xf>
  </cellXfs>
  <cellStyles count="9">
    <cellStyle name="Hiperlink" xfId="3" builtinId="8"/>
    <cellStyle name="Moeda" xfId="1" builtinId="4"/>
    <cellStyle name="Moeda 2" xfId="6"/>
    <cellStyle name="Normal" xfId="0" builtinId="0"/>
    <cellStyle name="Normal 2" xfId="2"/>
    <cellStyle name="Vírgula" xfId="4" builtinId="3"/>
    <cellStyle name="Vírgula 2" xfId="5"/>
    <cellStyle name="Vírgula 2 2" xfId="8"/>
    <cellStyle name="Vírgula 3" xfId="7"/>
  </cellStyles>
  <dxfs count="0"/>
  <tableStyles count="0" defaultTableStyle="TableStyleMedium2" defaultPivotStyle="PivotStyleLight16"/>
  <colors>
    <mruColors>
      <color rgb="FFD9E1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3</xdr:col>
      <xdr:colOff>523875</xdr:colOff>
      <xdr:row>0</xdr:row>
      <xdr:rowOff>38100</xdr:rowOff>
    </xdr:from>
    <xdr:to>
      <xdr:col>3</xdr:col>
      <xdr:colOff>3533301</xdr:colOff>
      <xdr:row>5</xdr:row>
      <xdr:rowOff>61017</xdr:rowOff>
    </xdr:to>
    <xdr:pic>
      <xdr:nvPicPr>
        <xdr:cNvPr id="2" name="Imagem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4791075" y="38100"/>
          <a:ext cx="3009426" cy="9754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116034</xdr:colOff>
      <xdr:row>0</xdr:row>
      <xdr:rowOff>34636</xdr:rowOff>
    </xdr:from>
    <xdr:to>
      <xdr:col>5</xdr:col>
      <xdr:colOff>753343</xdr:colOff>
      <xdr:row>0</xdr:row>
      <xdr:rowOff>762845</xdr:rowOff>
    </xdr:to>
    <xdr:pic>
      <xdr:nvPicPr>
        <xdr:cNvPr id="2" name="Imagem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116034" y="34636"/>
          <a:ext cx="5347854" cy="72820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1</xdr:col>
      <xdr:colOff>1</xdr:colOff>
      <xdr:row>0</xdr:row>
      <xdr:rowOff>1</xdr:rowOff>
    </xdr:from>
    <xdr:ext cx="5191124" cy="706868"/>
    <xdr:pic>
      <xdr:nvPicPr>
        <xdr:cNvPr id="2" name="Imagem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609601" y="1"/>
          <a:ext cx="5191124" cy="706868"/>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15239</xdr:rowOff>
    </xdr:from>
    <xdr:to>
      <xdr:col>3</xdr:col>
      <xdr:colOff>1659412</xdr:colOff>
      <xdr:row>1</xdr:row>
      <xdr:rowOff>190500</xdr:rowOff>
    </xdr:to>
    <xdr:pic>
      <xdr:nvPicPr>
        <xdr:cNvPr id="2" name="Imagem 1">
          <a:extLst>
            <a:ext uri="{FF2B5EF4-FFF2-40B4-BE49-F238E27FC236}">
              <a16:creationId xmlns:a16="http://schemas.microsoft.com/office/drawing/2014/main" id="{33146FB8-2F74-495D-9871-970F1F07C828}"/>
            </a:ext>
          </a:extLst>
        </xdr:cNvPr>
        <xdr:cNvPicPr>
          <a:picLocks noChangeAspect="1"/>
        </xdr:cNvPicPr>
      </xdr:nvPicPr>
      <xdr:blipFill>
        <a:blip xmlns:r="http://schemas.openxmlformats.org/officeDocument/2006/relationships" r:embed="rId1"/>
        <a:stretch>
          <a:fillRect/>
        </a:stretch>
      </xdr:blipFill>
      <xdr:spPr>
        <a:xfrm>
          <a:off x="0" y="15239"/>
          <a:ext cx="5482536" cy="74676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www.planejamento.mg.gov.br/pagina/planejamento-e-orcamento/lei-orcamentaria-anual-loa/lei-orcamentaria-anual-loa"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hyperlink" Target="https://www.almg.gov.br/consulte/legislacao/completa/completa.html?num=47045&amp;ano=2016&amp;tipo=DEC" TargetMode="Externa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U416"/>
  <sheetViews>
    <sheetView showGridLines="0" zoomScale="90" zoomScaleNormal="90" workbookViewId="0">
      <selection activeCell="D11" sqref="D11"/>
    </sheetView>
  </sheetViews>
  <sheetFormatPr defaultRowHeight="15" x14ac:dyDescent="0.25"/>
  <cols>
    <col min="1" max="1" width="6.5703125" customWidth="1"/>
    <col min="2" max="2" width="51.42578125" customWidth="1"/>
    <col min="3" max="3" width="5.85546875" customWidth="1"/>
    <col min="4" max="4" width="61.42578125" bestFit="1" customWidth="1"/>
    <col min="5" max="5" width="6.140625" customWidth="1"/>
    <col min="6" max="6" width="72" customWidth="1"/>
  </cols>
  <sheetData>
    <row r="1" spans="1:21" x14ac:dyDescent="0.25">
      <c r="A1" s="46"/>
      <c r="B1" s="46"/>
      <c r="C1" s="46"/>
      <c r="D1" s="46"/>
      <c r="E1" s="46"/>
      <c r="F1" s="46"/>
      <c r="G1" s="46"/>
      <c r="H1" s="46"/>
      <c r="I1" s="46"/>
      <c r="J1" s="46"/>
      <c r="K1" s="46"/>
      <c r="L1" s="46"/>
      <c r="M1" s="46"/>
      <c r="N1" s="46"/>
      <c r="O1" s="46"/>
      <c r="P1" s="46"/>
      <c r="Q1" s="46"/>
      <c r="R1" s="46"/>
      <c r="S1" s="46"/>
      <c r="T1" s="46"/>
      <c r="U1" s="46"/>
    </row>
    <row r="2" spans="1:21" x14ac:dyDescent="0.25">
      <c r="A2" s="46"/>
      <c r="B2" s="46"/>
      <c r="C2" s="46"/>
      <c r="D2" s="46"/>
      <c r="E2" s="46"/>
      <c r="F2" s="46"/>
      <c r="G2" s="46"/>
      <c r="H2" s="46"/>
      <c r="I2" s="46"/>
      <c r="J2" s="46"/>
      <c r="K2" s="46"/>
      <c r="L2" s="46"/>
      <c r="M2" s="46"/>
      <c r="N2" s="46"/>
      <c r="O2" s="46"/>
      <c r="P2" s="46"/>
      <c r="Q2" s="46"/>
      <c r="R2" s="46"/>
      <c r="S2" s="46"/>
      <c r="T2" s="46"/>
      <c r="U2" s="46"/>
    </row>
    <row r="3" spans="1:21" x14ac:dyDescent="0.25">
      <c r="A3" s="46"/>
      <c r="B3" s="46"/>
      <c r="C3" s="46"/>
      <c r="D3" s="46"/>
      <c r="E3" s="46"/>
      <c r="F3" s="46"/>
      <c r="G3" s="46"/>
      <c r="H3" s="46"/>
      <c r="I3" s="46"/>
      <c r="J3" s="46"/>
      <c r="K3" s="46"/>
      <c r="L3" s="46"/>
      <c r="M3" s="46"/>
      <c r="N3" s="46"/>
      <c r="O3" s="46"/>
      <c r="P3" s="46"/>
      <c r="Q3" s="46"/>
      <c r="R3" s="46"/>
      <c r="S3" s="46"/>
      <c r="T3" s="46"/>
      <c r="U3" s="46"/>
    </row>
    <row r="4" spans="1:21" x14ac:dyDescent="0.25">
      <c r="A4" s="46"/>
      <c r="B4" s="46"/>
      <c r="C4" s="46"/>
      <c r="D4" s="46"/>
      <c r="E4" s="46"/>
      <c r="F4" s="46"/>
      <c r="G4" s="46"/>
      <c r="H4" s="46"/>
      <c r="I4" s="46"/>
      <c r="J4" s="46"/>
      <c r="K4" s="46"/>
      <c r="L4" s="46"/>
      <c r="M4" s="46"/>
      <c r="N4" s="46"/>
      <c r="O4" s="46"/>
      <c r="P4" s="46"/>
      <c r="Q4" s="46"/>
      <c r="R4" s="46"/>
      <c r="S4" s="46"/>
      <c r="T4" s="46"/>
      <c r="U4" s="46"/>
    </row>
    <row r="5" spans="1:21" x14ac:dyDescent="0.25">
      <c r="A5" s="46"/>
      <c r="B5" s="46"/>
      <c r="C5" s="46"/>
      <c r="D5" s="46"/>
      <c r="E5" s="46"/>
      <c r="F5" s="46"/>
      <c r="G5" s="46"/>
      <c r="H5" s="46"/>
      <c r="I5" s="46"/>
      <c r="J5" s="46"/>
      <c r="K5" s="46"/>
      <c r="L5" s="46"/>
      <c r="M5" s="46"/>
      <c r="N5" s="46"/>
      <c r="O5" s="46"/>
      <c r="P5" s="46"/>
      <c r="Q5" s="46"/>
      <c r="R5" s="46"/>
      <c r="S5" s="46"/>
      <c r="T5" s="46"/>
      <c r="U5" s="46"/>
    </row>
    <row r="6" spans="1:21" x14ac:dyDescent="0.25">
      <c r="A6" s="46"/>
      <c r="B6" s="46"/>
      <c r="C6" s="46"/>
      <c r="D6" s="46"/>
      <c r="E6" s="46"/>
      <c r="F6" s="46"/>
      <c r="G6" s="46"/>
      <c r="H6" s="46"/>
      <c r="I6" s="46"/>
      <c r="J6" s="46"/>
      <c r="K6" s="46"/>
      <c r="L6" s="46"/>
      <c r="M6" s="46"/>
      <c r="N6" s="46"/>
      <c r="O6" s="46"/>
      <c r="P6" s="46"/>
      <c r="Q6" s="46"/>
      <c r="R6" s="46"/>
      <c r="S6" s="46"/>
      <c r="T6" s="46"/>
      <c r="U6" s="46"/>
    </row>
    <row r="7" spans="1:21" ht="26.25" x14ac:dyDescent="0.4">
      <c r="A7" s="46"/>
      <c r="B7" s="46"/>
      <c r="C7" s="46"/>
      <c r="D7" s="47" t="s">
        <v>0</v>
      </c>
      <c r="E7" s="46"/>
      <c r="F7" s="46"/>
      <c r="G7" s="46"/>
      <c r="H7" s="46"/>
      <c r="I7" s="46"/>
      <c r="J7" s="46"/>
      <c r="K7" s="46"/>
      <c r="L7" s="46"/>
      <c r="M7" s="46"/>
      <c r="N7" s="46"/>
      <c r="O7" s="46"/>
      <c r="P7" s="46"/>
      <c r="Q7" s="46"/>
      <c r="R7" s="46"/>
      <c r="S7" s="46"/>
      <c r="T7" s="46"/>
      <c r="U7" s="46"/>
    </row>
    <row r="8" spans="1:21" x14ac:dyDescent="0.25">
      <c r="A8" s="46"/>
      <c r="B8" s="46"/>
      <c r="C8" s="46"/>
      <c r="D8" s="46"/>
      <c r="E8" s="46"/>
      <c r="F8" s="46"/>
      <c r="G8" s="46"/>
      <c r="H8" s="46"/>
      <c r="I8" s="46"/>
      <c r="J8" s="46"/>
      <c r="K8" s="46"/>
      <c r="L8" s="46"/>
      <c r="M8" s="46"/>
      <c r="N8" s="46"/>
      <c r="O8" s="46"/>
      <c r="P8" s="46"/>
      <c r="Q8" s="46"/>
      <c r="R8" s="46"/>
      <c r="S8" s="46"/>
      <c r="T8" s="46"/>
      <c r="U8" s="46"/>
    </row>
    <row r="9" spans="1:21" x14ac:dyDescent="0.25">
      <c r="A9" s="46"/>
      <c r="B9" s="46"/>
      <c r="C9" s="46"/>
      <c r="D9" s="46"/>
      <c r="E9" s="46"/>
      <c r="F9" s="46"/>
      <c r="G9" s="46"/>
      <c r="H9" s="46"/>
      <c r="I9" s="46"/>
      <c r="J9" s="46"/>
      <c r="K9" s="46"/>
      <c r="L9" s="46"/>
      <c r="M9" s="46"/>
      <c r="N9" s="46"/>
      <c r="O9" s="46"/>
      <c r="P9" s="46"/>
      <c r="Q9" s="46"/>
      <c r="R9" s="46"/>
      <c r="S9" s="46"/>
      <c r="T9" s="46"/>
      <c r="U9" s="46"/>
    </row>
    <row r="10" spans="1:21" x14ac:dyDescent="0.25">
      <c r="A10" s="46"/>
      <c r="B10" s="46"/>
      <c r="C10" s="46"/>
      <c r="D10" s="46"/>
      <c r="E10" s="46"/>
      <c r="F10" s="46"/>
      <c r="G10" s="46"/>
      <c r="H10" s="46"/>
      <c r="I10" s="46"/>
      <c r="J10" s="46"/>
      <c r="K10" s="46"/>
      <c r="L10" s="46"/>
      <c r="M10" s="46"/>
      <c r="N10" s="46"/>
      <c r="O10" s="46"/>
      <c r="P10" s="46"/>
      <c r="Q10" s="46"/>
      <c r="R10" s="46"/>
      <c r="S10" s="46"/>
      <c r="T10" s="46"/>
      <c r="U10" s="46"/>
    </row>
    <row r="11" spans="1:21" ht="23.25" x14ac:dyDescent="0.35">
      <c r="A11" s="46"/>
      <c r="B11" s="50" t="s">
        <v>1</v>
      </c>
      <c r="C11" s="46"/>
      <c r="D11" s="48" t="s">
        <v>2</v>
      </c>
      <c r="E11" s="46"/>
      <c r="F11" s="50" t="s">
        <v>1</v>
      </c>
      <c r="G11" s="46"/>
      <c r="H11" s="46"/>
      <c r="I11" s="46"/>
      <c r="J11" s="46"/>
      <c r="K11" s="46"/>
      <c r="L11" s="46"/>
      <c r="M11" s="46"/>
      <c r="N11" s="46"/>
      <c r="O11" s="46"/>
      <c r="P11" s="46"/>
      <c r="Q11" s="46"/>
      <c r="R11" s="46"/>
      <c r="S11" s="46"/>
      <c r="T11" s="46"/>
      <c r="U11" s="46"/>
    </row>
    <row r="12" spans="1:21" ht="23.25" x14ac:dyDescent="0.35">
      <c r="A12" s="46"/>
      <c r="B12" s="48" t="s">
        <v>3</v>
      </c>
      <c r="C12" s="46"/>
      <c r="D12" s="49"/>
      <c r="E12" s="46"/>
      <c r="F12" s="48" t="s">
        <v>4</v>
      </c>
      <c r="G12" s="46"/>
      <c r="H12" s="46"/>
      <c r="I12" s="46"/>
      <c r="J12" s="46"/>
      <c r="K12" s="46"/>
      <c r="L12" s="46"/>
      <c r="M12" s="46"/>
      <c r="N12" s="46"/>
      <c r="O12" s="46"/>
      <c r="P12" s="46"/>
      <c r="Q12" s="46"/>
      <c r="R12" s="46"/>
      <c r="S12" s="46"/>
      <c r="T12" s="46"/>
      <c r="U12" s="46"/>
    </row>
    <row r="13" spans="1:21" ht="23.25" x14ac:dyDescent="0.35">
      <c r="A13" s="46"/>
      <c r="B13" s="48" t="s">
        <v>5</v>
      </c>
      <c r="C13" s="46"/>
      <c r="D13" s="48" t="s">
        <v>6</v>
      </c>
      <c r="E13" s="46"/>
      <c r="F13" s="46"/>
      <c r="G13" s="46"/>
      <c r="H13" s="46"/>
      <c r="I13" s="46"/>
      <c r="J13" s="46"/>
      <c r="K13" s="46"/>
      <c r="L13" s="46"/>
      <c r="M13" s="46"/>
      <c r="N13" s="46"/>
      <c r="O13" s="46"/>
      <c r="P13" s="46"/>
      <c r="Q13" s="46"/>
      <c r="R13" s="46"/>
      <c r="S13" s="46"/>
      <c r="T13" s="46"/>
      <c r="U13" s="46"/>
    </row>
    <row r="14" spans="1:21" ht="23.25" x14ac:dyDescent="0.35">
      <c r="A14" s="46"/>
      <c r="B14" s="46"/>
      <c r="C14" s="46"/>
      <c r="D14" s="49"/>
      <c r="E14" s="46"/>
      <c r="F14" s="46"/>
      <c r="G14" s="46"/>
      <c r="H14" s="46"/>
      <c r="I14" s="46"/>
      <c r="J14" s="46"/>
      <c r="K14" s="46"/>
      <c r="L14" s="46"/>
      <c r="M14" s="46"/>
      <c r="N14" s="46"/>
      <c r="O14" s="46"/>
      <c r="P14" s="46"/>
      <c r="Q14" s="46"/>
      <c r="R14" s="46"/>
      <c r="S14" s="46"/>
      <c r="T14" s="46"/>
      <c r="U14" s="46"/>
    </row>
    <row r="15" spans="1:21" ht="23.25" x14ac:dyDescent="0.35">
      <c r="A15" s="46"/>
      <c r="B15" s="46"/>
      <c r="C15" s="46"/>
      <c r="D15" s="49"/>
      <c r="E15" s="46"/>
      <c r="F15" s="46"/>
      <c r="G15" s="46"/>
      <c r="H15" s="46"/>
      <c r="I15" s="46"/>
      <c r="J15" s="46"/>
      <c r="K15" s="46"/>
      <c r="L15" s="46"/>
      <c r="M15" s="46"/>
      <c r="N15" s="46"/>
      <c r="O15" s="46"/>
      <c r="P15" s="46"/>
      <c r="Q15" s="46"/>
      <c r="R15" s="46"/>
      <c r="S15" s="46"/>
      <c r="T15" s="46"/>
      <c r="U15" s="46"/>
    </row>
    <row r="16" spans="1:21" x14ac:dyDescent="0.25">
      <c r="A16" s="46"/>
      <c r="B16" s="46"/>
      <c r="C16" s="46"/>
      <c r="D16" s="46"/>
      <c r="E16" s="46"/>
      <c r="F16" s="46"/>
      <c r="G16" s="46"/>
      <c r="H16" s="46"/>
      <c r="I16" s="46"/>
      <c r="J16" s="46"/>
      <c r="K16" s="46"/>
      <c r="L16" s="46"/>
      <c r="M16" s="46"/>
      <c r="N16" s="46"/>
      <c r="O16" s="46"/>
      <c r="P16" s="46"/>
      <c r="Q16" s="46"/>
      <c r="R16" s="46"/>
      <c r="S16" s="46"/>
      <c r="T16" s="46"/>
      <c r="U16" s="46"/>
    </row>
    <row r="17" spans="1:21" x14ac:dyDescent="0.25">
      <c r="A17" s="46"/>
      <c r="B17" s="46"/>
      <c r="C17" s="46"/>
      <c r="D17" s="46"/>
      <c r="E17" s="46"/>
      <c r="F17" s="46"/>
      <c r="G17" s="46"/>
      <c r="H17" s="46"/>
      <c r="I17" s="46"/>
      <c r="J17" s="46"/>
      <c r="K17" s="46"/>
      <c r="L17" s="46"/>
      <c r="M17" s="46"/>
      <c r="N17" s="46"/>
      <c r="O17" s="46"/>
      <c r="P17" s="46"/>
      <c r="Q17" s="46"/>
      <c r="R17" s="46"/>
      <c r="S17" s="46"/>
      <c r="T17" s="46"/>
      <c r="U17" s="46"/>
    </row>
    <row r="18" spans="1:21" x14ac:dyDescent="0.25">
      <c r="A18" s="46"/>
      <c r="B18" s="46"/>
      <c r="C18" s="46"/>
      <c r="D18" s="46"/>
      <c r="E18" s="46"/>
      <c r="F18" s="46"/>
      <c r="G18" s="46"/>
      <c r="H18" s="46"/>
      <c r="I18" s="46"/>
      <c r="J18" s="46"/>
      <c r="K18" s="46"/>
      <c r="L18" s="46"/>
      <c r="M18" s="46"/>
      <c r="N18" s="46"/>
      <c r="O18" s="46"/>
      <c r="P18" s="46"/>
      <c r="Q18" s="46"/>
      <c r="R18" s="46"/>
      <c r="S18" s="46"/>
      <c r="T18" s="46"/>
      <c r="U18" s="46"/>
    </row>
    <row r="19" spans="1:21" x14ac:dyDescent="0.25">
      <c r="A19" s="46"/>
      <c r="B19" s="46"/>
      <c r="C19" s="46"/>
      <c r="D19" s="46"/>
      <c r="E19" s="46"/>
      <c r="F19" s="46"/>
      <c r="G19" s="46"/>
      <c r="H19" s="46"/>
      <c r="I19" s="46"/>
      <c r="J19" s="46"/>
      <c r="K19" s="46"/>
      <c r="L19" s="46"/>
      <c r="M19" s="46"/>
      <c r="N19" s="46"/>
      <c r="O19" s="46"/>
      <c r="P19" s="46"/>
      <c r="Q19" s="46"/>
      <c r="R19" s="46"/>
      <c r="S19" s="46"/>
      <c r="T19" s="46"/>
      <c r="U19" s="46"/>
    </row>
    <row r="20" spans="1:21" x14ac:dyDescent="0.25">
      <c r="A20" s="46"/>
      <c r="B20" s="46"/>
      <c r="C20" s="46"/>
      <c r="D20" s="46"/>
      <c r="E20" s="46"/>
      <c r="F20" s="46"/>
      <c r="G20" s="46"/>
      <c r="H20" s="46"/>
      <c r="I20" s="46"/>
      <c r="J20" s="46"/>
      <c r="K20" s="46"/>
      <c r="L20" s="46"/>
      <c r="M20" s="46"/>
      <c r="N20" s="46"/>
      <c r="O20" s="46"/>
      <c r="P20" s="46"/>
      <c r="Q20" s="46"/>
      <c r="R20" s="46"/>
      <c r="S20" s="46"/>
      <c r="T20" s="46"/>
      <c r="U20" s="46"/>
    </row>
    <row r="21" spans="1:21" x14ac:dyDescent="0.25">
      <c r="A21" s="46"/>
      <c r="B21" s="46"/>
      <c r="C21" s="46"/>
      <c r="D21" s="46"/>
      <c r="E21" s="46"/>
      <c r="F21" s="46"/>
      <c r="G21" s="46"/>
      <c r="H21" s="46"/>
      <c r="I21" s="46"/>
      <c r="J21" s="46"/>
      <c r="K21" s="46"/>
      <c r="L21" s="46"/>
      <c r="M21" s="46"/>
      <c r="N21" s="46"/>
      <c r="O21" s="46"/>
      <c r="P21" s="46"/>
      <c r="Q21" s="46"/>
      <c r="R21" s="46"/>
      <c r="S21" s="46"/>
      <c r="T21" s="46"/>
      <c r="U21" s="46"/>
    </row>
    <row r="22" spans="1:21" x14ac:dyDescent="0.25">
      <c r="A22" s="46"/>
      <c r="B22" s="46"/>
      <c r="C22" s="46"/>
      <c r="D22" s="46"/>
      <c r="E22" s="46"/>
      <c r="F22" s="46"/>
      <c r="G22" s="46"/>
      <c r="H22" s="46"/>
      <c r="I22" s="46"/>
      <c r="J22" s="46"/>
      <c r="K22" s="46"/>
      <c r="L22" s="46"/>
      <c r="M22" s="46"/>
      <c r="N22" s="46"/>
      <c r="O22" s="46"/>
      <c r="P22" s="46"/>
      <c r="Q22" s="46"/>
      <c r="R22" s="46"/>
      <c r="S22" s="46"/>
      <c r="T22" s="46"/>
      <c r="U22" s="46"/>
    </row>
    <row r="23" spans="1:21" x14ac:dyDescent="0.25">
      <c r="A23" s="46"/>
      <c r="B23" s="46"/>
      <c r="C23" s="46"/>
      <c r="D23" s="46"/>
      <c r="E23" s="46"/>
      <c r="F23" s="46"/>
      <c r="G23" s="46"/>
      <c r="H23" s="46"/>
      <c r="I23" s="46"/>
      <c r="J23" s="46"/>
      <c r="K23" s="46"/>
      <c r="L23" s="46"/>
      <c r="M23" s="46"/>
      <c r="N23" s="46"/>
      <c r="O23" s="46"/>
      <c r="P23" s="46"/>
      <c r="Q23" s="46"/>
      <c r="R23" s="46"/>
      <c r="S23" s="46"/>
      <c r="T23" s="46"/>
      <c r="U23" s="46"/>
    </row>
    <row r="24" spans="1:21" x14ac:dyDescent="0.25">
      <c r="A24" s="46"/>
      <c r="B24" s="46"/>
      <c r="C24" s="46"/>
      <c r="D24" s="46"/>
      <c r="E24" s="46"/>
      <c r="F24" s="46"/>
      <c r="G24" s="46"/>
      <c r="H24" s="46"/>
      <c r="I24" s="46"/>
      <c r="J24" s="46"/>
      <c r="K24" s="46"/>
      <c r="L24" s="46"/>
      <c r="M24" s="46"/>
      <c r="N24" s="46"/>
      <c r="O24" s="46"/>
      <c r="P24" s="46"/>
      <c r="Q24" s="46"/>
      <c r="R24" s="46"/>
      <c r="S24" s="46"/>
      <c r="T24" s="46"/>
      <c r="U24" s="46"/>
    </row>
    <row r="25" spans="1:21" x14ac:dyDescent="0.25">
      <c r="A25" s="46"/>
      <c r="B25" s="46"/>
      <c r="C25" s="46"/>
      <c r="D25" s="46"/>
      <c r="E25" s="46"/>
      <c r="F25" s="46"/>
      <c r="G25" s="46"/>
      <c r="H25" s="46"/>
      <c r="I25" s="46"/>
      <c r="J25" s="46"/>
      <c r="K25" s="46"/>
      <c r="L25" s="46"/>
      <c r="M25" s="46"/>
      <c r="N25" s="46"/>
      <c r="O25" s="46"/>
      <c r="P25" s="46"/>
      <c r="Q25" s="46"/>
      <c r="R25" s="46"/>
      <c r="S25" s="46"/>
      <c r="T25" s="46"/>
      <c r="U25" s="46"/>
    </row>
    <row r="26" spans="1:21" x14ac:dyDescent="0.25">
      <c r="A26" s="46"/>
      <c r="B26" s="46"/>
      <c r="C26" s="46"/>
      <c r="D26" s="46"/>
      <c r="E26" s="46"/>
      <c r="F26" s="46"/>
      <c r="G26" s="46"/>
      <c r="H26" s="46"/>
      <c r="I26" s="46"/>
      <c r="J26" s="46"/>
      <c r="K26" s="46"/>
      <c r="L26" s="46"/>
      <c r="M26" s="46"/>
      <c r="N26" s="46"/>
      <c r="O26" s="46"/>
      <c r="P26" s="46"/>
      <c r="Q26" s="46"/>
      <c r="R26" s="46"/>
      <c r="S26" s="46"/>
      <c r="T26" s="46"/>
      <c r="U26" s="46"/>
    </row>
    <row r="27" spans="1:21" x14ac:dyDescent="0.25">
      <c r="A27" s="46"/>
      <c r="B27" s="46"/>
      <c r="C27" s="46"/>
      <c r="D27" s="46"/>
      <c r="E27" s="46"/>
      <c r="F27" s="46"/>
      <c r="G27" s="46"/>
      <c r="H27" s="46"/>
      <c r="I27" s="46"/>
      <c r="J27" s="46"/>
      <c r="K27" s="46"/>
      <c r="L27" s="46"/>
      <c r="M27" s="46"/>
      <c r="N27" s="46"/>
      <c r="O27" s="46"/>
      <c r="P27" s="46"/>
      <c r="Q27" s="46"/>
      <c r="R27" s="46"/>
      <c r="S27" s="46"/>
      <c r="T27" s="46"/>
      <c r="U27" s="46"/>
    </row>
    <row r="28" spans="1:21" x14ac:dyDescent="0.25">
      <c r="A28" s="46"/>
      <c r="B28" s="46"/>
      <c r="C28" s="46"/>
      <c r="D28" s="46"/>
      <c r="E28" s="46"/>
      <c r="F28" s="46"/>
      <c r="G28" s="46"/>
      <c r="H28" s="46"/>
      <c r="I28" s="46"/>
      <c r="J28" s="46"/>
      <c r="K28" s="46"/>
      <c r="L28" s="46"/>
      <c r="M28" s="46"/>
      <c r="N28" s="46"/>
      <c r="O28" s="46"/>
      <c r="P28" s="46"/>
      <c r="Q28" s="46"/>
      <c r="R28" s="46"/>
      <c r="S28" s="46"/>
      <c r="T28" s="46"/>
      <c r="U28" s="46"/>
    </row>
    <row r="29" spans="1:21" x14ac:dyDescent="0.25">
      <c r="A29" s="46"/>
      <c r="B29" s="46"/>
      <c r="C29" s="46"/>
      <c r="D29" s="46"/>
      <c r="E29" s="46"/>
      <c r="F29" s="46"/>
      <c r="G29" s="46"/>
      <c r="H29" s="46"/>
      <c r="I29" s="46"/>
      <c r="J29" s="46"/>
      <c r="K29" s="46"/>
      <c r="L29" s="46"/>
      <c r="M29" s="46"/>
      <c r="N29" s="46"/>
      <c r="O29" s="46"/>
      <c r="P29" s="46"/>
      <c r="Q29" s="46"/>
      <c r="R29" s="46"/>
      <c r="S29" s="46"/>
      <c r="T29" s="46"/>
      <c r="U29" s="46"/>
    </row>
    <row r="30" spans="1:21" x14ac:dyDescent="0.25">
      <c r="A30" s="46"/>
      <c r="B30" s="46"/>
      <c r="C30" s="46"/>
      <c r="D30" s="46"/>
      <c r="E30" s="46"/>
      <c r="F30" s="46"/>
      <c r="G30" s="46"/>
      <c r="H30" s="46"/>
      <c r="I30" s="46"/>
      <c r="J30" s="46"/>
      <c r="K30" s="46"/>
      <c r="L30" s="46"/>
      <c r="M30" s="46"/>
      <c r="N30" s="46"/>
      <c r="O30" s="46"/>
      <c r="P30" s="46"/>
      <c r="Q30" s="46"/>
      <c r="R30" s="46"/>
      <c r="S30" s="46"/>
      <c r="T30" s="46"/>
      <c r="U30" s="46"/>
    </row>
    <row r="31" spans="1:21" x14ac:dyDescent="0.25">
      <c r="A31" s="46"/>
      <c r="B31" s="46"/>
      <c r="C31" s="46"/>
      <c r="D31" s="46"/>
      <c r="E31" s="46"/>
      <c r="F31" s="46"/>
      <c r="G31" s="46"/>
      <c r="H31" s="46"/>
      <c r="I31" s="46"/>
      <c r="J31" s="46"/>
      <c r="K31" s="46"/>
      <c r="L31" s="46"/>
      <c r="M31" s="46"/>
      <c r="N31" s="46"/>
      <c r="O31" s="46"/>
      <c r="P31" s="46"/>
      <c r="Q31" s="46"/>
      <c r="R31" s="46"/>
      <c r="S31" s="46"/>
      <c r="T31" s="46"/>
      <c r="U31" s="46"/>
    </row>
    <row r="32" spans="1:21" x14ac:dyDescent="0.25">
      <c r="A32" s="46"/>
      <c r="B32" s="46"/>
      <c r="C32" s="46"/>
      <c r="D32" s="46"/>
      <c r="E32" s="46"/>
      <c r="F32" s="46"/>
      <c r="G32" s="46"/>
      <c r="H32" s="46"/>
      <c r="I32" s="46"/>
      <c r="J32" s="46"/>
      <c r="K32" s="46"/>
      <c r="L32" s="46"/>
      <c r="M32" s="46"/>
      <c r="N32" s="46"/>
      <c r="O32" s="46"/>
      <c r="P32" s="46"/>
      <c r="Q32" s="46"/>
      <c r="R32" s="46"/>
      <c r="S32" s="46"/>
      <c r="T32" s="46"/>
      <c r="U32" s="46"/>
    </row>
    <row r="33" spans="1:21" x14ac:dyDescent="0.25">
      <c r="A33" s="46"/>
      <c r="B33" s="46"/>
      <c r="C33" s="46"/>
      <c r="D33" s="46"/>
      <c r="E33" s="46"/>
      <c r="F33" s="46"/>
      <c r="G33" s="46"/>
      <c r="H33" s="46"/>
      <c r="I33" s="46"/>
      <c r="J33" s="46"/>
      <c r="K33" s="46"/>
      <c r="L33" s="46"/>
      <c r="M33" s="46"/>
      <c r="N33" s="46"/>
      <c r="O33" s="46"/>
      <c r="P33" s="46"/>
      <c r="Q33" s="46"/>
      <c r="R33" s="46"/>
      <c r="S33" s="46"/>
      <c r="T33" s="46"/>
      <c r="U33" s="46"/>
    </row>
    <row r="34" spans="1:21" x14ac:dyDescent="0.25">
      <c r="A34" s="46"/>
      <c r="B34" s="46"/>
      <c r="C34" s="46"/>
      <c r="D34" s="46"/>
      <c r="E34" s="46"/>
      <c r="F34" s="46"/>
      <c r="G34" s="46"/>
      <c r="H34" s="46"/>
      <c r="I34" s="46"/>
      <c r="J34" s="46"/>
      <c r="K34" s="46"/>
      <c r="L34" s="46"/>
      <c r="M34" s="46"/>
      <c r="N34" s="46"/>
      <c r="O34" s="46"/>
      <c r="P34" s="46"/>
      <c r="Q34" s="46"/>
      <c r="R34" s="46"/>
      <c r="S34" s="46"/>
      <c r="T34" s="46"/>
      <c r="U34" s="46"/>
    </row>
    <row r="35" spans="1:21" x14ac:dyDescent="0.25">
      <c r="A35" s="46"/>
      <c r="B35" s="46"/>
      <c r="C35" s="46"/>
      <c r="D35" s="46"/>
      <c r="E35" s="46"/>
      <c r="F35" s="46"/>
      <c r="G35" s="46"/>
      <c r="H35" s="46"/>
      <c r="I35" s="46"/>
      <c r="J35" s="46"/>
      <c r="K35" s="46"/>
      <c r="L35" s="46"/>
      <c r="M35" s="46"/>
      <c r="N35" s="46"/>
      <c r="O35" s="46"/>
      <c r="P35" s="46"/>
      <c r="Q35" s="46"/>
      <c r="R35" s="46"/>
      <c r="S35" s="46"/>
      <c r="T35" s="46"/>
      <c r="U35" s="46"/>
    </row>
    <row r="36" spans="1:21" x14ac:dyDescent="0.25">
      <c r="A36" s="46"/>
      <c r="B36" s="46"/>
      <c r="C36" s="46"/>
      <c r="D36" s="46"/>
      <c r="E36" s="46"/>
      <c r="F36" s="46"/>
      <c r="G36" s="46"/>
      <c r="H36" s="46"/>
      <c r="I36" s="46"/>
      <c r="J36" s="46"/>
      <c r="K36" s="46"/>
      <c r="L36" s="46"/>
      <c r="M36" s="46"/>
      <c r="N36" s="46"/>
      <c r="O36" s="46"/>
      <c r="P36" s="46"/>
      <c r="Q36" s="46"/>
      <c r="R36" s="46"/>
      <c r="S36" s="46"/>
      <c r="T36" s="46"/>
      <c r="U36" s="46"/>
    </row>
    <row r="37" spans="1:21" x14ac:dyDescent="0.25">
      <c r="A37" s="46"/>
      <c r="B37" s="46"/>
      <c r="C37" s="46"/>
      <c r="D37" s="46"/>
      <c r="E37" s="46"/>
      <c r="F37" s="46"/>
      <c r="G37" s="46"/>
      <c r="H37" s="46"/>
      <c r="I37" s="46"/>
      <c r="J37" s="46"/>
      <c r="K37" s="46"/>
      <c r="L37" s="46"/>
      <c r="M37" s="46"/>
      <c r="N37" s="46"/>
      <c r="O37" s="46"/>
      <c r="P37" s="46"/>
      <c r="Q37" s="46"/>
      <c r="R37" s="46"/>
      <c r="S37" s="46"/>
      <c r="T37" s="46"/>
      <c r="U37" s="46"/>
    </row>
    <row r="38" spans="1:21" x14ac:dyDescent="0.25">
      <c r="A38" s="46"/>
      <c r="B38" s="46"/>
      <c r="C38" s="46"/>
      <c r="D38" s="46"/>
      <c r="E38" s="46"/>
      <c r="F38" s="46"/>
      <c r="G38" s="46"/>
      <c r="H38" s="46"/>
      <c r="I38" s="46"/>
      <c r="J38" s="46"/>
      <c r="K38" s="46"/>
      <c r="L38" s="46"/>
      <c r="M38" s="46"/>
      <c r="N38" s="46"/>
      <c r="O38" s="46"/>
      <c r="P38" s="46"/>
      <c r="Q38" s="46"/>
      <c r="R38" s="46"/>
      <c r="S38" s="46"/>
      <c r="T38" s="46"/>
      <c r="U38" s="46"/>
    </row>
    <row r="39" spans="1:21" x14ac:dyDescent="0.25">
      <c r="A39" s="46"/>
      <c r="B39" s="46"/>
      <c r="C39" s="46"/>
      <c r="D39" s="46"/>
      <c r="E39" s="46"/>
      <c r="F39" s="46"/>
      <c r="G39" s="46"/>
      <c r="H39" s="46"/>
      <c r="I39" s="46"/>
      <c r="J39" s="46"/>
      <c r="K39" s="46"/>
      <c r="L39" s="46"/>
      <c r="M39" s="46"/>
      <c r="N39" s="46"/>
      <c r="O39" s="46"/>
      <c r="P39" s="46"/>
      <c r="Q39" s="46"/>
      <c r="R39" s="46"/>
      <c r="S39" s="46"/>
      <c r="T39" s="46"/>
      <c r="U39" s="46"/>
    </row>
    <row r="40" spans="1:21" x14ac:dyDescent="0.25">
      <c r="A40" s="46"/>
      <c r="B40" s="46"/>
      <c r="C40" s="46"/>
      <c r="D40" s="46"/>
      <c r="E40" s="46"/>
      <c r="F40" s="46"/>
      <c r="G40" s="46"/>
      <c r="H40" s="46"/>
      <c r="I40" s="46"/>
      <c r="J40" s="46"/>
      <c r="K40" s="46"/>
      <c r="L40" s="46"/>
      <c r="M40" s="46"/>
      <c r="N40" s="46"/>
      <c r="O40" s="46"/>
      <c r="P40" s="46"/>
      <c r="Q40" s="46"/>
      <c r="R40" s="46"/>
      <c r="S40" s="46"/>
      <c r="T40" s="46"/>
      <c r="U40" s="46"/>
    </row>
    <row r="41" spans="1:21" x14ac:dyDescent="0.25">
      <c r="A41" s="46"/>
      <c r="B41" s="46"/>
      <c r="C41" s="46"/>
      <c r="D41" s="46"/>
      <c r="E41" s="46"/>
      <c r="F41" s="46"/>
      <c r="G41" s="46"/>
      <c r="H41" s="46"/>
      <c r="I41" s="46"/>
      <c r="J41" s="46"/>
      <c r="K41" s="46"/>
      <c r="L41" s="46"/>
      <c r="M41" s="46"/>
      <c r="N41" s="46"/>
      <c r="O41" s="46"/>
      <c r="P41" s="46"/>
      <c r="Q41" s="46"/>
      <c r="R41" s="46"/>
      <c r="S41" s="46"/>
      <c r="T41" s="46"/>
      <c r="U41" s="46"/>
    </row>
    <row r="42" spans="1:21" x14ac:dyDescent="0.25">
      <c r="A42" s="46"/>
      <c r="B42" s="46"/>
      <c r="C42" s="46"/>
      <c r="D42" s="46"/>
      <c r="E42" s="46"/>
      <c r="F42" s="46"/>
      <c r="G42" s="46"/>
      <c r="H42" s="46"/>
      <c r="I42" s="46"/>
      <c r="J42" s="46"/>
      <c r="K42" s="46"/>
      <c r="L42" s="46"/>
      <c r="M42" s="46"/>
      <c r="N42" s="46"/>
      <c r="O42" s="46"/>
      <c r="P42" s="46"/>
      <c r="Q42" s="46"/>
      <c r="R42" s="46"/>
      <c r="S42" s="46"/>
      <c r="T42" s="46"/>
      <c r="U42" s="46"/>
    </row>
    <row r="43" spans="1:21" x14ac:dyDescent="0.25">
      <c r="A43" s="46"/>
      <c r="B43" s="46"/>
      <c r="C43" s="46"/>
      <c r="D43" s="46"/>
      <c r="E43" s="46"/>
      <c r="F43" s="46"/>
      <c r="G43" s="46"/>
      <c r="H43" s="46"/>
      <c r="I43" s="46"/>
      <c r="J43" s="46"/>
      <c r="K43" s="46"/>
      <c r="L43" s="46"/>
      <c r="M43" s="46"/>
      <c r="N43" s="46"/>
      <c r="O43" s="46"/>
      <c r="P43" s="46"/>
      <c r="Q43" s="46"/>
      <c r="R43" s="46"/>
      <c r="S43" s="46"/>
      <c r="T43" s="46"/>
      <c r="U43" s="46"/>
    </row>
    <row r="44" spans="1:21" x14ac:dyDescent="0.25">
      <c r="A44" s="46"/>
      <c r="B44" s="46"/>
      <c r="C44" s="46"/>
      <c r="D44" s="46"/>
      <c r="E44" s="46"/>
      <c r="F44" s="46"/>
      <c r="G44" s="46"/>
      <c r="H44" s="46"/>
      <c r="I44" s="46"/>
      <c r="J44" s="46"/>
      <c r="K44" s="46"/>
      <c r="L44" s="46"/>
      <c r="M44" s="46"/>
      <c r="N44" s="46"/>
      <c r="O44" s="46"/>
      <c r="P44" s="46"/>
      <c r="Q44" s="46"/>
      <c r="R44" s="46"/>
      <c r="S44" s="46"/>
      <c r="T44" s="46"/>
      <c r="U44" s="46"/>
    </row>
    <row r="45" spans="1:21" x14ac:dyDescent="0.25">
      <c r="A45" s="46"/>
      <c r="B45" s="46"/>
      <c r="C45" s="46"/>
      <c r="D45" s="46"/>
      <c r="E45" s="46"/>
      <c r="F45" s="46"/>
      <c r="G45" s="46"/>
      <c r="H45" s="46"/>
      <c r="I45" s="46"/>
      <c r="J45" s="46"/>
      <c r="K45" s="46"/>
      <c r="L45" s="46"/>
      <c r="M45" s="46"/>
      <c r="N45" s="46"/>
      <c r="O45" s="46"/>
      <c r="P45" s="46"/>
      <c r="Q45" s="46"/>
      <c r="R45" s="46"/>
      <c r="S45" s="46"/>
      <c r="T45" s="46"/>
      <c r="U45" s="46"/>
    </row>
    <row r="46" spans="1:21" x14ac:dyDescent="0.25">
      <c r="A46" s="46"/>
      <c r="B46" s="46"/>
      <c r="C46" s="46"/>
      <c r="D46" s="46"/>
      <c r="E46" s="46"/>
      <c r="F46" s="46"/>
      <c r="G46" s="46"/>
      <c r="H46" s="46"/>
      <c r="I46" s="46"/>
      <c r="J46" s="46"/>
      <c r="K46" s="46"/>
      <c r="L46" s="46"/>
      <c r="M46" s="46"/>
      <c r="N46" s="46"/>
      <c r="O46" s="46"/>
      <c r="P46" s="46"/>
      <c r="Q46" s="46"/>
      <c r="R46" s="46"/>
      <c r="S46" s="46"/>
      <c r="T46" s="46"/>
      <c r="U46" s="46"/>
    </row>
    <row r="47" spans="1:21" x14ac:dyDescent="0.25">
      <c r="A47" s="46"/>
      <c r="B47" s="46"/>
      <c r="C47" s="46"/>
      <c r="D47" s="46"/>
      <c r="E47" s="46"/>
      <c r="F47" s="46"/>
      <c r="G47" s="46"/>
      <c r="H47" s="46"/>
      <c r="I47" s="46"/>
      <c r="J47" s="46"/>
      <c r="K47" s="46"/>
      <c r="L47" s="46"/>
      <c r="M47" s="46"/>
      <c r="N47" s="46"/>
      <c r="O47" s="46"/>
      <c r="P47" s="46"/>
      <c r="Q47" s="46"/>
      <c r="R47" s="46"/>
      <c r="S47" s="46"/>
      <c r="T47" s="46"/>
      <c r="U47" s="46"/>
    </row>
    <row r="48" spans="1:21" x14ac:dyDescent="0.25">
      <c r="A48" s="46"/>
      <c r="B48" s="46"/>
      <c r="C48" s="46"/>
      <c r="D48" s="46"/>
      <c r="E48" s="46"/>
      <c r="F48" s="46"/>
      <c r="G48" s="46"/>
      <c r="H48" s="46"/>
      <c r="I48" s="46"/>
      <c r="J48" s="46"/>
      <c r="K48" s="46"/>
      <c r="L48" s="46"/>
      <c r="M48" s="46"/>
      <c r="N48" s="46"/>
      <c r="O48" s="46"/>
      <c r="P48" s="46"/>
      <c r="Q48" s="46"/>
      <c r="R48" s="46"/>
      <c r="S48" s="46"/>
      <c r="T48" s="46"/>
      <c r="U48" s="46"/>
    </row>
    <row r="49" spans="1:21" x14ac:dyDescent="0.25">
      <c r="A49" s="46"/>
      <c r="B49" s="46"/>
      <c r="C49" s="46"/>
      <c r="D49" s="46"/>
      <c r="E49" s="46"/>
      <c r="F49" s="46"/>
      <c r="G49" s="46"/>
      <c r="H49" s="46"/>
      <c r="I49" s="46"/>
      <c r="J49" s="46"/>
      <c r="K49" s="46"/>
      <c r="L49" s="46"/>
      <c r="M49" s="46"/>
      <c r="N49" s="46"/>
      <c r="O49" s="46"/>
      <c r="P49" s="46"/>
      <c r="Q49" s="46"/>
      <c r="R49" s="46"/>
      <c r="S49" s="46"/>
      <c r="T49" s="46"/>
      <c r="U49" s="46"/>
    </row>
    <row r="50" spans="1:21" x14ac:dyDescent="0.25">
      <c r="A50" s="46"/>
      <c r="B50" s="46"/>
      <c r="C50" s="46"/>
      <c r="D50" s="46"/>
      <c r="E50" s="46"/>
      <c r="F50" s="46"/>
      <c r="G50" s="46"/>
      <c r="H50" s="46"/>
      <c r="I50" s="46"/>
      <c r="J50" s="46"/>
      <c r="K50" s="46"/>
      <c r="L50" s="46"/>
      <c r="M50" s="46"/>
      <c r="N50" s="46"/>
      <c r="O50" s="46"/>
      <c r="P50" s="46"/>
      <c r="Q50" s="46"/>
      <c r="R50" s="46"/>
      <c r="S50" s="46"/>
      <c r="T50" s="46"/>
      <c r="U50" s="46"/>
    </row>
    <row r="51" spans="1:21" x14ac:dyDescent="0.25">
      <c r="A51" s="46"/>
      <c r="B51" s="46"/>
      <c r="C51" s="46"/>
      <c r="D51" s="46"/>
      <c r="E51" s="46"/>
      <c r="F51" s="46"/>
      <c r="G51" s="46"/>
      <c r="H51" s="46"/>
      <c r="I51" s="46"/>
      <c r="J51" s="46"/>
      <c r="K51" s="46"/>
      <c r="L51" s="46"/>
      <c r="M51" s="46"/>
      <c r="N51" s="46"/>
      <c r="O51" s="46"/>
      <c r="P51" s="46"/>
      <c r="Q51" s="46"/>
      <c r="R51" s="46"/>
      <c r="S51" s="46"/>
      <c r="T51" s="46"/>
      <c r="U51" s="46"/>
    </row>
    <row r="52" spans="1:21" x14ac:dyDescent="0.25">
      <c r="A52" s="46"/>
      <c r="B52" s="46"/>
      <c r="C52" s="46"/>
      <c r="D52" s="46"/>
      <c r="E52" s="46"/>
      <c r="F52" s="46"/>
      <c r="G52" s="46"/>
      <c r="H52" s="46"/>
      <c r="I52" s="46"/>
      <c r="J52" s="46"/>
      <c r="K52" s="46"/>
      <c r="L52" s="46"/>
      <c r="M52" s="46"/>
      <c r="N52" s="46"/>
      <c r="O52" s="46"/>
      <c r="P52" s="46"/>
      <c r="Q52" s="46"/>
      <c r="R52" s="46"/>
      <c r="S52" s="46"/>
      <c r="T52" s="46"/>
      <c r="U52" s="46"/>
    </row>
    <row r="53" spans="1:21" x14ac:dyDescent="0.25">
      <c r="A53" s="46"/>
      <c r="B53" s="46"/>
      <c r="C53" s="46"/>
      <c r="D53" s="46"/>
      <c r="E53" s="46"/>
      <c r="F53" s="46"/>
      <c r="G53" s="46"/>
      <c r="H53" s="46"/>
      <c r="I53" s="46"/>
      <c r="J53" s="46"/>
      <c r="K53" s="46"/>
      <c r="L53" s="46"/>
      <c r="M53" s="46"/>
      <c r="N53" s="46"/>
      <c r="O53" s="46"/>
      <c r="P53" s="46"/>
      <c r="Q53" s="46"/>
      <c r="R53" s="46"/>
      <c r="S53" s="46"/>
      <c r="T53" s="46"/>
      <c r="U53" s="46"/>
    </row>
    <row r="54" spans="1:21" x14ac:dyDescent="0.25">
      <c r="A54" s="46"/>
      <c r="B54" s="46"/>
      <c r="C54" s="46"/>
      <c r="D54" s="46"/>
      <c r="E54" s="46"/>
      <c r="F54" s="46"/>
      <c r="G54" s="46"/>
      <c r="H54" s="46"/>
      <c r="I54" s="46"/>
      <c r="J54" s="46"/>
      <c r="K54" s="46"/>
      <c r="L54" s="46"/>
      <c r="M54" s="46"/>
      <c r="N54" s="46"/>
      <c r="O54" s="46"/>
      <c r="P54" s="46"/>
      <c r="Q54" s="46"/>
      <c r="R54" s="46"/>
      <c r="S54" s="46"/>
      <c r="T54" s="46"/>
      <c r="U54" s="46"/>
    </row>
    <row r="55" spans="1:21" x14ac:dyDescent="0.25">
      <c r="A55" s="46"/>
      <c r="B55" s="46"/>
      <c r="C55" s="46"/>
      <c r="D55" s="46"/>
      <c r="E55" s="46"/>
      <c r="F55" s="46"/>
      <c r="G55" s="46"/>
      <c r="H55" s="46"/>
      <c r="I55" s="46"/>
      <c r="J55" s="46"/>
      <c r="K55" s="46"/>
      <c r="L55" s="46"/>
      <c r="M55" s="46"/>
      <c r="N55" s="46"/>
      <c r="O55" s="46"/>
      <c r="P55" s="46"/>
      <c r="Q55" s="46"/>
      <c r="R55" s="46"/>
      <c r="S55" s="46"/>
      <c r="T55" s="46"/>
      <c r="U55" s="46"/>
    </row>
    <row r="56" spans="1:21" x14ac:dyDescent="0.25">
      <c r="A56" s="46"/>
      <c r="B56" s="46"/>
      <c r="C56" s="46"/>
      <c r="D56" s="46"/>
      <c r="E56" s="46"/>
      <c r="F56" s="46"/>
      <c r="G56" s="46"/>
      <c r="H56" s="46"/>
      <c r="I56" s="46"/>
      <c r="J56" s="46"/>
      <c r="K56" s="46"/>
      <c r="L56" s="46"/>
      <c r="M56" s="46"/>
      <c r="N56" s="46"/>
      <c r="O56" s="46"/>
      <c r="P56" s="46"/>
      <c r="Q56" s="46"/>
      <c r="R56" s="46"/>
      <c r="S56" s="46"/>
      <c r="T56" s="46"/>
      <c r="U56" s="46"/>
    </row>
    <row r="57" spans="1:21" x14ac:dyDescent="0.25">
      <c r="A57" s="46"/>
      <c r="B57" s="46"/>
      <c r="C57" s="46"/>
      <c r="D57" s="46"/>
      <c r="E57" s="46"/>
      <c r="F57" s="46"/>
      <c r="G57" s="46"/>
      <c r="H57" s="46"/>
      <c r="I57" s="46"/>
      <c r="J57" s="46"/>
      <c r="K57" s="46"/>
      <c r="L57" s="46"/>
      <c r="M57" s="46"/>
      <c r="N57" s="46"/>
      <c r="O57" s="46"/>
      <c r="P57" s="46"/>
      <c r="Q57" s="46"/>
      <c r="R57" s="46"/>
      <c r="S57" s="46"/>
      <c r="T57" s="46"/>
      <c r="U57" s="46"/>
    </row>
    <row r="58" spans="1:21" x14ac:dyDescent="0.25">
      <c r="A58" s="46"/>
      <c r="B58" s="46"/>
      <c r="C58" s="46"/>
      <c r="D58" s="46"/>
      <c r="E58" s="46"/>
      <c r="F58" s="46"/>
      <c r="G58" s="46"/>
      <c r="H58" s="46"/>
      <c r="I58" s="46"/>
      <c r="J58" s="46"/>
      <c r="K58" s="46"/>
      <c r="L58" s="46"/>
      <c r="M58" s="46"/>
      <c r="N58" s="46"/>
      <c r="O58" s="46"/>
      <c r="P58" s="46"/>
      <c r="Q58" s="46"/>
      <c r="R58" s="46"/>
      <c r="S58" s="46"/>
      <c r="T58" s="46"/>
      <c r="U58" s="46"/>
    </row>
    <row r="59" spans="1:21" x14ac:dyDescent="0.25">
      <c r="A59" s="46"/>
      <c r="B59" s="46"/>
      <c r="C59" s="46"/>
      <c r="D59" s="46"/>
      <c r="E59" s="46"/>
      <c r="F59" s="46"/>
      <c r="G59" s="46"/>
      <c r="H59" s="46"/>
      <c r="I59" s="46"/>
      <c r="J59" s="46"/>
      <c r="K59" s="46"/>
      <c r="L59" s="46"/>
      <c r="M59" s="46"/>
      <c r="N59" s="46"/>
      <c r="O59" s="46"/>
      <c r="P59" s="46"/>
      <c r="Q59" s="46"/>
      <c r="R59" s="46"/>
      <c r="S59" s="46"/>
      <c r="T59" s="46"/>
      <c r="U59" s="46"/>
    </row>
    <row r="60" spans="1:21" x14ac:dyDescent="0.25">
      <c r="A60" s="46"/>
      <c r="B60" s="46"/>
      <c r="C60" s="46"/>
      <c r="D60" s="46"/>
      <c r="E60" s="46"/>
      <c r="F60" s="46"/>
      <c r="G60" s="46"/>
      <c r="H60" s="46"/>
      <c r="I60" s="46"/>
      <c r="J60" s="46"/>
      <c r="K60" s="46"/>
      <c r="L60" s="46"/>
      <c r="M60" s="46"/>
      <c r="N60" s="46"/>
      <c r="O60" s="46"/>
      <c r="P60" s="46"/>
      <c r="Q60" s="46"/>
      <c r="R60" s="46"/>
      <c r="S60" s="46"/>
      <c r="T60" s="46"/>
      <c r="U60" s="46"/>
    </row>
    <row r="61" spans="1:21" x14ac:dyDescent="0.25">
      <c r="A61" s="46"/>
      <c r="B61" s="46"/>
      <c r="C61" s="46"/>
      <c r="D61" s="46"/>
      <c r="E61" s="46"/>
      <c r="F61" s="46"/>
      <c r="G61" s="46"/>
      <c r="H61" s="46"/>
      <c r="I61" s="46"/>
      <c r="J61" s="46"/>
      <c r="K61" s="46"/>
      <c r="L61" s="46"/>
      <c r="M61" s="46"/>
      <c r="N61" s="46"/>
      <c r="O61" s="46"/>
      <c r="P61" s="46"/>
      <c r="Q61" s="46"/>
      <c r="R61" s="46"/>
      <c r="S61" s="46"/>
      <c r="T61" s="46"/>
      <c r="U61" s="46"/>
    </row>
    <row r="62" spans="1:21" x14ac:dyDescent="0.25">
      <c r="A62" s="46"/>
      <c r="B62" s="46"/>
      <c r="C62" s="46"/>
      <c r="D62" s="46"/>
      <c r="E62" s="46"/>
      <c r="F62" s="46"/>
      <c r="G62" s="46"/>
      <c r="H62" s="46"/>
      <c r="I62" s="46"/>
      <c r="J62" s="46"/>
      <c r="K62" s="46"/>
      <c r="L62" s="46"/>
      <c r="M62" s="46"/>
      <c r="N62" s="46"/>
      <c r="O62" s="46"/>
      <c r="P62" s="46"/>
      <c r="Q62" s="46"/>
      <c r="R62" s="46"/>
      <c r="S62" s="46"/>
      <c r="T62" s="46"/>
      <c r="U62" s="46"/>
    </row>
    <row r="63" spans="1:21" x14ac:dyDescent="0.25">
      <c r="A63" s="46"/>
      <c r="B63" s="46"/>
      <c r="C63" s="46"/>
      <c r="D63" s="46"/>
      <c r="E63" s="46"/>
      <c r="F63" s="46"/>
      <c r="G63" s="46"/>
      <c r="H63" s="46"/>
      <c r="I63" s="46"/>
      <c r="J63" s="46"/>
      <c r="K63" s="46"/>
      <c r="L63" s="46"/>
      <c r="M63" s="46"/>
      <c r="N63" s="46"/>
      <c r="O63" s="46"/>
      <c r="P63" s="46"/>
      <c r="Q63" s="46"/>
      <c r="R63" s="46"/>
      <c r="S63" s="46"/>
      <c r="T63" s="46"/>
      <c r="U63" s="46"/>
    </row>
    <row r="64" spans="1:21" x14ac:dyDescent="0.25">
      <c r="A64" s="46"/>
      <c r="B64" s="46"/>
      <c r="C64" s="46"/>
      <c r="D64" s="46"/>
      <c r="E64" s="46"/>
      <c r="F64" s="46"/>
      <c r="G64" s="46"/>
      <c r="H64" s="46"/>
      <c r="I64" s="46"/>
      <c r="J64" s="46"/>
      <c r="K64" s="46"/>
      <c r="L64" s="46"/>
      <c r="M64" s="46"/>
      <c r="N64" s="46"/>
      <c r="O64" s="46"/>
      <c r="P64" s="46"/>
      <c r="Q64" s="46"/>
      <c r="R64" s="46"/>
      <c r="S64" s="46"/>
      <c r="T64" s="46"/>
      <c r="U64" s="46"/>
    </row>
    <row r="65" spans="1:21" x14ac:dyDescent="0.25">
      <c r="A65" s="46"/>
      <c r="B65" s="46"/>
      <c r="C65" s="46"/>
      <c r="D65" s="46"/>
      <c r="E65" s="46"/>
      <c r="F65" s="46"/>
      <c r="G65" s="46"/>
      <c r="H65" s="46"/>
      <c r="I65" s="46"/>
      <c r="J65" s="46"/>
      <c r="K65" s="46"/>
      <c r="L65" s="46"/>
      <c r="M65" s="46"/>
      <c r="N65" s="46"/>
      <c r="O65" s="46"/>
      <c r="P65" s="46"/>
      <c r="Q65" s="46"/>
      <c r="R65" s="46"/>
      <c r="S65" s="46"/>
      <c r="T65" s="46"/>
      <c r="U65" s="46"/>
    </row>
    <row r="66" spans="1:21" x14ac:dyDescent="0.25">
      <c r="A66" s="46"/>
      <c r="B66" s="46"/>
      <c r="C66" s="46"/>
      <c r="D66" s="46"/>
      <c r="E66" s="46"/>
      <c r="F66" s="46"/>
      <c r="G66" s="46"/>
      <c r="H66" s="46"/>
      <c r="I66" s="46"/>
      <c r="J66" s="46"/>
      <c r="K66" s="46"/>
      <c r="L66" s="46"/>
      <c r="M66" s="46"/>
      <c r="N66" s="46"/>
      <c r="O66" s="46"/>
      <c r="P66" s="46"/>
      <c r="Q66" s="46"/>
      <c r="R66" s="46"/>
      <c r="S66" s="46"/>
      <c r="T66" s="46"/>
      <c r="U66" s="46"/>
    </row>
    <row r="67" spans="1:21" x14ac:dyDescent="0.25">
      <c r="A67" s="46"/>
      <c r="B67" s="46"/>
      <c r="C67" s="46"/>
      <c r="D67" s="46"/>
      <c r="E67" s="46"/>
      <c r="F67" s="46"/>
      <c r="G67" s="46"/>
      <c r="H67" s="46"/>
      <c r="I67" s="46"/>
      <c r="J67" s="46"/>
      <c r="K67" s="46"/>
      <c r="L67" s="46"/>
      <c r="M67" s="46"/>
      <c r="N67" s="46"/>
      <c r="O67" s="46"/>
      <c r="P67" s="46"/>
      <c r="Q67" s="46"/>
      <c r="R67" s="46"/>
      <c r="S67" s="46"/>
      <c r="T67" s="46"/>
      <c r="U67" s="46"/>
    </row>
    <row r="68" spans="1:21" x14ac:dyDescent="0.25">
      <c r="A68" s="46"/>
      <c r="B68" s="46"/>
      <c r="C68" s="46"/>
      <c r="D68" s="46"/>
      <c r="E68" s="46"/>
      <c r="F68" s="46"/>
      <c r="G68" s="46"/>
      <c r="H68" s="46"/>
      <c r="I68" s="46"/>
      <c r="J68" s="46"/>
      <c r="K68" s="46"/>
      <c r="L68" s="46"/>
      <c r="M68" s="46"/>
      <c r="N68" s="46"/>
      <c r="O68" s="46"/>
      <c r="P68" s="46"/>
      <c r="Q68" s="46"/>
      <c r="R68" s="46"/>
      <c r="S68" s="46"/>
      <c r="T68" s="46"/>
      <c r="U68" s="46"/>
    </row>
    <row r="69" spans="1:21" x14ac:dyDescent="0.25">
      <c r="A69" s="46"/>
      <c r="B69" s="46"/>
      <c r="C69" s="46"/>
      <c r="D69" s="46"/>
      <c r="E69" s="46"/>
      <c r="F69" s="46"/>
      <c r="G69" s="46"/>
      <c r="H69" s="46"/>
      <c r="I69" s="46"/>
      <c r="J69" s="46"/>
      <c r="K69" s="46"/>
      <c r="L69" s="46"/>
      <c r="M69" s="46"/>
      <c r="N69" s="46"/>
      <c r="O69" s="46"/>
      <c r="P69" s="46"/>
      <c r="Q69" s="46"/>
      <c r="R69" s="46"/>
      <c r="S69" s="46"/>
      <c r="T69" s="46"/>
      <c r="U69" s="46"/>
    </row>
    <row r="70" spans="1:21" x14ac:dyDescent="0.25">
      <c r="A70" s="46"/>
      <c r="B70" s="46"/>
      <c r="C70" s="46"/>
      <c r="D70" s="46"/>
      <c r="E70" s="46"/>
      <c r="F70" s="46"/>
      <c r="G70" s="46"/>
      <c r="H70" s="46"/>
      <c r="I70" s="46"/>
      <c r="J70" s="46"/>
      <c r="K70" s="46"/>
      <c r="L70" s="46"/>
      <c r="M70" s="46"/>
      <c r="N70" s="46"/>
      <c r="O70" s="46"/>
      <c r="P70" s="46"/>
      <c r="Q70" s="46"/>
      <c r="R70" s="46"/>
      <c r="S70" s="46"/>
      <c r="T70" s="46"/>
      <c r="U70" s="46"/>
    </row>
    <row r="71" spans="1:21" x14ac:dyDescent="0.25">
      <c r="A71" s="46"/>
      <c r="B71" s="46"/>
      <c r="C71" s="46"/>
      <c r="D71" s="46"/>
      <c r="E71" s="46"/>
      <c r="F71" s="46"/>
      <c r="G71" s="46"/>
      <c r="H71" s="46"/>
      <c r="I71" s="46"/>
      <c r="J71" s="46"/>
      <c r="K71" s="46"/>
      <c r="L71" s="46"/>
      <c r="M71" s="46"/>
      <c r="N71" s="46"/>
      <c r="O71" s="46"/>
      <c r="P71" s="46"/>
      <c r="Q71" s="46"/>
      <c r="R71" s="46"/>
      <c r="S71" s="46"/>
      <c r="T71" s="46"/>
      <c r="U71" s="46"/>
    </row>
    <row r="72" spans="1:21" x14ac:dyDescent="0.25">
      <c r="A72" s="46"/>
      <c r="B72" s="46"/>
      <c r="C72" s="46"/>
      <c r="D72" s="46"/>
      <c r="E72" s="46"/>
      <c r="F72" s="46"/>
      <c r="G72" s="46"/>
      <c r="H72" s="46"/>
      <c r="I72" s="46"/>
      <c r="J72" s="46"/>
      <c r="K72" s="46"/>
      <c r="L72" s="46"/>
      <c r="M72" s="46"/>
      <c r="N72" s="46"/>
      <c r="O72" s="46"/>
      <c r="P72" s="46"/>
      <c r="Q72" s="46"/>
      <c r="R72" s="46"/>
      <c r="S72" s="46"/>
      <c r="T72" s="46"/>
      <c r="U72" s="46"/>
    </row>
    <row r="73" spans="1:21" x14ac:dyDescent="0.25">
      <c r="A73" s="46"/>
      <c r="B73" s="46"/>
      <c r="C73" s="46"/>
      <c r="D73" s="46"/>
      <c r="E73" s="46"/>
      <c r="F73" s="46"/>
      <c r="G73" s="46"/>
      <c r="H73" s="46"/>
      <c r="I73" s="46"/>
      <c r="J73" s="46"/>
      <c r="K73" s="46"/>
      <c r="L73" s="46"/>
      <c r="M73" s="46"/>
      <c r="N73" s="46"/>
      <c r="O73" s="46"/>
      <c r="P73" s="46"/>
      <c r="Q73" s="46"/>
      <c r="R73" s="46"/>
      <c r="S73" s="46"/>
      <c r="T73" s="46"/>
      <c r="U73" s="46"/>
    </row>
    <row r="74" spans="1:21" x14ac:dyDescent="0.25">
      <c r="A74" s="46"/>
      <c r="B74" s="46"/>
      <c r="C74" s="46"/>
      <c r="D74" s="46"/>
      <c r="E74" s="46"/>
      <c r="F74" s="46"/>
      <c r="G74" s="46"/>
      <c r="H74" s="46"/>
      <c r="I74" s="46"/>
      <c r="J74" s="46"/>
      <c r="K74" s="46"/>
      <c r="L74" s="46"/>
      <c r="M74" s="46"/>
      <c r="N74" s="46"/>
      <c r="O74" s="46"/>
      <c r="P74" s="46"/>
      <c r="Q74" s="46"/>
      <c r="R74" s="46"/>
      <c r="S74" s="46"/>
      <c r="T74" s="46"/>
      <c r="U74" s="46"/>
    </row>
    <row r="75" spans="1:21" x14ac:dyDescent="0.25">
      <c r="A75" s="46"/>
      <c r="B75" s="46"/>
      <c r="C75" s="46"/>
      <c r="D75" s="46"/>
      <c r="E75" s="46"/>
      <c r="F75" s="46"/>
      <c r="G75" s="46"/>
      <c r="H75" s="46"/>
      <c r="I75" s="46"/>
      <c r="J75" s="46"/>
      <c r="K75" s="46"/>
      <c r="L75" s="46"/>
      <c r="M75" s="46"/>
      <c r="N75" s="46"/>
      <c r="O75" s="46"/>
      <c r="P75" s="46"/>
      <c r="Q75" s="46"/>
      <c r="R75" s="46"/>
      <c r="S75" s="46"/>
      <c r="T75" s="46"/>
      <c r="U75" s="46"/>
    </row>
    <row r="76" spans="1:21" x14ac:dyDescent="0.25">
      <c r="A76" s="46"/>
      <c r="B76" s="46"/>
      <c r="C76" s="46"/>
      <c r="D76" s="46"/>
      <c r="E76" s="46"/>
      <c r="F76" s="46"/>
      <c r="G76" s="46"/>
      <c r="H76" s="46"/>
      <c r="I76" s="46"/>
      <c r="J76" s="46"/>
      <c r="K76" s="46"/>
      <c r="L76" s="46"/>
      <c r="M76" s="46"/>
      <c r="N76" s="46"/>
      <c r="O76" s="46"/>
      <c r="P76" s="46"/>
      <c r="Q76" s="46"/>
      <c r="R76" s="46"/>
      <c r="S76" s="46"/>
      <c r="T76" s="46"/>
      <c r="U76" s="46"/>
    </row>
    <row r="77" spans="1:21" x14ac:dyDescent="0.25">
      <c r="A77" s="46"/>
      <c r="B77" s="46"/>
      <c r="C77" s="46"/>
      <c r="D77" s="46"/>
      <c r="E77" s="46"/>
      <c r="F77" s="46"/>
      <c r="G77" s="46"/>
      <c r="H77" s="46"/>
      <c r="I77" s="46"/>
      <c r="J77" s="46"/>
      <c r="K77" s="46"/>
      <c r="L77" s="46"/>
      <c r="M77" s="46"/>
      <c r="N77" s="46"/>
      <c r="O77" s="46"/>
      <c r="P77" s="46"/>
      <c r="Q77" s="46"/>
      <c r="R77" s="46"/>
      <c r="S77" s="46"/>
      <c r="T77" s="46"/>
      <c r="U77" s="46"/>
    </row>
    <row r="78" spans="1:21" x14ac:dyDescent="0.25">
      <c r="A78" s="46"/>
      <c r="B78" s="46"/>
      <c r="C78" s="46"/>
      <c r="D78" s="46"/>
      <c r="E78" s="46"/>
      <c r="F78" s="46"/>
      <c r="G78" s="46"/>
      <c r="H78" s="46"/>
      <c r="I78" s="46"/>
      <c r="J78" s="46"/>
      <c r="K78" s="46"/>
      <c r="L78" s="46"/>
      <c r="M78" s="46"/>
      <c r="N78" s="46"/>
      <c r="O78" s="46"/>
      <c r="P78" s="46"/>
      <c r="Q78" s="46"/>
      <c r="R78" s="46"/>
      <c r="S78" s="46"/>
      <c r="T78" s="46"/>
      <c r="U78" s="46"/>
    </row>
    <row r="79" spans="1:21" x14ac:dyDescent="0.25">
      <c r="A79" s="46"/>
      <c r="B79" s="46"/>
      <c r="C79" s="46"/>
      <c r="D79" s="46"/>
      <c r="E79" s="46"/>
      <c r="F79" s="46"/>
      <c r="G79" s="46"/>
      <c r="H79" s="46"/>
      <c r="I79" s="46"/>
      <c r="J79" s="46"/>
      <c r="K79" s="46"/>
      <c r="L79" s="46"/>
      <c r="M79" s="46"/>
      <c r="N79" s="46"/>
      <c r="O79" s="46"/>
      <c r="P79" s="46"/>
      <c r="Q79" s="46"/>
      <c r="R79" s="46"/>
      <c r="S79" s="46"/>
      <c r="T79" s="46"/>
      <c r="U79" s="46"/>
    </row>
    <row r="80" spans="1:21" x14ac:dyDescent="0.25">
      <c r="A80" s="46"/>
      <c r="B80" s="46"/>
      <c r="C80" s="46"/>
      <c r="D80" s="46"/>
      <c r="E80" s="46"/>
      <c r="F80" s="46"/>
      <c r="G80" s="46"/>
      <c r="H80" s="46"/>
      <c r="I80" s="46"/>
      <c r="J80" s="46"/>
      <c r="K80" s="46"/>
      <c r="L80" s="46"/>
      <c r="M80" s="46"/>
      <c r="N80" s="46"/>
      <c r="O80" s="46"/>
      <c r="P80" s="46"/>
      <c r="Q80" s="46"/>
      <c r="R80" s="46"/>
      <c r="S80" s="46"/>
      <c r="T80" s="46"/>
      <c r="U80" s="46"/>
    </row>
    <row r="81" spans="1:21" x14ac:dyDescent="0.25">
      <c r="A81" s="46"/>
      <c r="B81" s="46"/>
      <c r="C81" s="46"/>
      <c r="D81" s="46"/>
      <c r="E81" s="46"/>
      <c r="F81" s="46"/>
      <c r="G81" s="46"/>
      <c r="H81" s="46"/>
      <c r="I81" s="46"/>
      <c r="J81" s="46"/>
      <c r="K81" s="46"/>
      <c r="L81" s="46"/>
      <c r="M81" s="46"/>
      <c r="N81" s="46"/>
      <c r="O81" s="46"/>
      <c r="P81" s="46"/>
      <c r="Q81" s="46"/>
      <c r="R81" s="46"/>
      <c r="S81" s="46"/>
      <c r="T81" s="46"/>
      <c r="U81" s="46"/>
    </row>
    <row r="82" spans="1:21" x14ac:dyDescent="0.25">
      <c r="A82" s="46"/>
      <c r="B82" s="46"/>
      <c r="C82" s="46"/>
      <c r="D82" s="46"/>
      <c r="E82" s="46"/>
      <c r="F82" s="46"/>
      <c r="G82" s="46"/>
      <c r="H82" s="46"/>
      <c r="I82" s="46"/>
      <c r="J82" s="46"/>
      <c r="K82" s="46"/>
      <c r="L82" s="46"/>
      <c r="M82" s="46"/>
      <c r="N82" s="46"/>
      <c r="O82" s="46"/>
      <c r="P82" s="46"/>
      <c r="Q82" s="46"/>
      <c r="R82" s="46"/>
      <c r="S82" s="46"/>
      <c r="T82" s="46"/>
      <c r="U82" s="46"/>
    </row>
    <row r="83" spans="1:21" x14ac:dyDescent="0.25">
      <c r="A83" s="46"/>
      <c r="B83" s="46"/>
      <c r="C83" s="46"/>
      <c r="D83" s="46"/>
      <c r="E83" s="46"/>
      <c r="F83" s="46"/>
      <c r="G83" s="46"/>
      <c r="H83" s="46"/>
      <c r="I83" s="46"/>
      <c r="J83" s="46"/>
      <c r="K83" s="46"/>
      <c r="L83" s="46"/>
      <c r="M83" s="46"/>
      <c r="N83" s="46"/>
      <c r="O83" s="46"/>
      <c r="P83" s="46"/>
      <c r="Q83" s="46"/>
      <c r="R83" s="46"/>
      <c r="S83" s="46"/>
      <c r="T83" s="46"/>
      <c r="U83" s="46"/>
    </row>
    <row r="84" spans="1:21" x14ac:dyDescent="0.25">
      <c r="A84" s="46"/>
      <c r="B84" s="46"/>
      <c r="C84" s="46"/>
      <c r="D84" s="46"/>
      <c r="E84" s="46"/>
      <c r="F84" s="46"/>
      <c r="G84" s="46"/>
      <c r="H84" s="46"/>
      <c r="I84" s="46"/>
      <c r="J84" s="46"/>
      <c r="K84" s="46"/>
      <c r="L84" s="46"/>
      <c r="M84" s="46"/>
      <c r="N84" s="46"/>
      <c r="O84" s="46"/>
      <c r="P84" s="46"/>
      <c r="Q84" s="46"/>
      <c r="R84" s="46"/>
      <c r="S84" s="46"/>
      <c r="T84" s="46"/>
      <c r="U84" s="46"/>
    </row>
    <row r="85" spans="1:21" x14ac:dyDescent="0.25">
      <c r="A85" s="46"/>
      <c r="B85" s="46"/>
      <c r="C85" s="46"/>
      <c r="D85" s="46"/>
      <c r="E85" s="46"/>
      <c r="F85" s="46"/>
      <c r="G85" s="46"/>
      <c r="H85" s="46"/>
      <c r="I85" s="46"/>
      <c r="J85" s="46"/>
      <c r="K85" s="46"/>
      <c r="L85" s="46"/>
      <c r="M85" s="46"/>
      <c r="N85" s="46"/>
      <c r="O85" s="46"/>
      <c r="P85" s="46"/>
      <c r="Q85" s="46"/>
      <c r="R85" s="46"/>
      <c r="S85" s="46"/>
      <c r="T85" s="46"/>
      <c r="U85" s="46"/>
    </row>
    <row r="86" spans="1:21" x14ac:dyDescent="0.25">
      <c r="A86" s="46"/>
      <c r="B86" s="46"/>
      <c r="C86" s="46"/>
      <c r="D86" s="46"/>
      <c r="E86" s="46"/>
      <c r="F86" s="46"/>
      <c r="G86" s="46"/>
      <c r="H86" s="46"/>
      <c r="I86" s="46"/>
      <c r="J86" s="46"/>
      <c r="K86" s="46"/>
      <c r="L86" s="46"/>
      <c r="M86" s="46"/>
      <c r="N86" s="46"/>
      <c r="O86" s="46"/>
      <c r="P86" s="46"/>
      <c r="Q86" s="46"/>
      <c r="R86" s="46"/>
      <c r="S86" s="46"/>
      <c r="T86" s="46"/>
      <c r="U86" s="46"/>
    </row>
    <row r="87" spans="1:21" x14ac:dyDescent="0.25">
      <c r="A87" s="46"/>
      <c r="B87" s="46"/>
      <c r="C87" s="46"/>
      <c r="D87" s="46"/>
      <c r="E87" s="46"/>
      <c r="F87" s="46"/>
      <c r="G87" s="46"/>
      <c r="H87" s="46"/>
      <c r="I87" s="46"/>
      <c r="J87" s="46"/>
      <c r="K87" s="46"/>
      <c r="L87" s="46"/>
      <c r="M87" s="46"/>
      <c r="N87" s="46"/>
      <c r="O87" s="46"/>
      <c r="P87" s="46"/>
      <c r="Q87" s="46"/>
      <c r="R87" s="46"/>
      <c r="S87" s="46"/>
      <c r="T87" s="46"/>
      <c r="U87" s="46"/>
    </row>
    <row r="88" spans="1:21" x14ac:dyDescent="0.25">
      <c r="A88" s="46"/>
      <c r="B88" s="46"/>
      <c r="C88" s="46"/>
      <c r="D88" s="46"/>
      <c r="E88" s="46"/>
      <c r="F88" s="46"/>
      <c r="G88" s="46"/>
      <c r="H88" s="46"/>
      <c r="I88" s="46"/>
      <c r="J88" s="46"/>
      <c r="K88" s="46"/>
      <c r="L88" s="46"/>
      <c r="M88" s="46"/>
      <c r="N88" s="46"/>
      <c r="O88" s="46"/>
      <c r="P88" s="46"/>
      <c r="Q88" s="46"/>
      <c r="R88" s="46"/>
      <c r="S88" s="46"/>
      <c r="T88" s="46"/>
      <c r="U88" s="46"/>
    </row>
    <row r="89" spans="1:21" x14ac:dyDescent="0.25">
      <c r="A89" s="46"/>
      <c r="B89" s="46"/>
      <c r="C89" s="46"/>
      <c r="D89" s="46"/>
      <c r="E89" s="46"/>
      <c r="F89" s="46"/>
      <c r="G89" s="46"/>
      <c r="H89" s="46"/>
      <c r="I89" s="46"/>
      <c r="J89" s="46"/>
      <c r="K89" s="46"/>
      <c r="L89" s="46"/>
      <c r="M89" s="46"/>
      <c r="N89" s="46"/>
      <c r="O89" s="46"/>
      <c r="P89" s="46"/>
      <c r="Q89" s="46"/>
      <c r="R89" s="46"/>
      <c r="S89" s="46"/>
      <c r="T89" s="46"/>
      <c r="U89" s="46"/>
    </row>
    <row r="90" spans="1:21" x14ac:dyDescent="0.25">
      <c r="A90" s="46"/>
      <c r="B90" s="46"/>
      <c r="C90" s="46"/>
      <c r="D90" s="46"/>
      <c r="E90" s="46"/>
      <c r="F90" s="46"/>
      <c r="G90" s="46"/>
      <c r="H90" s="46"/>
      <c r="I90" s="46"/>
      <c r="J90" s="46"/>
      <c r="K90" s="46"/>
      <c r="L90" s="46"/>
      <c r="M90" s="46"/>
      <c r="N90" s="46"/>
      <c r="O90" s="46"/>
      <c r="P90" s="46"/>
      <c r="Q90" s="46"/>
      <c r="R90" s="46"/>
      <c r="S90" s="46"/>
      <c r="T90" s="46"/>
      <c r="U90" s="46"/>
    </row>
    <row r="91" spans="1:21" x14ac:dyDescent="0.25">
      <c r="A91" s="46"/>
      <c r="B91" s="46"/>
      <c r="C91" s="46"/>
      <c r="D91" s="46"/>
      <c r="E91" s="46"/>
      <c r="F91" s="46"/>
      <c r="G91" s="46"/>
      <c r="H91" s="46"/>
      <c r="I91" s="46"/>
      <c r="J91" s="46"/>
      <c r="K91" s="46"/>
      <c r="L91" s="46"/>
      <c r="M91" s="46"/>
      <c r="N91" s="46"/>
      <c r="O91" s="46"/>
      <c r="P91" s="46"/>
      <c r="Q91" s="46"/>
      <c r="R91" s="46"/>
      <c r="S91" s="46"/>
      <c r="T91" s="46"/>
      <c r="U91" s="46"/>
    </row>
    <row r="92" spans="1:21" x14ac:dyDescent="0.25">
      <c r="A92" s="46"/>
      <c r="B92" s="46"/>
      <c r="C92" s="46"/>
      <c r="D92" s="46"/>
      <c r="E92" s="46"/>
      <c r="F92" s="46"/>
      <c r="G92" s="46"/>
      <c r="H92" s="46"/>
      <c r="I92" s="46"/>
      <c r="J92" s="46"/>
      <c r="K92" s="46"/>
      <c r="L92" s="46"/>
      <c r="M92" s="46"/>
      <c r="N92" s="46"/>
      <c r="O92" s="46"/>
      <c r="P92" s="46"/>
      <c r="Q92" s="46"/>
      <c r="R92" s="46"/>
      <c r="S92" s="46"/>
      <c r="T92" s="46"/>
      <c r="U92" s="46"/>
    </row>
    <row r="93" spans="1:21" x14ac:dyDescent="0.25">
      <c r="A93" s="46"/>
      <c r="B93" s="46"/>
      <c r="C93" s="46"/>
      <c r="D93" s="46"/>
      <c r="E93" s="46"/>
      <c r="F93" s="46"/>
      <c r="G93" s="46"/>
      <c r="H93" s="46"/>
      <c r="I93" s="46"/>
      <c r="J93" s="46"/>
      <c r="K93" s="46"/>
      <c r="L93" s="46"/>
      <c r="M93" s="46"/>
      <c r="N93" s="46"/>
      <c r="O93" s="46"/>
      <c r="P93" s="46"/>
      <c r="Q93" s="46"/>
      <c r="R93" s="46"/>
      <c r="S93" s="46"/>
      <c r="T93" s="46"/>
      <c r="U93" s="46"/>
    </row>
    <row r="94" spans="1:21" x14ac:dyDescent="0.25">
      <c r="A94" s="46"/>
      <c r="B94" s="46"/>
      <c r="C94" s="46"/>
      <c r="D94" s="46"/>
      <c r="E94" s="46"/>
      <c r="F94" s="46"/>
      <c r="G94" s="46"/>
      <c r="H94" s="46"/>
      <c r="I94" s="46"/>
      <c r="J94" s="46"/>
      <c r="K94" s="46"/>
      <c r="L94" s="46"/>
      <c r="M94" s="46"/>
      <c r="N94" s="46"/>
      <c r="O94" s="46"/>
      <c r="P94" s="46"/>
      <c r="Q94" s="46"/>
      <c r="R94" s="46"/>
      <c r="S94" s="46"/>
      <c r="T94" s="46"/>
      <c r="U94" s="46"/>
    </row>
    <row r="95" spans="1:21" x14ac:dyDescent="0.25">
      <c r="A95" s="46"/>
      <c r="B95" s="46"/>
      <c r="C95" s="46"/>
      <c r="D95" s="46"/>
      <c r="E95" s="46"/>
      <c r="F95" s="46"/>
      <c r="G95" s="46"/>
      <c r="H95" s="46"/>
      <c r="I95" s="46"/>
      <c r="J95" s="46"/>
      <c r="K95" s="46"/>
      <c r="L95" s="46"/>
      <c r="M95" s="46"/>
      <c r="N95" s="46"/>
      <c r="O95" s="46"/>
      <c r="P95" s="46"/>
      <c r="Q95" s="46"/>
      <c r="R95" s="46"/>
      <c r="S95" s="46"/>
      <c r="T95" s="46"/>
      <c r="U95" s="46"/>
    </row>
    <row r="96" spans="1:21" x14ac:dyDescent="0.25">
      <c r="A96" s="46"/>
      <c r="B96" s="46"/>
      <c r="C96" s="46"/>
      <c r="D96" s="46"/>
      <c r="E96" s="46"/>
      <c r="F96" s="46"/>
      <c r="G96" s="46"/>
      <c r="H96" s="46"/>
      <c r="I96" s="46"/>
      <c r="J96" s="46"/>
      <c r="K96" s="46"/>
      <c r="L96" s="46"/>
      <c r="M96" s="46"/>
      <c r="N96" s="46"/>
      <c r="O96" s="46"/>
      <c r="P96" s="46"/>
      <c r="Q96" s="46"/>
      <c r="R96" s="46"/>
      <c r="S96" s="46"/>
      <c r="T96" s="46"/>
      <c r="U96" s="46"/>
    </row>
    <row r="97" spans="1:21" x14ac:dyDescent="0.25">
      <c r="A97" s="46"/>
      <c r="B97" s="46"/>
      <c r="C97" s="46"/>
      <c r="D97" s="46"/>
      <c r="E97" s="46"/>
      <c r="F97" s="46"/>
      <c r="G97" s="46"/>
      <c r="H97" s="46"/>
      <c r="I97" s="46"/>
      <c r="J97" s="46"/>
      <c r="K97" s="46"/>
      <c r="L97" s="46"/>
      <c r="M97" s="46"/>
      <c r="N97" s="46"/>
      <c r="O97" s="46"/>
      <c r="P97" s="46"/>
      <c r="Q97" s="46"/>
      <c r="R97" s="46"/>
      <c r="S97" s="46"/>
      <c r="T97" s="46"/>
      <c r="U97" s="46"/>
    </row>
    <row r="98" spans="1:21" x14ac:dyDescent="0.25">
      <c r="A98" s="46"/>
      <c r="B98" s="46"/>
      <c r="C98" s="46"/>
      <c r="D98" s="46"/>
      <c r="E98" s="46"/>
      <c r="F98" s="46"/>
      <c r="G98" s="46"/>
      <c r="H98" s="46"/>
      <c r="I98" s="46"/>
      <c r="J98" s="46"/>
      <c r="K98" s="46"/>
      <c r="L98" s="46"/>
      <c r="M98" s="46"/>
      <c r="N98" s="46"/>
      <c r="O98" s="46"/>
      <c r="P98" s="46"/>
      <c r="Q98" s="46"/>
      <c r="R98" s="46"/>
      <c r="S98" s="46"/>
      <c r="T98" s="46"/>
      <c r="U98" s="46"/>
    </row>
    <row r="99" spans="1:21" x14ac:dyDescent="0.25">
      <c r="A99" s="46"/>
      <c r="B99" s="46"/>
      <c r="C99" s="46"/>
      <c r="D99" s="46"/>
      <c r="E99" s="46"/>
      <c r="F99" s="46"/>
      <c r="G99" s="46"/>
      <c r="H99" s="46"/>
      <c r="I99" s="46"/>
      <c r="J99" s="46"/>
      <c r="K99" s="46"/>
      <c r="L99" s="46"/>
      <c r="M99" s="46"/>
      <c r="N99" s="46"/>
      <c r="O99" s="46"/>
      <c r="P99" s="46"/>
      <c r="Q99" s="46"/>
      <c r="R99" s="46"/>
      <c r="S99" s="46"/>
      <c r="T99" s="46"/>
      <c r="U99" s="46"/>
    </row>
    <row r="100" spans="1:21" x14ac:dyDescent="0.25">
      <c r="A100" s="46"/>
      <c r="B100" s="46"/>
      <c r="C100" s="46"/>
      <c r="D100" s="46"/>
      <c r="E100" s="46"/>
      <c r="F100" s="46"/>
      <c r="G100" s="46"/>
      <c r="H100" s="46"/>
      <c r="I100" s="46"/>
      <c r="J100" s="46"/>
      <c r="K100" s="46"/>
      <c r="L100" s="46"/>
      <c r="M100" s="46"/>
      <c r="N100" s="46"/>
      <c r="O100" s="46"/>
      <c r="P100" s="46"/>
      <c r="Q100" s="46"/>
      <c r="R100" s="46"/>
      <c r="S100" s="46"/>
      <c r="T100" s="46"/>
      <c r="U100" s="46"/>
    </row>
    <row r="101" spans="1:21" x14ac:dyDescent="0.25">
      <c r="A101" s="46"/>
      <c r="B101" s="46"/>
      <c r="C101" s="46"/>
      <c r="D101" s="46"/>
      <c r="E101" s="46"/>
      <c r="F101" s="46"/>
      <c r="G101" s="46"/>
      <c r="H101" s="46"/>
      <c r="I101" s="46"/>
      <c r="J101" s="46"/>
      <c r="K101" s="46"/>
      <c r="L101" s="46"/>
      <c r="M101" s="46"/>
      <c r="N101" s="46"/>
      <c r="O101" s="46"/>
      <c r="P101" s="46"/>
      <c r="Q101" s="46"/>
      <c r="R101" s="46"/>
      <c r="S101" s="46"/>
      <c r="T101" s="46"/>
      <c r="U101" s="46"/>
    </row>
    <row r="102" spans="1:21" x14ac:dyDescent="0.25">
      <c r="A102" s="46"/>
      <c r="B102" s="46"/>
      <c r="C102" s="46"/>
      <c r="D102" s="46"/>
      <c r="E102" s="46"/>
      <c r="F102" s="46"/>
      <c r="G102" s="46"/>
      <c r="H102" s="46"/>
      <c r="I102" s="46"/>
      <c r="J102" s="46"/>
      <c r="K102" s="46"/>
      <c r="L102" s="46"/>
      <c r="M102" s="46"/>
      <c r="N102" s="46"/>
      <c r="O102" s="46"/>
      <c r="P102" s="46"/>
      <c r="Q102" s="46"/>
      <c r="R102" s="46"/>
      <c r="S102" s="46"/>
      <c r="T102" s="46"/>
      <c r="U102" s="46"/>
    </row>
    <row r="103" spans="1:21" x14ac:dyDescent="0.25">
      <c r="A103" s="46"/>
      <c r="B103" s="46"/>
      <c r="C103" s="46"/>
      <c r="D103" s="46"/>
      <c r="E103" s="46"/>
      <c r="F103" s="46"/>
      <c r="G103" s="46"/>
      <c r="H103" s="46"/>
      <c r="I103" s="46"/>
      <c r="J103" s="46"/>
      <c r="K103" s="46"/>
      <c r="L103" s="46"/>
      <c r="M103" s="46"/>
      <c r="N103" s="46"/>
      <c r="O103" s="46"/>
      <c r="P103" s="46"/>
      <c r="Q103" s="46"/>
      <c r="R103" s="46"/>
      <c r="S103" s="46"/>
      <c r="T103" s="46"/>
      <c r="U103" s="46"/>
    </row>
    <row r="104" spans="1:21" x14ac:dyDescent="0.25">
      <c r="A104" s="46"/>
      <c r="B104" s="46"/>
      <c r="C104" s="46"/>
      <c r="D104" s="46"/>
      <c r="E104" s="46"/>
      <c r="F104" s="46"/>
      <c r="G104" s="46"/>
      <c r="H104" s="46"/>
      <c r="I104" s="46"/>
      <c r="J104" s="46"/>
      <c r="K104" s="46"/>
      <c r="L104" s="46"/>
      <c r="M104" s="46"/>
      <c r="N104" s="46"/>
      <c r="O104" s="46"/>
      <c r="P104" s="46"/>
      <c r="Q104" s="46"/>
      <c r="R104" s="46"/>
      <c r="S104" s="46"/>
      <c r="T104" s="46"/>
      <c r="U104" s="46"/>
    </row>
    <row r="105" spans="1:21" x14ac:dyDescent="0.25">
      <c r="A105" s="46"/>
      <c r="B105" s="46"/>
      <c r="C105" s="46"/>
      <c r="D105" s="46"/>
      <c r="E105" s="46"/>
      <c r="F105" s="46"/>
      <c r="G105" s="46"/>
      <c r="H105" s="46"/>
      <c r="I105" s="46"/>
      <c r="J105" s="46"/>
      <c r="K105" s="46"/>
      <c r="L105" s="46"/>
      <c r="M105" s="46"/>
      <c r="N105" s="46"/>
      <c r="O105" s="46"/>
      <c r="P105" s="46"/>
      <c r="Q105" s="46"/>
      <c r="R105" s="46"/>
      <c r="S105" s="46"/>
      <c r="T105" s="46"/>
      <c r="U105" s="46"/>
    </row>
    <row r="106" spans="1:21" x14ac:dyDescent="0.25">
      <c r="A106" s="46"/>
      <c r="B106" s="46"/>
      <c r="C106" s="46"/>
      <c r="D106" s="46"/>
      <c r="E106" s="46"/>
      <c r="F106" s="46"/>
      <c r="G106" s="46"/>
      <c r="H106" s="46"/>
      <c r="I106" s="46"/>
      <c r="J106" s="46"/>
      <c r="K106" s="46"/>
      <c r="L106" s="46"/>
      <c r="M106" s="46"/>
      <c r="N106" s="46"/>
      <c r="O106" s="46"/>
      <c r="P106" s="46"/>
      <c r="Q106" s="46"/>
      <c r="R106" s="46"/>
      <c r="S106" s="46"/>
      <c r="T106" s="46"/>
      <c r="U106" s="46"/>
    </row>
    <row r="107" spans="1:21" x14ac:dyDescent="0.25">
      <c r="A107" s="46"/>
      <c r="B107" s="46"/>
      <c r="C107" s="46"/>
      <c r="D107" s="46"/>
      <c r="E107" s="46"/>
      <c r="F107" s="46"/>
      <c r="G107" s="46"/>
      <c r="H107" s="46"/>
      <c r="I107" s="46"/>
      <c r="J107" s="46"/>
      <c r="K107" s="46"/>
      <c r="L107" s="46"/>
      <c r="M107" s="46"/>
      <c r="N107" s="46"/>
      <c r="O107" s="46"/>
      <c r="P107" s="46"/>
      <c r="Q107" s="46"/>
      <c r="R107" s="46"/>
      <c r="S107" s="46"/>
      <c r="T107" s="46"/>
      <c r="U107" s="46"/>
    </row>
    <row r="108" spans="1:21" x14ac:dyDescent="0.25">
      <c r="A108" s="46"/>
      <c r="B108" s="46"/>
      <c r="C108" s="46"/>
      <c r="D108" s="46"/>
      <c r="E108" s="46"/>
      <c r="F108" s="46"/>
      <c r="G108" s="46"/>
      <c r="H108" s="46"/>
      <c r="I108" s="46"/>
      <c r="J108" s="46"/>
      <c r="K108" s="46"/>
      <c r="L108" s="46"/>
      <c r="M108" s="46"/>
      <c r="N108" s="46"/>
      <c r="O108" s="46"/>
      <c r="P108" s="46"/>
      <c r="Q108" s="46"/>
      <c r="R108" s="46"/>
      <c r="S108" s="46"/>
      <c r="T108" s="46"/>
      <c r="U108" s="46"/>
    </row>
    <row r="109" spans="1:21" x14ac:dyDescent="0.25">
      <c r="A109" s="46"/>
      <c r="B109" s="46"/>
      <c r="C109" s="46"/>
      <c r="D109" s="46"/>
      <c r="E109" s="46"/>
      <c r="F109" s="46"/>
      <c r="G109" s="46"/>
      <c r="H109" s="46"/>
      <c r="I109" s="46"/>
      <c r="J109" s="46"/>
      <c r="K109" s="46"/>
      <c r="L109" s="46"/>
      <c r="M109" s="46"/>
      <c r="N109" s="46"/>
      <c r="O109" s="46"/>
      <c r="P109" s="46"/>
      <c r="Q109" s="46"/>
      <c r="R109" s="46"/>
      <c r="S109" s="46"/>
      <c r="T109" s="46"/>
      <c r="U109" s="46"/>
    </row>
    <row r="110" spans="1:21" x14ac:dyDescent="0.25">
      <c r="A110" s="46"/>
      <c r="B110" s="46"/>
      <c r="C110" s="46"/>
      <c r="D110" s="46"/>
      <c r="E110" s="46"/>
      <c r="F110" s="46"/>
      <c r="G110" s="46"/>
      <c r="H110" s="46"/>
      <c r="I110" s="46"/>
      <c r="J110" s="46"/>
      <c r="K110" s="46"/>
      <c r="L110" s="46"/>
      <c r="M110" s="46"/>
      <c r="N110" s="46"/>
      <c r="O110" s="46"/>
      <c r="P110" s="46"/>
      <c r="Q110" s="46"/>
      <c r="R110" s="46"/>
      <c r="S110" s="46"/>
      <c r="T110" s="46"/>
      <c r="U110" s="46"/>
    </row>
    <row r="111" spans="1:21" x14ac:dyDescent="0.25">
      <c r="A111" s="46"/>
      <c r="B111" s="46"/>
      <c r="C111" s="46"/>
      <c r="D111" s="46"/>
      <c r="E111" s="46"/>
      <c r="F111" s="46"/>
      <c r="G111" s="46"/>
      <c r="H111" s="46"/>
      <c r="I111" s="46"/>
      <c r="J111" s="46"/>
      <c r="K111" s="46"/>
      <c r="L111" s="46"/>
      <c r="M111" s="46"/>
      <c r="N111" s="46"/>
      <c r="O111" s="46"/>
      <c r="P111" s="46"/>
      <c r="Q111" s="46"/>
      <c r="R111" s="46"/>
      <c r="S111" s="46"/>
      <c r="T111" s="46"/>
      <c r="U111" s="46"/>
    </row>
    <row r="112" spans="1:21" x14ac:dyDescent="0.25">
      <c r="A112" s="46"/>
      <c r="B112" s="46"/>
      <c r="C112" s="46"/>
      <c r="D112" s="46"/>
      <c r="E112" s="46"/>
      <c r="F112" s="46"/>
      <c r="G112" s="46"/>
      <c r="H112" s="46"/>
      <c r="I112" s="46"/>
      <c r="J112" s="46"/>
      <c r="K112" s="46"/>
      <c r="L112" s="46"/>
      <c r="M112" s="46"/>
      <c r="N112" s="46"/>
      <c r="O112" s="46"/>
      <c r="P112" s="46"/>
      <c r="Q112" s="46"/>
      <c r="R112" s="46"/>
      <c r="S112" s="46"/>
      <c r="T112" s="46"/>
      <c r="U112" s="46"/>
    </row>
    <row r="113" spans="1:21" x14ac:dyDescent="0.25">
      <c r="A113" s="46"/>
      <c r="B113" s="46"/>
      <c r="C113" s="46"/>
      <c r="D113" s="46"/>
      <c r="E113" s="46"/>
      <c r="F113" s="46"/>
      <c r="G113" s="46"/>
      <c r="H113" s="46"/>
      <c r="I113" s="46"/>
      <c r="J113" s="46"/>
      <c r="K113" s="46"/>
      <c r="L113" s="46"/>
      <c r="M113" s="46"/>
      <c r="N113" s="46"/>
      <c r="O113" s="46"/>
      <c r="P113" s="46"/>
      <c r="Q113" s="46"/>
      <c r="R113" s="46"/>
      <c r="S113" s="46"/>
      <c r="T113" s="46"/>
      <c r="U113" s="46"/>
    </row>
    <row r="114" spans="1:21" x14ac:dyDescent="0.25">
      <c r="A114" s="46"/>
      <c r="B114" s="46"/>
      <c r="C114" s="46"/>
      <c r="D114" s="46"/>
      <c r="E114" s="46"/>
      <c r="F114" s="46"/>
      <c r="G114" s="46"/>
      <c r="H114" s="46"/>
      <c r="I114" s="46"/>
      <c r="J114" s="46"/>
      <c r="K114" s="46"/>
      <c r="L114" s="46"/>
      <c r="M114" s="46"/>
      <c r="N114" s="46"/>
      <c r="O114" s="46"/>
      <c r="P114" s="46"/>
      <c r="Q114" s="46"/>
      <c r="R114" s="46"/>
      <c r="S114" s="46"/>
      <c r="T114" s="46"/>
      <c r="U114" s="46"/>
    </row>
    <row r="115" spans="1:21" x14ac:dyDescent="0.25">
      <c r="A115" s="46"/>
      <c r="B115" s="46"/>
      <c r="C115" s="46"/>
      <c r="D115" s="46"/>
      <c r="E115" s="46"/>
      <c r="F115" s="46"/>
      <c r="G115" s="46"/>
      <c r="H115" s="46"/>
      <c r="I115" s="46"/>
      <c r="J115" s="46"/>
      <c r="K115" s="46"/>
      <c r="L115" s="46"/>
      <c r="M115" s="46"/>
      <c r="N115" s="46"/>
      <c r="O115" s="46"/>
      <c r="P115" s="46"/>
      <c r="Q115" s="46"/>
      <c r="R115" s="46"/>
      <c r="S115" s="46"/>
      <c r="T115" s="46"/>
      <c r="U115" s="46"/>
    </row>
    <row r="116" spans="1:21" x14ac:dyDescent="0.25">
      <c r="A116" s="46"/>
      <c r="B116" s="46"/>
      <c r="C116" s="46"/>
      <c r="D116" s="46"/>
      <c r="E116" s="46"/>
      <c r="F116" s="46"/>
      <c r="G116" s="46"/>
      <c r="H116" s="46"/>
      <c r="I116" s="46"/>
      <c r="J116" s="46"/>
      <c r="K116" s="46"/>
      <c r="L116" s="46"/>
      <c r="M116" s="46"/>
      <c r="N116" s="46"/>
      <c r="O116" s="46"/>
      <c r="P116" s="46"/>
      <c r="Q116" s="46"/>
      <c r="R116" s="46"/>
      <c r="S116" s="46"/>
      <c r="T116" s="46"/>
      <c r="U116" s="46"/>
    </row>
    <row r="117" spans="1:21" x14ac:dyDescent="0.25">
      <c r="A117" s="46"/>
      <c r="B117" s="46"/>
      <c r="C117" s="46"/>
      <c r="D117" s="46"/>
      <c r="E117" s="46"/>
      <c r="F117" s="46"/>
      <c r="G117" s="46"/>
      <c r="H117" s="46"/>
      <c r="I117" s="46"/>
      <c r="J117" s="46"/>
      <c r="K117" s="46"/>
      <c r="L117" s="46"/>
      <c r="M117" s="46"/>
      <c r="N117" s="46"/>
      <c r="O117" s="46"/>
      <c r="P117" s="46"/>
      <c r="Q117" s="46"/>
      <c r="R117" s="46"/>
      <c r="S117" s="46"/>
      <c r="T117" s="46"/>
      <c r="U117" s="46"/>
    </row>
    <row r="118" spans="1:21" x14ac:dyDescent="0.25">
      <c r="A118" s="46"/>
      <c r="B118" s="46"/>
      <c r="C118" s="46"/>
      <c r="D118" s="46"/>
      <c r="E118" s="46"/>
      <c r="F118" s="46"/>
      <c r="G118" s="46"/>
      <c r="H118" s="46"/>
      <c r="I118" s="46"/>
      <c r="J118" s="46"/>
      <c r="K118" s="46"/>
      <c r="L118" s="46"/>
      <c r="M118" s="46"/>
      <c r="N118" s="46"/>
      <c r="O118" s="46"/>
      <c r="P118" s="46"/>
      <c r="Q118" s="46"/>
      <c r="R118" s="46"/>
      <c r="S118" s="46"/>
      <c r="T118" s="46"/>
      <c r="U118" s="46"/>
    </row>
    <row r="119" spans="1:21" x14ac:dyDescent="0.25">
      <c r="A119" s="46"/>
      <c r="B119" s="46"/>
      <c r="C119" s="46"/>
      <c r="D119" s="46"/>
      <c r="E119" s="46"/>
      <c r="F119" s="46"/>
      <c r="G119" s="46"/>
      <c r="H119" s="46"/>
      <c r="I119" s="46"/>
      <c r="J119" s="46"/>
      <c r="K119" s="46"/>
      <c r="L119" s="46"/>
      <c r="M119" s="46"/>
      <c r="N119" s="46"/>
      <c r="O119" s="46"/>
      <c r="P119" s="46"/>
      <c r="Q119" s="46"/>
      <c r="R119" s="46"/>
      <c r="S119" s="46"/>
      <c r="T119" s="46"/>
      <c r="U119" s="46"/>
    </row>
    <row r="120" spans="1:21" x14ac:dyDescent="0.25">
      <c r="A120" s="46"/>
      <c r="B120" s="46"/>
      <c r="C120" s="46"/>
      <c r="D120" s="46"/>
      <c r="E120" s="46"/>
      <c r="F120" s="46"/>
      <c r="G120" s="46"/>
      <c r="H120" s="46"/>
      <c r="I120" s="46"/>
      <c r="J120" s="46"/>
      <c r="K120" s="46"/>
      <c r="L120" s="46"/>
      <c r="M120" s="46"/>
      <c r="N120" s="46"/>
      <c r="O120" s="46"/>
      <c r="P120" s="46"/>
      <c r="Q120" s="46"/>
      <c r="R120" s="46"/>
      <c r="S120" s="46"/>
      <c r="T120" s="46"/>
      <c r="U120" s="46"/>
    </row>
    <row r="121" spans="1:21" x14ac:dyDescent="0.25">
      <c r="A121" s="46"/>
      <c r="B121" s="46"/>
      <c r="C121" s="46"/>
      <c r="D121" s="46"/>
      <c r="E121" s="46"/>
      <c r="F121" s="46"/>
      <c r="G121" s="46"/>
      <c r="H121" s="46"/>
      <c r="I121" s="46"/>
      <c r="J121" s="46"/>
      <c r="K121" s="46"/>
      <c r="L121" s="46"/>
      <c r="M121" s="46"/>
      <c r="N121" s="46"/>
      <c r="O121" s="46"/>
      <c r="P121" s="46"/>
      <c r="Q121" s="46"/>
      <c r="R121" s="46"/>
      <c r="S121" s="46"/>
      <c r="T121" s="46"/>
      <c r="U121" s="46"/>
    </row>
    <row r="122" spans="1:21" x14ac:dyDescent="0.25">
      <c r="A122" s="46"/>
      <c r="B122" s="46"/>
      <c r="C122" s="46"/>
      <c r="D122" s="46"/>
      <c r="E122" s="46"/>
      <c r="F122" s="46"/>
      <c r="G122" s="46"/>
      <c r="H122" s="46"/>
      <c r="I122" s="46"/>
      <c r="J122" s="46"/>
      <c r="K122" s="46"/>
      <c r="L122" s="46"/>
      <c r="M122" s="46"/>
      <c r="N122" s="46"/>
      <c r="O122" s="46"/>
      <c r="P122" s="46"/>
      <c r="Q122" s="46"/>
      <c r="R122" s="46"/>
      <c r="S122" s="46"/>
      <c r="T122" s="46"/>
      <c r="U122" s="46"/>
    </row>
    <row r="123" spans="1:21" x14ac:dyDescent="0.25">
      <c r="A123" s="46"/>
      <c r="B123" s="46"/>
      <c r="C123" s="46"/>
      <c r="D123" s="46"/>
      <c r="E123" s="46"/>
      <c r="F123" s="46"/>
      <c r="G123" s="46"/>
      <c r="H123" s="46"/>
      <c r="I123" s="46"/>
      <c r="J123" s="46"/>
      <c r="K123" s="46"/>
      <c r="L123" s="46"/>
      <c r="M123" s="46"/>
      <c r="N123" s="46"/>
      <c r="O123" s="46"/>
      <c r="P123" s="46"/>
      <c r="Q123" s="46"/>
      <c r="R123" s="46"/>
      <c r="S123" s="46"/>
      <c r="T123" s="46"/>
      <c r="U123" s="46"/>
    </row>
    <row r="124" spans="1:21" x14ac:dyDescent="0.25">
      <c r="A124" s="46"/>
      <c r="B124" s="46"/>
      <c r="C124" s="46"/>
      <c r="D124" s="46"/>
      <c r="E124" s="46"/>
      <c r="F124" s="46"/>
      <c r="G124" s="46"/>
      <c r="H124" s="46"/>
      <c r="I124" s="46"/>
      <c r="J124" s="46"/>
      <c r="K124" s="46"/>
      <c r="L124" s="46"/>
      <c r="M124" s="46"/>
      <c r="N124" s="46"/>
      <c r="O124" s="46"/>
      <c r="P124" s="46"/>
      <c r="Q124" s="46"/>
      <c r="R124" s="46"/>
      <c r="S124" s="46"/>
      <c r="T124" s="46"/>
      <c r="U124" s="46"/>
    </row>
    <row r="125" spans="1:21" x14ac:dyDescent="0.25">
      <c r="A125" s="46"/>
      <c r="B125" s="46"/>
      <c r="C125" s="46"/>
      <c r="D125" s="46"/>
      <c r="E125" s="46"/>
      <c r="F125" s="46"/>
      <c r="G125" s="46"/>
      <c r="H125" s="46"/>
      <c r="I125" s="46"/>
      <c r="J125" s="46"/>
      <c r="K125" s="46"/>
      <c r="L125" s="46"/>
      <c r="M125" s="46"/>
      <c r="N125" s="46"/>
      <c r="O125" s="46"/>
      <c r="P125" s="46"/>
      <c r="Q125" s="46"/>
      <c r="R125" s="46"/>
      <c r="S125" s="46"/>
      <c r="T125" s="46"/>
      <c r="U125" s="46"/>
    </row>
    <row r="126" spans="1:21" x14ac:dyDescent="0.25">
      <c r="A126" s="46"/>
      <c r="B126" s="46"/>
      <c r="C126" s="46"/>
      <c r="D126" s="46"/>
      <c r="E126" s="46"/>
      <c r="F126" s="46"/>
      <c r="G126" s="46"/>
      <c r="H126" s="46"/>
      <c r="I126" s="46"/>
      <c r="J126" s="46"/>
      <c r="K126" s="46"/>
      <c r="L126" s="46"/>
      <c r="M126" s="46"/>
      <c r="N126" s="46"/>
      <c r="O126" s="46"/>
      <c r="P126" s="46"/>
      <c r="Q126" s="46"/>
      <c r="R126" s="46"/>
      <c r="S126" s="46"/>
      <c r="T126" s="46"/>
      <c r="U126" s="46"/>
    </row>
    <row r="127" spans="1:21" x14ac:dyDescent="0.25">
      <c r="A127" s="46"/>
      <c r="B127" s="46"/>
      <c r="C127" s="46"/>
      <c r="D127" s="46"/>
      <c r="E127" s="46"/>
      <c r="F127" s="46"/>
      <c r="G127" s="46"/>
      <c r="H127" s="46"/>
      <c r="I127" s="46"/>
      <c r="J127" s="46"/>
      <c r="K127" s="46"/>
      <c r="L127" s="46"/>
      <c r="M127" s="46"/>
      <c r="N127" s="46"/>
      <c r="O127" s="46"/>
      <c r="P127" s="46"/>
      <c r="Q127" s="46"/>
      <c r="R127" s="46"/>
      <c r="S127" s="46"/>
      <c r="T127" s="46"/>
      <c r="U127" s="46"/>
    </row>
    <row r="128" spans="1:21" x14ac:dyDescent="0.25">
      <c r="A128" s="46"/>
      <c r="B128" s="46"/>
      <c r="C128" s="46"/>
      <c r="D128" s="46"/>
      <c r="E128" s="46"/>
      <c r="F128" s="46"/>
      <c r="G128" s="46"/>
      <c r="H128" s="46"/>
      <c r="I128" s="46"/>
      <c r="J128" s="46"/>
      <c r="K128" s="46"/>
      <c r="L128" s="46"/>
      <c r="M128" s="46"/>
      <c r="N128" s="46"/>
      <c r="O128" s="46"/>
      <c r="P128" s="46"/>
      <c r="Q128" s="46"/>
      <c r="R128" s="46"/>
      <c r="S128" s="46"/>
      <c r="T128" s="46"/>
      <c r="U128" s="46"/>
    </row>
    <row r="129" spans="1:21" x14ac:dyDescent="0.25">
      <c r="A129" s="46"/>
      <c r="B129" s="46"/>
      <c r="C129" s="46"/>
      <c r="D129" s="46"/>
      <c r="E129" s="46"/>
      <c r="F129" s="46"/>
      <c r="G129" s="46"/>
      <c r="H129" s="46"/>
      <c r="I129" s="46"/>
      <c r="J129" s="46"/>
      <c r="K129" s="46"/>
      <c r="L129" s="46"/>
      <c r="M129" s="46"/>
      <c r="N129" s="46"/>
      <c r="O129" s="46"/>
      <c r="P129" s="46"/>
      <c r="Q129" s="46"/>
      <c r="R129" s="46"/>
      <c r="S129" s="46"/>
      <c r="T129" s="46"/>
      <c r="U129" s="46"/>
    </row>
    <row r="130" spans="1:21" x14ac:dyDescent="0.25">
      <c r="A130" s="46"/>
      <c r="B130" s="46"/>
      <c r="C130" s="46"/>
      <c r="D130" s="46"/>
      <c r="E130" s="46"/>
      <c r="F130" s="46"/>
      <c r="G130" s="46"/>
      <c r="H130" s="46"/>
      <c r="I130" s="46"/>
      <c r="J130" s="46"/>
      <c r="K130" s="46"/>
      <c r="L130" s="46"/>
      <c r="M130" s="46"/>
      <c r="N130" s="46"/>
      <c r="O130" s="46"/>
      <c r="P130" s="46"/>
      <c r="Q130" s="46"/>
      <c r="R130" s="46"/>
      <c r="S130" s="46"/>
      <c r="T130" s="46"/>
      <c r="U130" s="46"/>
    </row>
    <row r="131" spans="1:21" x14ac:dyDescent="0.25">
      <c r="A131" s="46"/>
      <c r="B131" s="46"/>
      <c r="C131" s="46"/>
      <c r="D131" s="46"/>
      <c r="E131" s="46"/>
      <c r="F131" s="46"/>
      <c r="G131" s="46"/>
      <c r="H131" s="46"/>
      <c r="I131" s="46"/>
      <c r="J131" s="46"/>
      <c r="K131" s="46"/>
      <c r="L131" s="46"/>
      <c r="M131" s="46"/>
      <c r="N131" s="46"/>
      <c r="O131" s="46"/>
      <c r="P131" s="46"/>
      <c r="Q131" s="46"/>
      <c r="R131" s="46"/>
      <c r="S131" s="46"/>
      <c r="T131" s="46"/>
      <c r="U131" s="46"/>
    </row>
    <row r="132" spans="1:21" x14ac:dyDescent="0.25">
      <c r="A132" s="46"/>
      <c r="B132" s="46"/>
      <c r="C132" s="46"/>
      <c r="D132" s="46"/>
      <c r="E132" s="46"/>
      <c r="F132" s="46"/>
      <c r="G132" s="46"/>
      <c r="H132" s="46"/>
      <c r="I132" s="46"/>
      <c r="J132" s="46"/>
      <c r="K132" s="46"/>
      <c r="L132" s="46"/>
      <c r="M132" s="46"/>
      <c r="N132" s="46"/>
      <c r="O132" s="46"/>
      <c r="P132" s="46"/>
      <c r="Q132" s="46"/>
      <c r="R132" s="46"/>
      <c r="S132" s="46"/>
      <c r="T132" s="46"/>
      <c r="U132" s="46"/>
    </row>
    <row r="133" spans="1:21" x14ac:dyDescent="0.25">
      <c r="A133" s="46"/>
      <c r="B133" s="46"/>
      <c r="C133" s="46"/>
      <c r="D133" s="46"/>
      <c r="E133" s="46"/>
      <c r="F133" s="46"/>
      <c r="G133" s="46"/>
      <c r="H133" s="46"/>
      <c r="I133" s="46"/>
      <c r="J133" s="46"/>
      <c r="K133" s="46"/>
      <c r="L133" s="46"/>
      <c r="M133" s="46"/>
      <c r="N133" s="46"/>
      <c r="O133" s="46"/>
      <c r="P133" s="46"/>
      <c r="Q133" s="46"/>
      <c r="R133" s="46"/>
      <c r="S133" s="46"/>
      <c r="T133" s="46"/>
      <c r="U133" s="46"/>
    </row>
    <row r="134" spans="1:21" x14ac:dyDescent="0.25">
      <c r="A134" s="46"/>
      <c r="B134" s="46"/>
      <c r="C134" s="46"/>
      <c r="D134" s="46"/>
      <c r="E134" s="46"/>
      <c r="F134" s="46"/>
      <c r="G134" s="46"/>
      <c r="H134" s="46"/>
      <c r="I134" s="46"/>
      <c r="J134" s="46"/>
      <c r="K134" s="46"/>
      <c r="L134" s="46"/>
      <c r="M134" s="46"/>
      <c r="N134" s="46"/>
      <c r="O134" s="46"/>
      <c r="P134" s="46"/>
      <c r="Q134" s="46"/>
      <c r="R134" s="46"/>
      <c r="S134" s="46"/>
      <c r="T134" s="46"/>
      <c r="U134" s="46"/>
    </row>
    <row r="135" spans="1:21" x14ac:dyDescent="0.25">
      <c r="A135" s="46"/>
      <c r="B135" s="46"/>
      <c r="C135" s="46"/>
      <c r="D135" s="46"/>
      <c r="E135" s="46"/>
      <c r="F135" s="46"/>
      <c r="G135" s="46"/>
      <c r="H135" s="46"/>
      <c r="I135" s="46"/>
      <c r="J135" s="46"/>
      <c r="K135" s="46"/>
      <c r="L135" s="46"/>
      <c r="M135" s="46"/>
      <c r="N135" s="46"/>
      <c r="O135" s="46"/>
      <c r="P135" s="46"/>
      <c r="Q135" s="46"/>
      <c r="R135" s="46"/>
      <c r="S135" s="46"/>
      <c r="T135" s="46"/>
      <c r="U135" s="46"/>
    </row>
    <row r="136" spans="1:21" x14ac:dyDescent="0.25">
      <c r="A136" s="46"/>
      <c r="B136" s="46"/>
      <c r="C136" s="46"/>
      <c r="D136" s="46"/>
      <c r="E136" s="46"/>
      <c r="F136" s="46"/>
      <c r="G136" s="46"/>
      <c r="H136" s="46"/>
      <c r="I136" s="46"/>
      <c r="J136" s="46"/>
      <c r="K136" s="46"/>
      <c r="L136" s="46"/>
      <c r="M136" s="46"/>
      <c r="N136" s="46"/>
      <c r="O136" s="46"/>
      <c r="P136" s="46"/>
      <c r="Q136" s="46"/>
      <c r="R136" s="46"/>
      <c r="S136" s="46"/>
      <c r="T136" s="46"/>
      <c r="U136" s="46"/>
    </row>
    <row r="137" spans="1:21" x14ac:dyDescent="0.25">
      <c r="A137" s="46"/>
      <c r="B137" s="46"/>
      <c r="C137" s="46"/>
      <c r="D137" s="46"/>
      <c r="E137" s="46"/>
      <c r="F137" s="46"/>
      <c r="G137" s="46"/>
      <c r="H137" s="46"/>
      <c r="I137" s="46"/>
      <c r="J137" s="46"/>
      <c r="K137" s="46"/>
      <c r="L137" s="46"/>
      <c r="M137" s="46"/>
      <c r="N137" s="46"/>
      <c r="O137" s="46"/>
      <c r="P137" s="46"/>
      <c r="Q137" s="46"/>
      <c r="R137" s="46"/>
      <c r="S137" s="46"/>
      <c r="T137" s="46"/>
      <c r="U137" s="46"/>
    </row>
    <row r="138" spans="1:21" x14ac:dyDescent="0.25">
      <c r="A138" s="46"/>
      <c r="B138" s="46"/>
      <c r="C138" s="46"/>
      <c r="D138" s="46"/>
      <c r="E138" s="46"/>
      <c r="F138" s="46"/>
      <c r="G138" s="46"/>
      <c r="H138" s="46"/>
      <c r="I138" s="46"/>
      <c r="J138" s="46"/>
      <c r="K138" s="46"/>
      <c r="L138" s="46"/>
      <c r="M138" s="46"/>
      <c r="N138" s="46"/>
      <c r="O138" s="46"/>
      <c r="P138" s="46"/>
      <c r="Q138" s="46"/>
      <c r="R138" s="46"/>
      <c r="S138" s="46"/>
      <c r="T138" s="46"/>
      <c r="U138" s="46"/>
    </row>
    <row r="139" spans="1:21" x14ac:dyDescent="0.25">
      <c r="A139" s="46"/>
      <c r="B139" s="46"/>
      <c r="C139" s="46"/>
      <c r="D139" s="46"/>
      <c r="E139" s="46"/>
      <c r="F139" s="46"/>
      <c r="G139" s="46"/>
      <c r="H139" s="46"/>
      <c r="I139" s="46"/>
      <c r="J139" s="46"/>
      <c r="K139" s="46"/>
      <c r="L139" s="46"/>
      <c r="M139" s="46"/>
      <c r="N139" s="46"/>
      <c r="O139" s="46"/>
      <c r="P139" s="46"/>
      <c r="Q139" s="46"/>
      <c r="R139" s="46"/>
      <c r="S139" s="46"/>
      <c r="T139" s="46"/>
      <c r="U139" s="46"/>
    </row>
    <row r="140" spans="1:21" x14ac:dyDescent="0.25">
      <c r="A140" s="46"/>
      <c r="B140" s="46"/>
      <c r="C140" s="46"/>
      <c r="D140" s="46"/>
      <c r="E140" s="46"/>
      <c r="F140" s="46"/>
      <c r="G140" s="46"/>
      <c r="H140" s="46"/>
      <c r="I140" s="46"/>
      <c r="J140" s="46"/>
      <c r="K140" s="46"/>
      <c r="L140" s="46"/>
      <c r="M140" s="46"/>
      <c r="N140" s="46"/>
      <c r="O140" s="46"/>
      <c r="P140" s="46"/>
      <c r="Q140" s="46"/>
      <c r="R140" s="46"/>
      <c r="S140" s="46"/>
      <c r="T140" s="46"/>
      <c r="U140" s="46"/>
    </row>
    <row r="141" spans="1:21" x14ac:dyDescent="0.25">
      <c r="A141" s="46"/>
      <c r="B141" s="46"/>
      <c r="C141" s="46"/>
      <c r="D141" s="46"/>
      <c r="E141" s="46"/>
      <c r="F141" s="46"/>
      <c r="G141" s="46"/>
      <c r="H141" s="46"/>
      <c r="I141" s="46"/>
      <c r="J141" s="46"/>
      <c r="K141" s="46"/>
      <c r="L141" s="46"/>
      <c r="M141" s="46"/>
      <c r="N141" s="46"/>
      <c r="O141" s="46"/>
      <c r="P141" s="46"/>
      <c r="Q141" s="46"/>
      <c r="R141" s="46"/>
      <c r="S141" s="46"/>
      <c r="T141" s="46"/>
      <c r="U141" s="46"/>
    </row>
    <row r="142" spans="1:21" x14ac:dyDescent="0.25">
      <c r="A142" s="46"/>
      <c r="B142" s="46"/>
      <c r="C142" s="46"/>
      <c r="D142" s="46"/>
      <c r="E142" s="46"/>
      <c r="F142" s="46"/>
      <c r="G142" s="46"/>
      <c r="H142" s="46"/>
      <c r="I142" s="46"/>
      <c r="J142" s="46"/>
      <c r="K142" s="46"/>
      <c r="L142" s="46"/>
      <c r="M142" s="46"/>
      <c r="N142" s="46"/>
      <c r="O142" s="46"/>
      <c r="P142" s="46"/>
      <c r="Q142" s="46"/>
      <c r="R142" s="46"/>
      <c r="S142" s="46"/>
      <c r="T142" s="46"/>
      <c r="U142" s="46"/>
    </row>
    <row r="143" spans="1:21" x14ac:dyDescent="0.25">
      <c r="A143" s="46"/>
      <c r="B143" s="46"/>
      <c r="C143" s="46"/>
      <c r="D143" s="46"/>
      <c r="E143" s="46"/>
      <c r="F143" s="46"/>
      <c r="G143" s="46"/>
      <c r="H143" s="46"/>
      <c r="I143" s="46"/>
      <c r="J143" s="46"/>
      <c r="K143" s="46"/>
      <c r="L143" s="46"/>
      <c r="M143" s="46"/>
      <c r="N143" s="46"/>
      <c r="O143" s="46"/>
      <c r="P143" s="46"/>
      <c r="Q143" s="46"/>
      <c r="R143" s="46"/>
      <c r="S143" s="46"/>
      <c r="T143" s="46"/>
      <c r="U143" s="46"/>
    </row>
    <row r="144" spans="1:21" x14ac:dyDescent="0.25">
      <c r="A144" s="46"/>
      <c r="B144" s="46"/>
      <c r="C144" s="46"/>
      <c r="D144" s="46"/>
      <c r="E144" s="46"/>
      <c r="F144" s="46"/>
      <c r="G144" s="46"/>
      <c r="H144" s="46"/>
      <c r="I144" s="46"/>
      <c r="J144" s="46"/>
      <c r="K144" s="46"/>
      <c r="L144" s="46"/>
      <c r="M144" s="46"/>
      <c r="N144" s="46"/>
      <c r="O144" s="46"/>
      <c r="P144" s="46"/>
      <c r="Q144" s="46"/>
      <c r="R144" s="46"/>
      <c r="S144" s="46"/>
      <c r="T144" s="46"/>
      <c r="U144" s="46"/>
    </row>
    <row r="145" spans="1:21" x14ac:dyDescent="0.25">
      <c r="A145" s="46"/>
      <c r="B145" s="46"/>
      <c r="C145" s="46"/>
      <c r="D145" s="46"/>
      <c r="E145" s="46"/>
      <c r="F145" s="46"/>
      <c r="G145" s="46"/>
      <c r="H145" s="46"/>
      <c r="I145" s="46"/>
      <c r="J145" s="46"/>
      <c r="K145" s="46"/>
      <c r="L145" s="46"/>
      <c r="M145" s="46"/>
      <c r="N145" s="46"/>
      <c r="O145" s="46"/>
      <c r="P145" s="46"/>
      <c r="Q145" s="46"/>
      <c r="R145" s="46"/>
      <c r="S145" s="46"/>
      <c r="T145" s="46"/>
      <c r="U145" s="46"/>
    </row>
    <row r="146" spans="1:21" x14ac:dyDescent="0.25">
      <c r="A146" s="46"/>
      <c r="B146" s="46"/>
      <c r="C146" s="46"/>
      <c r="D146" s="46"/>
      <c r="E146" s="46"/>
      <c r="F146" s="46"/>
      <c r="G146" s="46"/>
      <c r="H146" s="46"/>
      <c r="I146" s="46"/>
      <c r="J146" s="46"/>
      <c r="K146" s="46"/>
      <c r="L146" s="46"/>
      <c r="M146" s="46"/>
      <c r="N146" s="46"/>
      <c r="O146" s="46"/>
      <c r="P146" s="46"/>
      <c r="Q146" s="46"/>
      <c r="R146" s="46"/>
      <c r="S146" s="46"/>
      <c r="T146" s="46"/>
      <c r="U146" s="46"/>
    </row>
    <row r="147" spans="1:21" x14ac:dyDescent="0.25">
      <c r="A147" s="46"/>
      <c r="B147" s="46"/>
      <c r="C147" s="46"/>
      <c r="D147" s="46"/>
      <c r="E147" s="46"/>
      <c r="F147" s="46"/>
      <c r="G147" s="46"/>
      <c r="H147" s="46"/>
      <c r="I147" s="46"/>
      <c r="J147" s="46"/>
      <c r="K147" s="46"/>
      <c r="L147" s="46"/>
      <c r="M147" s="46"/>
      <c r="N147" s="46"/>
      <c r="O147" s="46"/>
      <c r="P147" s="46"/>
      <c r="Q147" s="46"/>
      <c r="R147" s="46"/>
      <c r="S147" s="46"/>
      <c r="T147" s="46"/>
      <c r="U147" s="46"/>
    </row>
    <row r="148" spans="1:21" x14ac:dyDescent="0.25">
      <c r="A148" s="46"/>
      <c r="B148" s="46"/>
      <c r="C148" s="46"/>
      <c r="D148" s="46"/>
      <c r="E148" s="46"/>
      <c r="F148" s="46"/>
      <c r="G148" s="46"/>
      <c r="H148" s="46"/>
      <c r="I148" s="46"/>
      <c r="J148" s="46"/>
      <c r="K148" s="46"/>
      <c r="L148" s="46"/>
      <c r="M148" s="46"/>
      <c r="N148" s="46"/>
      <c r="O148" s="46"/>
      <c r="P148" s="46"/>
      <c r="Q148" s="46"/>
      <c r="R148" s="46"/>
      <c r="S148" s="46"/>
      <c r="T148" s="46"/>
      <c r="U148" s="46"/>
    </row>
    <row r="149" spans="1:21" x14ac:dyDescent="0.25">
      <c r="A149" s="46"/>
      <c r="B149" s="46"/>
      <c r="C149" s="46"/>
      <c r="D149" s="46"/>
      <c r="E149" s="46"/>
      <c r="F149" s="46"/>
      <c r="G149" s="46"/>
      <c r="H149" s="46"/>
      <c r="I149" s="46"/>
      <c r="J149" s="46"/>
      <c r="K149" s="46"/>
      <c r="L149" s="46"/>
      <c r="M149" s="46"/>
      <c r="N149" s="46"/>
      <c r="O149" s="46"/>
      <c r="P149" s="46"/>
      <c r="Q149" s="46"/>
      <c r="R149" s="46"/>
      <c r="S149" s="46"/>
      <c r="T149" s="46"/>
      <c r="U149" s="46"/>
    </row>
    <row r="150" spans="1:21" x14ac:dyDescent="0.25">
      <c r="A150" s="46"/>
      <c r="B150" s="46"/>
      <c r="C150" s="46"/>
      <c r="D150" s="46"/>
      <c r="E150" s="46"/>
      <c r="F150" s="46"/>
      <c r="G150" s="46"/>
      <c r="H150" s="46"/>
      <c r="I150" s="46"/>
      <c r="J150" s="46"/>
      <c r="K150" s="46"/>
      <c r="L150" s="46"/>
      <c r="M150" s="46"/>
      <c r="N150" s="46"/>
      <c r="O150" s="46"/>
      <c r="P150" s="46"/>
      <c r="Q150" s="46"/>
      <c r="R150" s="46"/>
      <c r="S150" s="46"/>
      <c r="T150" s="46"/>
      <c r="U150" s="46"/>
    </row>
    <row r="151" spans="1:21" x14ac:dyDescent="0.25">
      <c r="A151" s="46"/>
      <c r="B151" s="46"/>
      <c r="C151" s="46"/>
      <c r="D151" s="46"/>
      <c r="E151" s="46"/>
      <c r="F151" s="46"/>
      <c r="G151" s="46"/>
      <c r="H151" s="46"/>
      <c r="I151" s="46"/>
      <c r="J151" s="46"/>
      <c r="K151" s="46"/>
      <c r="L151" s="46"/>
      <c r="M151" s="46"/>
      <c r="N151" s="46"/>
      <c r="O151" s="46"/>
      <c r="P151" s="46"/>
      <c r="Q151" s="46"/>
      <c r="R151" s="46"/>
      <c r="S151" s="46"/>
      <c r="T151" s="46"/>
      <c r="U151" s="46"/>
    </row>
    <row r="152" spans="1:21" x14ac:dyDescent="0.25">
      <c r="A152" s="46"/>
      <c r="B152" s="46"/>
      <c r="C152" s="46"/>
      <c r="D152" s="46"/>
      <c r="E152" s="46"/>
      <c r="F152" s="46"/>
      <c r="G152" s="46"/>
      <c r="H152" s="46"/>
      <c r="I152" s="46"/>
      <c r="J152" s="46"/>
      <c r="K152" s="46"/>
      <c r="L152" s="46"/>
      <c r="M152" s="46"/>
      <c r="N152" s="46"/>
      <c r="O152" s="46"/>
      <c r="P152" s="46"/>
      <c r="Q152" s="46"/>
      <c r="R152" s="46"/>
      <c r="S152" s="46"/>
      <c r="T152" s="46"/>
      <c r="U152" s="46"/>
    </row>
    <row r="153" spans="1:21" x14ac:dyDescent="0.25">
      <c r="A153" s="46"/>
      <c r="B153" s="46"/>
      <c r="C153" s="46"/>
      <c r="D153" s="46"/>
      <c r="E153" s="46"/>
      <c r="F153" s="46"/>
      <c r="G153" s="46"/>
      <c r="H153" s="46"/>
      <c r="I153" s="46"/>
      <c r="J153" s="46"/>
      <c r="K153" s="46"/>
      <c r="L153" s="46"/>
      <c r="M153" s="46"/>
      <c r="N153" s="46"/>
      <c r="O153" s="46"/>
      <c r="P153" s="46"/>
      <c r="Q153" s="46"/>
      <c r="R153" s="46"/>
      <c r="S153" s="46"/>
      <c r="T153" s="46"/>
      <c r="U153" s="46"/>
    </row>
    <row r="154" spans="1:21" x14ac:dyDescent="0.25">
      <c r="A154" s="46"/>
      <c r="B154" s="46"/>
      <c r="C154" s="46"/>
      <c r="D154" s="46"/>
      <c r="E154" s="46"/>
      <c r="F154" s="46"/>
      <c r="G154" s="46"/>
      <c r="H154" s="46"/>
      <c r="I154" s="46"/>
      <c r="J154" s="46"/>
      <c r="K154" s="46"/>
      <c r="L154" s="46"/>
      <c r="M154" s="46"/>
      <c r="N154" s="46"/>
      <c r="O154" s="46"/>
      <c r="P154" s="46"/>
      <c r="Q154" s="46"/>
      <c r="R154" s="46"/>
      <c r="S154" s="46"/>
      <c r="T154" s="46"/>
      <c r="U154" s="46"/>
    </row>
    <row r="155" spans="1:21" x14ac:dyDescent="0.25">
      <c r="A155" s="46"/>
      <c r="B155" s="46"/>
      <c r="C155" s="46"/>
      <c r="D155" s="46"/>
      <c r="E155" s="46"/>
      <c r="F155" s="46"/>
      <c r="G155" s="46"/>
      <c r="H155" s="46"/>
      <c r="I155" s="46"/>
      <c r="J155" s="46"/>
      <c r="K155" s="46"/>
      <c r="L155" s="46"/>
      <c r="M155" s="46"/>
      <c r="N155" s="46"/>
      <c r="O155" s="46"/>
      <c r="P155" s="46"/>
      <c r="Q155" s="46"/>
      <c r="R155" s="46"/>
      <c r="S155" s="46"/>
      <c r="T155" s="46"/>
      <c r="U155" s="46"/>
    </row>
    <row r="156" spans="1:21" x14ac:dyDescent="0.25">
      <c r="A156" s="46"/>
      <c r="B156" s="46"/>
      <c r="C156" s="46"/>
      <c r="D156" s="46"/>
      <c r="E156" s="46"/>
      <c r="F156" s="46"/>
      <c r="G156" s="46"/>
      <c r="H156" s="46"/>
      <c r="I156" s="46"/>
      <c r="J156" s="46"/>
      <c r="K156" s="46"/>
      <c r="L156" s="46"/>
      <c r="M156" s="46"/>
      <c r="N156" s="46"/>
      <c r="O156" s="46"/>
      <c r="P156" s="46"/>
      <c r="Q156" s="46"/>
      <c r="R156" s="46"/>
      <c r="S156" s="46"/>
      <c r="T156" s="46"/>
      <c r="U156" s="46"/>
    </row>
    <row r="157" spans="1:21" x14ac:dyDescent="0.25">
      <c r="A157" s="46"/>
      <c r="B157" s="46"/>
      <c r="C157" s="46"/>
      <c r="D157" s="46"/>
      <c r="E157" s="46"/>
      <c r="F157" s="46"/>
      <c r="G157" s="46"/>
      <c r="H157" s="46"/>
      <c r="I157" s="46"/>
      <c r="J157" s="46"/>
      <c r="K157" s="46"/>
      <c r="L157" s="46"/>
      <c r="M157" s="46"/>
      <c r="N157" s="46"/>
      <c r="O157" s="46"/>
      <c r="P157" s="46"/>
      <c r="Q157" s="46"/>
      <c r="R157" s="46"/>
      <c r="S157" s="46"/>
      <c r="T157" s="46"/>
      <c r="U157" s="46"/>
    </row>
    <row r="158" spans="1:21" x14ac:dyDescent="0.25">
      <c r="A158" s="46"/>
      <c r="B158" s="46"/>
      <c r="C158" s="46"/>
      <c r="D158" s="46"/>
      <c r="E158" s="46"/>
      <c r="F158" s="46"/>
      <c r="G158" s="46"/>
      <c r="H158" s="46"/>
      <c r="I158" s="46"/>
      <c r="J158" s="46"/>
      <c r="K158" s="46"/>
      <c r="L158" s="46"/>
      <c r="M158" s="46"/>
      <c r="N158" s="46"/>
      <c r="O158" s="46"/>
      <c r="P158" s="46"/>
      <c r="Q158" s="46"/>
      <c r="R158" s="46"/>
      <c r="S158" s="46"/>
      <c r="T158" s="46"/>
      <c r="U158" s="46"/>
    </row>
    <row r="159" spans="1:21" x14ac:dyDescent="0.25">
      <c r="A159" s="46"/>
      <c r="B159" s="46"/>
      <c r="C159" s="46"/>
      <c r="D159" s="46"/>
      <c r="E159" s="46"/>
      <c r="F159" s="46"/>
      <c r="G159" s="46"/>
      <c r="H159" s="46"/>
      <c r="I159" s="46"/>
      <c r="J159" s="46"/>
      <c r="K159" s="46"/>
      <c r="L159" s="46"/>
      <c r="M159" s="46"/>
      <c r="N159" s="46"/>
      <c r="O159" s="46"/>
      <c r="P159" s="46"/>
      <c r="Q159" s="46"/>
      <c r="R159" s="46"/>
      <c r="S159" s="46"/>
      <c r="T159" s="46"/>
      <c r="U159" s="46"/>
    </row>
    <row r="160" spans="1:21" x14ac:dyDescent="0.25">
      <c r="A160" s="46"/>
      <c r="B160" s="46"/>
      <c r="C160" s="46"/>
      <c r="D160" s="46"/>
      <c r="E160" s="46"/>
      <c r="F160" s="46"/>
      <c r="G160" s="46"/>
      <c r="H160" s="46"/>
      <c r="I160" s="46"/>
      <c r="J160" s="46"/>
      <c r="K160" s="46"/>
      <c r="L160" s="46"/>
      <c r="M160" s="46"/>
      <c r="N160" s="46"/>
      <c r="O160" s="46"/>
      <c r="P160" s="46"/>
      <c r="Q160" s="46"/>
      <c r="R160" s="46"/>
      <c r="S160" s="46"/>
      <c r="T160" s="46"/>
      <c r="U160" s="46"/>
    </row>
    <row r="161" spans="1:21" x14ac:dyDescent="0.25">
      <c r="A161" s="46"/>
      <c r="B161" s="46"/>
      <c r="C161" s="46"/>
      <c r="D161" s="46"/>
      <c r="E161" s="46"/>
      <c r="F161" s="46"/>
      <c r="G161" s="46"/>
      <c r="H161" s="46"/>
      <c r="I161" s="46"/>
      <c r="J161" s="46"/>
      <c r="K161" s="46"/>
      <c r="L161" s="46"/>
      <c r="M161" s="46"/>
      <c r="N161" s="46"/>
      <c r="O161" s="46"/>
      <c r="P161" s="46"/>
      <c r="Q161" s="46"/>
      <c r="R161" s="46"/>
      <c r="S161" s="46"/>
      <c r="T161" s="46"/>
      <c r="U161" s="46"/>
    </row>
    <row r="162" spans="1:21" x14ac:dyDescent="0.25">
      <c r="A162" s="46"/>
      <c r="B162" s="46"/>
      <c r="C162" s="46"/>
      <c r="D162" s="46"/>
      <c r="E162" s="46"/>
      <c r="F162" s="46"/>
      <c r="G162" s="46"/>
      <c r="H162" s="46"/>
      <c r="I162" s="46"/>
      <c r="J162" s="46"/>
      <c r="K162" s="46"/>
      <c r="L162" s="46"/>
      <c r="M162" s="46"/>
      <c r="N162" s="46"/>
      <c r="O162" s="46"/>
      <c r="P162" s="46"/>
      <c r="Q162" s="46"/>
      <c r="R162" s="46"/>
      <c r="S162" s="46"/>
      <c r="T162" s="46"/>
      <c r="U162" s="46"/>
    </row>
    <row r="163" spans="1:21" x14ac:dyDescent="0.25">
      <c r="A163" s="46"/>
      <c r="B163" s="46"/>
      <c r="C163" s="46"/>
      <c r="D163" s="46"/>
      <c r="E163" s="46"/>
      <c r="F163" s="46"/>
      <c r="G163" s="46"/>
      <c r="H163" s="46"/>
      <c r="I163" s="46"/>
      <c r="J163" s="46"/>
      <c r="K163" s="46"/>
      <c r="L163" s="46"/>
      <c r="M163" s="46"/>
      <c r="N163" s="46"/>
      <c r="O163" s="46"/>
      <c r="P163" s="46"/>
      <c r="Q163" s="46"/>
      <c r="R163" s="46"/>
      <c r="S163" s="46"/>
      <c r="T163" s="46"/>
      <c r="U163" s="46"/>
    </row>
    <row r="164" spans="1:21" x14ac:dyDescent="0.25">
      <c r="A164" s="46"/>
      <c r="B164" s="46"/>
      <c r="C164" s="46"/>
      <c r="D164" s="46"/>
      <c r="E164" s="46"/>
      <c r="F164" s="46"/>
      <c r="G164" s="46"/>
      <c r="H164" s="46"/>
      <c r="I164" s="46"/>
      <c r="J164" s="46"/>
      <c r="K164" s="46"/>
      <c r="L164" s="46"/>
      <c r="M164" s="46"/>
      <c r="N164" s="46"/>
      <c r="O164" s="46"/>
      <c r="P164" s="46"/>
      <c r="Q164" s="46"/>
      <c r="R164" s="46"/>
      <c r="S164" s="46"/>
      <c r="T164" s="46"/>
      <c r="U164" s="46"/>
    </row>
    <row r="165" spans="1:21" x14ac:dyDescent="0.25">
      <c r="A165" s="46"/>
      <c r="B165" s="46"/>
      <c r="C165" s="46"/>
      <c r="D165" s="46"/>
      <c r="E165" s="46"/>
      <c r="F165" s="46"/>
      <c r="G165" s="46"/>
      <c r="H165" s="46"/>
      <c r="I165" s="46"/>
      <c r="J165" s="46"/>
      <c r="K165" s="46"/>
      <c r="L165" s="46"/>
      <c r="M165" s="46"/>
      <c r="N165" s="46"/>
      <c r="O165" s="46"/>
      <c r="P165" s="46"/>
      <c r="Q165" s="46"/>
      <c r="R165" s="46"/>
      <c r="S165" s="46"/>
      <c r="T165" s="46"/>
      <c r="U165" s="46"/>
    </row>
    <row r="166" spans="1:21" x14ac:dyDescent="0.25">
      <c r="A166" s="46"/>
      <c r="B166" s="46"/>
      <c r="C166" s="46"/>
      <c r="D166" s="46"/>
      <c r="E166" s="46"/>
      <c r="F166" s="46"/>
      <c r="G166" s="46"/>
      <c r="H166" s="46"/>
      <c r="I166" s="46"/>
      <c r="J166" s="46"/>
      <c r="K166" s="46"/>
      <c r="L166" s="46"/>
      <c r="M166" s="46"/>
      <c r="N166" s="46"/>
      <c r="O166" s="46"/>
      <c r="P166" s="46"/>
      <c r="Q166" s="46"/>
      <c r="R166" s="46"/>
      <c r="S166" s="46"/>
      <c r="T166" s="46"/>
      <c r="U166" s="46"/>
    </row>
    <row r="167" spans="1:21" x14ac:dyDescent="0.25">
      <c r="A167" s="46"/>
      <c r="B167" s="46"/>
      <c r="C167" s="46"/>
      <c r="D167" s="46"/>
      <c r="E167" s="46"/>
      <c r="F167" s="46"/>
      <c r="G167" s="46"/>
      <c r="H167" s="46"/>
      <c r="I167" s="46"/>
      <c r="J167" s="46"/>
      <c r="K167" s="46"/>
      <c r="L167" s="46"/>
      <c r="M167" s="46"/>
      <c r="N167" s="46"/>
      <c r="O167" s="46"/>
      <c r="P167" s="46"/>
      <c r="Q167" s="46"/>
      <c r="R167" s="46"/>
      <c r="S167" s="46"/>
      <c r="T167" s="46"/>
      <c r="U167" s="46"/>
    </row>
    <row r="168" spans="1:21" x14ac:dyDescent="0.25">
      <c r="A168" s="46"/>
      <c r="B168" s="46"/>
      <c r="C168" s="46"/>
      <c r="D168" s="46"/>
      <c r="E168" s="46"/>
      <c r="F168" s="46"/>
      <c r="G168" s="46"/>
      <c r="H168" s="46"/>
      <c r="I168" s="46"/>
      <c r="J168" s="46"/>
      <c r="K168" s="46"/>
      <c r="L168" s="46"/>
      <c r="M168" s="46"/>
      <c r="N168" s="46"/>
      <c r="O168" s="46"/>
      <c r="P168" s="46"/>
      <c r="Q168" s="46"/>
      <c r="R168" s="46"/>
      <c r="S168" s="46"/>
      <c r="T168" s="46"/>
      <c r="U168" s="46"/>
    </row>
    <row r="169" spans="1:21" x14ac:dyDescent="0.25">
      <c r="A169" s="46"/>
      <c r="B169" s="46"/>
      <c r="C169" s="46"/>
      <c r="D169" s="46"/>
      <c r="E169" s="46"/>
      <c r="F169" s="46"/>
      <c r="G169" s="46"/>
      <c r="H169" s="46"/>
      <c r="I169" s="46"/>
      <c r="J169" s="46"/>
      <c r="K169" s="46"/>
      <c r="L169" s="46"/>
      <c r="M169" s="46"/>
      <c r="N169" s="46"/>
      <c r="O169" s="46"/>
      <c r="P169" s="46"/>
      <c r="Q169" s="46"/>
      <c r="R169" s="46"/>
      <c r="S169" s="46"/>
      <c r="T169" s="46"/>
      <c r="U169" s="46"/>
    </row>
    <row r="170" spans="1:21" x14ac:dyDescent="0.25">
      <c r="A170" s="46"/>
      <c r="B170" s="46"/>
      <c r="C170" s="46"/>
      <c r="D170" s="46"/>
      <c r="E170" s="46"/>
      <c r="F170" s="46"/>
      <c r="G170" s="46"/>
      <c r="H170" s="46"/>
      <c r="I170" s="46"/>
      <c r="J170" s="46"/>
      <c r="K170" s="46"/>
      <c r="L170" s="46"/>
      <c r="M170" s="46"/>
      <c r="N170" s="46"/>
      <c r="O170" s="46"/>
      <c r="P170" s="46"/>
      <c r="Q170" s="46"/>
      <c r="R170" s="46"/>
      <c r="S170" s="46"/>
      <c r="T170" s="46"/>
      <c r="U170" s="46"/>
    </row>
    <row r="171" spans="1:21" x14ac:dyDescent="0.25">
      <c r="A171" s="46"/>
      <c r="B171" s="46"/>
      <c r="C171" s="46"/>
      <c r="D171" s="46"/>
      <c r="E171" s="46"/>
      <c r="F171" s="46"/>
      <c r="G171" s="46"/>
      <c r="H171" s="46"/>
      <c r="I171" s="46"/>
      <c r="J171" s="46"/>
      <c r="K171" s="46"/>
      <c r="L171" s="46"/>
      <c r="M171" s="46"/>
      <c r="N171" s="46"/>
      <c r="O171" s="46"/>
      <c r="P171" s="46"/>
      <c r="Q171" s="46"/>
      <c r="R171" s="46"/>
      <c r="S171" s="46"/>
      <c r="T171" s="46"/>
      <c r="U171" s="46"/>
    </row>
    <row r="172" spans="1:21" x14ac:dyDescent="0.25">
      <c r="A172" s="46"/>
      <c r="B172" s="46"/>
      <c r="C172" s="46"/>
      <c r="D172" s="46"/>
      <c r="E172" s="46"/>
      <c r="F172" s="46"/>
      <c r="G172" s="46"/>
      <c r="H172" s="46"/>
      <c r="I172" s="46"/>
      <c r="J172" s="46"/>
      <c r="K172" s="46"/>
      <c r="L172" s="46"/>
      <c r="M172" s="46"/>
      <c r="N172" s="46"/>
      <c r="O172" s="46"/>
      <c r="P172" s="46"/>
      <c r="Q172" s="46"/>
      <c r="R172" s="46"/>
      <c r="S172" s="46"/>
      <c r="T172" s="46"/>
      <c r="U172" s="46"/>
    </row>
    <row r="173" spans="1:21" x14ac:dyDescent="0.25">
      <c r="A173" s="46"/>
      <c r="B173" s="46"/>
      <c r="C173" s="46"/>
      <c r="D173" s="46"/>
      <c r="E173" s="46"/>
      <c r="F173" s="46"/>
      <c r="G173" s="46"/>
      <c r="H173" s="46"/>
      <c r="I173" s="46"/>
      <c r="J173" s="46"/>
      <c r="K173" s="46"/>
      <c r="L173" s="46"/>
      <c r="M173" s="46"/>
      <c r="N173" s="46"/>
      <c r="O173" s="46"/>
      <c r="P173" s="46"/>
      <c r="Q173" s="46"/>
      <c r="R173" s="46"/>
      <c r="S173" s="46"/>
      <c r="T173" s="46"/>
      <c r="U173" s="46"/>
    </row>
    <row r="174" spans="1:21" x14ac:dyDescent="0.25">
      <c r="A174" s="46"/>
      <c r="B174" s="46"/>
      <c r="C174" s="46"/>
      <c r="D174" s="46"/>
      <c r="E174" s="46"/>
      <c r="F174" s="46"/>
      <c r="G174" s="46"/>
      <c r="H174" s="46"/>
      <c r="I174" s="46"/>
      <c r="J174" s="46"/>
      <c r="K174" s="46"/>
      <c r="L174" s="46"/>
      <c r="M174" s="46"/>
      <c r="N174" s="46"/>
      <c r="O174" s="46"/>
      <c r="P174" s="46"/>
      <c r="Q174" s="46"/>
      <c r="R174" s="46"/>
      <c r="S174" s="46"/>
      <c r="T174" s="46"/>
      <c r="U174" s="46"/>
    </row>
    <row r="175" spans="1:21" x14ac:dyDescent="0.25">
      <c r="A175" s="46"/>
      <c r="B175" s="46"/>
      <c r="C175" s="46"/>
      <c r="D175" s="46"/>
      <c r="E175" s="46"/>
      <c r="F175" s="46"/>
      <c r="G175" s="46"/>
      <c r="H175" s="46"/>
      <c r="I175" s="46"/>
      <c r="J175" s="46"/>
      <c r="K175" s="46"/>
      <c r="L175" s="46"/>
      <c r="M175" s="46"/>
      <c r="N175" s="46"/>
      <c r="O175" s="46"/>
      <c r="P175" s="46"/>
      <c r="Q175" s="46"/>
      <c r="R175" s="46"/>
      <c r="S175" s="46"/>
      <c r="T175" s="46"/>
      <c r="U175" s="46"/>
    </row>
    <row r="176" spans="1:21" x14ac:dyDescent="0.25">
      <c r="A176" s="46"/>
      <c r="B176" s="46"/>
      <c r="C176" s="46"/>
      <c r="D176" s="46"/>
      <c r="E176" s="46"/>
      <c r="F176" s="46"/>
      <c r="G176" s="46"/>
      <c r="H176" s="46"/>
      <c r="I176" s="46"/>
      <c r="J176" s="46"/>
      <c r="K176" s="46"/>
      <c r="L176" s="46"/>
      <c r="M176" s="46"/>
      <c r="N176" s="46"/>
      <c r="O176" s="46"/>
      <c r="P176" s="46"/>
      <c r="Q176" s="46"/>
      <c r="R176" s="46"/>
      <c r="S176" s="46"/>
      <c r="T176" s="46"/>
      <c r="U176" s="46"/>
    </row>
    <row r="177" spans="1:21" x14ac:dyDescent="0.25">
      <c r="A177" s="46"/>
      <c r="B177" s="46"/>
      <c r="C177" s="46"/>
      <c r="D177" s="46"/>
      <c r="E177" s="46"/>
      <c r="F177" s="46"/>
      <c r="G177" s="46"/>
      <c r="H177" s="46"/>
      <c r="I177" s="46"/>
      <c r="J177" s="46"/>
      <c r="K177" s="46"/>
      <c r="L177" s="46"/>
      <c r="M177" s="46"/>
      <c r="N177" s="46"/>
      <c r="O177" s="46"/>
      <c r="P177" s="46"/>
      <c r="Q177" s="46"/>
      <c r="R177" s="46"/>
      <c r="S177" s="46"/>
      <c r="T177" s="46"/>
      <c r="U177" s="46"/>
    </row>
    <row r="178" spans="1:21" x14ac:dyDescent="0.25">
      <c r="A178" s="46"/>
      <c r="B178" s="46"/>
      <c r="C178" s="46"/>
      <c r="D178" s="46"/>
      <c r="E178" s="46"/>
      <c r="F178" s="46"/>
      <c r="G178" s="46"/>
      <c r="H178" s="46"/>
      <c r="I178" s="46"/>
      <c r="J178" s="46"/>
      <c r="K178" s="46"/>
      <c r="L178" s="46"/>
      <c r="M178" s="46"/>
      <c r="N178" s="46"/>
      <c r="O178" s="46"/>
      <c r="P178" s="46"/>
      <c r="Q178" s="46"/>
      <c r="R178" s="46"/>
      <c r="S178" s="46"/>
      <c r="T178" s="46"/>
      <c r="U178" s="46"/>
    </row>
    <row r="179" spans="1:21" x14ac:dyDescent="0.25">
      <c r="A179" s="46"/>
      <c r="B179" s="46"/>
      <c r="C179" s="46"/>
      <c r="D179" s="46"/>
      <c r="E179" s="46"/>
      <c r="F179" s="46"/>
      <c r="G179" s="46"/>
      <c r="H179" s="46"/>
      <c r="I179" s="46"/>
      <c r="J179" s="46"/>
      <c r="K179" s="46"/>
      <c r="L179" s="46"/>
      <c r="M179" s="46"/>
      <c r="N179" s="46"/>
      <c r="O179" s="46"/>
      <c r="P179" s="46"/>
      <c r="Q179" s="46"/>
      <c r="R179" s="46"/>
      <c r="S179" s="46"/>
      <c r="T179" s="46"/>
      <c r="U179" s="46"/>
    </row>
    <row r="180" spans="1:21" x14ac:dyDescent="0.25">
      <c r="A180" s="46"/>
      <c r="B180" s="46"/>
      <c r="C180" s="46"/>
      <c r="D180" s="46"/>
      <c r="E180" s="46"/>
      <c r="F180" s="46"/>
      <c r="G180" s="46"/>
      <c r="H180" s="46"/>
      <c r="I180" s="46"/>
      <c r="J180" s="46"/>
      <c r="K180" s="46"/>
      <c r="L180" s="46"/>
      <c r="M180" s="46"/>
      <c r="N180" s="46"/>
      <c r="O180" s="46"/>
      <c r="P180" s="46"/>
      <c r="Q180" s="46"/>
      <c r="R180" s="46"/>
      <c r="S180" s="46"/>
      <c r="T180" s="46"/>
      <c r="U180" s="46"/>
    </row>
    <row r="181" spans="1:21" x14ac:dyDescent="0.25">
      <c r="A181" s="46"/>
      <c r="B181" s="46"/>
      <c r="C181" s="46"/>
      <c r="D181" s="46"/>
      <c r="E181" s="46"/>
      <c r="F181" s="46"/>
      <c r="G181" s="46"/>
      <c r="H181" s="46"/>
      <c r="I181" s="46"/>
      <c r="J181" s="46"/>
      <c r="K181" s="46"/>
      <c r="L181" s="46"/>
      <c r="M181" s="46"/>
      <c r="N181" s="46"/>
      <c r="O181" s="46"/>
      <c r="P181" s="46"/>
      <c r="Q181" s="46"/>
      <c r="R181" s="46"/>
      <c r="S181" s="46"/>
      <c r="T181" s="46"/>
      <c r="U181" s="46"/>
    </row>
    <row r="182" spans="1:21" x14ac:dyDescent="0.25">
      <c r="A182" s="46"/>
      <c r="B182" s="46"/>
      <c r="C182" s="46"/>
      <c r="D182" s="46"/>
      <c r="E182" s="46"/>
      <c r="F182" s="46"/>
      <c r="G182" s="46"/>
      <c r="H182" s="46"/>
      <c r="I182" s="46"/>
      <c r="J182" s="46"/>
      <c r="K182" s="46"/>
      <c r="L182" s="46"/>
      <c r="M182" s="46"/>
      <c r="N182" s="46"/>
      <c r="O182" s="46"/>
      <c r="P182" s="46"/>
      <c r="Q182" s="46"/>
      <c r="R182" s="46"/>
      <c r="S182" s="46"/>
      <c r="T182" s="46"/>
      <c r="U182" s="46"/>
    </row>
    <row r="183" spans="1:21" x14ac:dyDescent="0.25">
      <c r="A183" s="46"/>
      <c r="B183" s="46"/>
      <c r="C183" s="46"/>
      <c r="D183" s="46"/>
      <c r="E183" s="46"/>
      <c r="F183" s="46"/>
      <c r="G183" s="46"/>
      <c r="H183" s="46"/>
      <c r="I183" s="46"/>
      <c r="J183" s="46"/>
      <c r="K183" s="46"/>
      <c r="L183" s="46"/>
      <c r="M183" s="46"/>
      <c r="N183" s="46"/>
      <c r="O183" s="46"/>
      <c r="P183" s="46"/>
      <c r="Q183" s="46"/>
      <c r="R183" s="46"/>
      <c r="S183" s="46"/>
      <c r="T183" s="46"/>
      <c r="U183" s="46"/>
    </row>
    <row r="184" spans="1:21" x14ac:dyDescent="0.25">
      <c r="A184" s="46"/>
      <c r="B184" s="46"/>
      <c r="C184" s="46"/>
      <c r="D184" s="46"/>
      <c r="E184" s="46"/>
      <c r="F184" s="46"/>
      <c r="G184" s="46"/>
      <c r="H184" s="46"/>
      <c r="I184" s="46"/>
      <c r="J184" s="46"/>
      <c r="K184" s="46"/>
      <c r="L184" s="46"/>
      <c r="M184" s="46"/>
      <c r="N184" s="46"/>
      <c r="O184" s="46"/>
      <c r="P184" s="46"/>
      <c r="Q184" s="46"/>
      <c r="R184" s="46"/>
      <c r="S184" s="46"/>
      <c r="T184" s="46"/>
      <c r="U184" s="46"/>
    </row>
    <row r="185" spans="1:21" x14ac:dyDescent="0.25">
      <c r="A185" s="46"/>
      <c r="B185" s="46"/>
      <c r="C185" s="46"/>
      <c r="D185" s="46"/>
      <c r="E185" s="46"/>
      <c r="F185" s="46"/>
      <c r="G185" s="46"/>
      <c r="H185" s="46"/>
      <c r="I185" s="46"/>
      <c r="J185" s="46"/>
      <c r="K185" s="46"/>
      <c r="L185" s="46"/>
      <c r="M185" s="46"/>
      <c r="N185" s="46"/>
      <c r="O185" s="46"/>
      <c r="P185" s="46"/>
      <c r="Q185" s="46"/>
      <c r="R185" s="46"/>
      <c r="S185" s="46"/>
      <c r="T185" s="46"/>
      <c r="U185" s="46"/>
    </row>
    <row r="186" spans="1:21" x14ac:dyDescent="0.25">
      <c r="A186" s="46"/>
      <c r="B186" s="46"/>
      <c r="C186" s="46"/>
      <c r="D186" s="46"/>
      <c r="E186" s="46"/>
      <c r="F186" s="46"/>
      <c r="G186" s="46"/>
      <c r="H186" s="46"/>
      <c r="I186" s="46"/>
      <c r="J186" s="46"/>
      <c r="K186" s="46"/>
      <c r="L186" s="46"/>
      <c r="M186" s="46"/>
      <c r="N186" s="46"/>
      <c r="O186" s="46"/>
      <c r="P186" s="46"/>
      <c r="Q186" s="46"/>
      <c r="R186" s="46"/>
      <c r="S186" s="46"/>
      <c r="T186" s="46"/>
      <c r="U186" s="46"/>
    </row>
    <row r="187" spans="1:21" x14ac:dyDescent="0.25">
      <c r="A187" s="46"/>
      <c r="B187" s="46"/>
      <c r="C187" s="46"/>
      <c r="D187" s="46"/>
      <c r="E187" s="46"/>
      <c r="F187" s="46"/>
      <c r="G187" s="46"/>
      <c r="H187" s="46"/>
      <c r="I187" s="46"/>
      <c r="J187" s="46"/>
      <c r="K187" s="46"/>
      <c r="L187" s="46"/>
      <c r="M187" s="46"/>
      <c r="N187" s="46"/>
      <c r="O187" s="46"/>
      <c r="P187" s="46"/>
      <c r="Q187" s="46"/>
      <c r="R187" s="46"/>
      <c r="S187" s="46"/>
      <c r="T187" s="46"/>
      <c r="U187" s="46"/>
    </row>
    <row r="188" spans="1:21" x14ac:dyDescent="0.25">
      <c r="A188" s="46"/>
      <c r="B188" s="46"/>
      <c r="C188" s="46"/>
      <c r="D188" s="46"/>
      <c r="E188" s="46"/>
      <c r="F188" s="46"/>
      <c r="G188" s="46"/>
      <c r="H188" s="46"/>
      <c r="I188" s="46"/>
      <c r="J188" s="46"/>
      <c r="K188" s="46"/>
      <c r="L188" s="46"/>
      <c r="M188" s="46"/>
      <c r="N188" s="46"/>
      <c r="O188" s="46"/>
      <c r="P188" s="46"/>
      <c r="Q188" s="46"/>
      <c r="R188" s="46"/>
      <c r="S188" s="46"/>
      <c r="T188" s="46"/>
      <c r="U188" s="46"/>
    </row>
    <row r="189" spans="1:21" x14ac:dyDescent="0.25">
      <c r="A189" s="46"/>
      <c r="B189" s="46"/>
      <c r="C189" s="46"/>
      <c r="D189" s="46"/>
      <c r="E189" s="46"/>
      <c r="F189" s="46"/>
      <c r="G189" s="46"/>
      <c r="H189" s="46"/>
      <c r="I189" s="46"/>
      <c r="J189" s="46"/>
      <c r="K189" s="46"/>
      <c r="L189" s="46"/>
      <c r="M189" s="46"/>
      <c r="N189" s="46"/>
      <c r="O189" s="46"/>
      <c r="P189" s="46"/>
      <c r="Q189" s="46"/>
      <c r="R189" s="46"/>
      <c r="S189" s="46"/>
      <c r="T189" s="46"/>
      <c r="U189" s="46"/>
    </row>
    <row r="190" spans="1:21" x14ac:dyDescent="0.25">
      <c r="A190" s="46"/>
      <c r="B190" s="46"/>
      <c r="C190" s="46"/>
      <c r="D190" s="46"/>
      <c r="E190" s="46"/>
      <c r="F190" s="46"/>
      <c r="G190" s="46"/>
      <c r="H190" s="46"/>
      <c r="I190" s="46"/>
      <c r="J190" s="46"/>
      <c r="K190" s="46"/>
      <c r="L190" s="46"/>
      <c r="M190" s="46"/>
      <c r="N190" s="46"/>
      <c r="O190" s="46"/>
      <c r="P190" s="46"/>
      <c r="Q190" s="46"/>
      <c r="R190" s="46"/>
      <c r="S190" s="46"/>
      <c r="T190" s="46"/>
      <c r="U190" s="46"/>
    </row>
    <row r="191" spans="1:21" x14ac:dyDescent="0.25">
      <c r="A191" s="46"/>
      <c r="B191" s="46"/>
      <c r="C191" s="46"/>
      <c r="D191" s="46"/>
      <c r="E191" s="46"/>
      <c r="F191" s="46"/>
      <c r="G191" s="46"/>
      <c r="H191" s="46"/>
      <c r="I191" s="46"/>
      <c r="J191" s="46"/>
      <c r="K191" s="46"/>
      <c r="L191" s="46"/>
      <c r="M191" s="46"/>
      <c r="N191" s="46"/>
      <c r="O191" s="46"/>
      <c r="P191" s="46"/>
      <c r="Q191" s="46"/>
      <c r="R191" s="46"/>
      <c r="S191" s="46"/>
      <c r="T191" s="46"/>
      <c r="U191" s="46"/>
    </row>
    <row r="192" spans="1:21" x14ac:dyDescent="0.25">
      <c r="A192" s="46"/>
      <c r="B192" s="46"/>
      <c r="C192" s="46"/>
      <c r="D192" s="46"/>
      <c r="E192" s="46"/>
      <c r="F192" s="46"/>
      <c r="G192" s="46"/>
      <c r="H192" s="46"/>
      <c r="I192" s="46"/>
      <c r="J192" s="46"/>
      <c r="K192" s="46"/>
      <c r="L192" s="46"/>
      <c r="M192" s="46"/>
      <c r="N192" s="46"/>
      <c r="O192" s="46"/>
      <c r="P192" s="46"/>
      <c r="Q192" s="46"/>
      <c r="R192" s="46"/>
      <c r="S192" s="46"/>
      <c r="T192" s="46"/>
      <c r="U192" s="46"/>
    </row>
    <row r="193" spans="1:21" x14ac:dyDescent="0.25">
      <c r="A193" s="46"/>
      <c r="B193" s="46"/>
      <c r="C193" s="46"/>
      <c r="D193" s="46"/>
      <c r="E193" s="46"/>
      <c r="F193" s="46"/>
      <c r="G193" s="46"/>
      <c r="H193" s="46"/>
      <c r="I193" s="46"/>
      <c r="J193" s="46"/>
      <c r="K193" s="46"/>
      <c r="L193" s="46"/>
      <c r="M193" s="46"/>
      <c r="N193" s="46"/>
      <c r="O193" s="46"/>
      <c r="P193" s="46"/>
      <c r="Q193" s="46"/>
      <c r="R193" s="46"/>
      <c r="S193" s="46"/>
      <c r="T193" s="46"/>
      <c r="U193" s="46"/>
    </row>
    <row r="194" spans="1:21" x14ac:dyDescent="0.25">
      <c r="A194" s="46"/>
      <c r="B194" s="46"/>
      <c r="C194" s="46"/>
      <c r="D194" s="46"/>
      <c r="E194" s="46"/>
      <c r="F194" s="46"/>
      <c r="G194" s="46"/>
      <c r="H194" s="46"/>
      <c r="I194" s="46"/>
      <c r="J194" s="46"/>
      <c r="K194" s="46"/>
      <c r="L194" s="46"/>
      <c r="M194" s="46"/>
      <c r="N194" s="46"/>
      <c r="O194" s="46"/>
      <c r="P194" s="46"/>
      <c r="Q194" s="46"/>
      <c r="R194" s="46"/>
      <c r="S194" s="46"/>
      <c r="T194" s="46"/>
      <c r="U194" s="46"/>
    </row>
    <row r="195" spans="1:21" x14ac:dyDescent="0.25">
      <c r="A195" s="46"/>
      <c r="B195" s="46"/>
      <c r="C195" s="46"/>
      <c r="D195" s="46"/>
      <c r="E195" s="46"/>
      <c r="F195" s="46"/>
      <c r="G195" s="46"/>
      <c r="H195" s="46"/>
      <c r="I195" s="46"/>
      <c r="J195" s="46"/>
      <c r="K195" s="46"/>
      <c r="L195" s="46"/>
      <c r="M195" s="46"/>
      <c r="N195" s="46"/>
      <c r="O195" s="46"/>
      <c r="P195" s="46"/>
      <c r="Q195" s="46"/>
      <c r="R195" s="46"/>
      <c r="S195" s="46"/>
      <c r="T195" s="46"/>
      <c r="U195" s="46"/>
    </row>
    <row r="196" spans="1:21" x14ac:dyDescent="0.25">
      <c r="A196" s="46"/>
      <c r="B196" s="46"/>
      <c r="C196" s="46"/>
      <c r="D196" s="46"/>
      <c r="E196" s="46"/>
      <c r="F196" s="46"/>
      <c r="G196" s="46"/>
      <c r="H196" s="46"/>
      <c r="I196" s="46"/>
      <c r="J196" s="46"/>
      <c r="K196" s="46"/>
      <c r="L196" s="46"/>
      <c r="M196" s="46"/>
      <c r="N196" s="46"/>
      <c r="O196" s="46"/>
      <c r="P196" s="46"/>
      <c r="Q196" s="46"/>
      <c r="R196" s="46"/>
      <c r="S196" s="46"/>
      <c r="T196" s="46"/>
      <c r="U196" s="46"/>
    </row>
    <row r="197" spans="1:21" x14ac:dyDescent="0.25">
      <c r="A197" s="46"/>
      <c r="B197" s="46"/>
      <c r="C197" s="46"/>
      <c r="D197" s="46"/>
      <c r="E197" s="46"/>
      <c r="F197" s="46"/>
      <c r="G197" s="46"/>
      <c r="H197" s="46"/>
      <c r="I197" s="46"/>
      <c r="J197" s="46"/>
      <c r="K197" s="46"/>
      <c r="L197" s="46"/>
      <c r="M197" s="46"/>
      <c r="N197" s="46"/>
      <c r="O197" s="46"/>
      <c r="P197" s="46"/>
      <c r="Q197" s="46"/>
      <c r="R197" s="46"/>
      <c r="S197" s="46"/>
      <c r="T197" s="46"/>
      <c r="U197" s="46"/>
    </row>
    <row r="198" spans="1:21" x14ac:dyDescent="0.25">
      <c r="A198" s="46"/>
      <c r="B198" s="46"/>
      <c r="C198" s="46"/>
      <c r="D198" s="46"/>
      <c r="E198" s="46"/>
      <c r="F198" s="46"/>
      <c r="G198" s="46"/>
      <c r="H198" s="46"/>
      <c r="I198" s="46"/>
      <c r="J198" s="46"/>
      <c r="K198" s="46"/>
      <c r="L198" s="46"/>
      <c r="M198" s="46"/>
      <c r="N198" s="46"/>
      <c r="O198" s="46"/>
      <c r="P198" s="46"/>
      <c r="Q198" s="46"/>
      <c r="R198" s="46"/>
      <c r="S198" s="46"/>
      <c r="T198" s="46"/>
      <c r="U198" s="46"/>
    </row>
    <row r="199" spans="1:21" x14ac:dyDescent="0.25">
      <c r="A199" s="46"/>
      <c r="B199" s="46"/>
      <c r="C199" s="46"/>
      <c r="D199" s="46"/>
      <c r="E199" s="46"/>
      <c r="F199" s="46"/>
      <c r="G199" s="46"/>
      <c r="H199" s="46"/>
      <c r="I199" s="46"/>
      <c r="J199" s="46"/>
      <c r="K199" s="46"/>
      <c r="L199" s="46"/>
      <c r="M199" s="46"/>
      <c r="N199" s="46"/>
      <c r="O199" s="46"/>
      <c r="P199" s="46"/>
      <c r="Q199" s="46"/>
      <c r="R199" s="46"/>
      <c r="S199" s="46"/>
      <c r="T199" s="46"/>
      <c r="U199" s="46"/>
    </row>
    <row r="200" spans="1:21" x14ac:dyDescent="0.25">
      <c r="A200" s="46"/>
      <c r="B200" s="46"/>
      <c r="C200" s="46"/>
      <c r="D200" s="46"/>
      <c r="E200" s="46"/>
      <c r="F200" s="46"/>
      <c r="G200" s="46"/>
      <c r="H200" s="46"/>
      <c r="I200" s="46"/>
      <c r="J200" s="46"/>
      <c r="K200" s="46"/>
      <c r="L200" s="46"/>
      <c r="M200" s="46"/>
      <c r="N200" s="46"/>
      <c r="O200" s="46"/>
      <c r="P200" s="46"/>
      <c r="Q200" s="46"/>
      <c r="R200" s="46"/>
      <c r="S200" s="46"/>
      <c r="T200" s="46"/>
      <c r="U200" s="46"/>
    </row>
    <row r="201" spans="1:21" x14ac:dyDescent="0.25">
      <c r="A201" s="46"/>
      <c r="B201" s="46"/>
      <c r="C201" s="46"/>
      <c r="D201" s="46"/>
      <c r="E201" s="46"/>
      <c r="F201" s="46"/>
      <c r="G201" s="46"/>
      <c r="H201" s="46"/>
      <c r="I201" s="46"/>
      <c r="J201" s="46"/>
      <c r="K201" s="46"/>
      <c r="L201" s="46"/>
      <c r="M201" s="46"/>
      <c r="N201" s="46"/>
      <c r="O201" s="46"/>
      <c r="P201" s="46"/>
      <c r="Q201" s="46"/>
      <c r="R201" s="46"/>
      <c r="S201" s="46"/>
      <c r="T201" s="46"/>
      <c r="U201" s="46"/>
    </row>
    <row r="202" spans="1:21" x14ac:dyDescent="0.25">
      <c r="A202" s="46"/>
      <c r="B202" s="46"/>
      <c r="C202" s="46"/>
      <c r="D202" s="46"/>
      <c r="E202" s="46"/>
      <c r="F202" s="46"/>
      <c r="G202" s="46"/>
      <c r="H202" s="46"/>
      <c r="I202" s="46"/>
      <c r="J202" s="46"/>
      <c r="K202" s="46"/>
      <c r="L202" s="46"/>
      <c r="M202" s="46"/>
      <c r="N202" s="46"/>
      <c r="O202" s="46"/>
      <c r="P202" s="46"/>
      <c r="Q202" s="46"/>
      <c r="R202" s="46"/>
      <c r="S202" s="46"/>
      <c r="T202" s="46"/>
      <c r="U202" s="46"/>
    </row>
    <row r="203" spans="1:21" x14ac:dyDescent="0.25">
      <c r="A203" s="46"/>
      <c r="B203" s="46"/>
      <c r="C203" s="46"/>
      <c r="D203" s="46"/>
      <c r="E203" s="46"/>
      <c r="F203" s="46"/>
      <c r="G203" s="46"/>
      <c r="H203" s="46"/>
      <c r="I203" s="46"/>
      <c r="J203" s="46"/>
      <c r="K203" s="46"/>
      <c r="L203" s="46"/>
      <c r="M203" s="46"/>
      <c r="N203" s="46"/>
      <c r="O203" s="46"/>
      <c r="P203" s="46"/>
      <c r="Q203" s="46"/>
      <c r="R203" s="46"/>
      <c r="S203" s="46"/>
      <c r="T203" s="46"/>
      <c r="U203" s="46"/>
    </row>
    <row r="204" spans="1:21" x14ac:dyDescent="0.25">
      <c r="A204" s="46"/>
      <c r="B204" s="46"/>
      <c r="C204" s="46"/>
      <c r="D204" s="46"/>
      <c r="E204" s="46"/>
      <c r="F204" s="46"/>
      <c r="G204" s="46"/>
      <c r="H204" s="46"/>
      <c r="I204" s="46"/>
      <c r="J204" s="46"/>
      <c r="K204" s="46"/>
      <c r="L204" s="46"/>
      <c r="M204" s="46"/>
      <c r="N204" s="46"/>
      <c r="O204" s="46"/>
      <c r="P204" s="46"/>
      <c r="Q204" s="46"/>
      <c r="R204" s="46"/>
      <c r="S204" s="46"/>
      <c r="T204" s="46"/>
      <c r="U204" s="46"/>
    </row>
    <row r="205" spans="1:21" x14ac:dyDescent="0.25">
      <c r="A205" s="46"/>
      <c r="B205" s="46"/>
      <c r="C205" s="46"/>
      <c r="D205" s="46"/>
      <c r="E205" s="46"/>
      <c r="F205" s="46"/>
      <c r="G205" s="46"/>
      <c r="H205" s="46"/>
      <c r="I205" s="46"/>
      <c r="J205" s="46"/>
      <c r="K205" s="46"/>
      <c r="L205" s="46"/>
      <c r="M205" s="46"/>
      <c r="N205" s="46"/>
      <c r="O205" s="46"/>
      <c r="P205" s="46"/>
      <c r="Q205" s="46"/>
      <c r="R205" s="46"/>
      <c r="S205" s="46"/>
      <c r="T205" s="46"/>
      <c r="U205" s="46"/>
    </row>
    <row r="206" spans="1:21" x14ac:dyDescent="0.25">
      <c r="A206" s="46"/>
      <c r="B206" s="46"/>
      <c r="C206" s="46"/>
      <c r="D206" s="46"/>
      <c r="E206" s="46"/>
      <c r="F206" s="46"/>
      <c r="G206" s="46"/>
      <c r="H206" s="46"/>
      <c r="I206" s="46"/>
      <c r="J206" s="46"/>
      <c r="K206" s="46"/>
      <c r="L206" s="46"/>
      <c r="M206" s="46"/>
      <c r="N206" s="46"/>
      <c r="O206" s="46"/>
      <c r="P206" s="46"/>
      <c r="Q206" s="46"/>
      <c r="R206" s="46"/>
      <c r="S206" s="46"/>
      <c r="T206" s="46"/>
      <c r="U206" s="46"/>
    </row>
    <row r="207" spans="1:21" x14ac:dyDescent="0.25">
      <c r="A207" s="46"/>
      <c r="B207" s="46"/>
      <c r="C207" s="46"/>
      <c r="D207" s="46"/>
      <c r="E207" s="46"/>
      <c r="F207" s="46"/>
      <c r="G207" s="46"/>
      <c r="H207" s="46"/>
      <c r="I207" s="46"/>
      <c r="J207" s="46"/>
      <c r="K207" s="46"/>
      <c r="L207" s="46"/>
      <c r="M207" s="46"/>
      <c r="N207" s="46"/>
      <c r="O207" s="46"/>
      <c r="P207" s="46"/>
      <c r="Q207" s="46"/>
      <c r="R207" s="46"/>
      <c r="S207" s="46"/>
      <c r="T207" s="46"/>
      <c r="U207" s="46"/>
    </row>
    <row r="208" spans="1:21" x14ac:dyDescent="0.25">
      <c r="A208" s="46"/>
      <c r="B208" s="46"/>
      <c r="C208" s="46"/>
      <c r="D208" s="46"/>
      <c r="E208" s="46"/>
      <c r="F208" s="46"/>
      <c r="G208" s="46"/>
      <c r="H208" s="46"/>
      <c r="I208" s="46"/>
      <c r="J208" s="46"/>
      <c r="K208" s="46"/>
      <c r="L208" s="46"/>
      <c r="M208" s="46"/>
      <c r="N208" s="46"/>
      <c r="O208" s="46"/>
      <c r="P208" s="46"/>
      <c r="Q208" s="46"/>
      <c r="R208" s="46"/>
      <c r="S208" s="46"/>
      <c r="T208" s="46"/>
      <c r="U208" s="46"/>
    </row>
    <row r="209" spans="1:21" x14ac:dyDescent="0.25">
      <c r="A209" s="46"/>
      <c r="B209" s="46"/>
      <c r="C209" s="46"/>
      <c r="D209" s="46"/>
      <c r="E209" s="46"/>
      <c r="F209" s="46"/>
      <c r="G209" s="46"/>
      <c r="H209" s="46"/>
      <c r="I209" s="46"/>
      <c r="J209" s="46"/>
      <c r="K209" s="46"/>
      <c r="L209" s="46"/>
      <c r="M209" s="46"/>
      <c r="N209" s="46"/>
      <c r="O209" s="46"/>
      <c r="P209" s="46"/>
      <c r="Q209" s="46"/>
      <c r="R209" s="46"/>
      <c r="S209" s="46"/>
      <c r="T209" s="46"/>
      <c r="U209" s="46"/>
    </row>
    <row r="210" spans="1:21" x14ac:dyDescent="0.25">
      <c r="A210" s="46"/>
      <c r="B210" s="46"/>
      <c r="C210" s="46"/>
      <c r="D210" s="46"/>
      <c r="E210" s="46"/>
      <c r="F210" s="46"/>
      <c r="G210" s="46"/>
      <c r="H210" s="46"/>
      <c r="I210" s="46"/>
      <c r="J210" s="46"/>
      <c r="K210" s="46"/>
      <c r="L210" s="46"/>
      <c r="M210" s="46"/>
      <c r="N210" s="46"/>
      <c r="O210" s="46"/>
      <c r="P210" s="46"/>
      <c r="Q210" s="46"/>
      <c r="R210" s="46"/>
      <c r="S210" s="46"/>
      <c r="T210" s="46"/>
      <c r="U210" s="46"/>
    </row>
    <row r="211" spans="1:21" x14ac:dyDescent="0.25">
      <c r="A211" s="46"/>
      <c r="B211" s="46"/>
      <c r="C211" s="46"/>
      <c r="D211" s="46"/>
      <c r="E211" s="46"/>
      <c r="F211" s="46"/>
      <c r="G211" s="46"/>
      <c r="H211" s="46"/>
      <c r="I211" s="46"/>
      <c r="J211" s="46"/>
      <c r="K211" s="46"/>
      <c r="L211" s="46"/>
      <c r="M211" s="46"/>
      <c r="N211" s="46"/>
      <c r="O211" s="46"/>
      <c r="P211" s="46"/>
      <c r="Q211" s="46"/>
      <c r="R211" s="46"/>
      <c r="S211" s="46"/>
      <c r="T211" s="46"/>
      <c r="U211" s="46"/>
    </row>
    <row r="212" spans="1:21" x14ac:dyDescent="0.25">
      <c r="A212" s="46"/>
      <c r="B212" s="46"/>
      <c r="C212" s="46"/>
      <c r="D212" s="46"/>
      <c r="E212" s="46"/>
      <c r="F212" s="46"/>
      <c r="G212" s="46"/>
      <c r="H212" s="46"/>
      <c r="I212" s="46"/>
      <c r="J212" s="46"/>
      <c r="K212" s="46"/>
      <c r="L212" s="46"/>
      <c r="M212" s="46"/>
      <c r="N212" s="46"/>
      <c r="O212" s="46"/>
      <c r="P212" s="46"/>
      <c r="Q212" s="46"/>
      <c r="R212" s="46"/>
      <c r="S212" s="46"/>
      <c r="T212" s="46"/>
      <c r="U212" s="46"/>
    </row>
    <row r="213" spans="1:21" x14ac:dyDescent="0.25">
      <c r="A213" s="46"/>
      <c r="B213" s="46"/>
      <c r="C213" s="46"/>
      <c r="D213" s="46"/>
      <c r="E213" s="46"/>
      <c r="F213" s="46"/>
      <c r="G213" s="46"/>
      <c r="H213" s="46"/>
      <c r="I213" s="46"/>
      <c r="J213" s="46"/>
      <c r="K213" s="46"/>
      <c r="L213" s="46"/>
      <c r="M213" s="46"/>
      <c r="N213" s="46"/>
      <c r="O213" s="46"/>
      <c r="P213" s="46"/>
      <c r="Q213" s="46"/>
      <c r="R213" s="46"/>
      <c r="S213" s="46"/>
      <c r="T213" s="46"/>
      <c r="U213" s="46"/>
    </row>
    <row r="214" spans="1:21" x14ac:dyDescent="0.25">
      <c r="A214" s="46"/>
      <c r="B214" s="46"/>
      <c r="C214" s="46"/>
      <c r="D214" s="46"/>
      <c r="E214" s="46"/>
      <c r="F214" s="46"/>
      <c r="G214" s="46"/>
      <c r="H214" s="46"/>
      <c r="I214" s="46"/>
      <c r="J214" s="46"/>
      <c r="K214" s="46"/>
      <c r="L214" s="46"/>
      <c r="M214" s="46"/>
      <c r="N214" s="46"/>
      <c r="O214" s="46"/>
      <c r="P214" s="46"/>
      <c r="Q214" s="46"/>
      <c r="R214" s="46"/>
      <c r="S214" s="46"/>
      <c r="T214" s="46"/>
      <c r="U214" s="46"/>
    </row>
    <row r="215" spans="1:21" x14ac:dyDescent="0.25">
      <c r="A215" s="46"/>
      <c r="B215" s="46"/>
      <c r="C215" s="46"/>
      <c r="D215" s="46"/>
      <c r="E215" s="46"/>
      <c r="F215" s="46"/>
      <c r="G215" s="46"/>
      <c r="H215" s="46"/>
      <c r="I215" s="46"/>
      <c r="J215" s="46"/>
      <c r="K215" s="46"/>
      <c r="L215" s="46"/>
      <c r="M215" s="46"/>
      <c r="N215" s="46"/>
      <c r="O215" s="46"/>
      <c r="P215" s="46"/>
      <c r="Q215" s="46"/>
      <c r="R215" s="46"/>
      <c r="S215" s="46"/>
      <c r="T215" s="46"/>
      <c r="U215" s="46"/>
    </row>
    <row r="216" spans="1:21" x14ac:dyDescent="0.25">
      <c r="A216" s="46"/>
      <c r="B216" s="46"/>
      <c r="C216" s="46"/>
      <c r="D216" s="46"/>
      <c r="E216" s="46"/>
      <c r="F216" s="46"/>
      <c r="G216" s="46"/>
      <c r="H216" s="46"/>
      <c r="I216" s="46"/>
      <c r="J216" s="46"/>
      <c r="K216" s="46"/>
      <c r="L216" s="46"/>
      <c r="M216" s="46"/>
      <c r="N216" s="46"/>
      <c r="O216" s="46"/>
      <c r="P216" s="46"/>
      <c r="Q216" s="46"/>
      <c r="R216" s="46"/>
      <c r="S216" s="46"/>
      <c r="T216" s="46"/>
      <c r="U216" s="46"/>
    </row>
    <row r="217" spans="1:21" x14ac:dyDescent="0.25">
      <c r="A217" s="46"/>
      <c r="B217" s="46"/>
      <c r="C217" s="46"/>
      <c r="D217" s="46"/>
      <c r="E217" s="46"/>
      <c r="F217" s="46"/>
      <c r="G217" s="46"/>
      <c r="H217" s="46"/>
      <c r="I217" s="46"/>
      <c r="J217" s="46"/>
      <c r="K217" s="46"/>
      <c r="L217" s="46"/>
      <c r="M217" s="46"/>
      <c r="N217" s="46"/>
      <c r="O217" s="46"/>
      <c r="P217" s="46"/>
      <c r="Q217" s="46"/>
      <c r="R217" s="46"/>
      <c r="S217" s="46"/>
      <c r="T217" s="46"/>
      <c r="U217" s="46"/>
    </row>
    <row r="218" spans="1:21" x14ac:dyDescent="0.25">
      <c r="A218" s="46"/>
      <c r="B218" s="46"/>
      <c r="C218" s="46"/>
      <c r="D218" s="46"/>
      <c r="E218" s="46"/>
      <c r="F218" s="46"/>
      <c r="G218" s="46"/>
      <c r="H218" s="46"/>
      <c r="I218" s="46"/>
      <c r="J218" s="46"/>
      <c r="K218" s="46"/>
      <c r="L218" s="46"/>
      <c r="M218" s="46"/>
      <c r="N218" s="46"/>
      <c r="O218" s="46"/>
      <c r="P218" s="46"/>
      <c r="Q218" s="46"/>
      <c r="R218" s="46"/>
      <c r="S218" s="46"/>
      <c r="T218" s="46"/>
      <c r="U218" s="46"/>
    </row>
    <row r="219" spans="1:21" x14ac:dyDescent="0.25">
      <c r="A219" s="46"/>
      <c r="B219" s="46"/>
      <c r="C219" s="46"/>
      <c r="D219" s="46"/>
      <c r="E219" s="46"/>
      <c r="F219" s="46"/>
      <c r="G219" s="46"/>
      <c r="H219" s="46"/>
      <c r="I219" s="46"/>
      <c r="J219" s="46"/>
      <c r="K219" s="46"/>
      <c r="L219" s="46"/>
      <c r="M219" s="46"/>
      <c r="N219" s="46"/>
      <c r="O219" s="46"/>
      <c r="P219" s="46"/>
      <c r="Q219" s="46"/>
      <c r="R219" s="46"/>
      <c r="S219" s="46"/>
      <c r="T219" s="46"/>
      <c r="U219" s="46"/>
    </row>
    <row r="220" spans="1:21" x14ac:dyDescent="0.25">
      <c r="A220" s="46"/>
      <c r="B220" s="46"/>
      <c r="C220" s="46"/>
      <c r="D220" s="46"/>
      <c r="E220" s="46"/>
      <c r="F220" s="46"/>
      <c r="G220" s="46"/>
      <c r="H220" s="46"/>
      <c r="I220" s="46"/>
      <c r="J220" s="46"/>
      <c r="K220" s="46"/>
      <c r="L220" s="46"/>
      <c r="M220" s="46"/>
      <c r="N220" s="46"/>
      <c r="O220" s="46"/>
      <c r="P220" s="46"/>
      <c r="Q220" s="46"/>
      <c r="R220" s="46"/>
      <c r="S220" s="46"/>
      <c r="T220" s="46"/>
      <c r="U220" s="46"/>
    </row>
    <row r="221" spans="1:21" x14ac:dyDescent="0.25">
      <c r="A221" s="46"/>
      <c r="B221" s="46"/>
      <c r="C221" s="46"/>
      <c r="D221" s="46"/>
      <c r="E221" s="46"/>
      <c r="F221" s="46"/>
      <c r="G221" s="46"/>
      <c r="H221" s="46"/>
      <c r="I221" s="46"/>
      <c r="J221" s="46"/>
      <c r="K221" s="46"/>
      <c r="L221" s="46"/>
      <c r="M221" s="46"/>
      <c r="N221" s="46"/>
      <c r="O221" s="46"/>
      <c r="P221" s="46"/>
      <c r="Q221" s="46"/>
      <c r="R221" s="46"/>
      <c r="S221" s="46"/>
      <c r="T221" s="46"/>
      <c r="U221" s="46"/>
    </row>
    <row r="222" spans="1:21" x14ac:dyDescent="0.25">
      <c r="A222" s="46"/>
      <c r="B222" s="46"/>
      <c r="C222" s="46"/>
      <c r="D222" s="46"/>
      <c r="E222" s="46"/>
      <c r="F222" s="46"/>
      <c r="G222" s="46"/>
      <c r="H222" s="46"/>
      <c r="I222" s="46"/>
      <c r="J222" s="46"/>
      <c r="K222" s="46"/>
      <c r="L222" s="46"/>
      <c r="M222" s="46"/>
      <c r="N222" s="46"/>
      <c r="O222" s="46"/>
      <c r="P222" s="46"/>
      <c r="Q222" s="46"/>
      <c r="R222" s="46"/>
      <c r="S222" s="46"/>
      <c r="T222" s="46"/>
      <c r="U222" s="46"/>
    </row>
    <row r="223" spans="1:21" x14ac:dyDescent="0.25">
      <c r="A223" s="46"/>
      <c r="B223" s="46"/>
      <c r="C223" s="46"/>
      <c r="D223" s="46"/>
      <c r="E223" s="46"/>
      <c r="F223" s="46"/>
      <c r="G223" s="46"/>
      <c r="H223" s="46"/>
      <c r="I223" s="46"/>
      <c r="J223" s="46"/>
      <c r="K223" s="46"/>
      <c r="L223" s="46"/>
      <c r="M223" s="46"/>
      <c r="N223" s="46"/>
      <c r="O223" s="46"/>
      <c r="P223" s="46"/>
      <c r="Q223" s="46"/>
      <c r="R223" s="46"/>
      <c r="S223" s="46"/>
      <c r="T223" s="46"/>
      <c r="U223" s="46"/>
    </row>
    <row r="224" spans="1:21" x14ac:dyDescent="0.25">
      <c r="A224" s="46"/>
      <c r="B224" s="46"/>
      <c r="C224" s="46"/>
      <c r="D224" s="46"/>
      <c r="E224" s="46"/>
      <c r="F224" s="46"/>
      <c r="G224" s="46"/>
      <c r="H224" s="46"/>
      <c r="I224" s="46"/>
      <c r="J224" s="46"/>
      <c r="K224" s="46"/>
      <c r="L224" s="46"/>
      <c r="M224" s="46"/>
      <c r="N224" s="46"/>
      <c r="O224" s="46"/>
      <c r="P224" s="46"/>
      <c r="Q224" s="46"/>
      <c r="R224" s="46"/>
      <c r="S224" s="46"/>
      <c r="T224" s="46"/>
      <c r="U224" s="46"/>
    </row>
    <row r="225" spans="1:21" x14ac:dyDescent="0.25">
      <c r="A225" s="46"/>
      <c r="B225" s="46"/>
      <c r="C225" s="46"/>
      <c r="D225" s="46"/>
      <c r="E225" s="46"/>
      <c r="F225" s="46"/>
      <c r="G225" s="46"/>
      <c r="H225" s="46"/>
      <c r="I225" s="46"/>
      <c r="J225" s="46"/>
      <c r="K225" s="46"/>
      <c r="L225" s="46"/>
      <c r="M225" s="46"/>
      <c r="N225" s="46"/>
      <c r="O225" s="46"/>
      <c r="P225" s="46"/>
      <c r="Q225" s="46"/>
      <c r="R225" s="46"/>
      <c r="S225" s="46"/>
      <c r="T225" s="46"/>
      <c r="U225" s="46"/>
    </row>
    <row r="226" spans="1:21" x14ac:dyDescent="0.25">
      <c r="A226" s="46"/>
      <c r="B226" s="46"/>
      <c r="C226" s="46"/>
      <c r="D226" s="46"/>
      <c r="E226" s="46"/>
      <c r="F226" s="46"/>
      <c r="G226" s="46"/>
      <c r="H226" s="46"/>
      <c r="I226" s="46"/>
      <c r="J226" s="46"/>
      <c r="K226" s="46"/>
      <c r="L226" s="46"/>
      <c r="M226" s="46"/>
      <c r="N226" s="46"/>
      <c r="O226" s="46"/>
      <c r="P226" s="46"/>
      <c r="Q226" s="46"/>
      <c r="R226" s="46"/>
      <c r="S226" s="46"/>
      <c r="T226" s="46"/>
      <c r="U226" s="46"/>
    </row>
    <row r="227" spans="1:21" x14ac:dyDescent="0.25">
      <c r="A227" s="46"/>
      <c r="B227" s="46"/>
      <c r="C227" s="46"/>
      <c r="D227" s="46"/>
      <c r="E227" s="46"/>
      <c r="F227" s="46"/>
      <c r="G227" s="46"/>
      <c r="H227" s="46"/>
      <c r="I227" s="46"/>
      <c r="J227" s="46"/>
      <c r="K227" s="46"/>
      <c r="L227" s="46"/>
      <c r="M227" s="46"/>
      <c r="N227" s="46"/>
      <c r="O227" s="46"/>
      <c r="P227" s="46"/>
      <c r="Q227" s="46"/>
      <c r="R227" s="46"/>
      <c r="S227" s="46"/>
      <c r="T227" s="46"/>
      <c r="U227" s="46"/>
    </row>
    <row r="228" spans="1:21" x14ac:dyDescent="0.25">
      <c r="A228" s="46"/>
      <c r="B228" s="46"/>
      <c r="C228" s="46"/>
      <c r="D228" s="46"/>
      <c r="E228" s="46"/>
      <c r="F228" s="46"/>
      <c r="G228" s="46"/>
      <c r="H228" s="46"/>
      <c r="I228" s="46"/>
      <c r="J228" s="46"/>
      <c r="K228" s="46"/>
      <c r="L228" s="46"/>
      <c r="M228" s="46"/>
      <c r="N228" s="46"/>
      <c r="O228" s="46"/>
      <c r="P228" s="46"/>
      <c r="Q228" s="46"/>
      <c r="R228" s="46"/>
      <c r="S228" s="46"/>
      <c r="T228" s="46"/>
      <c r="U228" s="46"/>
    </row>
    <row r="229" spans="1:21" x14ac:dyDescent="0.25">
      <c r="A229" s="46"/>
      <c r="B229" s="46"/>
      <c r="C229" s="46"/>
      <c r="D229" s="46"/>
      <c r="E229" s="46"/>
      <c r="F229" s="46"/>
      <c r="G229" s="46"/>
      <c r="H229" s="46"/>
      <c r="I229" s="46"/>
      <c r="J229" s="46"/>
      <c r="K229" s="46"/>
      <c r="L229" s="46"/>
      <c r="M229" s="46"/>
      <c r="N229" s="46"/>
      <c r="O229" s="46"/>
      <c r="P229" s="46"/>
      <c r="Q229" s="46"/>
      <c r="R229" s="46"/>
      <c r="S229" s="46"/>
      <c r="T229" s="46"/>
      <c r="U229" s="46"/>
    </row>
    <row r="230" spans="1:21" x14ac:dyDescent="0.25">
      <c r="A230" s="46"/>
      <c r="B230" s="46"/>
      <c r="C230" s="46"/>
      <c r="D230" s="46"/>
      <c r="E230" s="46"/>
      <c r="F230" s="46"/>
      <c r="G230" s="46"/>
      <c r="H230" s="46"/>
      <c r="I230" s="46"/>
      <c r="J230" s="46"/>
      <c r="K230" s="46"/>
      <c r="L230" s="46"/>
      <c r="M230" s="46"/>
      <c r="N230" s="46"/>
      <c r="O230" s="46"/>
      <c r="P230" s="46"/>
      <c r="Q230" s="46"/>
      <c r="R230" s="46"/>
      <c r="S230" s="46"/>
      <c r="T230" s="46"/>
      <c r="U230" s="46"/>
    </row>
    <row r="231" spans="1:21" x14ac:dyDescent="0.25">
      <c r="A231" s="46"/>
      <c r="B231" s="46"/>
      <c r="C231" s="46"/>
      <c r="D231" s="46"/>
      <c r="E231" s="46"/>
      <c r="F231" s="46"/>
      <c r="G231" s="46"/>
      <c r="H231" s="46"/>
      <c r="I231" s="46"/>
      <c r="J231" s="46"/>
      <c r="K231" s="46"/>
      <c r="L231" s="46"/>
      <c r="M231" s="46"/>
      <c r="N231" s="46"/>
      <c r="O231" s="46"/>
      <c r="P231" s="46"/>
      <c r="Q231" s="46"/>
      <c r="R231" s="46"/>
      <c r="S231" s="46"/>
      <c r="T231" s="46"/>
      <c r="U231" s="46"/>
    </row>
    <row r="232" spans="1:21" x14ac:dyDescent="0.25">
      <c r="A232" s="46"/>
      <c r="B232" s="46"/>
      <c r="C232" s="46"/>
      <c r="D232" s="46"/>
      <c r="E232" s="46"/>
      <c r="F232" s="46"/>
      <c r="G232" s="46"/>
      <c r="H232" s="46"/>
      <c r="I232" s="46"/>
      <c r="J232" s="46"/>
      <c r="K232" s="46"/>
      <c r="L232" s="46"/>
      <c r="M232" s="46"/>
      <c r="N232" s="46"/>
      <c r="O232" s="46"/>
      <c r="P232" s="46"/>
      <c r="Q232" s="46"/>
      <c r="R232" s="46"/>
      <c r="S232" s="46"/>
      <c r="T232" s="46"/>
      <c r="U232" s="46"/>
    </row>
    <row r="233" spans="1:21" x14ac:dyDescent="0.25">
      <c r="A233" s="46"/>
      <c r="B233" s="46"/>
      <c r="C233" s="46"/>
      <c r="D233" s="46"/>
      <c r="E233" s="46"/>
      <c r="F233" s="46"/>
      <c r="G233" s="46"/>
      <c r="H233" s="46"/>
      <c r="I233" s="46"/>
      <c r="J233" s="46"/>
      <c r="K233" s="46"/>
      <c r="L233" s="46"/>
      <c r="M233" s="46"/>
      <c r="N233" s="46"/>
      <c r="O233" s="46"/>
      <c r="P233" s="46"/>
      <c r="Q233" s="46"/>
      <c r="R233" s="46"/>
      <c r="S233" s="46"/>
      <c r="T233" s="46"/>
      <c r="U233" s="46"/>
    </row>
    <row r="234" spans="1:21" x14ac:dyDescent="0.25">
      <c r="A234" s="46"/>
      <c r="B234" s="46"/>
      <c r="C234" s="46"/>
      <c r="D234" s="46"/>
      <c r="E234" s="46"/>
      <c r="F234" s="46"/>
      <c r="G234" s="46"/>
      <c r="H234" s="46"/>
      <c r="I234" s="46"/>
      <c r="J234" s="46"/>
      <c r="K234" s="46"/>
      <c r="L234" s="46"/>
      <c r="M234" s="46"/>
      <c r="N234" s="46"/>
      <c r="O234" s="46"/>
      <c r="P234" s="46"/>
      <c r="Q234" s="46"/>
      <c r="R234" s="46"/>
      <c r="S234" s="46"/>
      <c r="T234" s="46"/>
      <c r="U234" s="46"/>
    </row>
    <row r="235" spans="1:21" x14ac:dyDescent="0.25">
      <c r="A235" s="46"/>
      <c r="B235" s="46"/>
      <c r="C235" s="46"/>
      <c r="D235" s="46"/>
      <c r="E235" s="46"/>
      <c r="F235" s="46"/>
      <c r="G235" s="46"/>
      <c r="H235" s="46"/>
      <c r="I235" s="46"/>
      <c r="J235" s="46"/>
      <c r="K235" s="46"/>
      <c r="L235" s="46"/>
      <c r="M235" s="46"/>
      <c r="N235" s="46"/>
      <c r="O235" s="46"/>
      <c r="P235" s="46"/>
      <c r="Q235" s="46"/>
      <c r="R235" s="46"/>
      <c r="S235" s="46"/>
      <c r="T235" s="46"/>
      <c r="U235" s="46"/>
    </row>
    <row r="236" spans="1:21" x14ac:dyDescent="0.25">
      <c r="A236" s="46"/>
      <c r="B236" s="46"/>
      <c r="C236" s="46"/>
      <c r="D236" s="46"/>
      <c r="E236" s="46"/>
      <c r="F236" s="46"/>
      <c r="G236" s="46"/>
      <c r="H236" s="46"/>
      <c r="I236" s="46"/>
      <c r="J236" s="46"/>
      <c r="K236" s="46"/>
      <c r="L236" s="46"/>
      <c r="M236" s="46"/>
      <c r="N236" s="46"/>
      <c r="O236" s="46"/>
      <c r="P236" s="46"/>
      <c r="Q236" s="46"/>
      <c r="R236" s="46"/>
      <c r="S236" s="46"/>
      <c r="T236" s="46"/>
      <c r="U236" s="46"/>
    </row>
    <row r="237" spans="1:21" x14ac:dyDescent="0.25">
      <c r="A237" s="46"/>
      <c r="B237" s="46"/>
      <c r="C237" s="46"/>
      <c r="D237" s="46"/>
      <c r="E237" s="46"/>
      <c r="F237" s="46"/>
      <c r="G237" s="46"/>
      <c r="H237" s="46"/>
      <c r="I237" s="46"/>
      <c r="J237" s="46"/>
      <c r="K237" s="46"/>
      <c r="L237" s="46"/>
      <c r="M237" s="46"/>
      <c r="N237" s="46"/>
      <c r="O237" s="46"/>
      <c r="P237" s="46"/>
      <c r="Q237" s="46"/>
      <c r="R237" s="46"/>
      <c r="S237" s="46"/>
      <c r="T237" s="46"/>
      <c r="U237" s="46"/>
    </row>
    <row r="238" spans="1:21" x14ac:dyDescent="0.25">
      <c r="A238" s="46"/>
      <c r="B238" s="46"/>
      <c r="C238" s="46"/>
      <c r="D238" s="46"/>
      <c r="E238" s="46"/>
      <c r="F238" s="46"/>
      <c r="G238" s="46"/>
      <c r="H238" s="46"/>
      <c r="I238" s="46"/>
      <c r="J238" s="46"/>
      <c r="K238" s="46"/>
      <c r="L238" s="46"/>
      <c r="M238" s="46"/>
      <c r="N238" s="46"/>
      <c r="O238" s="46"/>
      <c r="P238" s="46"/>
      <c r="Q238" s="46"/>
      <c r="R238" s="46"/>
      <c r="S238" s="46"/>
      <c r="T238" s="46"/>
      <c r="U238" s="46"/>
    </row>
    <row r="239" spans="1:21" x14ac:dyDescent="0.25">
      <c r="A239" s="46"/>
      <c r="B239" s="46"/>
      <c r="C239" s="46"/>
      <c r="D239" s="46"/>
      <c r="E239" s="46"/>
      <c r="F239" s="46"/>
      <c r="G239" s="46"/>
      <c r="H239" s="46"/>
      <c r="I239" s="46"/>
      <c r="J239" s="46"/>
      <c r="K239" s="46"/>
      <c r="L239" s="46"/>
      <c r="M239" s="46"/>
      <c r="N239" s="46"/>
      <c r="O239" s="46"/>
      <c r="P239" s="46"/>
      <c r="Q239" s="46"/>
      <c r="R239" s="46"/>
      <c r="S239" s="46"/>
      <c r="T239" s="46"/>
      <c r="U239" s="46"/>
    </row>
    <row r="240" spans="1:21" x14ac:dyDescent="0.25">
      <c r="A240" s="46"/>
      <c r="B240" s="46"/>
      <c r="C240" s="46"/>
      <c r="D240" s="46"/>
      <c r="E240" s="46"/>
      <c r="F240" s="46"/>
      <c r="G240" s="46"/>
      <c r="H240" s="46"/>
      <c r="I240" s="46"/>
      <c r="J240" s="46"/>
      <c r="K240" s="46"/>
      <c r="L240" s="46"/>
      <c r="M240" s="46"/>
      <c r="N240" s="46"/>
      <c r="O240" s="46"/>
      <c r="P240" s="46"/>
      <c r="Q240" s="46"/>
      <c r="R240" s="46"/>
      <c r="S240" s="46"/>
      <c r="T240" s="46"/>
      <c r="U240" s="46"/>
    </row>
    <row r="241" spans="1:21" x14ac:dyDescent="0.25">
      <c r="A241" s="46"/>
      <c r="B241" s="46"/>
      <c r="C241" s="46"/>
      <c r="D241" s="46"/>
      <c r="E241" s="46"/>
      <c r="F241" s="46"/>
      <c r="G241" s="46"/>
      <c r="H241" s="46"/>
      <c r="I241" s="46"/>
      <c r="J241" s="46"/>
      <c r="K241" s="46"/>
      <c r="L241" s="46"/>
      <c r="M241" s="46"/>
      <c r="N241" s="46"/>
      <c r="O241" s="46"/>
      <c r="P241" s="46"/>
      <c r="Q241" s="46"/>
      <c r="R241" s="46"/>
      <c r="S241" s="46"/>
      <c r="T241" s="46"/>
      <c r="U241" s="46"/>
    </row>
    <row r="242" spans="1:21" x14ac:dyDescent="0.25">
      <c r="A242" s="46"/>
      <c r="B242" s="46"/>
      <c r="C242" s="46"/>
      <c r="D242" s="46"/>
      <c r="E242" s="46"/>
      <c r="F242" s="46"/>
      <c r="G242" s="46"/>
      <c r="H242" s="46"/>
      <c r="I242" s="46"/>
      <c r="J242" s="46"/>
      <c r="K242" s="46"/>
      <c r="L242" s="46"/>
      <c r="M242" s="46"/>
      <c r="N242" s="46"/>
      <c r="O242" s="46"/>
      <c r="P242" s="46"/>
      <c r="Q242" s="46"/>
      <c r="R242" s="46"/>
      <c r="S242" s="46"/>
      <c r="T242" s="46"/>
      <c r="U242" s="46"/>
    </row>
    <row r="243" spans="1:21" x14ac:dyDescent="0.25">
      <c r="A243" s="46"/>
      <c r="B243" s="46"/>
      <c r="C243" s="46"/>
      <c r="D243" s="46"/>
      <c r="E243" s="46"/>
      <c r="F243" s="46"/>
      <c r="G243" s="46"/>
      <c r="H243" s="46"/>
      <c r="I243" s="46"/>
      <c r="J243" s="46"/>
      <c r="K243" s="46"/>
      <c r="L243" s="46"/>
      <c r="M243" s="46"/>
      <c r="N243" s="46"/>
      <c r="O243" s="46"/>
      <c r="P243" s="46"/>
      <c r="Q243" s="46"/>
      <c r="R243" s="46"/>
      <c r="S243" s="46"/>
      <c r="T243" s="46"/>
      <c r="U243" s="46"/>
    </row>
    <row r="244" spans="1:21" x14ac:dyDescent="0.25">
      <c r="A244" s="46"/>
      <c r="B244" s="46"/>
      <c r="C244" s="46"/>
      <c r="D244" s="46"/>
      <c r="E244" s="46"/>
      <c r="F244" s="46"/>
      <c r="G244" s="46"/>
      <c r="H244" s="46"/>
      <c r="I244" s="46"/>
      <c r="J244" s="46"/>
      <c r="K244" s="46"/>
      <c r="L244" s="46"/>
      <c r="M244" s="46"/>
      <c r="N244" s="46"/>
      <c r="O244" s="46"/>
      <c r="P244" s="46"/>
      <c r="Q244" s="46"/>
      <c r="R244" s="46"/>
      <c r="S244" s="46"/>
      <c r="T244" s="46"/>
      <c r="U244" s="46"/>
    </row>
    <row r="245" spans="1:21" x14ac:dyDescent="0.25">
      <c r="A245" s="46"/>
      <c r="B245" s="46"/>
      <c r="C245" s="46"/>
      <c r="D245" s="46"/>
      <c r="E245" s="46"/>
      <c r="F245" s="46"/>
      <c r="G245" s="46"/>
      <c r="H245" s="46"/>
      <c r="I245" s="46"/>
      <c r="J245" s="46"/>
      <c r="K245" s="46"/>
      <c r="L245" s="46"/>
      <c r="M245" s="46"/>
      <c r="N245" s="46"/>
      <c r="O245" s="46"/>
      <c r="P245" s="46"/>
      <c r="Q245" s="46"/>
      <c r="R245" s="46"/>
      <c r="S245" s="46"/>
      <c r="T245" s="46"/>
      <c r="U245" s="46"/>
    </row>
    <row r="246" spans="1:21" x14ac:dyDescent="0.25">
      <c r="A246" s="46"/>
      <c r="B246" s="46"/>
      <c r="C246" s="46"/>
      <c r="D246" s="46"/>
      <c r="E246" s="46"/>
      <c r="F246" s="46"/>
      <c r="G246" s="46"/>
      <c r="H246" s="46"/>
      <c r="I246" s="46"/>
      <c r="J246" s="46"/>
      <c r="K246" s="46"/>
      <c r="L246" s="46"/>
      <c r="M246" s="46"/>
      <c r="N246" s="46"/>
      <c r="O246" s="46"/>
      <c r="P246" s="46"/>
      <c r="Q246" s="46"/>
      <c r="R246" s="46"/>
      <c r="S246" s="46"/>
      <c r="T246" s="46"/>
      <c r="U246" s="46"/>
    </row>
    <row r="247" spans="1:21" x14ac:dyDescent="0.25">
      <c r="A247" s="46"/>
      <c r="B247" s="46"/>
      <c r="C247" s="46"/>
      <c r="D247" s="46"/>
      <c r="E247" s="46"/>
      <c r="F247" s="46"/>
      <c r="G247" s="46"/>
      <c r="H247" s="46"/>
      <c r="I247" s="46"/>
      <c r="J247" s="46"/>
      <c r="K247" s="46"/>
      <c r="L247" s="46"/>
      <c r="M247" s="46"/>
      <c r="N247" s="46"/>
      <c r="O247" s="46"/>
      <c r="P247" s="46"/>
      <c r="Q247" s="46"/>
      <c r="R247" s="46"/>
      <c r="S247" s="46"/>
      <c r="T247" s="46"/>
      <c r="U247" s="46"/>
    </row>
    <row r="248" spans="1:21" x14ac:dyDescent="0.25">
      <c r="A248" s="46"/>
      <c r="B248" s="46"/>
      <c r="C248" s="46"/>
      <c r="D248" s="46"/>
      <c r="E248" s="46"/>
      <c r="F248" s="46"/>
      <c r="G248" s="46"/>
      <c r="H248" s="46"/>
      <c r="I248" s="46"/>
      <c r="J248" s="46"/>
      <c r="K248" s="46"/>
      <c r="L248" s="46"/>
      <c r="M248" s="46"/>
      <c r="N248" s="46"/>
      <c r="O248" s="46"/>
      <c r="P248" s="46"/>
      <c r="Q248" s="46"/>
      <c r="R248" s="46"/>
      <c r="S248" s="46"/>
      <c r="T248" s="46"/>
      <c r="U248" s="46"/>
    </row>
    <row r="249" spans="1:21" x14ac:dyDescent="0.25">
      <c r="A249" s="46"/>
      <c r="B249" s="46"/>
      <c r="C249" s="46"/>
      <c r="D249" s="46"/>
      <c r="E249" s="46"/>
      <c r="F249" s="46"/>
      <c r="G249" s="46"/>
      <c r="H249" s="46"/>
      <c r="I249" s="46"/>
      <c r="J249" s="46"/>
      <c r="K249" s="46"/>
      <c r="L249" s="46"/>
      <c r="M249" s="46"/>
      <c r="N249" s="46"/>
      <c r="O249" s="46"/>
      <c r="P249" s="46"/>
      <c r="Q249" s="46"/>
      <c r="R249" s="46"/>
      <c r="S249" s="46"/>
      <c r="T249" s="46"/>
      <c r="U249" s="46"/>
    </row>
    <row r="250" spans="1:21" x14ac:dyDescent="0.25">
      <c r="A250" s="46"/>
      <c r="B250" s="46"/>
      <c r="C250" s="46"/>
      <c r="D250" s="46"/>
      <c r="E250" s="46"/>
      <c r="F250" s="46"/>
      <c r="G250" s="46"/>
      <c r="H250" s="46"/>
      <c r="I250" s="46"/>
      <c r="J250" s="46"/>
      <c r="K250" s="46"/>
      <c r="L250" s="46"/>
      <c r="M250" s="46"/>
      <c r="N250" s="46"/>
      <c r="O250" s="46"/>
      <c r="P250" s="46"/>
      <c r="Q250" s="46"/>
      <c r="R250" s="46"/>
      <c r="S250" s="46"/>
      <c r="T250" s="46"/>
      <c r="U250" s="46"/>
    </row>
    <row r="251" spans="1:21" x14ac:dyDescent="0.25">
      <c r="A251" s="46"/>
      <c r="B251" s="46"/>
      <c r="C251" s="46"/>
      <c r="D251" s="46"/>
      <c r="E251" s="46"/>
      <c r="F251" s="46"/>
      <c r="G251" s="46"/>
      <c r="H251" s="46"/>
      <c r="I251" s="46"/>
      <c r="J251" s="46"/>
      <c r="K251" s="46"/>
      <c r="L251" s="46"/>
      <c r="M251" s="46"/>
      <c r="N251" s="46"/>
      <c r="O251" s="46"/>
      <c r="P251" s="46"/>
      <c r="Q251" s="46"/>
      <c r="R251" s="46"/>
      <c r="S251" s="46"/>
      <c r="T251" s="46"/>
      <c r="U251" s="46"/>
    </row>
    <row r="252" spans="1:21" x14ac:dyDescent="0.25">
      <c r="A252" s="46"/>
      <c r="B252" s="46"/>
      <c r="C252" s="46"/>
      <c r="D252" s="46"/>
      <c r="E252" s="46"/>
      <c r="F252" s="46"/>
      <c r="G252" s="46"/>
      <c r="H252" s="46"/>
      <c r="I252" s="46"/>
      <c r="J252" s="46"/>
      <c r="K252" s="46"/>
      <c r="L252" s="46"/>
      <c r="M252" s="46"/>
      <c r="N252" s="46"/>
      <c r="O252" s="46"/>
      <c r="P252" s="46"/>
      <c r="Q252" s="46"/>
      <c r="R252" s="46"/>
      <c r="S252" s="46"/>
      <c r="T252" s="46"/>
      <c r="U252" s="46"/>
    </row>
    <row r="253" spans="1:21" x14ac:dyDescent="0.25">
      <c r="A253" s="46"/>
      <c r="B253" s="46"/>
      <c r="C253" s="46"/>
      <c r="D253" s="46"/>
      <c r="E253" s="46"/>
      <c r="F253" s="46"/>
      <c r="G253" s="46"/>
      <c r="H253" s="46"/>
      <c r="I253" s="46"/>
      <c r="J253" s="46"/>
      <c r="K253" s="46"/>
      <c r="L253" s="46"/>
      <c r="M253" s="46"/>
      <c r="N253" s="46"/>
      <c r="O253" s="46"/>
      <c r="P253" s="46"/>
      <c r="Q253" s="46"/>
      <c r="R253" s="46"/>
      <c r="S253" s="46"/>
      <c r="T253" s="46"/>
      <c r="U253" s="46"/>
    </row>
    <row r="254" spans="1:21" x14ac:dyDescent="0.25">
      <c r="A254" s="46"/>
      <c r="B254" s="46"/>
      <c r="C254" s="46"/>
      <c r="D254" s="46"/>
      <c r="E254" s="46"/>
      <c r="F254" s="46"/>
      <c r="G254" s="46"/>
      <c r="H254" s="46"/>
      <c r="I254" s="46"/>
      <c r="J254" s="46"/>
      <c r="K254" s="46"/>
      <c r="L254" s="46"/>
      <c r="M254" s="46"/>
      <c r="N254" s="46"/>
      <c r="O254" s="46"/>
      <c r="P254" s="46"/>
      <c r="Q254" s="46"/>
      <c r="R254" s="46"/>
      <c r="S254" s="46"/>
      <c r="T254" s="46"/>
      <c r="U254" s="46"/>
    </row>
    <row r="255" spans="1:21" x14ac:dyDescent="0.25">
      <c r="A255" s="46"/>
      <c r="B255" s="46"/>
      <c r="C255" s="46"/>
      <c r="D255" s="46"/>
      <c r="E255" s="46"/>
      <c r="F255" s="46"/>
      <c r="G255" s="46"/>
      <c r="H255" s="46"/>
      <c r="I255" s="46"/>
      <c r="J255" s="46"/>
      <c r="K255" s="46"/>
      <c r="L255" s="46"/>
      <c r="M255" s="46"/>
      <c r="N255" s="46"/>
      <c r="O255" s="46"/>
      <c r="P255" s="46"/>
      <c r="Q255" s="46"/>
      <c r="R255" s="46"/>
      <c r="S255" s="46"/>
      <c r="T255" s="46"/>
      <c r="U255" s="46"/>
    </row>
    <row r="256" spans="1:21" x14ac:dyDescent="0.25">
      <c r="A256" s="46"/>
      <c r="B256" s="46"/>
      <c r="C256" s="46"/>
      <c r="D256" s="46"/>
      <c r="E256" s="46"/>
      <c r="F256" s="46"/>
      <c r="G256" s="46"/>
      <c r="H256" s="46"/>
      <c r="I256" s="46"/>
      <c r="J256" s="46"/>
      <c r="K256" s="46"/>
      <c r="L256" s="46"/>
      <c r="M256" s="46"/>
      <c r="N256" s="46"/>
      <c r="O256" s="46"/>
      <c r="P256" s="46"/>
      <c r="Q256" s="46"/>
      <c r="R256" s="46"/>
      <c r="S256" s="46"/>
      <c r="T256" s="46"/>
      <c r="U256" s="46"/>
    </row>
    <row r="257" spans="1:21" x14ac:dyDescent="0.25">
      <c r="A257" s="46"/>
      <c r="B257" s="46"/>
      <c r="C257" s="46"/>
      <c r="D257" s="46"/>
      <c r="E257" s="46"/>
      <c r="F257" s="46"/>
      <c r="G257" s="46"/>
      <c r="H257" s="46"/>
      <c r="I257" s="46"/>
      <c r="J257" s="46"/>
      <c r="K257" s="46"/>
      <c r="L257" s="46"/>
      <c r="M257" s="46"/>
      <c r="N257" s="46"/>
      <c r="O257" s="46"/>
      <c r="P257" s="46"/>
      <c r="Q257" s="46"/>
      <c r="R257" s="46"/>
      <c r="S257" s="46"/>
      <c r="T257" s="46"/>
      <c r="U257" s="46"/>
    </row>
    <row r="258" spans="1:21" x14ac:dyDescent="0.25">
      <c r="A258" s="46"/>
      <c r="B258" s="46"/>
      <c r="C258" s="46"/>
      <c r="D258" s="46"/>
      <c r="E258" s="46"/>
      <c r="F258" s="46"/>
      <c r="G258" s="46"/>
      <c r="H258" s="46"/>
      <c r="I258" s="46"/>
      <c r="J258" s="46"/>
      <c r="K258" s="46"/>
      <c r="L258" s="46"/>
      <c r="M258" s="46"/>
      <c r="N258" s="46"/>
      <c r="O258" s="46"/>
      <c r="P258" s="46"/>
      <c r="Q258" s="46"/>
      <c r="R258" s="46"/>
      <c r="S258" s="46"/>
      <c r="T258" s="46"/>
      <c r="U258" s="46"/>
    </row>
    <row r="259" spans="1:21" x14ac:dyDescent="0.25">
      <c r="A259" s="46"/>
      <c r="B259" s="46"/>
      <c r="C259" s="46"/>
      <c r="D259" s="46"/>
      <c r="E259" s="46"/>
      <c r="F259" s="46"/>
      <c r="G259" s="46"/>
      <c r="H259" s="46"/>
      <c r="I259" s="46"/>
      <c r="J259" s="46"/>
      <c r="K259" s="46"/>
      <c r="L259" s="46"/>
      <c r="M259" s="46"/>
      <c r="N259" s="46"/>
      <c r="O259" s="46"/>
      <c r="P259" s="46"/>
      <c r="Q259" s="46"/>
      <c r="R259" s="46"/>
      <c r="S259" s="46"/>
      <c r="T259" s="46"/>
      <c r="U259" s="46"/>
    </row>
    <row r="260" spans="1:21" x14ac:dyDescent="0.25">
      <c r="A260" s="46"/>
      <c r="B260" s="46"/>
      <c r="C260" s="46"/>
      <c r="D260" s="46"/>
      <c r="E260" s="46"/>
      <c r="F260" s="46"/>
      <c r="G260" s="46"/>
      <c r="H260" s="46"/>
      <c r="I260" s="46"/>
      <c r="J260" s="46"/>
      <c r="K260" s="46"/>
      <c r="L260" s="46"/>
      <c r="M260" s="46"/>
      <c r="N260" s="46"/>
      <c r="O260" s="46"/>
      <c r="P260" s="46"/>
      <c r="Q260" s="46"/>
      <c r="R260" s="46"/>
      <c r="S260" s="46"/>
      <c r="T260" s="46"/>
      <c r="U260" s="46"/>
    </row>
    <row r="261" spans="1:21" x14ac:dyDescent="0.25">
      <c r="A261" s="46"/>
      <c r="B261" s="46"/>
      <c r="C261" s="46"/>
      <c r="D261" s="46"/>
      <c r="E261" s="46"/>
      <c r="F261" s="46"/>
      <c r="G261" s="46"/>
      <c r="H261" s="46"/>
      <c r="I261" s="46"/>
      <c r="J261" s="46"/>
      <c r="K261" s="46"/>
      <c r="L261" s="46"/>
      <c r="M261" s="46"/>
      <c r="N261" s="46"/>
      <c r="O261" s="46"/>
      <c r="P261" s="46"/>
      <c r="Q261" s="46"/>
      <c r="R261" s="46"/>
      <c r="S261" s="46"/>
      <c r="T261" s="46"/>
      <c r="U261" s="46"/>
    </row>
    <row r="262" spans="1:21" x14ac:dyDescent="0.25">
      <c r="A262" s="46"/>
      <c r="B262" s="46"/>
      <c r="C262" s="46"/>
      <c r="D262" s="46"/>
      <c r="E262" s="46"/>
      <c r="F262" s="46"/>
      <c r="G262" s="46"/>
      <c r="H262" s="46"/>
      <c r="I262" s="46"/>
      <c r="J262" s="46"/>
      <c r="K262" s="46"/>
      <c r="L262" s="46"/>
      <c r="M262" s="46"/>
      <c r="N262" s="46"/>
      <c r="O262" s="46"/>
      <c r="P262" s="46"/>
      <c r="Q262" s="46"/>
      <c r="R262" s="46"/>
      <c r="S262" s="46"/>
      <c r="T262" s="46"/>
      <c r="U262" s="46"/>
    </row>
    <row r="263" spans="1:21" x14ac:dyDescent="0.25">
      <c r="A263" s="46"/>
      <c r="B263" s="46"/>
      <c r="C263" s="46"/>
      <c r="D263" s="46"/>
      <c r="E263" s="46"/>
      <c r="F263" s="46"/>
      <c r="G263" s="46"/>
      <c r="H263" s="46"/>
      <c r="I263" s="46"/>
      <c r="J263" s="46"/>
      <c r="K263" s="46"/>
      <c r="L263" s="46"/>
      <c r="M263" s="46"/>
      <c r="N263" s="46"/>
      <c r="O263" s="46"/>
      <c r="P263" s="46"/>
      <c r="Q263" s="46"/>
      <c r="R263" s="46"/>
      <c r="S263" s="46"/>
      <c r="T263" s="46"/>
      <c r="U263" s="46"/>
    </row>
    <row r="264" spans="1:21" x14ac:dyDescent="0.25">
      <c r="A264" s="46"/>
      <c r="B264" s="46"/>
      <c r="C264" s="46"/>
      <c r="D264" s="46"/>
      <c r="E264" s="46"/>
      <c r="F264" s="46"/>
      <c r="G264" s="46"/>
      <c r="H264" s="46"/>
      <c r="I264" s="46"/>
      <c r="J264" s="46"/>
      <c r="K264" s="46"/>
      <c r="L264" s="46"/>
      <c r="M264" s="46"/>
      <c r="N264" s="46"/>
      <c r="O264" s="46"/>
      <c r="P264" s="46"/>
      <c r="Q264" s="46"/>
      <c r="R264" s="46"/>
      <c r="S264" s="46"/>
      <c r="T264" s="46"/>
      <c r="U264" s="46"/>
    </row>
    <row r="265" spans="1:21" x14ac:dyDescent="0.25">
      <c r="A265" s="46"/>
      <c r="B265" s="46"/>
      <c r="C265" s="46"/>
      <c r="D265" s="46"/>
      <c r="E265" s="46"/>
      <c r="F265" s="46"/>
      <c r="G265" s="46"/>
      <c r="H265" s="46"/>
      <c r="I265" s="46"/>
      <c r="J265" s="46"/>
      <c r="K265" s="46"/>
      <c r="L265" s="46"/>
      <c r="M265" s="46"/>
      <c r="N265" s="46"/>
      <c r="O265" s="46"/>
      <c r="P265" s="46"/>
      <c r="Q265" s="46"/>
      <c r="R265" s="46"/>
      <c r="S265" s="46"/>
      <c r="T265" s="46"/>
      <c r="U265" s="46"/>
    </row>
    <row r="266" spans="1:21" x14ac:dyDescent="0.25">
      <c r="A266" s="46"/>
      <c r="B266" s="46"/>
      <c r="C266" s="46"/>
      <c r="D266" s="46"/>
      <c r="E266" s="46"/>
      <c r="F266" s="46"/>
      <c r="G266" s="46"/>
      <c r="H266" s="46"/>
      <c r="I266" s="46"/>
      <c r="J266" s="46"/>
      <c r="K266" s="46"/>
      <c r="L266" s="46"/>
      <c r="M266" s="46"/>
      <c r="N266" s="46"/>
      <c r="O266" s="46"/>
      <c r="P266" s="46"/>
      <c r="Q266" s="46"/>
      <c r="R266" s="46"/>
      <c r="S266" s="46"/>
      <c r="T266" s="46"/>
      <c r="U266" s="46"/>
    </row>
    <row r="267" spans="1:21" x14ac:dyDescent="0.25">
      <c r="A267" s="46"/>
      <c r="B267" s="46"/>
      <c r="C267" s="46"/>
      <c r="D267" s="46"/>
      <c r="E267" s="46"/>
      <c r="F267" s="46"/>
      <c r="G267" s="46"/>
      <c r="H267" s="46"/>
      <c r="I267" s="46"/>
      <c r="J267" s="46"/>
      <c r="K267" s="46"/>
      <c r="L267" s="46"/>
      <c r="M267" s="46"/>
      <c r="N267" s="46"/>
      <c r="O267" s="46"/>
      <c r="P267" s="46"/>
      <c r="Q267" s="46"/>
      <c r="R267" s="46"/>
      <c r="S267" s="46"/>
      <c r="T267" s="46"/>
      <c r="U267" s="46"/>
    </row>
    <row r="268" spans="1:21" x14ac:dyDescent="0.25">
      <c r="A268" s="46"/>
      <c r="B268" s="46"/>
      <c r="C268" s="46"/>
      <c r="D268" s="46"/>
      <c r="E268" s="46"/>
      <c r="F268" s="46"/>
      <c r="G268" s="46"/>
      <c r="H268" s="46"/>
      <c r="I268" s="46"/>
      <c r="J268" s="46"/>
      <c r="K268" s="46"/>
      <c r="L268" s="46"/>
      <c r="M268" s="46"/>
      <c r="N268" s="46"/>
      <c r="O268" s="46"/>
      <c r="P268" s="46"/>
      <c r="Q268" s="46"/>
      <c r="R268" s="46"/>
      <c r="S268" s="46"/>
      <c r="T268" s="46"/>
      <c r="U268" s="46"/>
    </row>
    <row r="269" spans="1:21" x14ac:dyDescent="0.25">
      <c r="A269" s="46"/>
      <c r="B269" s="46"/>
      <c r="C269" s="46"/>
      <c r="D269" s="46"/>
      <c r="E269" s="46"/>
      <c r="F269" s="46"/>
      <c r="G269" s="46"/>
      <c r="H269" s="46"/>
      <c r="I269" s="46"/>
      <c r="J269" s="46"/>
      <c r="K269" s="46"/>
      <c r="L269" s="46"/>
      <c r="M269" s="46"/>
      <c r="N269" s="46"/>
      <c r="O269" s="46"/>
      <c r="P269" s="46"/>
      <c r="Q269" s="46"/>
      <c r="R269" s="46"/>
      <c r="S269" s="46"/>
      <c r="T269" s="46"/>
      <c r="U269" s="46"/>
    </row>
    <row r="270" spans="1:21" x14ac:dyDescent="0.25">
      <c r="A270" s="46"/>
      <c r="B270" s="46"/>
      <c r="C270" s="46"/>
      <c r="D270" s="46"/>
      <c r="E270" s="46"/>
      <c r="F270" s="46"/>
      <c r="G270" s="46"/>
      <c r="H270" s="46"/>
      <c r="I270" s="46"/>
      <c r="J270" s="46"/>
      <c r="K270" s="46"/>
      <c r="L270" s="46"/>
      <c r="M270" s="46"/>
      <c r="N270" s="46"/>
      <c r="O270" s="46"/>
      <c r="P270" s="46"/>
      <c r="Q270" s="46"/>
      <c r="R270" s="46"/>
      <c r="S270" s="46"/>
      <c r="T270" s="46"/>
      <c r="U270" s="46"/>
    </row>
    <row r="271" spans="1:21" x14ac:dyDescent="0.25">
      <c r="A271" s="46"/>
      <c r="B271" s="46"/>
      <c r="C271" s="46"/>
      <c r="D271" s="46"/>
      <c r="E271" s="46"/>
      <c r="F271" s="46"/>
      <c r="G271" s="46"/>
      <c r="H271" s="46"/>
      <c r="I271" s="46"/>
      <c r="J271" s="46"/>
      <c r="K271" s="46"/>
      <c r="L271" s="46"/>
      <c r="M271" s="46"/>
      <c r="N271" s="46"/>
      <c r="O271" s="46"/>
      <c r="P271" s="46"/>
      <c r="Q271" s="46"/>
      <c r="R271" s="46"/>
      <c r="S271" s="46"/>
      <c r="T271" s="46"/>
      <c r="U271" s="46"/>
    </row>
    <row r="272" spans="1:21" x14ac:dyDescent="0.25">
      <c r="A272" s="46"/>
      <c r="B272" s="46"/>
      <c r="C272" s="46"/>
      <c r="D272" s="46"/>
      <c r="E272" s="46"/>
      <c r="F272" s="46"/>
      <c r="G272" s="46"/>
      <c r="H272" s="46"/>
      <c r="I272" s="46"/>
      <c r="J272" s="46"/>
      <c r="K272" s="46"/>
      <c r="L272" s="46"/>
      <c r="M272" s="46"/>
      <c r="N272" s="46"/>
      <c r="O272" s="46"/>
      <c r="P272" s="46"/>
      <c r="Q272" s="46"/>
      <c r="R272" s="46"/>
      <c r="S272" s="46"/>
      <c r="T272" s="46"/>
      <c r="U272" s="46"/>
    </row>
    <row r="273" spans="1:21" x14ac:dyDescent="0.25">
      <c r="A273" s="46"/>
      <c r="B273" s="46"/>
      <c r="C273" s="46"/>
      <c r="D273" s="46"/>
      <c r="E273" s="46"/>
      <c r="F273" s="46"/>
      <c r="G273" s="46"/>
      <c r="H273" s="46"/>
      <c r="I273" s="46"/>
      <c r="J273" s="46"/>
      <c r="K273" s="46"/>
      <c r="L273" s="46"/>
      <c r="M273" s="46"/>
      <c r="N273" s="46"/>
      <c r="O273" s="46"/>
      <c r="P273" s="46"/>
      <c r="Q273" s="46"/>
      <c r="R273" s="46"/>
      <c r="S273" s="46"/>
      <c r="T273" s="46"/>
      <c r="U273" s="46"/>
    </row>
    <row r="274" spans="1:21" x14ac:dyDescent="0.25">
      <c r="A274" s="46"/>
      <c r="B274" s="46"/>
      <c r="C274" s="46"/>
      <c r="D274" s="46"/>
      <c r="E274" s="46"/>
      <c r="F274" s="46"/>
      <c r="G274" s="46"/>
      <c r="H274" s="46"/>
      <c r="I274" s="46"/>
      <c r="J274" s="46"/>
      <c r="K274" s="46"/>
      <c r="L274" s="46"/>
      <c r="M274" s="46"/>
      <c r="N274" s="46"/>
      <c r="O274" s="46"/>
      <c r="P274" s="46"/>
      <c r="Q274" s="46"/>
      <c r="R274" s="46"/>
      <c r="S274" s="46"/>
      <c r="T274" s="46"/>
      <c r="U274" s="46"/>
    </row>
    <row r="275" spans="1:21" x14ac:dyDescent="0.25">
      <c r="A275" s="46"/>
      <c r="B275" s="46"/>
      <c r="C275" s="46"/>
      <c r="D275" s="46"/>
      <c r="E275" s="46"/>
      <c r="F275" s="46"/>
      <c r="G275" s="46"/>
      <c r="H275" s="46"/>
      <c r="I275" s="46"/>
      <c r="J275" s="46"/>
      <c r="K275" s="46"/>
      <c r="L275" s="46"/>
      <c r="M275" s="46"/>
      <c r="N275" s="46"/>
      <c r="O275" s="46"/>
      <c r="P275" s="46"/>
      <c r="Q275" s="46"/>
      <c r="R275" s="46"/>
      <c r="S275" s="46"/>
      <c r="T275" s="46"/>
      <c r="U275" s="46"/>
    </row>
    <row r="276" spans="1:21" x14ac:dyDescent="0.25">
      <c r="A276" s="46"/>
      <c r="B276" s="46"/>
      <c r="C276" s="46"/>
      <c r="D276" s="46"/>
      <c r="E276" s="46"/>
      <c r="F276" s="46"/>
      <c r="G276" s="46"/>
      <c r="H276" s="46"/>
      <c r="I276" s="46"/>
      <c r="J276" s="46"/>
      <c r="K276" s="46"/>
      <c r="L276" s="46"/>
      <c r="M276" s="46"/>
      <c r="N276" s="46"/>
      <c r="O276" s="46"/>
      <c r="P276" s="46"/>
      <c r="Q276" s="46"/>
      <c r="R276" s="46"/>
      <c r="S276" s="46"/>
      <c r="T276" s="46"/>
      <c r="U276" s="46"/>
    </row>
    <row r="277" spans="1:21" x14ac:dyDescent="0.25">
      <c r="A277" s="46"/>
      <c r="B277" s="46"/>
      <c r="C277" s="46"/>
      <c r="D277" s="46"/>
      <c r="E277" s="46"/>
      <c r="F277" s="46"/>
      <c r="G277" s="46"/>
      <c r="H277" s="46"/>
      <c r="I277" s="46"/>
      <c r="J277" s="46"/>
      <c r="K277" s="46"/>
      <c r="L277" s="46"/>
      <c r="M277" s="46"/>
      <c r="N277" s="46"/>
      <c r="O277" s="46"/>
      <c r="P277" s="46"/>
      <c r="Q277" s="46"/>
      <c r="R277" s="46"/>
      <c r="S277" s="46"/>
      <c r="T277" s="46"/>
      <c r="U277" s="46"/>
    </row>
    <row r="278" spans="1:21" x14ac:dyDescent="0.25">
      <c r="A278" s="46"/>
      <c r="B278" s="46"/>
      <c r="C278" s="46"/>
      <c r="D278" s="46"/>
      <c r="E278" s="46"/>
      <c r="F278" s="46"/>
      <c r="G278" s="46"/>
      <c r="H278" s="46"/>
      <c r="I278" s="46"/>
      <c r="J278" s="46"/>
      <c r="K278" s="46"/>
      <c r="L278" s="46"/>
      <c r="M278" s="46"/>
      <c r="N278" s="46"/>
      <c r="O278" s="46"/>
      <c r="P278" s="46"/>
      <c r="Q278" s="46"/>
      <c r="R278" s="46"/>
      <c r="S278" s="46"/>
      <c r="T278" s="46"/>
      <c r="U278" s="46"/>
    </row>
    <row r="279" spans="1:21" x14ac:dyDescent="0.25">
      <c r="A279" s="46"/>
      <c r="B279" s="46"/>
      <c r="C279" s="46"/>
      <c r="D279" s="46"/>
      <c r="E279" s="46"/>
      <c r="F279" s="46"/>
      <c r="G279" s="46"/>
      <c r="H279" s="46"/>
      <c r="I279" s="46"/>
      <c r="J279" s="46"/>
      <c r="K279" s="46"/>
      <c r="L279" s="46"/>
      <c r="M279" s="46"/>
      <c r="N279" s="46"/>
      <c r="O279" s="46"/>
      <c r="P279" s="46"/>
      <c r="Q279" s="46"/>
      <c r="R279" s="46"/>
      <c r="S279" s="46"/>
      <c r="T279" s="46"/>
      <c r="U279" s="46"/>
    </row>
    <row r="280" spans="1:21" x14ac:dyDescent="0.25">
      <c r="A280" s="46"/>
      <c r="B280" s="46"/>
      <c r="C280" s="46"/>
      <c r="D280" s="46"/>
      <c r="E280" s="46"/>
      <c r="F280" s="46"/>
      <c r="G280" s="46"/>
      <c r="H280" s="46"/>
      <c r="I280" s="46"/>
      <c r="J280" s="46"/>
      <c r="K280" s="46"/>
      <c r="L280" s="46"/>
      <c r="M280" s="46"/>
      <c r="N280" s="46"/>
      <c r="O280" s="46"/>
      <c r="P280" s="46"/>
      <c r="Q280" s="46"/>
      <c r="R280" s="46"/>
      <c r="S280" s="46"/>
      <c r="T280" s="46"/>
      <c r="U280" s="46"/>
    </row>
    <row r="281" spans="1:21" x14ac:dyDescent="0.25">
      <c r="A281" s="46"/>
      <c r="B281" s="46"/>
      <c r="C281" s="46"/>
      <c r="D281" s="46"/>
      <c r="E281" s="46"/>
      <c r="F281" s="46"/>
      <c r="G281" s="46"/>
      <c r="H281" s="46"/>
      <c r="I281" s="46"/>
      <c r="J281" s="46"/>
      <c r="K281" s="46"/>
      <c r="L281" s="46"/>
      <c r="M281" s="46"/>
      <c r="N281" s="46"/>
      <c r="O281" s="46"/>
      <c r="P281" s="46"/>
      <c r="Q281" s="46"/>
      <c r="R281" s="46"/>
      <c r="S281" s="46"/>
      <c r="T281" s="46"/>
      <c r="U281" s="46"/>
    </row>
    <row r="282" spans="1:21" x14ac:dyDescent="0.25">
      <c r="A282" s="46"/>
      <c r="B282" s="46"/>
      <c r="C282" s="46"/>
      <c r="D282" s="46"/>
      <c r="E282" s="46"/>
      <c r="F282" s="46"/>
      <c r="G282" s="46"/>
      <c r="H282" s="46"/>
      <c r="I282" s="46"/>
      <c r="J282" s="46"/>
      <c r="K282" s="46"/>
      <c r="L282" s="46"/>
      <c r="M282" s="46"/>
      <c r="N282" s="46"/>
      <c r="O282" s="46"/>
      <c r="P282" s="46"/>
      <c r="Q282" s="46"/>
      <c r="R282" s="46"/>
      <c r="S282" s="46"/>
      <c r="T282" s="46"/>
      <c r="U282" s="46"/>
    </row>
    <row r="283" spans="1:21" x14ac:dyDescent="0.25">
      <c r="A283" s="46"/>
      <c r="B283" s="46"/>
      <c r="C283" s="46"/>
      <c r="D283" s="46"/>
      <c r="E283" s="46"/>
      <c r="F283" s="46"/>
      <c r="G283" s="46"/>
      <c r="H283" s="46"/>
      <c r="I283" s="46"/>
      <c r="J283" s="46"/>
      <c r="K283" s="46"/>
      <c r="L283" s="46"/>
      <c r="M283" s="46"/>
      <c r="N283" s="46"/>
      <c r="O283" s="46"/>
      <c r="P283" s="46"/>
      <c r="Q283" s="46"/>
      <c r="R283" s="46"/>
      <c r="S283" s="46"/>
      <c r="T283" s="46"/>
      <c r="U283" s="46"/>
    </row>
    <row r="284" spans="1:21" x14ac:dyDescent="0.25">
      <c r="A284" s="46"/>
      <c r="B284" s="46"/>
      <c r="C284" s="46"/>
      <c r="D284" s="46"/>
      <c r="E284" s="46"/>
      <c r="F284" s="46"/>
      <c r="G284" s="46"/>
      <c r="H284" s="46"/>
      <c r="I284" s="46"/>
      <c r="J284" s="46"/>
      <c r="K284" s="46"/>
      <c r="L284" s="46"/>
      <c r="M284" s="46"/>
      <c r="N284" s="46"/>
      <c r="O284" s="46"/>
      <c r="P284" s="46"/>
      <c r="Q284" s="46"/>
      <c r="R284" s="46"/>
      <c r="S284" s="46"/>
      <c r="T284" s="46"/>
      <c r="U284" s="46"/>
    </row>
    <row r="285" spans="1:21" x14ac:dyDescent="0.25">
      <c r="A285" s="46"/>
      <c r="B285" s="46"/>
      <c r="C285" s="46"/>
      <c r="D285" s="46"/>
      <c r="E285" s="46"/>
      <c r="F285" s="46"/>
      <c r="G285" s="46"/>
      <c r="H285" s="46"/>
      <c r="I285" s="46"/>
      <c r="J285" s="46"/>
      <c r="K285" s="46"/>
      <c r="L285" s="46"/>
      <c r="M285" s="46"/>
      <c r="N285" s="46"/>
      <c r="O285" s="46"/>
      <c r="P285" s="46"/>
      <c r="Q285" s="46"/>
      <c r="R285" s="46"/>
      <c r="S285" s="46"/>
      <c r="T285" s="46"/>
      <c r="U285" s="46"/>
    </row>
    <row r="286" spans="1:21" x14ac:dyDescent="0.25">
      <c r="A286" s="46"/>
      <c r="B286" s="46"/>
      <c r="C286" s="46"/>
      <c r="D286" s="46"/>
      <c r="E286" s="46"/>
      <c r="F286" s="46"/>
      <c r="G286" s="46"/>
      <c r="H286" s="46"/>
      <c r="I286" s="46"/>
      <c r="J286" s="46"/>
      <c r="K286" s="46"/>
      <c r="L286" s="46"/>
      <c r="M286" s="46"/>
      <c r="N286" s="46"/>
      <c r="O286" s="46"/>
      <c r="P286" s="46"/>
      <c r="Q286" s="46"/>
      <c r="R286" s="46"/>
      <c r="S286" s="46"/>
      <c r="T286" s="46"/>
      <c r="U286" s="46"/>
    </row>
    <row r="287" spans="1:21" x14ac:dyDescent="0.25">
      <c r="A287" s="46"/>
      <c r="B287" s="46"/>
      <c r="C287" s="46"/>
      <c r="D287" s="46"/>
      <c r="E287" s="46"/>
      <c r="F287" s="46"/>
      <c r="G287" s="46"/>
      <c r="H287" s="46"/>
      <c r="I287" s="46"/>
      <c r="J287" s="46"/>
      <c r="K287" s="46"/>
      <c r="L287" s="46"/>
      <c r="M287" s="46"/>
      <c r="N287" s="46"/>
      <c r="O287" s="46"/>
      <c r="P287" s="46"/>
      <c r="Q287" s="46"/>
      <c r="R287" s="46"/>
      <c r="S287" s="46"/>
      <c r="T287" s="46"/>
      <c r="U287" s="46"/>
    </row>
    <row r="288" spans="1:21" x14ac:dyDescent="0.25">
      <c r="A288" s="46"/>
      <c r="B288" s="46"/>
      <c r="C288" s="46"/>
      <c r="D288" s="46"/>
      <c r="E288" s="46"/>
      <c r="F288" s="46"/>
      <c r="G288" s="46"/>
      <c r="H288" s="46"/>
      <c r="I288" s="46"/>
      <c r="J288" s="46"/>
      <c r="K288" s="46"/>
      <c r="L288" s="46"/>
      <c r="M288" s="46"/>
      <c r="N288" s="46"/>
      <c r="O288" s="46"/>
      <c r="P288" s="46"/>
      <c r="Q288" s="46"/>
      <c r="R288" s="46"/>
      <c r="S288" s="46"/>
      <c r="T288" s="46"/>
      <c r="U288" s="46"/>
    </row>
    <row r="289" spans="1:21" x14ac:dyDescent="0.25">
      <c r="A289" s="46"/>
      <c r="B289" s="46"/>
      <c r="C289" s="46"/>
      <c r="D289" s="46"/>
      <c r="E289" s="46"/>
      <c r="F289" s="46"/>
      <c r="G289" s="46"/>
      <c r="H289" s="46"/>
      <c r="I289" s="46"/>
      <c r="J289" s="46"/>
      <c r="K289" s="46"/>
      <c r="L289" s="46"/>
      <c r="M289" s="46"/>
      <c r="N289" s="46"/>
      <c r="O289" s="46"/>
      <c r="P289" s="46"/>
      <c r="Q289" s="46"/>
      <c r="R289" s="46"/>
      <c r="S289" s="46"/>
      <c r="T289" s="46"/>
      <c r="U289" s="46"/>
    </row>
    <row r="290" spans="1:21" x14ac:dyDescent="0.25">
      <c r="A290" s="46"/>
      <c r="B290" s="46"/>
      <c r="C290" s="46"/>
      <c r="D290" s="46"/>
      <c r="E290" s="46"/>
      <c r="F290" s="46"/>
      <c r="G290" s="46"/>
      <c r="H290" s="46"/>
      <c r="I290" s="46"/>
      <c r="J290" s="46"/>
      <c r="K290" s="46"/>
      <c r="L290" s="46"/>
      <c r="M290" s="46"/>
      <c r="N290" s="46"/>
      <c r="O290" s="46"/>
      <c r="P290" s="46"/>
      <c r="Q290" s="46"/>
      <c r="R290" s="46"/>
      <c r="S290" s="46"/>
      <c r="T290" s="46"/>
      <c r="U290" s="46"/>
    </row>
    <row r="291" spans="1:21" x14ac:dyDescent="0.25">
      <c r="A291" s="46"/>
      <c r="B291" s="46"/>
      <c r="C291" s="46"/>
      <c r="D291" s="46"/>
      <c r="E291" s="46"/>
      <c r="F291" s="46"/>
      <c r="G291" s="46"/>
      <c r="H291" s="46"/>
      <c r="I291" s="46"/>
      <c r="J291" s="46"/>
      <c r="K291" s="46"/>
      <c r="L291" s="46"/>
      <c r="M291" s="46"/>
      <c r="N291" s="46"/>
      <c r="O291" s="46"/>
      <c r="P291" s="46"/>
      <c r="Q291" s="46"/>
      <c r="R291" s="46"/>
      <c r="S291" s="46"/>
      <c r="T291" s="46"/>
      <c r="U291" s="46"/>
    </row>
    <row r="292" spans="1:21" x14ac:dyDescent="0.25">
      <c r="A292" s="46"/>
      <c r="B292" s="46"/>
      <c r="C292" s="46"/>
      <c r="D292" s="46"/>
      <c r="E292" s="46"/>
      <c r="F292" s="46"/>
      <c r="G292" s="46"/>
      <c r="H292" s="46"/>
      <c r="I292" s="46"/>
      <c r="J292" s="46"/>
      <c r="K292" s="46"/>
      <c r="L292" s="46"/>
      <c r="M292" s="46"/>
      <c r="N292" s="46"/>
      <c r="O292" s="46"/>
      <c r="P292" s="46"/>
      <c r="Q292" s="46"/>
      <c r="R292" s="46"/>
      <c r="S292" s="46"/>
      <c r="T292" s="46"/>
      <c r="U292" s="46"/>
    </row>
    <row r="293" spans="1:21" x14ac:dyDescent="0.25">
      <c r="A293" s="46"/>
      <c r="B293" s="46"/>
      <c r="C293" s="46"/>
      <c r="D293" s="46"/>
      <c r="E293" s="46"/>
      <c r="F293" s="46"/>
      <c r="G293" s="46"/>
      <c r="H293" s="46"/>
      <c r="I293" s="46"/>
      <c r="J293" s="46"/>
      <c r="K293" s="46"/>
      <c r="L293" s="46"/>
      <c r="M293" s="46"/>
      <c r="N293" s="46"/>
      <c r="O293" s="46"/>
      <c r="P293" s="46"/>
      <c r="Q293" s="46"/>
      <c r="R293" s="46"/>
      <c r="S293" s="46"/>
      <c r="T293" s="46"/>
      <c r="U293" s="46"/>
    </row>
    <row r="294" spans="1:21" x14ac:dyDescent="0.25">
      <c r="A294" s="46"/>
      <c r="B294" s="46"/>
      <c r="C294" s="46"/>
      <c r="D294" s="46"/>
      <c r="E294" s="46"/>
      <c r="F294" s="46"/>
      <c r="G294" s="46"/>
      <c r="H294" s="46"/>
      <c r="I294" s="46"/>
      <c r="J294" s="46"/>
      <c r="K294" s="46"/>
      <c r="L294" s="46"/>
      <c r="M294" s="46"/>
      <c r="N294" s="46"/>
      <c r="O294" s="46"/>
      <c r="P294" s="46"/>
      <c r="Q294" s="46"/>
      <c r="R294" s="46"/>
      <c r="S294" s="46"/>
      <c r="T294" s="46"/>
      <c r="U294" s="46"/>
    </row>
    <row r="295" spans="1:21" x14ac:dyDescent="0.25">
      <c r="A295" s="46"/>
      <c r="B295" s="46"/>
      <c r="C295" s="46"/>
      <c r="D295" s="46"/>
      <c r="E295" s="46"/>
      <c r="F295" s="46"/>
      <c r="G295" s="46"/>
      <c r="H295" s="46"/>
      <c r="I295" s="46"/>
      <c r="J295" s="46"/>
      <c r="K295" s="46"/>
      <c r="L295" s="46"/>
      <c r="M295" s="46"/>
      <c r="N295" s="46"/>
      <c r="O295" s="46"/>
      <c r="P295" s="46"/>
      <c r="Q295" s="46"/>
      <c r="R295" s="46"/>
      <c r="S295" s="46"/>
      <c r="T295" s="46"/>
      <c r="U295" s="46"/>
    </row>
    <row r="296" spans="1:21" x14ac:dyDescent="0.25">
      <c r="A296" s="46"/>
      <c r="B296" s="46"/>
      <c r="C296" s="46"/>
      <c r="D296" s="46"/>
      <c r="E296" s="46"/>
      <c r="F296" s="46"/>
      <c r="G296" s="46"/>
      <c r="H296" s="46"/>
      <c r="I296" s="46"/>
      <c r="J296" s="46"/>
      <c r="K296" s="46"/>
      <c r="L296" s="46"/>
      <c r="M296" s="46"/>
      <c r="N296" s="46"/>
      <c r="O296" s="46"/>
      <c r="P296" s="46"/>
      <c r="Q296" s="46"/>
      <c r="R296" s="46"/>
      <c r="S296" s="46"/>
      <c r="T296" s="46"/>
      <c r="U296" s="46"/>
    </row>
    <row r="297" spans="1:21" x14ac:dyDescent="0.25">
      <c r="A297" s="46"/>
      <c r="B297" s="46"/>
      <c r="C297" s="46"/>
      <c r="D297" s="46"/>
      <c r="E297" s="46"/>
      <c r="F297" s="46"/>
      <c r="G297" s="46"/>
      <c r="H297" s="46"/>
      <c r="I297" s="46"/>
      <c r="J297" s="46"/>
      <c r="K297" s="46"/>
      <c r="L297" s="46"/>
      <c r="M297" s="46"/>
      <c r="N297" s="46"/>
      <c r="O297" s="46"/>
      <c r="P297" s="46"/>
      <c r="Q297" s="46"/>
      <c r="R297" s="46"/>
      <c r="S297" s="46"/>
      <c r="T297" s="46"/>
      <c r="U297" s="46"/>
    </row>
    <row r="298" spans="1:21" x14ac:dyDescent="0.25">
      <c r="A298" s="46"/>
      <c r="B298" s="46"/>
      <c r="C298" s="46"/>
      <c r="D298" s="46"/>
      <c r="E298" s="46"/>
      <c r="F298" s="46"/>
      <c r="G298" s="46"/>
      <c r="H298" s="46"/>
      <c r="I298" s="46"/>
      <c r="J298" s="46"/>
      <c r="K298" s="46"/>
      <c r="L298" s="46"/>
      <c r="M298" s="46"/>
      <c r="N298" s="46"/>
      <c r="O298" s="46"/>
      <c r="P298" s="46"/>
      <c r="Q298" s="46"/>
      <c r="R298" s="46"/>
      <c r="S298" s="46"/>
      <c r="T298" s="46"/>
      <c r="U298" s="46"/>
    </row>
    <row r="299" spans="1:21" x14ac:dyDescent="0.25">
      <c r="A299" s="46"/>
      <c r="B299" s="46"/>
      <c r="C299" s="46"/>
      <c r="D299" s="46"/>
      <c r="E299" s="46"/>
      <c r="F299" s="46"/>
      <c r="G299" s="46"/>
      <c r="H299" s="46"/>
      <c r="I299" s="46"/>
      <c r="J299" s="46"/>
      <c r="K299" s="46"/>
      <c r="L299" s="46"/>
      <c r="M299" s="46"/>
      <c r="N299" s="46"/>
      <c r="O299" s="46"/>
      <c r="P299" s="46"/>
      <c r="Q299" s="46"/>
      <c r="R299" s="46"/>
      <c r="S299" s="46"/>
      <c r="T299" s="46"/>
      <c r="U299" s="46"/>
    </row>
    <row r="300" spans="1:21" x14ac:dyDescent="0.25">
      <c r="A300" s="46"/>
      <c r="B300" s="46"/>
      <c r="C300" s="46"/>
      <c r="D300" s="46"/>
      <c r="E300" s="46"/>
      <c r="F300" s="46"/>
      <c r="G300" s="46"/>
      <c r="H300" s="46"/>
      <c r="I300" s="46"/>
      <c r="J300" s="46"/>
      <c r="K300" s="46"/>
      <c r="L300" s="46"/>
      <c r="M300" s="46"/>
      <c r="N300" s="46"/>
      <c r="O300" s="46"/>
      <c r="P300" s="46"/>
      <c r="Q300" s="46"/>
      <c r="R300" s="46"/>
      <c r="S300" s="46"/>
      <c r="T300" s="46"/>
      <c r="U300" s="46"/>
    </row>
    <row r="301" spans="1:21" x14ac:dyDescent="0.25">
      <c r="A301" s="46"/>
      <c r="B301" s="46"/>
      <c r="C301" s="46"/>
      <c r="D301" s="46"/>
      <c r="E301" s="46"/>
      <c r="F301" s="46"/>
      <c r="G301" s="46"/>
      <c r="H301" s="46"/>
      <c r="I301" s="46"/>
      <c r="J301" s="46"/>
      <c r="K301" s="46"/>
      <c r="L301" s="46"/>
      <c r="M301" s="46"/>
      <c r="N301" s="46"/>
      <c r="O301" s="46"/>
      <c r="P301" s="46"/>
      <c r="Q301" s="46"/>
      <c r="R301" s="46"/>
      <c r="S301" s="46"/>
      <c r="T301" s="46"/>
      <c r="U301" s="46"/>
    </row>
    <row r="302" spans="1:21" x14ac:dyDescent="0.25">
      <c r="A302" s="46"/>
      <c r="B302" s="46"/>
      <c r="C302" s="46"/>
      <c r="D302" s="46"/>
      <c r="E302" s="46"/>
      <c r="F302" s="46"/>
      <c r="G302" s="46"/>
      <c r="H302" s="46"/>
      <c r="I302" s="46"/>
      <c r="J302" s="46"/>
      <c r="K302" s="46"/>
      <c r="L302" s="46"/>
      <c r="M302" s="46"/>
      <c r="N302" s="46"/>
      <c r="O302" s="46"/>
      <c r="P302" s="46"/>
      <c r="Q302" s="46"/>
      <c r="R302" s="46"/>
      <c r="S302" s="46"/>
      <c r="T302" s="46"/>
      <c r="U302" s="46"/>
    </row>
    <row r="303" spans="1:21" x14ac:dyDescent="0.25">
      <c r="A303" s="46"/>
      <c r="B303" s="46"/>
      <c r="C303" s="46"/>
      <c r="D303" s="46"/>
      <c r="E303" s="46"/>
      <c r="F303" s="46"/>
      <c r="G303" s="46"/>
      <c r="H303" s="46"/>
      <c r="I303" s="46"/>
      <c r="J303" s="46"/>
      <c r="K303" s="46"/>
      <c r="L303" s="46"/>
      <c r="M303" s="46"/>
      <c r="N303" s="46"/>
      <c r="O303" s="46"/>
      <c r="P303" s="46"/>
      <c r="Q303" s="46"/>
      <c r="R303" s="46"/>
      <c r="S303" s="46"/>
      <c r="T303" s="46"/>
      <c r="U303" s="46"/>
    </row>
    <row r="304" spans="1:21" x14ac:dyDescent="0.25">
      <c r="A304" s="46"/>
      <c r="B304" s="46"/>
      <c r="C304" s="46"/>
      <c r="D304" s="46"/>
      <c r="E304" s="46"/>
      <c r="F304" s="46"/>
      <c r="G304" s="46"/>
      <c r="H304" s="46"/>
      <c r="I304" s="46"/>
      <c r="J304" s="46"/>
      <c r="K304" s="46"/>
      <c r="L304" s="46"/>
      <c r="M304" s="46"/>
      <c r="N304" s="46"/>
      <c r="O304" s="46"/>
      <c r="P304" s="46"/>
      <c r="Q304" s="46"/>
      <c r="R304" s="46"/>
      <c r="S304" s="46"/>
      <c r="T304" s="46"/>
      <c r="U304" s="46"/>
    </row>
    <row r="305" spans="1:21" x14ac:dyDescent="0.25">
      <c r="A305" s="46"/>
      <c r="B305" s="46"/>
      <c r="C305" s="46"/>
      <c r="D305" s="46"/>
      <c r="E305" s="46"/>
      <c r="F305" s="46"/>
      <c r="G305" s="46"/>
      <c r="H305" s="46"/>
      <c r="I305" s="46"/>
      <c r="J305" s="46"/>
      <c r="K305" s="46"/>
      <c r="L305" s="46"/>
      <c r="M305" s="46"/>
      <c r="N305" s="46"/>
      <c r="O305" s="46"/>
      <c r="P305" s="46"/>
      <c r="Q305" s="46"/>
      <c r="R305" s="46"/>
      <c r="S305" s="46"/>
      <c r="T305" s="46"/>
      <c r="U305" s="46"/>
    </row>
    <row r="306" spans="1:21" x14ac:dyDescent="0.25">
      <c r="A306" s="46"/>
      <c r="B306" s="46"/>
      <c r="C306" s="46"/>
      <c r="D306" s="46"/>
      <c r="E306" s="46"/>
      <c r="F306" s="46"/>
      <c r="G306" s="46"/>
      <c r="H306" s="46"/>
      <c r="I306" s="46"/>
      <c r="J306" s="46"/>
      <c r="K306" s="46"/>
      <c r="L306" s="46"/>
      <c r="M306" s="46"/>
      <c r="N306" s="46"/>
      <c r="O306" s="46"/>
      <c r="P306" s="46"/>
      <c r="Q306" s="46"/>
      <c r="R306" s="46"/>
      <c r="S306" s="46"/>
      <c r="T306" s="46"/>
      <c r="U306" s="46"/>
    </row>
    <row r="307" spans="1:21" x14ac:dyDescent="0.25">
      <c r="A307" s="46"/>
      <c r="B307" s="46"/>
      <c r="C307" s="46"/>
      <c r="D307" s="46"/>
      <c r="E307" s="46"/>
      <c r="F307" s="46"/>
      <c r="G307" s="46"/>
      <c r="H307" s="46"/>
      <c r="I307" s="46"/>
      <c r="J307" s="46"/>
      <c r="K307" s="46"/>
      <c r="L307" s="46"/>
      <c r="M307" s="46"/>
      <c r="N307" s="46"/>
      <c r="O307" s="46"/>
      <c r="P307" s="46"/>
      <c r="Q307" s="46"/>
      <c r="R307" s="46"/>
      <c r="S307" s="46"/>
      <c r="T307" s="46"/>
      <c r="U307" s="46"/>
    </row>
    <row r="308" spans="1:21" x14ac:dyDescent="0.25">
      <c r="A308" s="46"/>
      <c r="B308" s="46"/>
      <c r="C308" s="46"/>
      <c r="D308" s="46"/>
      <c r="E308" s="46"/>
      <c r="F308" s="46"/>
      <c r="G308" s="46"/>
      <c r="H308" s="46"/>
      <c r="I308" s="46"/>
      <c r="J308" s="46"/>
      <c r="K308" s="46"/>
      <c r="L308" s="46"/>
      <c r="M308" s="46"/>
      <c r="N308" s="46"/>
      <c r="O308" s="46"/>
      <c r="P308" s="46"/>
      <c r="Q308" s="46"/>
      <c r="R308" s="46"/>
      <c r="S308" s="46"/>
      <c r="T308" s="46"/>
      <c r="U308" s="46"/>
    </row>
    <row r="309" spans="1:21" x14ac:dyDescent="0.25">
      <c r="A309" s="46"/>
      <c r="B309" s="46"/>
      <c r="C309" s="46"/>
      <c r="D309" s="46"/>
      <c r="E309" s="46"/>
      <c r="F309" s="46"/>
      <c r="G309" s="46"/>
      <c r="H309" s="46"/>
      <c r="I309" s="46"/>
      <c r="J309" s="46"/>
      <c r="K309" s="46"/>
      <c r="L309" s="46"/>
      <c r="M309" s="46"/>
      <c r="N309" s="46"/>
      <c r="O309" s="46"/>
      <c r="P309" s="46"/>
      <c r="Q309" s="46"/>
      <c r="R309" s="46"/>
      <c r="S309" s="46"/>
      <c r="T309" s="46"/>
      <c r="U309" s="46"/>
    </row>
    <row r="310" spans="1:21" x14ac:dyDescent="0.25">
      <c r="A310" s="46"/>
      <c r="B310" s="46"/>
      <c r="C310" s="46"/>
      <c r="D310" s="46"/>
      <c r="E310" s="46"/>
      <c r="F310" s="46"/>
      <c r="G310" s="46"/>
      <c r="H310" s="46"/>
      <c r="I310" s="46"/>
      <c r="J310" s="46"/>
      <c r="K310" s="46"/>
      <c r="L310" s="46"/>
      <c r="M310" s="46"/>
      <c r="N310" s="46"/>
      <c r="O310" s="46"/>
      <c r="P310" s="46"/>
      <c r="Q310" s="46"/>
      <c r="R310" s="46"/>
      <c r="S310" s="46"/>
      <c r="T310" s="46"/>
      <c r="U310" s="46"/>
    </row>
    <row r="311" spans="1:21" x14ac:dyDescent="0.25">
      <c r="A311" s="46"/>
      <c r="B311" s="46"/>
      <c r="C311" s="46"/>
      <c r="D311" s="46"/>
      <c r="E311" s="46"/>
      <c r="F311" s="46"/>
      <c r="G311" s="46"/>
      <c r="H311" s="46"/>
      <c r="I311" s="46"/>
      <c r="J311" s="46"/>
      <c r="K311" s="46"/>
      <c r="L311" s="46"/>
      <c r="M311" s="46"/>
      <c r="N311" s="46"/>
      <c r="O311" s="46"/>
      <c r="P311" s="46"/>
      <c r="Q311" s="46"/>
      <c r="R311" s="46"/>
      <c r="S311" s="46"/>
      <c r="T311" s="46"/>
      <c r="U311" s="46"/>
    </row>
    <row r="312" spans="1:21" x14ac:dyDescent="0.25">
      <c r="A312" s="46"/>
      <c r="B312" s="46"/>
      <c r="C312" s="46"/>
      <c r="D312" s="46"/>
      <c r="E312" s="46"/>
      <c r="F312" s="46"/>
      <c r="G312" s="46"/>
      <c r="H312" s="46"/>
      <c r="I312" s="46"/>
      <c r="J312" s="46"/>
      <c r="K312" s="46"/>
      <c r="L312" s="46"/>
      <c r="M312" s="46"/>
      <c r="N312" s="46"/>
      <c r="O312" s="46"/>
      <c r="P312" s="46"/>
      <c r="Q312" s="46"/>
      <c r="R312" s="46"/>
      <c r="S312" s="46"/>
      <c r="T312" s="46"/>
      <c r="U312" s="46"/>
    </row>
    <row r="313" spans="1:21" x14ac:dyDescent="0.25">
      <c r="A313" s="46"/>
      <c r="B313" s="46"/>
      <c r="C313" s="46"/>
      <c r="D313" s="46"/>
      <c r="E313" s="46"/>
      <c r="F313" s="46"/>
      <c r="G313" s="46"/>
      <c r="H313" s="46"/>
      <c r="I313" s="46"/>
      <c r="J313" s="46"/>
      <c r="K313" s="46"/>
      <c r="L313" s="46"/>
      <c r="M313" s="46"/>
      <c r="N313" s="46"/>
      <c r="O313" s="46"/>
      <c r="P313" s="46"/>
      <c r="Q313" s="46"/>
      <c r="R313" s="46"/>
      <c r="S313" s="46"/>
      <c r="T313" s="46"/>
      <c r="U313" s="46"/>
    </row>
    <row r="314" spans="1:21" x14ac:dyDescent="0.25">
      <c r="A314" s="46"/>
      <c r="B314" s="46"/>
      <c r="C314" s="46"/>
      <c r="D314" s="46"/>
      <c r="E314" s="46"/>
      <c r="F314" s="46"/>
      <c r="G314" s="46"/>
      <c r="H314" s="46"/>
      <c r="I314" s="46"/>
      <c r="J314" s="46"/>
      <c r="K314" s="46"/>
      <c r="L314" s="46"/>
      <c r="M314" s="46"/>
      <c r="N314" s="46"/>
      <c r="O314" s="46"/>
      <c r="P314" s="46"/>
      <c r="Q314" s="46"/>
      <c r="R314" s="46"/>
      <c r="S314" s="46"/>
      <c r="T314" s="46"/>
      <c r="U314" s="46"/>
    </row>
    <row r="315" spans="1:21" x14ac:dyDescent="0.25">
      <c r="A315" s="46"/>
      <c r="B315" s="46"/>
      <c r="C315" s="46"/>
      <c r="D315" s="46"/>
      <c r="E315" s="46"/>
      <c r="F315" s="46"/>
      <c r="G315" s="46"/>
      <c r="H315" s="46"/>
      <c r="I315" s="46"/>
      <c r="J315" s="46"/>
      <c r="K315" s="46"/>
      <c r="L315" s="46"/>
      <c r="M315" s="46"/>
      <c r="N315" s="46"/>
      <c r="O315" s="46"/>
      <c r="P315" s="46"/>
      <c r="Q315" s="46"/>
      <c r="R315" s="46"/>
      <c r="S315" s="46"/>
      <c r="T315" s="46"/>
      <c r="U315" s="46"/>
    </row>
    <row r="316" spans="1:21" x14ac:dyDescent="0.25">
      <c r="A316" s="46"/>
      <c r="B316" s="46"/>
      <c r="C316" s="46"/>
      <c r="D316" s="46"/>
      <c r="E316" s="46"/>
      <c r="F316" s="46"/>
      <c r="G316" s="46"/>
      <c r="H316" s="46"/>
      <c r="I316" s="46"/>
      <c r="J316" s="46"/>
      <c r="K316" s="46"/>
      <c r="L316" s="46"/>
      <c r="M316" s="46"/>
      <c r="N316" s="46"/>
      <c r="O316" s="46"/>
      <c r="P316" s="46"/>
      <c r="Q316" s="46"/>
      <c r="R316" s="46"/>
      <c r="S316" s="46"/>
      <c r="T316" s="46"/>
      <c r="U316" s="46"/>
    </row>
    <row r="317" spans="1:21" x14ac:dyDescent="0.25">
      <c r="A317" s="46"/>
      <c r="B317" s="46"/>
      <c r="C317" s="46"/>
      <c r="D317" s="46"/>
      <c r="E317" s="46"/>
      <c r="F317" s="46"/>
      <c r="G317" s="46"/>
      <c r="H317" s="46"/>
      <c r="I317" s="46"/>
      <c r="J317" s="46"/>
      <c r="K317" s="46"/>
      <c r="L317" s="46"/>
      <c r="M317" s="46"/>
      <c r="N317" s="46"/>
      <c r="O317" s="46"/>
      <c r="P317" s="46"/>
      <c r="Q317" s="46"/>
      <c r="R317" s="46"/>
      <c r="S317" s="46"/>
      <c r="T317" s="46"/>
      <c r="U317" s="46"/>
    </row>
    <row r="318" spans="1:21" x14ac:dyDescent="0.25">
      <c r="A318" s="46"/>
      <c r="B318" s="46"/>
      <c r="C318" s="46"/>
      <c r="D318" s="46"/>
      <c r="E318" s="46"/>
      <c r="F318" s="46"/>
      <c r="G318" s="46"/>
      <c r="H318" s="46"/>
      <c r="I318" s="46"/>
      <c r="J318" s="46"/>
      <c r="K318" s="46"/>
      <c r="L318" s="46"/>
      <c r="M318" s="46"/>
      <c r="N318" s="46"/>
      <c r="O318" s="46"/>
      <c r="P318" s="46"/>
      <c r="Q318" s="46"/>
      <c r="R318" s="46"/>
      <c r="S318" s="46"/>
      <c r="T318" s="46"/>
      <c r="U318" s="46"/>
    </row>
    <row r="319" spans="1:21" x14ac:dyDescent="0.25">
      <c r="A319" s="46"/>
      <c r="B319" s="46"/>
      <c r="C319" s="46"/>
      <c r="D319" s="46"/>
      <c r="E319" s="46"/>
      <c r="F319" s="46"/>
      <c r="G319" s="46"/>
      <c r="H319" s="46"/>
      <c r="I319" s="46"/>
      <c r="J319" s="46"/>
      <c r="K319" s="46"/>
      <c r="L319" s="46"/>
      <c r="M319" s="46"/>
      <c r="N319" s="46"/>
      <c r="O319" s="46"/>
      <c r="P319" s="46"/>
      <c r="Q319" s="46"/>
      <c r="R319" s="46"/>
      <c r="S319" s="46"/>
      <c r="T319" s="46"/>
      <c r="U319" s="46"/>
    </row>
    <row r="320" spans="1:21" x14ac:dyDescent="0.25">
      <c r="A320" s="46"/>
      <c r="B320" s="46"/>
      <c r="C320" s="46"/>
      <c r="D320" s="46"/>
      <c r="E320" s="46"/>
      <c r="F320" s="46"/>
      <c r="G320" s="46"/>
      <c r="H320" s="46"/>
      <c r="I320" s="46"/>
      <c r="J320" s="46"/>
      <c r="K320" s="46"/>
      <c r="L320" s="46"/>
      <c r="M320" s="46"/>
      <c r="N320" s="46"/>
      <c r="O320" s="46"/>
      <c r="P320" s="46"/>
      <c r="Q320" s="46"/>
      <c r="R320" s="46"/>
      <c r="S320" s="46"/>
      <c r="T320" s="46"/>
      <c r="U320" s="46"/>
    </row>
    <row r="321" spans="1:21" x14ac:dyDescent="0.25">
      <c r="A321" s="46"/>
      <c r="B321" s="46"/>
      <c r="C321" s="46"/>
      <c r="D321" s="46"/>
      <c r="E321" s="46"/>
      <c r="F321" s="46"/>
      <c r="G321" s="46"/>
      <c r="H321" s="46"/>
      <c r="I321" s="46"/>
      <c r="J321" s="46"/>
      <c r="K321" s="46"/>
      <c r="L321" s="46"/>
      <c r="M321" s="46"/>
      <c r="N321" s="46"/>
      <c r="O321" s="46"/>
      <c r="P321" s="46"/>
      <c r="Q321" s="46"/>
      <c r="R321" s="46"/>
      <c r="S321" s="46"/>
      <c r="T321" s="46"/>
      <c r="U321" s="46"/>
    </row>
    <row r="322" spans="1:21" x14ac:dyDescent="0.25">
      <c r="A322" s="46"/>
      <c r="B322" s="46"/>
      <c r="C322" s="46"/>
      <c r="D322" s="46"/>
      <c r="E322" s="46"/>
      <c r="F322" s="46"/>
      <c r="G322" s="46"/>
      <c r="H322" s="46"/>
      <c r="I322" s="46"/>
      <c r="J322" s="46"/>
      <c r="K322" s="46"/>
      <c r="L322" s="46"/>
      <c r="M322" s="46"/>
      <c r="N322" s="46"/>
      <c r="O322" s="46"/>
      <c r="P322" s="46"/>
      <c r="Q322" s="46"/>
      <c r="R322" s="46"/>
      <c r="S322" s="46"/>
      <c r="T322" s="46"/>
      <c r="U322" s="46"/>
    </row>
    <row r="323" spans="1:21" x14ac:dyDescent="0.25">
      <c r="A323" s="46"/>
      <c r="B323" s="46"/>
      <c r="C323" s="46"/>
      <c r="D323" s="46"/>
      <c r="E323" s="46"/>
      <c r="F323" s="46"/>
      <c r="G323" s="46"/>
      <c r="H323" s="46"/>
      <c r="I323" s="46"/>
      <c r="J323" s="46"/>
      <c r="K323" s="46"/>
      <c r="L323" s="46"/>
      <c r="M323" s="46"/>
      <c r="N323" s="46"/>
      <c r="O323" s="46"/>
      <c r="P323" s="46"/>
      <c r="Q323" s="46"/>
      <c r="R323" s="46"/>
      <c r="S323" s="46"/>
      <c r="T323" s="46"/>
      <c r="U323" s="46"/>
    </row>
    <row r="324" spans="1:21" x14ac:dyDescent="0.25">
      <c r="A324" s="46"/>
      <c r="B324" s="46"/>
      <c r="C324" s="46"/>
      <c r="D324" s="46"/>
      <c r="E324" s="46"/>
      <c r="F324" s="46"/>
      <c r="G324" s="46"/>
      <c r="H324" s="46"/>
      <c r="I324" s="46"/>
      <c r="J324" s="46"/>
      <c r="K324" s="46"/>
      <c r="L324" s="46"/>
      <c r="M324" s="46"/>
      <c r="N324" s="46"/>
      <c r="O324" s="46"/>
      <c r="P324" s="46"/>
      <c r="Q324" s="46"/>
      <c r="R324" s="46"/>
      <c r="S324" s="46"/>
      <c r="T324" s="46"/>
      <c r="U324" s="46"/>
    </row>
    <row r="325" spans="1:21" x14ac:dyDescent="0.25">
      <c r="A325" s="46"/>
      <c r="B325" s="46"/>
      <c r="C325" s="46"/>
      <c r="D325" s="46"/>
      <c r="E325" s="46"/>
      <c r="F325" s="46"/>
      <c r="G325" s="46"/>
      <c r="H325" s="46"/>
      <c r="I325" s="46"/>
      <c r="J325" s="46"/>
      <c r="K325" s="46"/>
      <c r="L325" s="46"/>
      <c r="M325" s="46"/>
      <c r="N325" s="46"/>
      <c r="O325" s="46"/>
      <c r="P325" s="46"/>
      <c r="Q325" s="46"/>
      <c r="R325" s="46"/>
      <c r="S325" s="46"/>
      <c r="T325" s="46"/>
      <c r="U325" s="46"/>
    </row>
    <row r="326" spans="1:21" x14ac:dyDescent="0.25">
      <c r="A326" s="46"/>
      <c r="B326" s="46"/>
      <c r="C326" s="46"/>
      <c r="D326" s="46"/>
      <c r="E326" s="46"/>
      <c r="F326" s="46"/>
      <c r="G326" s="46"/>
      <c r="H326" s="46"/>
      <c r="I326" s="46"/>
      <c r="J326" s="46"/>
      <c r="K326" s="46"/>
      <c r="L326" s="46"/>
      <c r="M326" s="46"/>
      <c r="N326" s="46"/>
      <c r="O326" s="46"/>
      <c r="P326" s="46"/>
      <c r="Q326" s="46"/>
      <c r="R326" s="46"/>
      <c r="S326" s="46"/>
      <c r="T326" s="46"/>
      <c r="U326" s="46"/>
    </row>
    <row r="327" spans="1:21" x14ac:dyDescent="0.25">
      <c r="A327" s="46"/>
      <c r="B327" s="46"/>
      <c r="C327" s="46"/>
      <c r="D327" s="46"/>
      <c r="E327" s="46"/>
      <c r="F327" s="46"/>
      <c r="G327" s="46"/>
      <c r="H327" s="46"/>
      <c r="I327" s="46"/>
      <c r="J327" s="46"/>
      <c r="K327" s="46"/>
      <c r="L327" s="46"/>
      <c r="M327" s="46"/>
      <c r="N327" s="46"/>
      <c r="O327" s="46"/>
      <c r="P327" s="46"/>
      <c r="Q327" s="46"/>
      <c r="R327" s="46"/>
      <c r="S327" s="46"/>
      <c r="T327" s="46"/>
      <c r="U327" s="46"/>
    </row>
    <row r="328" spans="1:21" x14ac:dyDescent="0.25">
      <c r="A328" s="46"/>
      <c r="B328" s="46"/>
      <c r="C328" s="46"/>
      <c r="D328" s="46"/>
      <c r="E328" s="46"/>
      <c r="F328" s="46"/>
      <c r="G328" s="46"/>
      <c r="H328" s="46"/>
      <c r="I328" s="46"/>
      <c r="J328" s="46"/>
      <c r="K328" s="46"/>
      <c r="L328" s="46"/>
      <c r="M328" s="46"/>
      <c r="N328" s="46"/>
      <c r="O328" s="46"/>
      <c r="P328" s="46"/>
      <c r="Q328" s="46"/>
      <c r="R328" s="46"/>
      <c r="S328" s="46"/>
      <c r="T328" s="46"/>
      <c r="U328" s="46"/>
    </row>
    <row r="329" spans="1:21" x14ac:dyDescent="0.25">
      <c r="A329" s="46"/>
      <c r="B329" s="46"/>
      <c r="C329" s="46"/>
      <c r="D329" s="46"/>
      <c r="E329" s="46"/>
      <c r="F329" s="46"/>
      <c r="G329" s="46"/>
      <c r="H329" s="46"/>
      <c r="I329" s="46"/>
      <c r="J329" s="46"/>
      <c r="K329" s="46"/>
      <c r="L329" s="46"/>
      <c r="M329" s="46"/>
      <c r="N329" s="46"/>
      <c r="O329" s="46"/>
      <c r="P329" s="46"/>
      <c r="Q329" s="46"/>
      <c r="R329" s="46"/>
      <c r="S329" s="46"/>
      <c r="T329" s="46"/>
      <c r="U329" s="46"/>
    </row>
    <row r="330" spans="1:21" x14ac:dyDescent="0.25">
      <c r="A330" s="46"/>
      <c r="B330" s="46"/>
      <c r="C330" s="46"/>
      <c r="D330" s="46"/>
      <c r="E330" s="46"/>
      <c r="F330" s="46"/>
      <c r="G330" s="46"/>
      <c r="H330" s="46"/>
      <c r="I330" s="46"/>
      <c r="J330" s="46"/>
      <c r="K330" s="46"/>
      <c r="L330" s="46"/>
      <c r="M330" s="46"/>
      <c r="N330" s="46"/>
      <c r="O330" s="46"/>
      <c r="P330" s="46"/>
      <c r="Q330" s="46"/>
      <c r="R330" s="46"/>
      <c r="S330" s="46"/>
      <c r="T330" s="46"/>
      <c r="U330" s="46"/>
    </row>
    <row r="331" spans="1:21" x14ac:dyDescent="0.25">
      <c r="A331" s="46"/>
      <c r="B331" s="46"/>
      <c r="C331" s="46"/>
      <c r="D331" s="46"/>
      <c r="E331" s="46"/>
      <c r="F331" s="46"/>
      <c r="G331" s="46"/>
      <c r="H331" s="46"/>
      <c r="I331" s="46"/>
      <c r="J331" s="46"/>
      <c r="K331" s="46"/>
      <c r="L331" s="46"/>
      <c r="M331" s="46"/>
      <c r="N331" s="46"/>
      <c r="O331" s="46"/>
      <c r="P331" s="46"/>
      <c r="Q331" s="46"/>
      <c r="R331" s="46"/>
      <c r="S331" s="46"/>
      <c r="T331" s="46"/>
      <c r="U331" s="46"/>
    </row>
    <row r="332" spans="1:21" x14ac:dyDescent="0.25">
      <c r="A332" s="46"/>
      <c r="B332" s="46"/>
      <c r="C332" s="46"/>
      <c r="D332" s="46"/>
      <c r="E332" s="46"/>
      <c r="F332" s="46"/>
      <c r="G332" s="46"/>
      <c r="H332" s="46"/>
      <c r="I332" s="46"/>
      <c r="J332" s="46"/>
      <c r="K332" s="46"/>
      <c r="L332" s="46"/>
      <c r="M332" s="46"/>
      <c r="N332" s="46"/>
      <c r="O332" s="46"/>
      <c r="P332" s="46"/>
      <c r="Q332" s="46"/>
      <c r="R332" s="46"/>
      <c r="S332" s="46"/>
      <c r="T332" s="46"/>
      <c r="U332" s="46"/>
    </row>
    <row r="333" spans="1:21" x14ac:dyDescent="0.25">
      <c r="A333" s="46"/>
      <c r="B333" s="46"/>
      <c r="C333" s="46"/>
      <c r="D333" s="46"/>
      <c r="E333" s="46"/>
      <c r="F333" s="46"/>
      <c r="G333" s="46"/>
      <c r="H333" s="46"/>
      <c r="I333" s="46"/>
      <c r="J333" s="46"/>
      <c r="K333" s="46"/>
      <c r="L333" s="46"/>
      <c r="M333" s="46"/>
      <c r="N333" s="46"/>
      <c r="O333" s="46"/>
      <c r="P333" s="46"/>
      <c r="Q333" s="46"/>
      <c r="R333" s="46"/>
      <c r="S333" s="46"/>
      <c r="T333" s="46"/>
      <c r="U333" s="46"/>
    </row>
    <row r="334" spans="1:21" x14ac:dyDescent="0.25">
      <c r="A334" s="46"/>
      <c r="B334" s="46"/>
      <c r="C334" s="46"/>
      <c r="D334" s="46"/>
      <c r="E334" s="46"/>
      <c r="F334" s="46"/>
      <c r="G334" s="46"/>
      <c r="H334" s="46"/>
      <c r="I334" s="46"/>
      <c r="J334" s="46"/>
      <c r="K334" s="46"/>
      <c r="L334" s="46"/>
      <c r="M334" s="46"/>
      <c r="N334" s="46"/>
      <c r="O334" s="46"/>
      <c r="P334" s="46"/>
      <c r="Q334" s="46"/>
      <c r="R334" s="46"/>
      <c r="S334" s="46"/>
      <c r="T334" s="46"/>
      <c r="U334" s="46"/>
    </row>
    <row r="335" spans="1:21" x14ac:dyDescent="0.25">
      <c r="A335" s="46"/>
      <c r="B335" s="46"/>
      <c r="C335" s="46"/>
      <c r="D335" s="46"/>
      <c r="E335" s="46"/>
      <c r="F335" s="46"/>
      <c r="G335" s="46"/>
      <c r="H335" s="46"/>
      <c r="I335" s="46"/>
      <c r="J335" s="46"/>
      <c r="K335" s="46"/>
      <c r="L335" s="46"/>
      <c r="M335" s="46"/>
      <c r="N335" s="46"/>
      <c r="O335" s="46"/>
      <c r="P335" s="46"/>
      <c r="Q335" s="46"/>
      <c r="R335" s="46"/>
      <c r="S335" s="46"/>
      <c r="T335" s="46"/>
      <c r="U335" s="46"/>
    </row>
    <row r="336" spans="1:21" x14ac:dyDescent="0.25">
      <c r="A336" s="46"/>
      <c r="B336" s="46"/>
      <c r="C336" s="46"/>
      <c r="D336" s="46"/>
      <c r="E336" s="46"/>
      <c r="F336" s="46"/>
      <c r="G336" s="46"/>
      <c r="H336" s="46"/>
      <c r="I336" s="46"/>
      <c r="J336" s="46"/>
      <c r="K336" s="46"/>
      <c r="L336" s="46"/>
      <c r="M336" s="46"/>
      <c r="N336" s="46"/>
      <c r="O336" s="46"/>
      <c r="P336" s="46"/>
      <c r="Q336" s="46"/>
      <c r="R336" s="46"/>
      <c r="S336" s="46"/>
      <c r="T336" s="46"/>
      <c r="U336" s="46"/>
    </row>
    <row r="337" spans="1:21" x14ac:dyDescent="0.25">
      <c r="A337" s="46"/>
      <c r="B337" s="46"/>
      <c r="C337" s="46"/>
      <c r="D337" s="46"/>
      <c r="E337" s="46"/>
      <c r="F337" s="46"/>
      <c r="G337" s="46"/>
      <c r="H337" s="46"/>
      <c r="I337" s="46"/>
      <c r="J337" s="46"/>
      <c r="K337" s="46"/>
      <c r="L337" s="46"/>
      <c r="M337" s="46"/>
      <c r="N337" s="46"/>
      <c r="O337" s="46"/>
      <c r="P337" s="46"/>
      <c r="Q337" s="46"/>
      <c r="R337" s="46"/>
      <c r="S337" s="46"/>
      <c r="T337" s="46"/>
      <c r="U337" s="46"/>
    </row>
    <row r="338" spans="1:21" x14ac:dyDescent="0.25">
      <c r="A338" s="46"/>
      <c r="B338" s="46"/>
      <c r="C338" s="46"/>
      <c r="D338" s="46"/>
      <c r="E338" s="46"/>
      <c r="F338" s="46"/>
      <c r="G338" s="46"/>
      <c r="H338" s="46"/>
      <c r="I338" s="46"/>
      <c r="J338" s="46"/>
      <c r="K338" s="46"/>
      <c r="L338" s="46"/>
      <c r="M338" s="46"/>
      <c r="N338" s="46"/>
      <c r="O338" s="46"/>
      <c r="P338" s="46"/>
      <c r="Q338" s="46"/>
      <c r="R338" s="46"/>
      <c r="S338" s="46"/>
      <c r="T338" s="46"/>
      <c r="U338" s="46"/>
    </row>
    <row r="339" spans="1:21" x14ac:dyDescent="0.25">
      <c r="A339" s="46"/>
      <c r="B339" s="46"/>
      <c r="C339" s="46"/>
      <c r="D339" s="46"/>
      <c r="E339" s="46"/>
      <c r="F339" s="46"/>
      <c r="G339" s="46"/>
      <c r="H339" s="46"/>
      <c r="I339" s="46"/>
      <c r="J339" s="46"/>
      <c r="K339" s="46"/>
      <c r="L339" s="46"/>
      <c r="M339" s="46"/>
      <c r="N339" s="46"/>
      <c r="O339" s="46"/>
      <c r="P339" s="46"/>
      <c r="Q339" s="46"/>
      <c r="R339" s="46"/>
      <c r="S339" s="46"/>
      <c r="T339" s="46"/>
      <c r="U339" s="46"/>
    </row>
    <row r="340" spans="1:21" x14ac:dyDescent="0.25">
      <c r="A340" s="46"/>
      <c r="B340" s="46"/>
      <c r="C340" s="46"/>
      <c r="D340" s="46"/>
      <c r="E340" s="46"/>
      <c r="F340" s="46"/>
      <c r="G340" s="46"/>
      <c r="H340" s="46"/>
      <c r="I340" s="46"/>
      <c r="J340" s="46"/>
      <c r="K340" s="46"/>
      <c r="L340" s="46"/>
      <c r="M340" s="46"/>
      <c r="N340" s="46"/>
      <c r="O340" s="46"/>
      <c r="P340" s="46"/>
      <c r="Q340" s="46"/>
      <c r="R340" s="46"/>
      <c r="S340" s="46"/>
      <c r="T340" s="46"/>
      <c r="U340" s="46"/>
    </row>
    <row r="341" spans="1:21" x14ac:dyDescent="0.25">
      <c r="A341" s="46"/>
      <c r="B341" s="46"/>
      <c r="C341" s="46"/>
      <c r="D341" s="46"/>
      <c r="E341" s="46"/>
      <c r="F341" s="46"/>
      <c r="G341" s="46"/>
      <c r="H341" s="46"/>
      <c r="I341" s="46"/>
      <c r="J341" s="46"/>
      <c r="K341" s="46"/>
      <c r="L341" s="46"/>
      <c r="M341" s="46"/>
      <c r="N341" s="46"/>
      <c r="O341" s="46"/>
      <c r="P341" s="46"/>
      <c r="Q341" s="46"/>
      <c r="R341" s="46"/>
      <c r="S341" s="46"/>
      <c r="T341" s="46"/>
      <c r="U341" s="46"/>
    </row>
    <row r="342" spans="1:21" x14ac:dyDescent="0.25">
      <c r="A342" s="46"/>
      <c r="B342" s="46"/>
      <c r="C342" s="46"/>
      <c r="D342" s="46"/>
      <c r="E342" s="46"/>
      <c r="F342" s="46"/>
      <c r="G342" s="46"/>
      <c r="H342" s="46"/>
      <c r="I342" s="46"/>
      <c r="J342" s="46"/>
      <c r="K342" s="46"/>
      <c r="L342" s="46"/>
      <c r="M342" s="46"/>
      <c r="N342" s="46"/>
      <c r="O342" s="46"/>
      <c r="P342" s="46"/>
      <c r="Q342" s="46"/>
      <c r="R342" s="46"/>
      <c r="S342" s="46"/>
      <c r="T342" s="46"/>
      <c r="U342" s="46"/>
    </row>
    <row r="343" spans="1:21" x14ac:dyDescent="0.25">
      <c r="A343" s="46"/>
      <c r="B343" s="46"/>
      <c r="C343" s="46"/>
      <c r="D343" s="46"/>
      <c r="E343" s="46"/>
      <c r="F343" s="46"/>
      <c r="G343" s="46"/>
      <c r="H343" s="46"/>
      <c r="I343" s="46"/>
      <c r="J343" s="46"/>
      <c r="K343" s="46"/>
      <c r="L343" s="46"/>
      <c r="M343" s="46"/>
      <c r="N343" s="46"/>
      <c r="O343" s="46"/>
      <c r="P343" s="46"/>
      <c r="Q343" s="46"/>
      <c r="R343" s="46"/>
      <c r="S343" s="46"/>
      <c r="T343" s="46"/>
      <c r="U343" s="46"/>
    </row>
    <row r="344" spans="1:21" x14ac:dyDescent="0.25">
      <c r="A344" s="46"/>
      <c r="B344" s="46"/>
      <c r="C344" s="46"/>
      <c r="D344" s="46"/>
      <c r="E344" s="46"/>
      <c r="F344" s="46"/>
      <c r="G344" s="46"/>
      <c r="H344" s="46"/>
      <c r="I344" s="46"/>
      <c r="J344" s="46"/>
      <c r="K344" s="46"/>
      <c r="L344" s="46"/>
      <c r="M344" s="46"/>
      <c r="N344" s="46"/>
      <c r="O344" s="46"/>
      <c r="P344" s="46"/>
      <c r="Q344" s="46"/>
      <c r="R344" s="46"/>
      <c r="S344" s="46"/>
      <c r="T344" s="46"/>
      <c r="U344" s="46"/>
    </row>
    <row r="345" spans="1:21" x14ac:dyDescent="0.25">
      <c r="A345" s="46"/>
      <c r="B345" s="46"/>
      <c r="C345" s="46"/>
      <c r="D345" s="46"/>
      <c r="E345" s="46"/>
      <c r="F345" s="46"/>
      <c r="G345" s="46"/>
      <c r="H345" s="46"/>
      <c r="I345" s="46"/>
      <c r="J345" s="46"/>
      <c r="K345" s="46"/>
      <c r="L345" s="46"/>
      <c r="M345" s="46"/>
      <c r="N345" s="46"/>
      <c r="O345" s="46"/>
      <c r="P345" s="46"/>
      <c r="Q345" s="46"/>
      <c r="R345" s="46"/>
      <c r="S345" s="46"/>
      <c r="T345" s="46"/>
      <c r="U345" s="46"/>
    </row>
    <row r="346" spans="1:21" x14ac:dyDescent="0.25">
      <c r="A346" s="46"/>
      <c r="B346" s="46"/>
      <c r="C346" s="46"/>
      <c r="D346" s="46"/>
      <c r="E346" s="46"/>
      <c r="F346" s="46"/>
      <c r="G346" s="46"/>
      <c r="H346" s="46"/>
      <c r="I346" s="46"/>
      <c r="J346" s="46"/>
      <c r="K346" s="46"/>
      <c r="L346" s="46"/>
      <c r="M346" s="46"/>
      <c r="N346" s="46"/>
      <c r="O346" s="46"/>
      <c r="P346" s="46"/>
      <c r="Q346" s="46"/>
      <c r="R346" s="46"/>
      <c r="S346" s="46"/>
      <c r="T346" s="46"/>
      <c r="U346" s="46"/>
    </row>
    <row r="347" spans="1:21" x14ac:dyDescent="0.25">
      <c r="A347" s="46"/>
      <c r="B347" s="46"/>
      <c r="C347" s="46"/>
      <c r="D347" s="46"/>
      <c r="E347" s="46"/>
      <c r="F347" s="46"/>
      <c r="G347" s="46"/>
      <c r="H347" s="46"/>
      <c r="I347" s="46"/>
      <c r="J347" s="46"/>
      <c r="K347" s="46"/>
      <c r="L347" s="46"/>
      <c r="M347" s="46"/>
      <c r="N347" s="46"/>
      <c r="O347" s="46"/>
      <c r="P347" s="46"/>
      <c r="Q347" s="46"/>
      <c r="R347" s="46"/>
      <c r="S347" s="46"/>
      <c r="T347" s="46"/>
      <c r="U347" s="46"/>
    </row>
    <row r="348" spans="1:21" x14ac:dyDescent="0.25">
      <c r="A348" s="46"/>
      <c r="B348" s="46"/>
      <c r="C348" s="46"/>
      <c r="D348" s="46"/>
      <c r="E348" s="46"/>
      <c r="F348" s="46"/>
      <c r="G348" s="46"/>
      <c r="H348" s="46"/>
      <c r="I348" s="46"/>
      <c r="J348" s="46"/>
      <c r="K348" s="46"/>
      <c r="L348" s="46"/>
      <c r="M348" s="46"/>
      <c r="N348" s="46"/>
      <c r="O348" s="46"/>
      <c r="P348" s="46"/>
      <c r="Q348" s="46"/>
      <c r="R348" s="46"/>
      <c r="S348" s="46"/>
      <c r="T348" s="46"/>
      <c r="U348" s="46"/>
    </row>
    <row r="349" spans="1:21" x14ac:dyDescent="0.25">
      <c r="A349" s="46"/>
      <c r="B349" s="46"/>
      <c r="C349" s="46"/>
      <c r="D349" s="46"/>
      <c r="E349" s="46"/>
      <c r="F349" s="46"/>
      <c r="G349" s="46"/>
      <c r="H349" s="46"/>
      <c r="I349" s="46"/>
      <c r="J349" s="46"/>
      <c r="K349" s="46"/>
      <c r="L349" s="46"/>
      <c r="M349" s="46"/>
      <c r="N349" s="46"/>
      <c r="O349" s="46"/>
      <c r="P349" s="46"/>
      <c r="Q349" s="46"/>
      <c r="R349" s="46"/>
      <c r="S349" s="46"/>
      <c r="T349" s="46"/>
      <c r="U349" s="46"/>
    </row>
    <row r="350" spans="1:21" x14ac:dyDescent="0.25">
      <c r="A350" s="46"/>
      <c r="B350" s="46"/>
      <c r="C350" s="46"/>
      <c r="D350" s="46"/>
      <c r="E350" s="46"/>
      <c r="F350" s="46"/>
      <c r="G350" s="46"/>
      <c r="H350" s="46"/>
      <c r="I350" s="46"/>
      <c r="J350" s="46"/>
      <c r="K350" s="46"/>
      <c r="L350" s="46"/>
      <c r="M350" s="46"/>
      <c r="N350" s="46"/>
      <c r="O350" s="46"/>
      <c r="P350" s="46"/>
      <c r="Q350" s="46"/>
      <c r="R350" s="46"/>
      <c r="S350" s="46"/>
      <c r="T350" s="46"/>
      <c r="U350" s="46"/>
    </row>
    <row r="351" spans="1:21" x14ac:dyDescent="0.25">
      <c r="A351" s="46"/>
      <c r="B351" s="46"/>
      <c r="C351" s="46"/>
      <c r="D351" s="46"/>
      <c r="E351" s="46"/>
      <c r="F351" s="46"/>
      <c r="G351" s="46"/>
      <c r="H351" s="46"/>
      <c r="I351" s="46"/>
      <c r="J351" s="46"/>
      <c r="K351" s="46"/>
      <c r="L351" s="46"/>
      <c r="M351" s="46"/>
      <c r="N351" s="46"/>
      <c r="O351" s="46"/>
      <c r="P351" s="46"/>
      <c r="Q351" s="46"/>
      <c r="R351" s="46"/>
      <c r="S351" s="46"/>
      <c r="T351" s="46"/>
      <c r="U351" s="46"/>
    </row>
    <row r="352" spans="1:21" x14ac:dyDescent="0.25">
      <c r="A352" s="46"/>
      <c r="B352" s="46"/>
      <c r="C352" s="46"/>
      <c r="D352" s="46"/>
      <c r="E352" s="46"/>
      <c r="F352" s="46"/>
      <c r="G352" s="46"/>
      <c r="H352" s="46"/>
      <c r="I352" s="46"/>
      <c r="J352" s="46"/>
      <c r="K352" s="46"/>
      <c r="L352" s="46"/>
      <c r="M352" s="46"/>
      <c r="N352" s="46"/>
      <c r="O352" s="46"/>
      <c r="P352" s="46"/>
      <c r="Q352" s="46"/>
      <c r="R352" s="46"/>
      <c r="S352" s="46"/>
      <c r="T352" s="46"/>
      <c r="U352" s="46"/>
    </row>
    <row r="353" spans="1:21" x14ac:dyDescent="0.25">
      <c r="A353" s="46"/>
      <c r="B353" s="46"/>
      <c r="C353" s="46"/>
      <c r="D353" s="46"/>
      <c r="E353" s="46"/>
      <c r="F353" s="46"/>
      <c r="G353" s="46"/>
      <c r="H353" s="46"/>
      <c r="I353" s="46"/>
      <c r="J353" s="46"/>
      <c r="K353" s="46"/>
      <c r="L353" s="46"/>
      <c r="M353" s="46"/>
      <c r="N353" s="46"/>
      <c r="O353" s="46"/>
      <c r="P353" s="46"/>
      <c r="Q353" s="46"/>
      <c r="R353" s="46"/>
      <c r="S353" s="46"/>
      <c r="T353" s="46"/>
      <c r="U353" s="46"/>
    </row>
    <row r="354" spans="1:21" x14ac:dyDescent="0.25">
      <c r="A354" s="46"/>
      <c r="B354" s="46"/>
      <c r="C354" s="46"/>
      <c r="D354" s="46"/>
      <c r="E354" s="46"/>
      <c r="F354" s="46"/>
      <c r="G354" s="46"/>
      <c r="H354" s="46"/>
      <c r="I354" s="46"/>
      <c r="J354" s="46"/>
      <c r="K354" s="46"/>
      <c r="L354" s="46"/>
      <c r="M354" s="46"/>
      <c r="N354" s="46"/>
      <c r="O354" s="46"/>
      <c r="P354" s="46"/>
      <c r="Q354" s="46"/>
      <c r="R354" s="46"/>
      <c r="S354" s="46"/>
      <c r="T354" s="46"/>
      <c r="U354" s="46"/>
    </row>
    <row r="355" spans="1:21" x14ac:dyDescent="0.25">
      <c r="A355" s="46"/>
      <c r="B355" s="46"/>
      <c r="C355" s="46"/>
      <c r="D355" s="46"/>
      <c r="E355" s="46"/>
      <c r="F355" s="46"/>
      <c r="G355" s="46"/>
      <c r="H355" s="46"/>
      <c r="I355" s="46"/>
      <c r="J355" s="46"/>
      <c r="K355" s="46"/>
      <c r="L355" s="46"/>
      <c r="M355" s="46"/>
      <c r="N355" s="46"/>
      <c r="O355" s="46"/>
      <c r="P355" s="46"/>
      <c r="Q355" s="46"/>
      <c r="R355" s="46"/>
      <c r="S355" s="46"/>
      <c r="T355" s="46"/>
      <c r="U355" s="46"/>
    </row>
    <row r="356" spans="1:21" x14ac:dyDescent="0.25">
      <c r="A356" s="46"/>
      <c r="B356" s="46"/>
      <c r="C356" s="46"/>
      <c r="D356" s="46"/>
      <c r="E356" s="46"/>
      <c r="F356" s="46"/>
      <c r="G356" s="46"/>
      <c r="H356" s="46"/>
      <c r="I356" s="46"/>
      <c r="J356" s="46"/>
      <c r="K356" s="46"/>
      <c r="L356" s="46"/>
      <c r="M356" s="46"/>
      <c r="N356" s="46"/>
      <c r="O356" s="46"/>
      <c r="P356" s="46"/>
      <c r="Q356" s="46"/>
      <c r="R356" s="46"/>
      <c r="S356" s="46"/>
      <c r="T356" s="46"/>
      <c r="U356" s="46"/>
    </row>
    <row r="357" spans="1:21" x14ac:dyDescent="0.25">
      <c r="A357" s="46"/>
      <c r="B357" s="46"/>
      <c r="C357" s="46"/>
      <c r="D357" s="46"/>
      <c r="E357" s="46"/>
      <c r="F357" s="46"/>
      <c r="G357" s="46"/>
      <c r="H357" s="46"/>
      <c r="I357" s="46"/>
      <c r="J357" s="46"/>
      <c r="K357" s="46"/>
      <c r="L357" s="46"/>
      <c r="M357" s="46"/>
      <c r="N357" s="46"/>
      <c r="O357" s="46"/>
      <c r="P357" s="46"/>
      <c r="Q357" s="46"/>
      <c r="R357" s="46"/>
      <c r="S357" s="46"/>
      <c r="T357" s="46"/>
      <c r="U357" s="46"/>
    </row>
    <row r="358" spans="1:21" x14ac:dyDescent="0.25">
      <c r="A358" s="46"/>
      <c r="B358" s="46"/>
      <c r="C358" s="46"/>
      <c r="D358" s="46"/>
      <c r="E358" s="46"/>
      <c r="F358" s="46"/>
      <c r="G358" s="46"/>
      <c r="H358" s="46"/>
      <c r="I358" s="46"/>
      <c r="J358" s="46"/>
      <c r="K358" s="46"/>
      <c r="L358" s="46"/>
      <c r="M358" s="46"/>
      <c r="N358" s="46"/>
      <c r="O358" s="46"/>
      <c r="P358" s="46"/>
      <c r="Q358" s="46"/>
      <c r="R358" s="46"/>
      <c r="S358" s="46"/>
      <c r="T358" s="46"/>
      <c r="U358" s="46"/>
    </row>
    <row r="359" spans="1:21" x14ac:dyDescent="0.25">
      <c r="A359" s="46"/>
      <c r="B359" s="46"/>
      <c r="C359" s="46"/>
      <c r="D359" s="46"/>
      <c r="E359" s="46"/>
      <c r="F359" s="46"/>
      <c r="G359" s="46"/>
      <c r="H359" s="46"/>
      <c r="I359" s="46"/>
      <c r="J359" s="46"/>
      <c r="K359" s="46"/>
      <c r="L359" s="46"/>
      <c r="M359" s="46"/>
      <c r="N359" s="46"/>
      <c r="O359" s="46"/>
      <c r="P359" s="46"/>
      <c r="Q359" s="46"/>
      <c r="R359" s="46"/>
      <c r="S359" s="46"/>
      <c r="T359" s="46"/>
      <c r="U359" s="46"/>
    </row>
    <row r="360" spans="1:21" x14ac:dyDescent="0.25">
      <c r="A360" s="46"/>
      <c r="B360" s="46"/>
      <c r="C360" s="46"/>
      <c r="D360" s="46"/>
      <c r="E360" s="46"/>
      <c r="F360" s="46"/>
      <c r="G360" s="46"/>
      <c r="H360" s="46"/>
      <c r="I360" s="46"/>
      <c r="J360" s="46"/>
      <c r="K360" s="46"/>
      <c r="L360" s="46"/>
      <c r="M360" s="46"/>
      <c r="N360" s="46"/>
      <c r="O360" s="46"/>
      <c r="P360" s="46"/>
      <c r="Q360" s="46"/>
      <c r="R360" s="46"/>
      <c r="S360" s="46"/>
      <c r="T360" s="46"/>
      <c r="U360" s="46"/>
    </row>
    <row r="361" spans="1:21" x14ac:dyDescent="0.25">
      <c r="A361" s="46"/>
      <c r="B361" s="46"/>
      <c r="C361" s="46"/>
      <c r="D361" s="46"/>
      <c r="E361" s="46"/>
      <c r="F361" s="46"/>
      <c r="G361" s="46"/>
      <c r="H361" s="46"/>
      <c r="I361" s="46"/>
      <c r="J361" s="46"/>
      <c r="K361" s="46"/>
      <c r="L361" s="46"/>
      <c r="M361" s="46"/>
      <c r="N361" s="46"/>
      <c r="O361" s="46"/>
      <c r="P361" s="46"/>
      <c r="Q361" s="46"/>
      <c r="R361" s="46"/>
      <c r="S361" s="46"/>
      <c r="T361" s="46"/>
      <c r="U361" s="46"/>
    </row>
    <row r="362" spans="1:21" x14ac:dyDescent="0.25">
      <c r="A362" s="46"/>
      <c r="B362" s="46"/>
      <c r="C362" s="46"/>
      <c r="D362" s="46"/>
      <c r="E362" s="46"/>
      <c r="F362" s="46"/>
      <c r="G362" s="46"/>
      <c r="H362" s="46"/>
      <c r="I362" s="46"/>
      <c r="J362" s="46"/>
      <c r="K362" s="46"/>
      <c r="L362" s="46"/>
      <c r="M362" s="46"/>
      <c r="N362" s="46"/>
      <c r="O362" s="46"/>
      <c r="P362" s="46"/>
      <c r="Q362" s="46"/>
      <c r="R362" s="46"/>
      <c r="S362" s="46"/>
      <c r="T362" s="46"/>
      <c r="U362" s="46"/>
    </row>
    <row r="363" spans="1:21" x14ac:dyDescent="0.25">
      <c r="A363" s="46"/>
      <c r="B363" s="46"/>
      <c r="C363" s="46"/>
      <c r="D363" s="46"/>
      <c r="E363" s="46"/>
      <c r="F363" s="46"/>
      <c r="G363" s="46"/>
      <c r="H363" s="46"/>
      <c r="I363" s="46"/>
      <c r="J363" s="46"/>
      <c r="K363" s="46"/>
      <c r="L363" s="46"/>
      <c r="M363" s="46"/>
      <c r="N363" s="46"/>
      <c r="O363" s="46"/>
      <c r="P363" s="46"/>
      <c r="Q363" s="46"/>
      <c r="R363" s="46"/>
      <c r="S363" s="46"/>
      <c r="T363" s="46"/>
      <c r="U363" s="46"/>
    </row>
    <row r="364" spans="1:21" x14ac:dyDescent="0.25">
      <c r="A364" s="46"/>
      <c r="B364" s="46"/>
      <c r="C364" s="46"/>
      <c r="D364" s="46"/>
      <c r="E364" s="46"/>
      <c r="F364" s="46"/>
      <c r="G364" s="46"/>
      <c r="H364" s="46"/>
      <c r="I364" s="46"/>
      <c r="J364" s="46"/>
      <c r="K364" s="46"/>
      <c r="L364" s="46"/>
      <c r="M364" s="46"/>
      <c r="N364" s="46"/>
      <c r="O364" s="46"/>
      <c r="P364" s="46"/>
      <c r="Q364" s="46"/>
      <c r="R364" s="46"/>
      <c r="S364" s="46"/>
      <c r="T364" s="46"/>
      <c r="U364" s="46"/>
    </row>
    <row r="365" spans="1:21" x14ac:dyDescent="0.25">
      <c r="A365" s="46"/>
      <c r="B365" s="46"/>
      <c r="C365" s="46"/>
      <c r="D365" s="46"/>
      <c r="E365" s="46"/>
      <c r="F365" s="46"/>
      <c r="G365" s="46"/>
      <c r="H365" s="46"/>
      <c r="I365" s="46"/>
      <c r="J365" s="46"/>
      <c r="K365" s="46"/>
      <c r="L365" s="46"/>
      <c r="M365" s="46"/>
      <c r="N365" s="46"/>
      <c r="O365" s="46"/>
      <c r="P365" s="46"/>
      <c r="Q365" s="46"/>
      <c r="R365" s="46"/>
      <c r="S365" s="46"/>
      <c r="T365" s="46"/>
      <c r="U365" s="46"/>
    </row>
    <row r="366" spans="1:21" x14ac:dyDescent="0.25">
      <c r="A366" s="46"/>
      <c r="B366" s="46"/>
      <c r="C366" s="46"/>
      <c r="D366" s="46"/>
      <c r="E366" s="46"/>
      <c r="F366" s="46"/>
      <c r="G366" s="46"/>
      <c r="H366" s="46"/>
      <c r="I366" s="46"/>
      <c r="J366" s="46"/>
      <c r="K366" s="46"/>
      <c r="L366" s="46"/>
      <c r="M366" s="46"/>
      <c r="N366" s="46"/>
      <c r="O366" s="46"/>
      <c r="P366" s="46"/>
      <c r="Q366" s="46"/>
      <c r="R366" s="46"/>
      <c r="S366" s="46"/>
      <c r="T366" s="46"/>
      <c r="U366" s="46"/>
    </row>
    <row r="367" spans="1:21" x14ac:dyDescent="0.25">
      <c r="A367" s="46"/>
      <c r="B367" s="46"/>
      <c r="C367" s="46"/>
      <c r="D367" s="46"/>
      <c r="E367" s="46"/>
      <c r="F367" s="46"/>
      <c r="G367" s="46"/>
      <c r="H367" s="46"/>
      <c r="I367" s="46"/>
      <c r="J367" s="46"/>
      <c r="K367" s="46"/>
      <c r="L367" s="46"/>
      <c r="M367" s="46"/>
      <c r="N367" s="46"/>
      <c r="O367" s="46"/>
      <c r="P367" s="46"/>
      <c r="Q367" s="46"/>
      <c r="R367" s="46"/>
      <c r="S367" s="46"/>
      <c r="T367" s="46"/>
      <c r="U367" s="46"/>
    </row>
    <row r="368" spans="1:21" x14ac:dyDescent="0.25">
      <c r="A368" s="46"/>
      <c r="B368" s="46"/>
      <c r="C368" s="46"/>
      <c r="D368" s="46"/>
      <c r="E368" s="46"/>
      <c r="F368" s="46"/>
      <c r="G368" s="46"/>
      <c r="H368" s="46"/>
      <c r="I368" s="46"/>
      <c r="J368" s="46"/>
      <c r="K368" s="46"/>
      <c r="L368" s="46"/>
      <c r="M368" s="46"/>
      <c r="N368" s="46"/>
      <c r="O368" s="46"/>
      <c r="P368" s="46"/>
      <c r="Q368" s="46"/>
      <c r="R368" s="46"/>
      <c r="S368" s="46"/>
      <c r="T368" s="46"/>
      <c r="U368" s="46"/>
    </row>
    <row r="369" spans="1:21" x14ac:dyDescent="0.25">
      <c r="A369" s="46"/>
      <c r="B369" s="46"/>
      <c r="C369" s="46"/>
      <c r="D369" s="46"/>
      <c r="E369" s="46"/>
      <c r="F369" s="46"/>
      <c r="G369" s="46"/>
      <c r="H369" s="46"/>
      <c r="I369" s="46"/>
      <c r="J369" s="46"/>
      <c r="K369" s="46"/>
      <c r="L369" s="46"/>
      <c r="M369" s="46"/>
      <c r="N369" s="46"/>
      <c r="O369" s="46"/>
      <c r="P369" s="46"/>
      <c r="Q369" s="46"/>
      <c r="R369" s="46"/>
      <c r="S369" s="46"/>
      <c r="T369" s="46"/>
      <c r="U369" s="46"/>
    </row>
    <row r="370" spans="1:21" x14ac:dyDescent="0.25">
      <c r="A370" s="46"/>
      <c r="B370" s="46"/>
      <c r="C370" s="46"/>
      <c r="D370" s="46"/>
      <c r="E370" s="46"/>
      <c r="F370" s="46"/>
      <c r="G370" s="46"/>
      <c r="H370" s="46"/>
      <c r="I370" s="46"/>
      <c r="J370" s="46"/>
      <c r="K370" s="46"/>
      <c r="L370" s="46"/>
      <c r="M370" s="46"/>
      <c r="N370" s="46"/>
      <c r="O370" s="46"/>
      <c r="P370" s="46"/>
      <c r="Q370" s="46"/>
      <c r="R370" s="46"/>
      <c r="S370" s="46"/>
      <c r="T370" s="46"/>
      <c r="U370" s="46"/>
    </row>
    <row r="371" spans="1:21" x14ac:dyDescent="0.25">
      <c r="A371" s="46"/>
      <c r="B371" s="46"/>
      <c r="C371" s="46"/>
      <c r="D371" s="46"/>
      <c r="E371" s="46"/>
      <c r="F371" s="46"/>
      <c r="G371" s="46"/>
      <c r="H371" s="46"/>
      <c r="I371" s="46"/>
      <c r="J371" s="46"/>
      <c r="K371" s="46"/>
      <c r="L371" s="46"/>
      <c r="M371" s="46"/>
      <c r="N371" s="46"/>
      <c r="O371" s="46"/>
      <c r="P371" s="46"/>
      <c r="Q371" s="46"/>
      <c r="R371" s="46"/>
      <c r="S371" s="46"/>
      <c r="T371" s="46"/>
      <c r="U371" s="46"/>
    </row>
    <row r="372" spans="1:21" x14ac:dyDescent="0.25">
      <c r="A372" s="46"/>
      <c r="B372" s="46"/>
      <c r="C372" s="46"/>
      <c r="D372" s="46"/>
      <c r="E372" s="46"/>
      <c r="F372" s="46"/>
      <c r="G372" s="46"/>
      <c r="H372" s="46"/>
      <c r="I372" s="46"/>
      <c r="J372" s="46"/>
      <c r="K372" s="46"/>
      <c r="L372" s="46"/>
      <c r="M372" s="46"/>
      <c r="N372" s="46"/>
      <c r="O372" s="46"/>
      <c r="P372" s="46"/>
      <c r="Q372" s="46"/>
      <c r="R372" s="46"/>
      <c r="S372" s="46"/>
      <c r="T372" s="46"/>
      <c r="U372" s="46"/>
    </row>
    <row r="373" spans="1:21" x14ac:dyDescent="0.25">
      <c r="A373" s="46"/>
      <c r="B373" s="46"/>
      <c r="C373" s="46"/>
      <c r="D373" s="46"/>
      <c r="E373" s="46"/>
      <c r="F373" s="46"/>
      <c r="G373" s="46"/>
      <c r="H373" s="46"/>
      <c r="I373" s="46"/>
      <c r="J373" s="46"/>
      <c r="K373" s="46"/>
      <c r="L373" s="46"/>
      <c r="M373" s="46"/>
      <c r="N373" s="46"/>
      <c r="O373" s="46"/>
      <c r="P373" s="46"/>
      <c r="Q373" s="46"/>
      <c r="R373" s="46"/>
      <c r="S373" s="46"/>
      <c r="T373" s="46"/>
      <c r="U373" s="46"/>
    </row>
    <row r="374" spans="1:21" x14ac:dyDescent="0.25">
      <c r="A374" s="46"/>
      <c r="B374" s="46"/>
      <c r="C374" s="46"/>
      <c r="D374" s="46"/>
      <c r="E374" s="46"/>
      <c r="F374" s="46"/>
      <c r="G374" s="46"/>
      <c r="H374" s="46"/>
      <c r="I374" s="46"/>
      <c r="J374" s="46"/>
      <c r="K374" s="46"/>
      <c r="L374" s="46"/>
      <c r="M374" s="46"/>
      <c r="N374" s="46"/>
      <c r="O374" s="46"/>
      <c r="P374" s="46"/>
      <c r="Q374" s="46"/>
      <c r="R374" s="46"/>
      <c r="S374" s="46"/>
      <c r="T374" s="46"/>
      <c r="U374" s="46"/>
    </row>
    <row r="375" spans="1:21" x14ac:dyDescent="0.25">
      <c r="A375" s="46"/>
      <c r="B375" s="46"/>
      <c r="C375" s="46"/>
      <c r="D375" s="46"/>
      <c r="E375" s="46"/>
      <c r="F375" s="46"/>
      <c r="G375" s="46"/>
      <c r="H375" s="46"/>
      <c r="I375" s="46"/>
      <c r="J375" s="46"/>
      <c r="K375" s="46"/>
      <c r="L375" s="46"/>
      <c r="M375" s="46"/>
      <c r="N375" s="46"/>
      <c r="O375" s="46"/>
      <c r="P375" s="46"/>
      <c r="Q375" s="46"/>
      <c r="R375" s="46"/>
      <c r="S375" s="46"/>
      <c r="T375" s="46"/>
      <c r="U375" s="46"/>
    </row>
    <row r="376" spans="1:21" x14ac:dyDescent="0.25">
      <c r="A376" s="46"/>
      <c r="B376" s="46"/>
      <c r="C376" s="46"/>
      <c r="D376" s="46"/>
      <c r="E376" s="46"/>
      <c r="F376" s="46"/>
      <c r="G376" s="46"/>
      <c r="H376" s="46"/>
      <c r="I376" s="46"/>
      <c r="J376" s="46"/>
      <c r="K376" s="46"/>
      <c r="L376" s="46"/>
      <c r="M376" s="46"/>
      <c r="N376" s="46"/>
      <c r="O376" s="46"/>
      <c r="P376" s="46"/>
      <c r="Q376" s="46"/>
      <c r="R376" s="46"/>
      <c r="S376" s="46"/>
      <c r="T376" s="46"/>
      <c r="U376" s="46"/>
    </row>
    <row r="377" spans="1:21" x14ac:dyDescent="0.25">
      <c r="A377" s="46"/>
      <c r="B377" s="46"/>
      <c r="C377" s="46"/>
      <c r="D377" s="46"/>
      <c r="E377" s="46"/>
      <c r="F377" s="46"/>
      <c r="G377" s="46"/>
      <c r="H377" s="46"/>
      <c r="I377" s="46"/>
      <c r="J377" s="46"/>
      <c r="K377" s="46"/>
      <c r="L377" s="46"/>
      <c r="M377" s="46"/>
      <c r="N377" s="46"/>
      <c r="O377" s="46"/>
      <c r="P377" s="46"/>
      <c r="Q377" s="46"/>
      <c r="R377" s="46"/>
      <c r="S377" s="46"/>
      <c r="T377" s="46"/>
      <c r="U377" s="46"/>
    </row>
    <row r="378" spans="1:21" x14ac:dyDescent="0.25">
      <c r="A378" s="46"/>
      <c r="B378" s="46"/>
      <c r="C378" s="46"/>
      <c r="D378" s="46"/>
      <c r="E378" s="46"/>
      <c r="F378" s="46"/>
      <c r="G378" s="46"/>
      <c r="H378" s="46"/>
      <c r="I378" s="46"/>
      <c r="J378" s="46"/>
      <c r="K378" s="46"/>
      <c r="L378" s="46"/>
      <c r="M378" s="46"/>
      <c r="N378" s="46"/>
      <c r="O378" s="46"/>
      <c r="P378" s="46"/>
      <c r="Q378" s="46"/>
      <c r="R378" s="46"/>
      <c r="S378" s="46"/>
      <c r="T378" s="46"/>
      <c r="U378" s="46"/>
    </row>
    <row r="379" spans="1:21" x14ac:dyDescent="0.25">
      <c r="A379" s="46"/>
      <c r="B379" s="46"/>
      <c r="C379" s="46"/>
      <c r="D379" s="46"/>
      <c r="E379" s="46"/>
      <c r="F379" s="46"/>
      <c r="G379" s="46"/>
      <c r="H379" s="46"/>
      <c r="I379" s="46"/>
      <c r="J379" s="46"/>
      <c r="K379" s="46"/>
      <c r="L379" s="46"/>
      <c r="M379" s="46"/>
      <c r="N379" s="46"/>
      <c r="O379" s="46"/>
      <c r="P379" s="46"/>
      <c r="Q379" s="46"/>
      <c r="R379" s="46"/>
      <c r="S379" s="46"/>
      <c r="T379" s="46"/>
      <c r="U379" s="46"/>
    </row>
    <row r="380" spans="1:21" x14ac:dyDescent="0.25">
      <c r="A380" s="46"/>
      <c r="B380" s="46"/>
      <c r="C380" s="46"/>
      <c r="D380" s="46"/>
      <c r="E380" s="46"/>
      <c r="F380" s="46"/>
      <c r="G380" s="46"/>
      <c r="H380" s="46"/>
      <c r="I380" s="46"/>
      <c r="J380" s="46"/>
      <c r="K380" s="46"/>
      <c r="L380" s="46"/>
      <c r="M380" s="46"/>
      <c r="N380" s="46"/>
      <c r="O380" s="46"/>
      <c r="P380" s="46"/>
      <c r="Q380" s="46"/>
      <c r="R380" s="46"/>
      <c r="S380" s="46"/>
      <c r="T380" s="46"/>
      <c r="U380" s="46"/>
    </row>
    <row r="381" spans="1:21" x14ac:dyDescent="0.25">
      <c r="A381" s="46"/>
      <c r="B381" s="46"/>
      <c r="C381" s="46"/>
      <c r="D381" s="46"/>
      <c r="E381" s="46"/>
      <c r="F381" s="46"/>
      <c r="G381" s="46"/>
      <c r="H381" s="46"/>
      <c r="I381" s="46"/>
      <c r="J381" s="46"/>
      <c r="K381" s="46"/>
      <c r="L381" s="46"/>
      <c r="M381" s="46"/>
      <c r="N381" s="46"/>
      <c r="O381" s="46"/>
      <c r="P381" s="46"/>
      <c r="Q381" s="46"/>
      <c r="R381" s="46"/>
      <c r="S381" s="46"/>
      <c r="T381" s="46"/>
      <c r="U381" s="46"/>
    </row>
    <row r="382" spans="1:21" x14ac:dyDescent="0.25">
      <c r="A382" s="46"/>
      <c r="B382" s="46"/>
      <c r="C382" s="46"/>
      <c r="D382" s="46"/>
      <c r="E382" s="46"/>
      <c r="F382" s="46"/>
      <c r="G382" s="46"/>
      <c r="H382" s="46"/>
      <c r="I382" s="46"/>
      <c r="J382" s="46"/>
      <c r="K382" s="46"/>
      <c r="L382" s="46"/>
      <c r="M382" s="46"/>
      <c r="N382" s="46"/>
      <c r="O382" s="46"/>
      <c r="P382" s="46"/>
      <c r="Q382" s="46"/>
      <c r="R382" s="46"/>
      <c r="S382" s="46"/>
      <c r="T382" s="46"/>
      <c r="U382" s="46"/>
    </row>
    <row r="383" spans="1:21" x14ac:dyDescent="0.25">
      <c r="A383" s="46"/>
      <c r="B383" s="46"/>
      <c r="C383" s="46"/>
      <c r="D383" s="46"/>
      <c r="E383" s="46"/>
      <c r="F383" s="46"/>
      <c r="G383" s="46"/>
      <c r="H383" s="46"/>
      <c r="I383" s="46"/>
      <c r="J383" s="46"/>
      <c r="K383" s="46"/>
      <c r="L383" s="46"/>
      <c r="M383" s="46"/>
      <c r="N383" s="46"/>
      <c r="O383" s="46"/>
      <c r="P383" s="46"/>
      <c r="Q383" s="46"/>
      <c r="R383" s="46"/>
      <c r="S383" s="46"/>
      <c r="T383" s="46"/>
      <c r="U383" s="46"/>
    </row>
    <row r="384" spans="1:21" x14ac:dyDescent="0.25">
      <c r="A384" s="46"/>
      <c r="B384" s="46"/>
      <c r="C384" s="46"/>
      <c r="D384" s="46"/>
      <c r="E384" s="46"/>
      <c r="F384" s="46"/>
      <c r="G384" s="46"/>
      <c r="H384" s="46"/>
      <c r="I384" s="46"/>
      <c r="J384" s="46"/>
      <c r="K384" s="46"/>
      <c r="L384" s="46"/>
      <c r="M384" s="46"/>
      <c r="N384" s="46"/>
      <c r="O384" s="46"/>
      <c r="P384" s="46"/>
      <c r="Q384" s="46"/>
      <c r="R384" s="46"/>
      <c r="S384" s="46"/>
      <c r="T384" s="46"/>
      <c r="U384" s="46"/>
    </row>
    <row r="385" spans="1:21" x14ac:dyDescent="0.25">
      <c r="A385" s="46"/>
      <c r="B385" s="46"/>
      <c r="C385" s="46"/>
      <c r="D385" s="46"/>
      <c r="E385" s="46"/>
      <c r="F385" s="46"/>
      <c r="G385" s="46"/>
      <c r="H385" s="46"/>
      <c r="I385" s="46"/>
      <c r="J385" s="46"/>
      <c r="K385" s="46"/>
      <c r="L385" s="46"/>
      <c r="M385" s="46"/>
      <c r="N385" s="46"/>
      <c r="O385" s="46"/>
      <c r="P385" s="46"/>
      <c r="Q385" s="46"/>
      <c r="R385" s="46"/>
      <c r="S385" s="46"/>
      <c r="T385" s="46"/>
      <c r="U385" s="46"/>
    </row>
    <row r="386" spans="1:21" x14ac:dyDescent="0.25">
      <c r="A386" s="46"/>
      <c r="B386" s="46"/>
      <c r="C386" s="46"/>
      <c r="D386" s="46"/>
      <c r="E386" s="46"/>
      <c r="F386" s="46"/>
      <c r="G386" s="46"/>
      <c r="H386" s="46"/>
      <c r="I386" s="46"/>
      <c r="J386" s="46"/>
      <c r="K386" s="46"/>
      <c r="L386" s="46"/>
      <c r="M386" s="46"/>
      <c r="N386" s="46"/>
      <c r="O386" s="46"/>
      <c r="P386" s="46"/>
      <c r="Q386" s="46"/>
      <c r="R386" s="46"/>
      <c r="S386" s="46"/>
      <c r="T386" s="46"/>
      <c r="U386" s="46"/>
    </row>
    <row r="387" spans="1:21" x14ac:dyDescent="0.25">
      <c r="A387" s="46"/>
      <c r="B387" s="46"/>
      <c r="C387" s="46"/>
      <c r="D387" s="46"/>
      <c r="E387" s="46"/>
      <c r="F387" s="46"/>
      <c r="G387" s="46"/>
      <c r="H387" s="46"/>
      <c r="I387" s="46"/>
      <c r="J387" s="46"/>
      <c r="K387" s="46"/>
      <c r="L387" s="46"/>
      <c r="M387" s="46"/>
      <c r="N387" s="46"/>
      <c r="O387" s="46"/>
      <c r="P387" s="46"/>
      <c r="Q387" s="46"/>
      <c r="R387" s="46"/>
      <c r="S387" s="46"/>
      <c r="T387" s="46"/>
      <c r="U387" s="46"/>
    </row>
    <row r="388" spans="1:21" x14ac:dyDescent="0.25">
      <c r="A388" s="46"/>
      <c r="B388" s="46"/>
      <c r="C388" s="46"/>
      <c r="D388" s="46"/>
      <c r="E388" s="46"/>
      <c r="F388" s="46"/>
      <c r="G388" s="46"/>
      <c r="H388" s="46"/>
      <c r="I388" s="46"/>
      <c r="J388" s="46"/>
      <c r="K388" s="46"/>
      <c r="L388" s="46"/>
      <c r="M388" s="46"/>
      <c r="N388" s="46"/>
      <c r="O388" s="46"/>
      <c r="P388" s="46"/>
      <c r="Q388" s="46"/>
      <c r="R388" s="46"/>
      <c r="S388" s="46"/>
      <c r="T388" s="46"/>
      <c r="U388" s="46"/>
    </row>
    <row r="389" spans="1:21" x14ac:dyDescent="0.25">
      <c r="A389" s="46"/>
      <c r="B389" s="46"/>
      <c r="C389" s="46"/>
      <c r="D389" s="46"/>
      <c r="E389" s="46"/>
      <c r="F389" s="46"/>
      <c r="G389" s="46"/>
      <c r="H389" s="46"/>
      <c r="I389" s="46"/>
      <c r="J389" s="46"/>
      <c r="K389" s="46"/>
      <c r="L389" s="46"/>
      <c r="M389" s="46"/>
      <c r="N389" s="46"/>
      <c r="O389" s="46"/>
      <c r="P389" s="46"/>
      <c r="Q389" s="46"/>
      <c r="R389" s="46"/>
      <c r="S389" s="46"/>
      <c r="T389" s="46"/>
      <c r="U389" s="46"/>
    </row>
    <row r="390" spans="1:21" x14ac:dyDescent="0.25">
      <c r="A390" s="46"/>
      <c r="B390" s="46"/>
      <c r="C390" s="46"/>
      <c r="D390" s="46"/>
      <c r="E390" s="46"/>
      <c r="F390" s="46"/>
      <c r="G390" s="46"/>
      <c r="H390" s="46"/>
      <c r="I390" s="46"/>
      <c r="J390" s="46"/>
      <c r="K390" s="46"/>
      <c r="L390" s="46"/>
      <c r="M390" s="46"/>
      <c r="N390" s="46"/>
      <c r="O390" s="46"/>
      <c r="P390" s="46"/>
      <c r="Q390" s="46"/>
      <c r="R390" s="46"/>
      <c r="S390" s="46"/>
      <c r="T390" s="46"/>
      <c r="U390" s="46"/>
    </row>
    <row r="391" spans="1:21" x14ac:dyDescent="0.25">
      <c r="A391" s="46"/>
      <c r="B391" s="46"/>
      <c r="C391" s="46"/>
      <c r="D391" s="46"/>
      <c r="E391" s="46"/>
      <c r="F391" s="46"/>
      <c r="G391" s="46"/>
      <c r="H391" s="46"/>
      <c r="I391" s="46"/>
      <c r="J391" s="46"/>
      <c r="K391" s="46"/>
      <c r="L391" s="46"/>
      <c r="M391" s="46"/>
      <c r="N391" s="46"/>
      <c r="O391" s="46"/>
      <c r="P391" s="46"/>
      <c r="Q391" s="46"/>
      <c r="R391" s="46"/>
      <c r="S391" s="46"/>
      <c r="T391" s="46"/>
      <c r="U391" s="46"/>
    </row>
    <row r="392" spans="1:21" x14ac:dyDescent="0.25">
      <c r="A392" s="46"/>
      <c r="B392" s="46"/>
      <c r="C392" s="46"/>
      <c r="D392" s="46"/>
      <c r="E392" s="46"/>
      <c r="F392" s="46"/>
      <c r="G392" s="46"/>
      <c r="H392" s="46"/>
      <c r="I392" s="46"/>
      <c r="J392" s="46"/>
      <c r="K392" s="46"/>
      <c r="L392" s="46"/>
      <c r="M392" s="46"/>
      <c r="N392" s="46"/>
      <c r="O392" s="46"/>
      <c r="P392" s="46"/>
      <c r="Q392" s="46"/>
      <c r="R392" s="46"/>
      <c r="S392" s="46"/>
      <c r="T392" s="46"/>
      <c r="U392" s="46"/>
    </row>
    <row r="393" spans="1:21" x14ac:dyDescent="0.25">
      <c r="A393" s="46"/>
      <c r="B393" s="46"/>
      <c r="C393" s="46"/>
      <c r="D393" s="46"/>
      <c r="E393" s="46"/>
      <c r="F393" s="46"/>
      <c r="G393" s="46"/>
      <c r="H393" s="46"/>
      <c r="I393" s="46"/>
      <c r="J393" s="46"/>
      <c r="K393" s="46"/>
      <c r="L393" s="46"/>
      <c r="M393" s="46"/>
      <c r="N393" s="46"/>
      <c r="O393" s="46"/>
      <c r="P393" s="46"/>
      <c r="Q393" s="46"/>
      <c r="R393" s="46"/>
      <c r="S393" s="46"/>
      <c r="T393" s="46"/>
      <c r="U393" s="46"/>
    </row>
    <row r="394" spans="1:21" x14ac:dyDescent="0.25">
      <c r="A394" s="46"/>
      <c r="B394" s="46"/>
      <c r="C394" s="46"/>
      <c r="D394" s="46"/>
      <c r="E394" s="46"/>
      <c r="F394" s="46"/>
      <c r="G394" s="46"/>
      <c r="H394" s="46"/>
      <c r="I394" s="46"/>
      <c r="J394" s="46"/>
      <c r="K394" s="46"/>
      <c r="L394" s="46"/>
      <c r="M394" s="46"/>
      <c r="N394" s="46"/>
      <c r="O394" s="46"/>
      <c r="P394" s="46"/>
      <c r="Q394" s="46"/>
      <c r="R394" s="46"/>
      <c r="S394" s="46"/>
      <c r="T394" s="46"/>
      <c r="U394" s="46"/>
    </row>
    <row r="395" spans="1:21" x14ac:dyDescent="0.25">
      <c r="A395" s="46"/>
      <c r="B395" s="46"/>
      <c r="C395" s="46"/>
      <c r="D395" s="46"/>
      <c r="E395" s="46"/>
      <c r="F395" s="46"/>
      <c r="G395" s="46"/>
      <c r="H395" s="46"/>
      <c r="I395" s="46"/>
      <c r="J395" s="46"/>
      <c r="K395" s="46"/>
      <c r="L395" s="46"/>
      <c r="M395" s="46"/>
      <c r="N395" s="46"/>
      <c r="O395" s="46"/>
      <c r="P395" s="46"/>
      <c r="Q395" s="46"/>
      <c r="R395" s="46"/>
      <c r="S395" s="46"/>
      <c r="T395" s="46"/>
      <c r="U395" s="46"/>
    </row>
    <row r="396" spans="1:21" x14ac:dyDescent="0.25">
      <c r="A396" s="46"/>
      <c r="B396" s="46"/>
      <c r="C396" s="46"/>
      <c r="D396" s="46"/>
      <c r="E396" s="46"/>
      <c r="F396" s="46"/>
      <c r="G396" s="46"/>
      <c r="H396" s="46"/>
      <c r="I396" s="46"/>
      <c r="J396" s="46"/>
      <c r="K396" s="46"/>
      <c r="L396" s="46"/>
      <c r="M396" s="46"/>
      <c r="N396" s="46"/>
      <c r="O396" s="46"/>
      <c r="P396" s="46"/>
      <c r="Q396" s="46"/>
      <c r="R396" s="46"/>
      <c r="S396" s="46"/>
      <c r="T396" s="46"/>
      <c r="U396" s="46"/>
    </row>
    <row r="397" spans="1:21" x14ac:dyDescent="0.25">
      <c r="A397" s="46"/>
      <c r="B397" s="46"/>
      <c r="C397" s="46"/>
      <c r="D397" s="46"/>
      <c r="E397" s="46"/>
      <c r="F397" s="46"/>
      <c r="G397" s="46"/>
      <c r="H397" s="46"/>
      <c r="I397" s="46"/>
      <c r="J397" s="46"/>
      <c r="K397" s="46"/>
      <c r="L397" s="46"/>
      <c r="M397" s="46"/>
      <c r="N397" s="46"/>
      <c r="O397" s="46"/>
      <c r="P397" s="46"/>
      <c r="Q397" s="46"/>
      <c r="R397" s="46"/>
      <c r="S397" s="46"/>
      <c r="T397" s="46"/>
      <c r="U397" s="46"/>
    </row>
    <row r="398" spans="1:21" x14ac:dyDescent="0.25">
      <c r="A398" s="46"/>
      <c r="B398" s="46"/>
      <c r="C398" s="46"/>
      <c r="D398" s="46"/>
      <c r="E398" s="46"/>
      <c r="F398" s="46"/>
      <c r="G398" s="46"/>
      <c r="H398" s="46"/>
      <c r="I398" s="46"/>
      <c r="J398" s="46"/>
      <c r="K398" s="46"/>
      <c r="L398" s="46"/>
      <c r="M398" s="46"/>
      <c r="N398" s="46"/>
      <c r="O398" s="46"/>
      <c r="P398" s="46"/>
      <c r="Q398" s="46"/>
      <c r="R398" s="46"/>
      <c r="S398" s="46"/>
      <c r="T398" s="46"/>
      <c r="U398" s="46"/>
    </row>
    <row r="399" spans="1:21" x14ac:dyDescent="0.25">
      <c r="A399" s="46"/>
      <c r="B399" s="46"/>
      <c r="C399" s="46"/>
      <c r="D399" s="46"/>
      <c r="E399" s="46"/>
      <c r="F399" s="46"/>
      <c r="G399" s="46"/>
      <c r="H399" s="46"/>
      <c r="I399" s="46"/>
      <c r="J399" s="46"/>
      <c r="K399" s="46"/>
      <c r="L399" s="46"/>
      <c r="M399" s="46"/>
      <c r="N399" s="46"/>
      <c r="O399" s="46"/>
      <c r="P399" s="46"/>
      <c r="Q399" s="46"/>
      <c r="R399" s="46"/>
      <c r="S399" s="46"/>
      <c r="T399" s="46"/>
      <c r="U399" s="46"/>
    </row>
    <row r="400" spans="1:21" x14ac:dyDescent="0.25">
      <c r="A400" s="46"/>
      <c r="B400" s="46"/>
      <c r="C400" s="46"/>
      <c r="D400" s="46"/>
      <c r="E400" s="46"/>
      <c r="F400" s="46"/>
      <c r="G400" s="46"/>
      <c r="H400" s="46"/>
      <c r="I400" s="46"/>
      <c r="J400" s="46"/>
      <c r="K400" s="46"/>
      <c r="L400" s="46"/>
      <c r="M400" s="46"/>
      <c r="N400" s="46"/>
      <c r="O400" s="46"/>
      <c r="P400" s="46"/>
      <c r="Q400" s="46"/>
      <c r="R400" s="46"/>
      <c r="S400" s="46"/>
      <c r="T400" s="46"/>
      <c r="U400" s="46"/>
    </row>
    <row r="401" spans="1:21" x14ac:dyDescent="0.25">
      <c r="A401" s="46"/>
      <c r="B401" s="46"/>
      <c r="C401" s="46"/>
      <c r="D401" s="46"/>
      <c r="E401" s="46"/>
      <c r="F401" s="46"/>
      <c r="G401" s="46"/>
      <c r="H401" s="46"/>
      <c r="I401" s="46"/>
      <c r="J401" s="46"/>
      <c r="K401" s="46"/>
      <c r="L401" s="46"/>
      <c r="M401" s="46"/>
      <c r="N401" s="46"/>
      <c r="O401" s="46"/>
      <c r="P401" s="46"/>
      <c r="Q401" s="46"/>
      <c r="R401" s="46"/>
      <c r="S401" s="46"/>
      <c r="T401" s="46"/>
      <c r="U401" s="46"/>
    </row>
    <row r="402" spans="1:21" x14ac:dyDescent="0.25">
      <c r="A402" s="46"/>
      <c r="B402" s="46"/>
      <c r="C402" s="46"/>
      <c r="D402" s="46"/>
      <c r="E402" s="46"/>
      <c r="F402" s="46"/>
      <c r="G402" s="46"/>
      <c r="H402" s="46"/>
      <c r="I402" s="46"/>
      <c r="J402" s="46"/>
      <c r="K402" s="46"/>
      <c r="L402" s="46"/>
      <c r="M402" s="46"/>
      <c r="N402" s="46"/>
      <c r="O402" s="46"/>
      <c r="P402" s="46"/>
      <c r="Q402" s="46"/>
      <c r="R402" s="46"/>
      <c r="S402" s="46"/>
      <c r="T402" s="46"/>
      <c r="U402" s="46"/>
    </row>
    <row r="403" spans="1:21" x14ac:dyDescent="0.25">
      <c r="A403" s="46"/>
      <c r="B403" s="46"/>
      <c r="C403" s="46"/>
      <c r="D403" s="46"/>
      <c r="E403" s="46"/>
      <c r="F403" s="46"/>
      <c r="G403" s="46"/>
      <c r="H403" s="46"/>
      <c r="I403" s="46"/>
      <c r="J403" s="46"/>
      <c r="K403" s="46"/>
      <c r="L403" s="46"/>
      <c r="M403" s="46"/>
      <c r="N403" s="46"/>
      <c r="O403" s="46"/>
      <c r="P403" s="46"/>
      <c r="Q403" s="46"/>
      <c r="R403" s="46"/>
      <c r="S403" s="46"/>
      <c r="T403" s="46"/>
      <c r="U403" s="46"/>
    </row>
    <row r="404" spans="1:21" x14ac:dyDescent="0.25">
      <c r="A404" s="46"/>
      <c r="B404" s="46"/>
      <c r="C404" s="46"/>
      <c r="D404" s="46"/>
      <c r="E404" s="46"/>
      <c r="F404" s="46"/>
      <c r="G404" s="46"/>
      <c r="H404" s="46"/>
      <c r="I404" s="46"/>
      <c r="J404" s="46"/>
      <c r="K404" s="46"/>
      <c r="L404" s="46"/>
      <c r="M404" s="46"/>
      <c r="N404" s="46"/>
      <c r="O404" s="46"/>
      <c r="P404" s="46"/>
      <c r="Q404" s="46"/>
      <c r="R404" s="46"/>
      <c r="S404" s="46"/>
      <c r="T404" s="46"/>
      <c r="U404" s="46"/>
    </row>
    <row r="405" spans="1:21" x14ac:dyDescent="0.25">
      <c r="A405" s="46"/>
      <c r="B405" s="46"/>
      <c r="C405" s="46"/>
      <c r="D405" s="46"/>
      <c r="E405" s="46"/>
      <c r="F405" s="46"/>
      <c r="G405" s="46"/>
      <c r="H405" s="46"/>
      <c r="I405" s="46"/>
      <c r="J405" s="46"/>
      <c r="K405" s="46"/>
      <c r="L405" s="46"/>
      <c r="M405" s="46"/>
      <c r="N405" s="46"/>
      <c r="O405" s="46"/>
      <c r="P405" s="46"/>
      <c r="Q405" s="46"/>
      <c r="R405" s="46"/>
      <c r="S405" s="46"/>
      <c r="T405" s="46"/>
      <c r="U405" s="46"/>
    </row>
    <row r="406" spans="1:21" x14ac:dyDescent="0.25">
      <c r="A406" s="46"/>
      <c r="B406" s="46"/>
      <c r="C406" s="46"/>
      <c r="D406" s="46"/>
      <c r="E406" s="46"/>
      <c r="F406" s="46"/>
      <c r="G406" s="46"/>
      <c r="H406" s="46"/>
      <c r="I406" s="46"/>
      <c r="J406" s="46"/>
      <c r="K406" s="46"/>
      <c r="L406" s="46"/>
      <c r="M406" s="46"/>
      <c r="N406" s="46"/>
      <c r="O406" s="46"/>
      <c r="P406" s="46"/>
      <c r="Q406" s="46"/>
      <c r="R406" s="46"/>
      <c r="S406" s="46"/>
      <c r="T406" s="46"/>
      <c r="U406" s="46"/>
    </row>
    <row r="407" spans="1:21" x14ac:dyDescent="0.25">
      <c r="A407" s="46"/>
      <c r="B407" s="46"/>
      <c r="C407" s="46"/>
      <c r="D407" s="46"/>
      <c r="E407" s="46"/>
      <c r="F407" s="46"/>
      <c r="G407" s="46"/>
      <c r="H407" s="46"/>
      <c r="I407" s="46"/>
      <c r="J407" s="46"/>
      <c r="K407" s="46"/>
      <c r="L407" s="46"/>
      <c r="M407" s="46"/>
      <c r="N407" s="46"/>
      <c r="O407" s="46"/>
      <c r="P407" s="46"/>
      <c r="Q407" s="46"/>
      <c r="R407" s="46"/>
      <c r="S407" s="46"/>
      <c r="T407" s="46"/>
      <c r="U407" s="46"/>
    </row>
    <row r="408" spans="1:21" x14ac:dyDescent="0.25">
      <c r="A408" s="46"/>
      <c r="B408" s="46"/>
      <c r="C408" s="46"/>
      <c r="D408" s="46"/>
      <c r="E408" s="46"/>
      <c r="F408" s="46"/>
      <c r="G408" s="46"/>
      <c r="H408" s="46"/>
      <c r="I408" s="46"/>
      <c r="J408" s="46"/>
      <c r="K408" s="46"/>
      <c r="L408" s="46"/>
      <c r="M408" s="46"/>
      <c r="N408" s="46"/>
      <c r="O408" s="46"/>
      <c r="P408" s="46"/>
      <c r="Q408" s="46"/>
      <c r="R408" s="46"/>
      <c r="S408" s="46"/>
      <c r="T408" s="46"/>
      <c r="U408" s="46"/>
    </row>
    <row r="409" spans="1:21" x14ac:dyDescent="0.25">
      <c r="A409" s="46"/>
      <c r="B409" s="46"/>
      <c r="C409" s="46"/>
      <c r="D409" s="46"/>
      <c r="E409" s="46"/>
      <c r="F409" s="46"/>
      <c r="G409" s="46"/>
      <c r="H409" s="46"/>
      <c r="I409" s="46"/>
      <c r="J409" s="46"/>
      <c r="K409" s="46"/>
      <c r="L409" s="46"/>
      <c r="M409" s="46"/>
      <c r="N409" s="46"/>
      <c r="O409" s="46"/>
      <c r="P409" s="46"/>
      <c r="Q409" s="46"/>
      <c r="R409" s="46"/>
      <c r="S409" s="46"/>
      <c r="T409" s="46"/>
      <c r="U409" s="46"/>
    </row>
    <row r="410" spans="1:21" x14ac:dyDescent="0.25">
      <c r="A410" s="46"/>
      <c r="B410" s="46"/>
      <c r="C410" s="46"/>
      <c r="D410" s="46"/>
      <c r="E410" s="46"/>
      <c r="F410" s="46"/>
      <c r="G410" s="46"/>
      <c r="H410" s="46"/>
      <c r="I410" s="46"/>
      <c r="J410" s="46"/>
      <c r="K410" s="46"/>
      <c r="L410" s="46"/>
      <c r="M410" s="46"/>
      <c r="N410" s="46"/>
      <c r="O410" s="46"/>
      <c r="P410" s="46"/>
      <c r="Q410" s="46"/>
      <c r="R410" s="46"/>
      <c r="S410" s="46"/>
      <c r="T410" s="46"/>
      <c r="U410" s="46"/>
    </row>
    <row r="411" spans="1:21" x14ac:dyDescent="0.25">
      <c r="A411" s="46"/>
      <c r="B411" s="46"/>
      <c r="C411" s="46"/>
      <c r="D411" s="46"/>
      <c r="E411" s="46"/>
      <c r="F411" s="46"/>
      <c r="G411" s="46"/>
      <c r="H411" s="46"/>
      <c r="I411" s="46"/>
      <c r="J411" s="46"/>
      <c r="K411" s="46"/>
      <c r="L411" s="46"/>
      <c r="M411" s="46"/>
      <c r="N411" s="46"/>
      <c r="O411" s="46"/>
      <c r="P411" s="46"/>
      <c r="Q411" s="46"/>
      <c r="R411" s="46"/>
      <c r="S411" s="46"/>
      <c r="T411" s="46"/>
      <c r="U411" s="46"/>
    </row>
    <row r="412" spans="1:21" x14ac:dyDescent="0.25">
      <c r="A412" s="46"/>
      <c r="B412" s="46"/>
      <c r="C412" s="46"/>
      <c r="D412" s="46"/>
      <c r="E412" s="46"/>
      <c r="F412" s="46"/>
      <c r="G412" s="46"/>
      <c r="H412" s="46"/>
      <c r="I412" s="46"/>
      <c r="J412" s="46"/>
      <c r="K412" s="46"/>
      <c r="L412" s="46"/>
      <c r="M412" s="46"/>
      <c r="N412" s="46"/>
      <c r="O412" s="46"/>
      <c r="P412" s="46"/>
      <c r="Q412" s="46"/>
      <c r="R412" s="46"/>
      <c r="S412" s="46"/>
      <c r="T412" s="46"/>
      <c r="U412" s="46"/>
    </row>
    <row r="413" spans="1:21" x14ac:dyDescent="0.25">
      <c r="A413" s="46"/>
      <c r="B413" s="46"/>
      <c r="C413" s="46"/>
      <c r="D413" s="46"/>
      <c r="E413" s="46"/>
      <c r="F413" s="46"/>
      <c r="G413" s="46"/>
      <c r="H413" s="46"/>
      <c r="I413" s="46"/>
      <c r="J413" s="46"/>
      <c r="K413" s="46"/>
      <c r="L413" s="46"/>
      <c r="M413" s="46"/>
      <c r="N413" s="46"/>
      <c r="O413" s="46"/>
      <c r="P413" s="46"/>
      <c r="Q413" s="46"/>
      <c r="R413" s="46"/>
      <c r="S413" s="46"/>
      <c r="T413" s="46"/>
      <c r="U413" s="46"/>
    </row>
    <row r="414" spans="1:21" x14ac:dyDescent="0.25">
      <c r="A414" s="46"/>
      <c r="B414" s="46"/>
      <c r="C414" s="46"/>
      <c r="D414" s="46"/>
      <c r="E414" s="46"/>
      <c r="F414" s="46"/>
      <c r="G414" s="46"/>
      <c r="H414" s="46"/>
      <c r="I414" s="46"/>
      <c r="J414" s="46"/>
      <c r="K414" s="46"/>
      <c r="L414" s="46"/>
      <c r="M414" s="46"/>
      <c r="N414" s="46"/>
      <c r="O414" s="46"/>
      <c r="P414" s="46"/>
      <c r="Q414" s="46"/>
      <c r="R414" s="46"/>
      <c r="S414" s="46"/>
      <c r="T414" s="46"/>
      <c r="U414" s="46"/>
    </row>
    <row r="415" spans="1:21" x14ac:dyDescent="0.25">
      <c r="A415" s="46"/>
      <c r="B415" s="46"/>
      <c r="C415" s="46"/>
      <c r="D415" s="46"/>
      <c r="E415" s="46"/>
      <c r="F415" s="46"/>
      <c r="G415" s="46"/>
      <c r="H415" s="46"/>
      <c r="I415" s="46"/>
      <c r="J415" s="46"/>
      <c r="K415" s="46"/>
      <c r="L415" s="46"/>
      <c r="M415" s="46"/>
      <c r="N415" s="46"/>
      <c r="O415" s="46"/>
      <c r="P415" s="46"/>
      <c r="Q415" s="46"/>
      <c r="R415" s="46"/>
      <c r="S415" s="46"/>
      <c r="T415" s="46"/>
      <c r="U415" s="46"/>
    </row>
    <row r="416" spans="1:21" x14ac:dyDescent="0.25">
      <c r="A416" s="46"/>
      <c r="B416" s="46"/>
      <c r="C416" s="46"/>
      <c r="E416" s="46"/>
      <c r="G416" s="46"/>
      <c r="H416" s="46"/>
      <c r="I416" s="46"/>
      <c r="J416" s="46"/>
      <c r="K416" s="46"/>
      <c r="L416" s="46"/>
      <c r="M416" s="46"/>
      <c r="N416" s="46"/>
      <c r="O416" s="46"/>
      <c r="P416" s="46"/>
      <c r="Q416" s="46"/>
      <c r="R416" s="46"/>
      <c r="S416" s="46"/>
      <c r="T416" s="46"/>
      <c r="U416" s="46"/>
    </row>
  </sheetData>
  <sheetProtection formatCells="0" formatColumns="0" formatRows="0" deleteRows="0" selectLockedCells="1" sort="0" autoFilter="0" pivotTables="0"/>
  <hyperlinks>
    <hyperlink ref="D11" location="'BASE OBZ'!A1" display="BASE OBZ"/>
    <hyperlink ref="B12" r:id="rId1"/>
    <hyperlink ref="B13" location="'DECRETO DIÁRIAS'!A1" display="DECRETO DIÁRIAS"/>
    <hyperlink ref="F12" location="'PONTOS IMPORTANTES'!A1" display="PONTOS IMPORTANTES"/>
    <hyperlink ref="D13" location="'BASE OBZ - EXEMPLO'!A1" display="BASE OBZ - EXEMPLO"/>
  </hyperlinks>
  <pageMargins left="0.511811024" right="0.511811024" top="0.78740157499999996" bottom="0.78740157499999996" header="0.31496062000000002" footer="0.31496062000000002"/>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E501"/>
  <sheetViews>
    <sheetView topLeftCell="L1" workbookViewId="0">
      <selection activeCell="R2" sqref="R2"/>
    </sheetView>
  </sheetViews>
  <sheetFormatPr defaultColWidth="9.140625" defaultRowHeight="15" x14ac:dyDescent="0.25"/>
  <cols>
    <col min="1" max="1" width="32.140625" style="52" bestFit="1" customWidth="1"/>
    <col min="2" max="2" width="23.28515625" style="54" bestFit="1" customWidth="1"/>
    <col min="3" max="3" width="9.140625" style="54" customWidth="1"/>
    <col min="4" max="4" width="24.42578125" style="54" bestFit="1" customWidth="1"/>
    <col min="5" max="5" width="18.28515625" style="54" customWidth="1"/>
    <col min="6" max="6" width="31.28515625" style="54" bestFit="1" customWidth="1"/>
    <col min="7" max="7" width="10" style="54" customWidth="1"/>
    <col min="8" max="8" width="28.5703125" style="54" customWidth="1"/>
    <col min="9" max="9" width="29.85546875" style="54" customWidth="1"/>
    <col min="10" max="10" width="8" style="54" customWidth="1"/>
    <col min="11" max="11" width="20.85546875" style="54" customWidth="1"/>
    <col min="12" max="12" width="24.7109375" style="54" customWidth="1"/>
    <col min="13" max="13" width="20.85546875" style="54" customWidth="1"/>
    <col min="14" max="14" width="7.5703125" style="54" bestFit="1" customWidth="1"/>
    <col min="15" max="15" width="37.85546875" style="54" customWidth="1"/>
    <col min="16" max="16" width="7.7109375" style="54" bestFit="1" customWidth="1"/>
    <col min="17" max="17" width="26.28515625" style="54" customWidth="1"/>
    <col min="18" max="18" width="10.7109375" style="54" customWidth="1"/>
    <col min="19" max="19" width="18" style="54" bestFit="1" customWidth="1"/>
    <col min="20" max="20" width="14.85546875" style="54" customWidth="1"/>
    <col min="21" max="21" width="18.7109375" style="54" bestFit="1" customWidth="1"/>
    <col min="22" max="22" width="13.28515625" style="54" customWidth="1"/>
    <col min="23" max="23" width="23.85546875" style="54" bestFit="1" customWidth="1"/>
    <col min="24" max="24" width="17.7109375" style="6" bestFit="1" customWidth="1"/>
    <col min="25" max="25" width="20.140625" style="54" bestFit="1" customWidth="1"/>
    <col min="26" max="26" width="22.140625" style="54" bestFit="1" customWidth="1"/>
    <col min="27" max="27" width="19" style="54" bestFit="1" customWidth="1"/>
    <col min="28" max="28" width="18.7109375" style="54" bestFit="1" customWidth="1"/>
    <col min="29" max="31" width="16" style="54" bestFit="1" customWidth="1"/>
    <col min="32" max="16384" width="9.140625" style="54"/>
  </cols>
  <sheetData>
    <row r="1" spans="1:31" s="56" customFormat="1" ht="26.25" x14ac:dyDescent="0.25">
      <c r="F1" s="57" t="s">
        <v>7</v>
      </c>
      <c r="H1" s="108" t="s">
        <v>8</v>
      </c>
      <c r="I1" s="108"/>
      <c r="X1" s="44"/>
    </row>
    <row r="2" spans="1:31" s="15" customFormat="1" ht="45" x14ac:dyDescent="0.25">
      <c r="A2" s="81" t="s">
        <v>9</v>
      </c>
      <c r="B2" s="81" t="s">
        <v>10</v>
      </c>
      <c r="C2" s="81" t="s">
        <v>11</v>
      </c>
      <c r="D2" s="81" t="s">
        <v>12</v>
      </c>
      <c r="E2" s="81" t="s">
        <v>13</v>
      </c>
      <c r="F2" s="81" t="s">
        <v>14</v>
      </c>
      <c r="G2" s="81" t="s">
        <v>15</v>
      </c>
      <c r="H2" s="81" t="s">
        <v>16</v>
      </c>
      <c r="I2" s="82" t="s">
        <v>17</v>
      </c>
      <c r="J2" s="82" t="s">
        <v>18</v>
      </c>
      <c r="K2" s="82" t="s">
        <v>19</v>
      </c>
      <c r="L2" s="82" t="s">
        <v>20</v>
      </c>
      <c r="M2" s="82" t="s">
        <v>21</v>
      </c>
      <c r="N2" s="82" t="s">
        <v>22</v>
      </c>
      <c r="O2" s="82" t="s">
        <v>23</v>
      </c>
      <c r="P2" s="82" t="s">
        <v>24</v>
      </c>
      <c r="Q2" s="83" t="s">
        <v>25</v>
      </c>
      <c r="R2" s="83" t="s">
        <v>26</v>
      </c>
      <c r="S2" s="83" t="s">
        <v>27</v>
      </c>
      <c r="T2" s="83" t="s">
        <v>28</v>
      </c>
      <c r="U2" s="83" t="s">
        <v>29</v>
      </c>
      <c r="V2" s="80" t="s">
        <v>30</v>
      </c>
      <c r="W2" s="84" t="s">
        <v>31</v>
      </c>
      <c r="X2" s="84" t="s">
        <v>32</v>
      </c>
      <c r="Y2" s="84" t="s">
        <v>33</v>
      </c>
      <c r="Z2" s="84" t="s">
        <v>34</v>
      </c>
      <c r="AA2" s="85" t="s">
        <v>35</v>
      </c>
      <c r="AB2" s="85" t="s">
        <v>36</v>
      </c>
      <c r="AC2" s="85" t="s">
        <v>37</v>
      </c>
      <c r="AD2" s="85" t="s">
        <v>36</v>
      </c>
      <c r="AE2" s="85" t="s">
        <v>37</v>
      </c>
    </row>
    <row r="3" spans="1:31" s="21" customFormat="1" ht="105" x14ac:dyDescent="0.25">
      <c r="A3" s="42" t="s">
        <v>38</v>
      </c>
      <c r="B3" s="42" t="s">
        <v>39</v>
      </c>
      <c r="C3" s="42"/>
      <c r="D3" s="42" t="s">
        <v>40</v>
      </c>
      <c r="E3" s="52" t="str">
        <f t="shared" ref="E3:E66" si="0">CONCATENATE(A3,"PROG")</f>
        <v>FAOPPROG</v>
      </c>
      <c r="F3" s="42" t="s">
        <v>41</v>
      </c>
      <c r="G3" s="52" t="str">
        <f t="shared" ref="G3:G66" si="1">CONCATENATE("P",(LEFT(F3,3)),A3)</f>
        <v>P060FAOP</v>
      </c>
      <c r="H3" s="42" t="s">
        <v>42</v>
      </c>
      <c r="I3" s="42" t="s">
        <v>43</v>
      </c>
      <c r="J3" s="52" t="e">
        <f>CONCATENATE("ELEM",LEFT(#REF!,2))</f>
        <v>#REF!</v>
      </c>
      <c r="K3" s="91" t="s">
        <v>44</v>
      </c>
      <c r="L3" s="92" t="s">
        <v>45</v>
      </c>
      <c r="M3" s="91" t="e">
        <f>VLOOKUP(L3,#REF!,2,FALSE)</f>
        <v>#REF!</v>
      </c>
      <c r="N3" s="91">
        <v>10</v>
      </c>
      <c r="O3" s="92" t="s">
        <v>46</v>
      </c>
      <c r="P3" s="92" t="s">
        <v>47</v>
      </c>
      <c r="Q3" s="92" t="s">
        <v>48</v>
      </c>
      <c r="R3" s="92">
        <v>2</v>
      </c>
      <c r="S3" s="92" t="s">
        <v>49</v>
      </c>
      <c r="T3" s="93">
        <v>294</v>
      </c>
      <c r="U3" s="94">
        <v>1</v>
      </c>
      <c r="V3" s="95">
        <f t="shared" ref="V3:V15" si="2">R3*T3*U3</f>
        <v>588</v>
      </c>
      <c r="W3" s="92" t="s">
        <v>50</v>
      </c>
      <c r="X3" s="92" t="s">
        <v>51</v>
      </c>
      <c r="Y3" s="92" t="s">
        <v>52</v>
      </c>
      <c r="Z3" s="92" t="s">
        <v>53</v>
      </c>
      <c r="AA3" s="92" t="s">
        <v>52</v>
      </c>
      <c r="AB3" s="92" t="s">
        <v>53</v>
      </c>
      <c r="AC3" s="42"/>
      <c r="AD3" s="42"/>
      <c r="AE3" s="42"/>
    </row>
    <row r="4" spans="1:31" s="55" customFormat="1" ht="75" x14ac:dyDescent="0.25">
      <c r="A4" s="42" t="s">
        <v>38</v>
      </c>
      <c r="B4" s="42" t="s">
        <v>39</v>
      </c>
      <c r="C4" s="42"/>
      <c r="D4" s="42" t="s">
        <v>40</v>
      </c>
      <c r="E4" s="52" t="str">
        <f t="shared" si="0"/>
        <v>FAOPPROG</v>
      </c>
      <c r="F4" s="42" t="s">
        <v>41</v>
      </c>
      <c r="G4" s="52" t="str">
        <f t="shared" si="1"/>
        <v>P060FAOP</v>
      </c>
      <c r="H4" s="42" t="s">
        <v>42</v>
      </c>
      <c r="I4" s="42" t="s">
        <v>54</v>
      </c>
      <c r="J4" s="52" t="e">
        <f>CONCATENATE("ELEM",LEFT(#REF!,2))</f>
        <v>#REF!</v>
      </c>
      <c r="K4" s="91" t="s">
        <v>44</v>
      </c>
      <c r="L4" s="92" t="s">
        <v>45</v>
      </c>
      <c r="M4" s="91" t="s">
        <v>44</v>
      </c>
      <c r="N4" s="91">
        <v>10</v>
      </c>
      <c r="O4" s="92" t="s">
        <v>55</v>
      </c>
      <c r="P4" s="92" t="s">
        <v>47</v>
      </c>
      <c r="Q4" s="92" t="s">
        <v>56</v>
      </c>
      <c r="R4" s="92">
        <v>1</v>
      </c>
      <c r="S4" s="92" t="s">
        <v>57</v>
      </c>
      <c r="T4" s="93">
        <v>20</v>
      </c>
      <c r="U4" s="94">
        <v>1</v>
      </c>
      <c r="V4" s="95">
        <f t="shared" si="2"/>
        <v>20</v>
      </c>
      <c r="W4" s="92" t="s">
        <v>50</v>
      </c>
      <c r="X4" s="92" t="s">
        <v>51</v>
      </c>
      <c r="Y4" s="92" t="s">
        <v>52</v>
      </c>
      <c r="Z4" s="92" t="s">
        <v>53</v>
      </c>
      <c r="AA4" s="92" t="s">
        <v>52</v>
      </c>
      <c r="AB4" s="92" t="s">
        <v>53</v>
      </c>
      <c r="AC4" s="42"/>
      <c r="AD4" s="42"/>
      <c r="AE4" s="42"/>
    </row>
    <row r="5" spans="1:31" s="55" customFormat="1" ht="105" x14ac:dyDescent="0.25">
      <c r="A5" s="42" t="s">
        <v>38</v>
      </c>
      <c r="B5" s="42" t="s">
        <v>39</v>
      </c>
      <c r="C5" s="42"/>
      <c r="D5" s="42" t="s">
        <v>40</v>
      </c>
      <c r="E5" s="52" t="str">
        <f t="shared" si="0"/>
        <v>FAOPPROG</v>
      </c>
      <c r="F5" s="42" t="s">
        <v>41</v>
      </c>
      <c r="G5" s="52" t="str">
        <f t="shared" si="1"/>
        <v>P060FAOP</v>
      </c>
      <c r="H5" s="42" t="s">
        <v>42</v>
      </c>
      <c r="I5" s="42" t="s">
        <v>43</v>
      </c>
      <c r="J5" s="52" t="e">
        <f>CONCATENATE("ELEM",LEFT(#REF!,2))</f>
        <v>#REF!</v>
      </c>
      <c r="K5" s="91" t="s">
        <v>44</v>
      </c>
      <c r="L5" s="92" t="s">
        <v>45</v>
      </c>
      <c r="M5" s="91" t="s">
        <v>44</v>
      </c>
      <c r="N5" s="91">
        <v>10</v>
      </c>
      <c r="O5" s="92" t="s">
        <v>58</v>
      </c>
      <c r="P5" s="92" t="s">
        <v>59</v>
      </c>
      <c r="Q5" s="92" t="s">
        <v>48</v>
      </c>
      <c r="R5" s="92">
        <v>2</v>
      </c>
      <c r="S5" s="92" t="s">
        <v>49</v>
      </c>
      <c r="T5" s="93">
        <v>294</v>
      </c>
      <c r="U5" s="94">
        <v>1</v>
      </c>
      <c r="V5" s="95">
        <f t="shared" si="2"/>
        <v>588</v>
      </c>
      <c r="W5" s="92" t="s">
        <v>50</v>
      </c>
      <c r="X5" s="92" t="s">
        <v>60</v>
      </c>
      <c r="Y5" s="92" t="s">
        <v>61</v>
      </c>
      <c r="Z5" s="92" t="s">
        <v>62</v>
      </c>
      <c r="AA5" s="92" t="s">
        <v>61</v>
      </c>
      <c r="AB5" s="92" t="s">
        <v>62</v>
      </c>
      <c r="AC5" s="42"/>
      <c r="AD5" s="42"/>
      <c r="AE5" s="42"/>
    </row>
    <row r="6" spans="1:31" s="55" customFormat="1" ht="105" x14ac:dyDescent="0.25">
      <c r="A6" s="42" t="s">
        <v>38</v>
      </c>
      <c r="B6" s="42" t="s">
        <v>39</v>
      </c>
      <c r="C6" s="42"/>
      <c r="D6" s="42" t="s">
        <v>40</v>
      </c>
      <c r="E6" s="52" t="str">
        <f t="shared" si="0"/>
        <v>FAOPPROG</v>
      </c>
      <c r="F6" s="42" t="s">
        <v>41</v>
      </c>
      <c r="G6" s="52" t="str">
        <f t="shared" si="1"/>
        <v>P060FAOP</v>
      </c>
      <c r="H6" s="42" t="s">
        <v>42</v>
      </c>
      <c r="I6" s="42" t="s">
        <v>54</v>
      </c>
      <c r="J6" s="52" t="e">
        <f>CONCATENATE("ELEM",LEFT(#REF!,2))</f>
        <v>#REF!</v>
      </c>
      <c r="K6" s="91" t="s">
        <v>44</v>
      </c>
      <c r="L6" s="92" t="s">
        <v>45</v>
      </c>
      <c r="M6" s="91" t="s">
        <v>44</v>
      </c>
      <c r="N6" s="91">
        <v>10</v>
      </c>
      <c r="O6" s="92" t="s">
        <v>63</v>
      </c>
      <c r="P6" s="92" t="s">
        <v>59</v>
      </c>
      <c r="Q6" s="92" t="s">
        <v>56</v>
      </c>
      <c r="R6" s="92">
        <v>1</v>
      </c>
      <c r="S6" s="92" t="s">
        <v>57</v>
      </c>
      <c r="T6" s="93">
        <v>20</v>
      </c>
      <c r="U6" s="94">
        <v>1</v>
      </c>
      <c r="V6" s="95">
        <f t="shared" si="2"/>
        <v>20</v>
      </c>
      <c r="W6" s="92" t="s">
        <v>50</v>
      </c>
      <c r="X6" s="92" t="s">
        <v>60</v>
      </c>
      <c r="Y6" s="92" t="s">
        <v>61</v>
      </c>
      <c r="Z6" s="92" t="s">
        <v>62</v>
      </c>
      <c r="AA6" s="92" t="s">
        <v>61</v>
      </c>
      <c r="AB6" s="92" t="s">
        <v>62</v>
      </c>
      <c r="AC6" s="42"/>
      <c r="AD6" s="42"/>
      <c r="AE6" s="42"/>
    </row>
    <row r="7" spans="1:31" s="55" customFormat="1" ht="165" x14ac:dyDescent="0.25">
      <c r="A7" s="42" t="s">
        <v>38</v>
      </c>
      <c r="B7" s="42" t="s">
        <v>39</v>
      </c>
      <c r="C7" s="42"/>
      <c r="D7" s="42" t="s">
        <v>40</v>
      </c>
      <c r="E7" s="52" t="str">
        <f t="shared" si="0"/>
        <v>FAOPPROG</v>
      </c>
      <c r="F7" s="42" t="s">
        <v>41</v>
      </c>
      <c r="G7" s="52" t="str">
        <f t="shared" si="1"/>
        <v>P060FAOP</v>
      </c>
      <c r="H7" s="42" t="s">
        <v>42</v>
      </c>
      <c r="I7" s="42" t="s">
        <v>64</v>
      </c>
      <c r="J7" s="52" t="e">
        <f>CONCATENATE("ELEM",LEFT(#REF!,2))</f>
        <v>#REF!</v>
      </c>
      <c r="K7" s="91" t="s">
        <v>65</v>
      </c>
      <c r="L7" s="92" t="s">
        <v>45</v>
      </c>
      <c r="M7" s="91" t="s">
        <v>65</v>
      </c>
      <c r="N7" s="91">
        <v>60</v>
      </c>
      <c r="O7" s="92" t="s">
        <v>66</v>
      </c>
      <c r="P7" s="92" t="s">
        <v>59</v>
      </c>
      <c r="Q7" s="92" t="s">
        <v>67</v>
      </c>
      <c r="R7" s="92">
        <v>2</v>
      </c>
      <c r="S7" s="92" t="s">
        <v>68</v>
      </c>
      <c r="T7" s="93">
        <v>900</v>
      </c>
      <c r="U7" s="94">
        <v>12</v>
      </c>
      <c r="V7" s="95">
        <f t="shared" si="2"/>
        <v>21600</v>
      </c>
      <c r="W7" s="92" t="s">
        <v>69</v>
      </c>
      <c r="X7" s="92" t="s">
        <v>70</v>
      </c>
      <c r="Y7" s="92" t="s">
        <v>71</v>
      </c>
      <c r="Z7" s="92" t="s">
        <v>72</v>
      </c>
      <c r="AA7" s="92" t="s">
        <v>71</v>
      </c>
      <c r="AB7" s="92" t="s">
        <v>72</v>
      </c>
      <c r="AC7" s="42">
        <v>3</v>
      </c>
      <c r="AD7" s="42">
        <v>3</v>
      </c>
      <c r="AE7" s="42"/>
    </row>
    <row r="8" spans="1:31" s="55" customFormat="1" ht="105" x14ac:dyDescent="0.25">
      <c r="A8" s="42" t="s">
        <v>38</v>
      </c>
      <c r="B8" s="42" t="s">
        <v>39</v>
      </c>
      <c r="C8" s="42"/>
      <c r="D8" s="42" t="s">
        <v>40</v>
      </c>
      <c r="E8" s="52" t="str">
        <f t="shared" si="0"/>
        <v>FAOPPROG</v>
      </c>
      <c r="F8" s="42" t="s">
        <v>41</v>
      </c>
      <c r="G8" s="52" t="str">
        <f t="shared" si="1"/>
        <v>P060FAOP</v>
      </c>
      <c r="H8" s="42" t="s">
        <v>42</v>
      </c>
      <c r="I8" s="42" t="s">
        <v>73</v>
      </c>
      <c r="J8" s="52" t="e">
        <f>CONCATENATE("ELEM",LEFT(#REF!,2))</f>
        <v>#REF!</v>
      </c>
      <c r="K8" s="91" t="s">
        <v>74</v>
      </c>
      <c r="L8" s="92" t="s">
        <v>45</v>
      </c>
      <c r="M8" s="91" t="s">
        <v>74</v>
      </c>
      <c r="N8" s="91">
        <v>10</v>
      </c>
      <c r="O8" s="92" t="s">
        <v>75</v>
      </c>
      <c r="P8" s="92" t="s">
        <v>47</v>
      </c>
      <c r="Q8" s="92" t="s">
        <v>76</v>
      </c>
      <c r="R8" s="92">
        <v>1</v>
      </c>
      <c r="S8" s="92" t="s">
        <v>77</v>
      </c>
      <c r="T8" s="93">
        <v>25</v>
      </c>
      <c r="U8" s="94">
        <v>1</v>
      </c>
      <c r="V8" s="95">
        <f t="shared" si="2"/>
        <v>25</v>
      </c>
      <c r="W8" s="92" t="s">
        <v>50</v>
      </c>
      <c r="X8" s="92" t="s">
        <v>51</v>
      </c>
      <c r="Y8" s="92" t="s">
        <v>78</v>
      </c>
      <c r="Z8" s="92" t="s">
        <v>79</v>
      </c>
      <c r="AA8" s="92" t="s">
        <v>78</v>
      </c>
      <c r="AB8" s="92" t="s">
        <v>79</v>
      </c>
      <c r="AC8" s="42"/>
      <c r="AD8" s="42"/>
      <c r="AE8" s="42"/>
    </row>
    <row r="9" spans="1:31" s="55" customFormat="1" ht="120" x14ac:dyDescent="0.25">
      <c r="A9" s="42" t="s">
        <v>38</v>
      </c>
      <c r="B9" s="42" t="s">
        <v>39</v>
      </c>
      <c r="C9" s="42"/>
      <c r="D9" s="42" t="s">
        <v>40</v>
      </c>
      <c r="E9" s="52" t="str">
        <f t="shared" si="0"/>
        <v>FAOPPROG</v>
      </c>
      <c r="F9" s="42" t="s">
        <v>41</v>
      </c>
      <c r="G9" s="52" t="str">
        <f t="shared" si="1"/>
        <v>P060FAOP</v>
      </c>
      <c r="H9" s="42" t="s">
        <v>42</v>
      </c>
      <c r="I9" s="42" t="s">
        <v>73</v>
      </c>
      <c r="J9" s="52" t="e">
        <f>CONCATENATE("ELEM",LEFT(#REF!,2))</f>
        <v>#REF!</v>
      </c>
      <c r="K9" s="91" t="s">
        <v>74</v>
      </c>
      <c r="L9" s="92" t="s">
        <v>45</v>
      </c>
      <c r="M9" s="91" t="s">
        <v>74</v>
      </c>
      <c r="N9" s="91">
        <v>60</v>
      </c>
      <c r="O9" s="92" t="s">
        <v>80</v>
      </c>
      <c r="P9" s="92" t="s">
        <v>47</v>
      </c>
      <c r="Q9" s="92" t="s">
        <v>81</v>
      </c>
      <c r="R9" s="92">
        <v>100</v>
      </c>
      <c r="S9" s="92" t="s">
        <v>82</v>
      </c>
      <c r="T9" s="93">
        <v>8</v>
      </c>
      <c r="U9" s="94">
        <v>1</v>
      </c>
      <c r="V9" s="95">
        <f t="shared" si="2"/>
        <v>800</v>
      </c>
      <c r="W9" s="92" t="s">
        <v>69</v>
      </c>
      <c r="X9" s="92" t="s">
        <v>83</v>
      </c>
      <c r="Y9" s="92" t="s">
        <v>84</v>
      </c>
      <c r="Z9" s="92" t="s">
        <v>85</v>
      </c>
      <c r="AA9" s="92" t="s">
        <v>84</v>
      </c>
      <c r="AB9" s="92" t="s">
        <v>85</v>
      </c>
      <c r="AC9" s="42">
        <v>1</v>
      </c>
      <c r="AD9" s="42">
        <v>2</v>
      </c>
      <c r="AE9" s="42"/>
    </row>
    <row r="10" spans="1:31" s="55" customFormat="1" ht="210" x14ac:dyDescent="0.25">
      <c r="A10" s="42" t="s">
        <v>38</v>
      </c>
      <c r="B10" s="42" t="s">
        <v>39</v>
      </c>
      <c r="C10" s="42"/>
      <c r="D10" s="42" t="s">
        <v>40</v>
      </c>
      <c r="E10" s="52" t="str">
        <f t="shared" si="0"/>
        <v>FAOPPROG</v>
      </c>
      <c r="F10" s="42" t="s">
        <v>41</v>
      </c>
      <c r="G10" s="52" t="str">
        <f t="shared" si="1"/>
        <v>P060FAOP</v>
      </c>
      <c r="H10" s="42" t="s">
        <v>42</v>
      </c>
      <c r="I10" s="42" t="s">
        <v>86</v>
      </c>
      <c r="J10" s="52" t="e">
        <f>CONCATENATE("ELEM",LEFT(#REF!,2))</f>
        <v>#REF!</v>
      </c>
      <c r="K10" s="91" t="s">
        <v>87</v>
      </c>
      <c r="L10" s="92" t="s">
        <v>45</v>
      </c>
      <c r="M10" s="91" t="s">
        <v>87</v>
      </c>
      <c r="N10" s="91">
        <v>60</v>
      </c>
      <c r="O10" s="92" t="s">
        <v>88</v>
      </c>
      <c r="P10" s="92" t="s">
        <v>59</v>
      </c>
      <c r="Q10" s="92" t="s">
        <v>89</v>
      </c>
      <c r="R10" s="92">
        <v>1</v>
      </c>
      <c r="S10" s="92" t="s">
        <v>90</v>
      </c>
      <c r="T10" s="93">
        <v>500</v>
      </c>
      <c r="U10" s="94">
        <v>1</v>
      </c>
      <c r="V10" s="95">
        <f t="shared" si="2"/>
        <v>500</v>
      </c>
      <c r="W10" s="92" t="s">
        <v>69</v>
      </c>
      <c r="X10" s="92" t="s">
        <v>83</v>
      </c>
      <c r="Y10" s="92" t="s">
        <v>91</v>
      </c>
      <c r="Z10" s="92" t="s">
        <v>92</v>
      </c>
      <c r="AA10" s="92" t="s">
        <v>91</v>
      </c>
      <c r="AB10" s="92" t="s">
        <v>92</v>
      </c>
      <c r="AC10" s="42">
        <v>1</v>
      </c>
      <c r="AD10" s="42">
        <v>2</v>
      </c>
      <c r="AE10" s="42"/>
    </row>
    <row r="11" spans="1:31" s="55" customFormat="1" ht="90" x14ac:dyDescent="0.25">
      <c r="A11" s="42" t="s">
        <v>38</v>
      </c>
      <c r="B11" s="42" t="s">
        <v>39</v>
      </c>
      <c r="C11" s="42"/>
      <c r="D11" s="42" t="s">
        <v>40</v>
      </c>
      <c r="E11" s="52" t="str">
        <f t="shared" si="0"/>
        <v>FAOPPROG</v>
      </c>
      <c r="F11" s="42" t="s">
        <v>41</v>
      </c>
      <c r="G11" s="52" t="str">
        <f t="shared" si="1"/>
        <v>P060FAOP</v>
      </c>
      <c r="H11" s="42" t="s">
        <v>42</v>
      </c>
      <c r="I11" s="42" t="s">
        <v>93</v>
      </c>
      <c r="J11" s="52" t="e">
        <f>CONCATENATE("ELEM",LEFT(#REF!,2))</f>
        <v>#REF!</v>
      </c>
      <c r="K11" s="91" t="s">
        <v>94</v>
      </c>
      <c r="L11" s="92" t="s">
        <v>95</v>
      </c>
      <c r="M11" s="91" t="s">
        <v>94</v>
      </c>
      <c r="N11" s="91">
        <v>10</v>
      </c>
      <c r="O11" s="92" t="s">
        <v>96</v>
      </c>
      <c r="P11" s="92" t="s">
        <v>59</v>
      </c>
      <c r="Q11" s="92" t="s">
        <v>89</v>
      </c>
      <c r="R11" s="92">
        <v>1</v>
      </c>
      <c r="S11" s="92" t="s">
        <v>97</v>
      </c>
      <c r="T11" s="93">
        <v>5000</v>
      </c>
      <c r="U11" s="94">
        <v>1</v>
      </c>
      <c r="V11" s="95">
        <f t="shared" si="2"/>
        <v>5000</v>
      </c>
      <c r="W11" s="92" t="s">
        <v>69</v>
      </c>
      <c r="X11" s="92" t="s">
        <v>70</v>
      </c>
      <c r="Y11" s="92" t="s">
        <v>98</v>
      </c>
      <c r="Z11" s="92" t="s">
        <v>99</v>
      </c>
      <c r="AA11" s="92" t="s">
        <v>98</v>
      </c>
      <c r="AB11" s="92" t="s">
        <v>99</v>
      </c>
      <c r="AC11" s="42">
        <v>3</v>
      </c>
      <c r="AD11" s="42">
        <v>3</v>
      </c>
      <c r="AE11" s="42"/>
    </row>
    <row r="12" spans="1:31" s="55" customFormat="1" ht="105" x14ac:dyDescent="0.25">
      <c r="A12" s="42" t="s">
        <v>38</v>
      </c>
      <c r="B12" s="42" t="s">
        <v>39</v>
      </c>
      <c r="C12" s="42"/>
      <c r="D12" s="42" t="s">
        <v>40</v>
      </c>
      <c r="E12" s="52" t="str">
        <f t="shared" si="0"/>
        <v>FAOPPROG</v>
      </c>
      <c r="F12" s="42" t="s">
        <v>100</v>
      </c>
      <c r="G12" s="52" t="str">
        <f t="shared" si="1"/>
        <v>P056FAOP</v>
      </c>
      <c r="H12" s="42" t="s">
        <v>101</v>
      </c>
      <c r="I12" s="42" t="s">
        <v>102</v>
      </c>
      <c r="J12" s="52" t="e">
        <f>CONCATENATE("ELEM",LEFT(#REF!,2))</f>
        <v>#REF!</v>
      </c>
      <c r="K12" s="91" t="s">
        <v>103</v>
      </c>
      <c r="L12" s="92" t="s">
        <v>45</v>
      </c>
      <c r="M12" s="91" t="s">
        <v>103</v>
      </c>
      <c r="N12" s="91">
        <v>10</v>
      </c>
      <c r="O12" s="92" t="s">
        <v>104</v>
      </c>
      <c r="P12" s="92" t="s">
        <v>47</v>
      </c>
      <c r="Q12" s="92" t="s">
        <v>105</v>
      </c>
      <c r="R12" s="92">
        <v>1</v>
      </c>
      <c r="S12" s="92" t="s">
        <v>106</v>
      </c>
      <c r="T12" s="93">
        <v>2000</v>
      </c>
      <c r="U12" s="94">
        <v>12</v>
      </c>
      <c r="V12" s="95">
        <f t="shared" si="2"/>
        <v>24000</v>
      </c>
      <c r="W12" s="92" t="s">
        <v>50</v>
      </c>
      <c r="X12" s="92" t="s">
        <v>107</v>
      </c>
      <c r="Y12" s="92" t="s">
        <v>108</v>
      </c>
      <c r="Z12" s="92" t="s">
        <v>109</v>
      </c>
      <c r="AA12" s="92" t="s">
        <v>108</v>
      </c>
      <c r="AB12" s="92" t="s">
        <v>109</v>
      </c>
      <c r="AC12" s="42"/>
      <c r="AD12" s="42"/>
      <c r="AE12" s="42"/>
    </row>
    <row r="13" spans="1:31" s="55" customFormat="1" ht="120" x14ac:dyDescent="0.25">
      <c r="A13" s="42" t="s">
        <v>38</v>
      </c>
      <c r="B13" s="42" t="s">
        <v>39</v>
      </c>
      <c r="C13" s="42"/>
      <c r="D13" s="42" t="s">
        <v>40</v>
      </c>
      <c r="E13" s="52" t="str">
        <f t="shared" si="0"/>
        <v>FAOPPROG</v>
      </c>
      <c r="F13" s="42" t="s">
        <v>100</v>
      </c>
      <c r="G13" s="52" t="str">
        <f t="shared" si="1"/>
        <v>P056FAOP</v>
      </c>
      <c r="H13" s="42" t="s">
        <v>101</v>
      </c>
      <c r="I13" s="42" t="s">
        <v>102</v>
      </c>
      <c r="J13" s="52" t="e">
        <f>CONCATENATE("ELEM",LEFT(#REF!,2))</f>
        <v>#REF!</v>
      </c>
      <c r="K13" s="91" t="s">
        <v>103</v>
      </c>
      <c r="L13" s="92" t="s">
        <v>45</v>
      </c>
      <c r="M13" s="91" t="s">
        <v>103</v>
      </c>
      <c r="N13" s="91">
        <v>60</v>
      </c>
      <c r="O13" s="92" t="s">
        <v>110</v>
      </c>
      <c r="P13" s="92" t="s">
        <v>59</v>
      </c>
      <c r="Q13" s="92" t="s">
        <v>111</v>
      </c>
      <c r="R13" s="92">
        <v>1</v>
      </c>
      <c r="S13" s="92" t="s">
        <v>112</v>
      </c>
      <c r="T13" s="93">
        <v>2000</v>
      </c>
      <c r="U13" s="94">
        <v>12</v>
      </c>
      <c r="V13" s="95">
        <f t="shared" si="2"/>
        <v>24000</v>
      </c>
      <c r="W13" s="92" t="s">
        <v>50</v>
      </c>
      <c r="X13" s="92" t="s">
        <v>113</v>
      </c>
      <c r="Y13" s="92" t="s">
        <v>114</v>
      </c>
      <c r="Z13" s="92" t="s">
        <v>115</v>
      </c>
      <c r="AA13" s="92" t="s">
        <v>114</v>
      </c>
      <c r="AB13" s="92" t="s">
        <v>115</v>
      </c>
      <c r="AC13" s="42"/>
      <c r="AD13" s="42"/>
      <c r="AE13" s="42"/>
    </row>
    <row r="14" spans="1:31" s="55" customFormat="1" ht="135" x14ac:dyDescent="0.25">
      <c r="A14" s="42" t="s">
        <v>38</v>
      </c>
      <c r="B14" s="42" t="s">
        <v>39</v>
      </c>
      <c r="C14" s="42"/>
      <c r="D14" s="42" t="s">
        <v>40</v>
      </c>
      <c r="E14" s="52" t="str">
        <f t="shared" si="0"/>
        <v>FAOPPROG</v>
      </c>
      <c r="F14" s="42" t="s">
        <v>100</v>
      </c>
      <c r="G14" s="52" t="str">
        <f t="shared" si="1"/>
        <v>P056FAOP</v>
      </c>
      <c r="H14" s="42" t="s">
        <v>101</v>
      </c>
      <c r="I14" s="42" t="s">
        <v>116</v>
      </c>
      <c r="J14" s="52" t="e">
        <f>CONCATENATE("ELEM",LEFT(#REF!,2))</f>
        <v>#REF!</v>
      </c>
      <c r="K14" s="91" t="s">
        <v>117</v>
      </c>
      <c r="L14" s="92" t="s">
        <v>45</v>
      </c>
      <c r="M14" s="91" t="s">
        <v>117</v>
      </c>
      <c r="N14" s="91">
        <v>10</v>
      </c>
      <c r="O14" s="92" t="s">
        <v>118</v>
      </c>
      <c r="P14" s="92" t="s">
        <v>47</v>
      </c>
      <c r="Q14" s="92" t="s">
        <v>119</v>
      </c>
      <c r="R14" s="92">
        <v>3</v>
      </c>
      <c r="S14" s="92" t="s">
        <v>120</v>
      </c>
      <c r="T14" s="93">
        <v>1500</v>
      </c>
      <c r="U14" s="94">
        <v>12</v>
      </c>
      <c r="V14" s="95">
        <f t="shared" si="2"/>
        <v>54000</v>
      </c>
      <c r="W14" s="92" t="s">
        <v>50</v>
      </c>
      <c r="X14" s="92" t="s">
        <v>121</v>
      </c>
      <c r="Y14" s="92" t="s">
        <v>122</v>
      </c>
      <c r="Z14" s="92" t="s">
        <v>123</v>
      </c>
      <c r="AA14" s="92" t="s">
        <v>122</v>
      </c>
      <c r="AB14" s="92" t="s">
        <v>123</v>
      </c>
      <c r="AC14" s="42"/>
      <c r="AD14" s="42"/>
      <c r="AE14" s="42"/>
    </row>
    <row r="15" spans="1:31" s="55" customFormat="1" ht="105" x14ac:dyDescent="0.25">
      <c r="A15" s="42" t="s">
        <v>38</v>
      </c>
      <c r="B15" s="42" t="s">
        <v>39</v>
      </c>
      <c r="C15" s="42"/>
      <c r="D15" s="42" t="s">
        <v>40</v>
      </c>
      <c r="E15" s="52" t="str">
        <f t="shared" si="0"/>
        <v>FAOPPROG</v>
      </c>
      <c r="F15" s="42" t="s">
        <v>100</v>
      </c>
      <c r="G15" s="52" t="str">
        <f t="shared" si="1"/>
        <v>P056FAOP</v>
      </c>
      <c r="H15" s="42" t="s">
        <v>101</v>
      </c>
      <c r="I15" s="42" t="s">
        <v>116</v>
      </c>
      <c r="J15" s="52" t="e">
        <f>CONCATENATE("ELEM",LEFT(#REF!,2))</f>
        <v>#REF!</v>
      </c>
      <c r="K15" s="91" t="s">
        <v>117</v>
      </c>
      <c r="L15" s="92" t="s">
        <v>45</v>
      </c>
      <c r="M15" s="91" t="s">
        <v>117</v>
      </c>
      <c r="N15" s="91">
        <v>60</v>
      </c>
      <c r="O15" s="92" t="s">
        <v>118</v>
      </c>
      <c r="P15" s="92" t="s">
        <v>59</v>
      </c>
      <c r="Q15" s="92" t="s">
        <v>119</v>
      </c>
      <c r="R15" s="92">
        <v>2</v>
      </c>
      <c r="S15" s="92" t="s">
        <v>120</v>
      </c>
      <c r="T15" s="93">
        <v>1500</v>
      </c>
      <c r="U15" s="94">
        <v>12</v>
      </c>
      <c r="V15" s="95">
        <f t="shared" si="2"/>
        <v>36000</v>
      </c>
      <c r="W15" s="92" t="s">
        <v>69</v>
      </c>
      <c r="X15" s="92" t="s">
        <v>124</v>
      </c>
      <c r="Y15" s="92" t="s">
        <v>125</v>
      </c>
      <c r="Z15" s="92" t="s">
        <v>126</v>
      </c>
      <c r="AA15" s="92" t="s">
        <v>125</v>
      </c>
      <c r="AB15" s="92" t="s">
        <v>126</v>
      </c>
      <c r="AC15" s="42">
        <v>2</v>
      </c>
      <c r="AD15" s="42">
        <v>1</v>
      </c>
      <c r="AE15" s="43"/>
    </row>
    <row r="16" spans="1:31" s="55" customFormat="1" x14ac:dyDescent="0.25">
      <c r="A16" s="52"/>
      <c r="B16" s="52"/>
      <c r="C16" s="52"/>
      <c r="D16" s="52"/>
      <c r="E16" s="52" t="str">
        <f t="shared" si="0"/>
        <v>PROG</v>
      </c>
      <c r="F16" s="52"/>
      <c r="G16" s="52" t="str">
        <f t="shared" si="1"/>
        <v>P</v>
      </c>
      <c r="H16" s="52"/>
      <c r="I16" s="52"/>
      <c r="J16" s="52" t="str">
        <f t="shared" ref="J16:J66" si="3">CONCATENATE("ELEM",LEFT(I16,2))</f>
        <v>ELEM</v>
      </c>
      <c r="K16" s="52"/>
      <c r="L16" s="87"/>
      <c r="M16" s="52" t="e">
        <v>#N/A</v>
      </c>
      <c r="N16" s="52"/>
      <c r="O16" s="52"/>
      <c r="P16" s="52"/>
      <c r="Q16" s="52"/>
      <c r="R16" s="52"/>
      <c r="S16" s="52"/>
      <c r="T16" s="52"/>
      <c r="U16" s="52"/>
      <c r="V16" s="52"/>
      <c r="W16" s="53"/>
      <c r="X16" s="23"/>
      <c r="Y16" s="52"/>
      <c r="Z16" s="52"/>
      <c r="AA16" s="52"/>
      <c r="AB16" s="52"/>
      <c r="AC16" s="22"/>
      <c r="AD16" s="22"/>
      <c r="AE16" s="22"/>
    </row>
    <row r="17" spans="1:31" s="55" customFormat="1" x14ac:dyDescent="0.25">
      <c r="A17" s="52"/>
      <c r="B17" s="52"/>
      <c r="C17" s="52"/>
      <c r="D17" s="52"/>
      <c r="E17" s="52" t="str">
        <f t="shared" si="0"/>
        <v>PROG</v>
      </c>
      <c r="F17" s="52"/>
      <c r="G17" s="52" t="str">
        <f t="shared" si="1"/>
        <v>P</v>
      </c>
      <c r="H17" s="52"/>
      <c r="I17" s="52"/>
      <c r="J17" s="52" t="str">
        <f t="shared" si="3"/>
        <v>ELEM</v>
      </c>
      <c r="K17" s="52"/>
      <c r="L17" s="87"/>
      <c r="M17" s="52" t="e">
        <v>#N/A</v>
      </c>
      <c r="N17" s="52"/>
      <c r="O17" s="52"/>
      <c r="P17" s="52"/>
      <c r="Q17" s="52"/>
      <c r="R17" s="52"/>
      <c r="S17" s="52"/>
      <c r="T17" s="52"/>
      <c r="U17" s="52"/>
      <c r="V17" s="52"/>
      <c r="W17" s="53"/>
      <c r="X17" s="23"/>
      <c r="Y17" s="52"/>
      <c r="Z17" s="52"/>
      <c r="AA17" s="52"/>
      <c r="AB17" s="52"/>
      <c r="AC17" s="52"/>
      <c r="AD17" s="52"/>
      <c r="AE17" s="52"/>
    </row>
    <row r="18" spans="1:31" s="55" customFormat="1" x14ac:dyDescent="0.25">
      <c r="A18" s="52"/>
      <c r="B18" s="52"/>
      <c r="C18" s="52"/>
      <c r="D18" s="52"/>
      <c r="E18" s="52" t="str">
        <f t="shared" si="0"/>
        <v>PROG</v>
      </c>
      <c r="F18" s="52"/>
      <c r="G18" s="52" t="str">
        <f t="shared" si="1"/>
        <v>P</v>
      </c>
      <c r="H18" s="52"/>
      <c r="I18" s="52"/>
      <c r="J18" s="52" t="str">
        <f t="shared" si="3"/>
        <v>ELEM</v>
      </c>
      <c r="K18" s="52"/>
      <c r="L18" s="87"/>
      <c r="M18" s="52" t="e">
        <v>#N/A</v>
      </c>
      <c r="N18" s="52"/>
      <c r="O18" s="52"/>
      <c r="P18" s="52"/>
      <c r="Q18" s="52"/>
      <c r="R18" s="52"/>
      <c r="S18" s="52"/>
      <c r="T18" s="52"/>
      <c r="U18" s="52"/>
      <c r="V18" s="52"/>
      <c r="W18" s="53"/>
      <c r="X18" s="23"/>
      <c r="Y18" s="52"/>
      <c r="Z18" s="52"/>
      <c r="AA18" s="52"/>
      <c r="AB18" s="52"/>
      <c r="AC18" s="52"/>
      <c r="AD18" s="52"/>
      <c r="AE18" s="52"/>
    </row>
    <row r="19" spans="1:31" s="55" customFormat="1" x14ac:dyDescent="0.25">
      <c r="A19" s="52"/>
      <c r="B19" s="52"/>
      <c r="C19" s="52"/>
      <c r="D19" s="52"/>
      <c r="E19" s="52" t="str">
        <f t="shared" si="0"/>
        <v>PROG</v>
      </c>
      <c r="F19" s="52"/>
      <c r="G19" s="52" t="str">
        <f t="shared" si="1"/>
        <v>P</v>
      </c>
      <c r="H19" s="52"/>
      <c r="I19" s="52"/>
      <c r="J19" s="52" t="str">
        <f t="shared" si="3"/>
        <v>ELEM</v>
      </c>
      <c r="K19" s="52"/>
      <c r="L19" s="87"/>
      <c r="M19" s="52" t="e">
        <v>#N/A</v>
      </c>
      <c r="N19" s="52"/>
      <c r="O19" s="52"/>
      <c r="P19" s="52"/>
      <c r="Q19" s="52"/>
      <c r="R19" s="52"/>
      <c r="S19" s="52"/>
      <c r="T19" s="52"/>
      <c r="U19" s="52"/>
      <c r="V19" s="52"/>
      <c r="W19" s="53"/>
      <c r="X19" s="23"/>
      <c r="Y19" s="52"/>
      <c r="Z19" s="52"/>
      <c r="AA19" s="52"/>
      <c r="AB19" s="52"/>
      <c r="AC19" s="52"/>
      <c r="AD19" s="52"/>
      <c r="AE19" s="52"/>
    </row>
    <row r="20" spans="1:31" s="55" customFormat="1" x14ac:dyDescent="0.25">
      <c r="A20" s="52"/>
      <c r="B20" s="52"/>
      <c r="C20" s="52"/>
      <c r="D20" s="52"/>
      <c r="E20" s="52" t="str">
        <f t="shared" si="0"/>
        <v>PROG</v>
      </c>
      <c r="F20" s="52"/>
      <c r="G20" s="52" t="str">
        <f t="shared" si="1"/>
        <v>P</v>
      </c>
      <c r="H20" s="52"/>
      <c r="I20" s="52"/>
      <c r="J20" s="52" t="str">
        <f t="shared" si="3"/>
        <v>ELEM</v>
      </c>
      <c r="K20" s="52"/>
      <c r="L20" s="87"/>
      <c r="M20" s="52" t="e">
        <v>#N/A</v>
      </c>
      <c r="N20" s="52"/>
      <c r="O20" s="52"/>
      <c r="P20" s="52"/>
      <c r="Q20" s="52"/>
      <c r="R20" s="52"/>
      <c r="S20" s="52"/>
      <c r="T20" s="52"/>
      <c r="U20" s="52"/>
      <c r="V20" s="52"/>
      <c r="W20" s="53"/>
      <c r="X20" s="23"/>
      <c r="Y20" s="52"/>
      <c r="Z20" s="52"/>
      <c r="AA20" s="52"/>
      <c r="AB20" s="52"/>
      <c r="AC20" s="52"/>
      <c r="AD20" s="52"/>
      <c r="AE20" s="52"/>
    </row>
    <row r="21" spans="1:31" s="55" customFormat="1" x14ac:dyDescent="0.25">
      <c r="A21" s="52"/>
      <c r="B21" s="52"/>
      <c r="C21" s="52"/>
      <c r="D21" s="52"/>
      <c r="E21" s="52" t="str">
        <f t="shared" si="0"/>
        <v>PROG</v>
      </c>
      <c r="F21" s="52"/>
      <c r="G21" s="52" t="str">
        <f t="shared" si="1"/>
        <v>P</v>
      </c>
      <c r="H21" s="52"/>
      <c r="I21" s="52"/>
      <c r="J21" s="52" t="str">
        <f t="shared" si="3"/>
        <v>ELEM</v>
      </c>
      <c r="K21" s="52"/>
      <c r="L21" s="87"/>
      <c r="M21" s="52" t="e">
        <v>#N/A</v>
      </c>
      <c r="N21" s="52"/>
      <c r="O21" s="52"/>
      <c r="P21" s="52"/>
      <c r="Q21" s="52"/>
      <c r="R21" s="52"/>
      <c r="S21" s="52"/>
      <c r="T21" s="52"/>
      <c r="U21" s="52"/>
      <c r="V21" s="52"/>
      <c r="W21" s="53"/>
      <c r="X21" s="23"/>
      <c r="Y21" s="52"/>
      <c r="Z21" s="52"/>
      <c r="AA21" s="52"/>
      <c r="AB21" s="52"/>
      <c r="AC21" s="52"/>
      <c r="AD21" s="52"/>
      <c r="AE21" s="52"/>
    </row>
    <row r="22" spans="1:31" s="55" customFormat="1" x14ac:dyDescent="0.25">
      <c r="A22" s="52"/>
      <c r="B22" s="52"/>
      <c r="C22" s="52"/>
      <c r="D22" s="52"/>
      <c r="E22" s="52" t="str">
        <f t="shared" si="0"/>
        <v>PROG</v>
      </c>
      <c r="F22" s="52"/>
      <c r="G22" s="52" t="str">
        <f t="shared" si="1"/>
        <v>P</v>
      </c>
      <c r="H22" s="52"/>
      <c r="I22" s="52"/>
      <c r="J22" s="52" t="str">
        <f t="shared" si="3"/>
        <v>ELEM</v>
      </c>
      <c r="K22" s="52"/>
      <c r="L22" s="87"/>
      <c r="M22" s="52" t="e">
        <v>#N/A</v>
      </c>
      <c r="N22" s="52"/>
      <c r="O22" s="52"/>
      <c r="P22" s="52"/>
      <c r="Q22" s="52"/>
      <c r="R22" s="52"/>
      <c r="S22" s="52"/>
      <c r="T22" s="52"/>
      <c r="U22" s="52"/>
      <c r="V22" s="52"/>
      <c r="W22" s="53"/>
      <c r="X22" s="23"/>
      <c r="Y22" s="52"/>
      <c r="Z22" s="52"/>
      <c r="AA22" s="52"/>
      <c r="AB22" s="52"/>
      <c r="AC22" s="52"/>
      <c r="AD22" s="52"/>
      <c r="AE22" s="52"/>
    </row>
    <row r="23" spans="1:31" s="55" customFormat="1" x14ac:dyDescent="0.25">
      <c r="A23" s="52"/>
      <c r="B23" s="52"/>
      <c r="C23" s="52"/>
      <c r="D23" s="52"/>
      <c r="E23" s="52" t="str">
        <f t="shared" si="0"/>
        <v>PROG</v>
      </c>
      <c r="F23" s="52"/>
      <c r="G23" s="52" t="str">
        <f t="shared" si="1"/>
        <v>P</v>
      </c>
      <c r="H23" s="52"/>
      <c r="I23" s="52"/>
      <c r="J23" s="52" t="str">
        <f t="shared" si="3"/>
        <v>ELEM</v>
      </c>
      <c r="K23" s="52"/>
      <c r="L23" s="87"/>
      <c r="M23" s="52" t="e">
        <v>#N/A</v>
      </c>
      <c r="N23" s="52"/>
      <c r="O23" s="52"/>
      <c r="P23" s="52"/>
      <c r="Q23" s="52"/>
      <c r="R23" s="52"/>
      <c r="S23" s="52"/>
      <c r="T23" s="52"/>
      <c r="U23" s="52"/>
      <c r="V23" s="52"/>
      <c r="W23" s="53"/>
      <c r="X23" s="23"/>
      <c r="Y23" s="52"/>
      <c r="Z23" s="52"/>
      <c r="AA23" s="52"/>
      <c r="AB23" s="52"/>
      <c r="AC23" s="52"/>
      <c r="AD23" s="52"/>
      <c r="AE23" s="52"/>
    </row>
    <row r="24" spans="1:31" s="55" customFormat="1" x14ac:dyDescent="0.25">
      <c r="A24" s="52"/>
      <c r="B24" s="52"/>
      <c r="C24" s="52"/>
      <c r="D24" s="52"/>
      <c r="E24" s="52" t="str">
        <f t="shared" si="0"/>
        <v>PROG</v>
      </c>
      <c r="F24" s="52"/>
      <c r="G24" s="52" t="str">
        <f t="shared" si="1"/>
        <v>P</v>
      </c>
      <c r="H24" s="52"/>
      <c r="I24" s="52"/>
      <c r="J24" s="52" t="str">
        <f t="shared" si="3"/>
        <v>ELEM</v>
      </c>
      <c r="K24" s="52"/>
      <c r="L24" s="87"/>
      <c r="M24" s="52" t="e">
        <v>#N/A</v>
      </c>
      <c r="N24" s="52"/>
      <c r="O24" s="52"/>
      <c r="P24" s="52"/>
      <c r="Q24" s="52"/>
      <c r="R24" s="52"/>
      <c r="S24" s="52"/>
      <c r="T24" s="52"/>
      <c r="U24" s="52"/>
      <c r="V24" s="52"/>
      <c r="W24" s="53"/>
      <c r="X24" s="23"/>
      <c r="Y24" s="52"/>
      <c r="Z24" s="52"/>
      <c r="AA24" s="52"/>
      <c r="AB24" s="52"/>
      <c r="AC24" s="52"/>
      <c r="AD24" s="52"/>
      <c r="AE24" s="52"/>
    </row>
    <row r="25" spans="1:31" s="55" customFormat="1" x14ac:dyDescent="0.25">
      <c r="A25" s="52"/>
      <c r="B25" s="52"/>
      <c r="C25" s="52"/>
      <c r="D25" s="52"/>
      <c r="E25" s="52" t="str">
        <f t="shared" si="0"/>
        <v>PROG</v>
      </c>
      <c r="F25" s="52"/>
      <c r="G25" s="52" t="str">
        <f t="shared" si="1"/>
        <v>P</v>
      </c>
      <c r="H25" s="52"/>
      <c r="I25" s="52"/>
      <c r="J25" s="52" t="str">
        <f t="shared" si="3"/>
        <v>ELEM</v>
      </c>
      <c r="K25" s="52"/>
      <c r="L25" s="87"/>
      <c r="M25" s="52" t="e">
        <v>#N/A</v>
      </c>
      <c r="N25" s="52"/>
      <c r="O25" s="52"/>
      <c r="P25" s="52"/>
      <c r="Q25" s="52"/>
      <c r="R25" s="52"/>
      <c r="S25" s="52"/>
      <c r="T25" s="52"/>
      <c r="U25" s="52"/>
      <c r="V25" s="52"/>
      <c r="W25" s="53"/>
      <c r="X25" s="23"/>
      <c r="Y25" s="52"/>
      <c r="Z25" s="52"/>
      <c r="AA25" s="52"/>
      <c r="AB25" s="52"/>
      <c r="AC25" s="52"/>
      <c r="AD25" s="52"/>
      <c r="AE25" s="52"/>
    </row>
    <row r="26" spans="1:31" s="55" customFormat="1" x14ac:dyDescent="0.25">
      <c r="A26" s="52"/>
      <c r="B26" s="52"/>
      <c r="C26" s="52"/>
      <c r="D26" s="52"/>
      <c r="E26" s="52" t="str">
        <f t="shared" si="0"/>
        <v>PROG</v>
      </c>
      <c r="F26" s="52"/>
      <c r="G26" s="52" t="str">
        <f t="shared" si="1"/>
        <v>P</v>
      </c>
      <c r="H26" s="52"/>
      <c r="I26" s="52"/>
      <c r="J26" s="52" t="str">
        <f t="shared" si="3"/>
        <v>ELEM</v>
      </c>
      <c r="K26" s="52"/>
      <c r="L26" s="87"/>
      <c r="M26" s="52" t="e">
        <v>#N/A</v>
      </c>
      <c r="N26" s="52"/>
      <c r="O26" s="52"/>
      <c r="P26" s="52"/>
      <c r="Q26" s="52"/>
      <c r="R26" s="52"/>
      <c r="S26" s="52"/>
      <c r="T26" s="52"/>
      <c r="U26" s="52"/>
      <c r="V26" s="52"/>
      <c r="W26" s="53"/>
      <c r="X26" s="23"/>
      <c r="Y26" s="52"/>
      <c r="Z26" s="52"/>
      <c r="AA26" s="52"/>
      <c r="AB26" s="52"/>
      <c r="AC26" s="52"/>
      <c r="AD26" s="52"/>
      <c r="AE26" s="52"/>
    </row>
    <row r="27" spans="1:31" s="55" customFormat="1" x14ac:dyDescent="0.25">
      <c r="A27" s="52"/>
      <c r="B27" s="52"/>
      <c r="C27" s="52"/>
      <c r="D27" s="52"/>
      <c r="E27" s="52" t="str">
        <f t="shared" si="0"/>
        <v>PROG</v>
      </c>
      <c r="F27" s="52"/>
      <c r="G27" s="52" t="str">
        <f t="shared" si="1"/>
        <v>P</v>
      </c>
      <c r="H27" s="52"/>
      <c r="I27" s="52"/>
      <c r="J27" s="52" t="str">
        <f t="shared" si="3"/>
        <v>ELEM</v>
      </c>
      <c r="K27" s="52"/>
      <c r="L27" s="87"/>
      <c r="M27" s="52" t="e">
        <v>#N/A</v>
      </c>
      <c r="N27" s="52"/>
      <c r="O27" s="52"/>
      <c r="P27" s="52"/>
      <c r="Q27" s="52"/>
      <c r="R27" s="52"/>
      <c r="S27" s="52"/>
      <c r="T27" s="52"/>
      <c r="U27" s="52"/>
      <c r="V27" s="52"/>
      <c r="W27" s="53"/>
      <c r="X27" s="23"/>
      <c r="Y27" s="52"/>
      <c r="Z27" s="52"/>
      <c r="AA27" s="52"/>
      <c r="AB27" s="52"/>
      <c r="AC27" s="52"/>
      <c r="AD27" s="52"/>
      <c r="AE27" s="52"/>
    </row>
    <row r="28" spans="1:31" s="55" customFormat="1" x14ac:dyDescent="0.25">
      <c r="A28" s="52"/>
      <c r="B28" s="52"/>
      <c r="C28" s="52"/>
      <c r="D28" s="52"/>
      <c r="E28" s="52" t="str">
        <f t="shared" si="0"/>
        <v>PROG</v>
      </c>
      <c r="F28" s="52"/>
      <c r="G28" s="52" t="str">
        <f t="shared" si="1"/>
        <v>P</v>
      </c>
      <c r="H28" s="52"/>
      <c r="I28" s="52"/>
      <c r="J28" s="52" t="str">
        <f t="shared" si="3"/>
        <v>ELEM</v>
      </c>
      <c r="K28" s="52"/>
      <c r="L28" s="87"/>
      <c r="M28" s="52" t="e">
        <v>#N/A</v>
      </c>
      <c r="N28" s="52"/>
      <c r="O28" s="52"/>
      <c r="P28" s="52"/>
      <c r="Q28" s="52"/>
      <c r="R28" s="52"/>
      <c r="S28" s="52"/>
      <c r="T28" s="52"/>
      <c r="U28" s="52"/>
      <c r="V28" s="52"/>
      <c r="W28" s="53"/>
      <c r="X28" s="23"/>
      <c r="Y28" s="52"/>
      <c r="Z28" s="52"/>
      <c r="AA28" s="52"/>
      <c r="AB28" s="52"/>
      <c r="AC28" s="52"/>
      <c r="AD28" s="52"/>
      <c r="AE28" s="52"/>
    </row>
    <row r="29" spans="1:31" s="55" customFormat="1" x14ac:dyDescent="0.25">
      <c r="A29" s="52"/>
      <c r="B29" s="52"/>
      <c r="C29" s="52"/>
      <c r="D29" s="52"/>
      <c r="E29" s="52" t="str">
        <f t="shared" si="0"/>
        <v>PROG</v>
      </c>
      <c r="F29" s="52"/>
      <c r="G29" s="52" t="str">
        <f t="shared" si="1"/>
        <v>P</v>
      </c>
      <c r="H29" s="52"/>
      <c r="I29" s="52"/>
      <c r="J29" s="52" t="str">
        <f t="shared" si="3"/>
        <v>ELEM</v>
      </c>
      <c r="K29" s="52"/>
      <c r="L29" s="87"/>
      <c r="M29" s="52" t="e">
        <v>#N/A</v>
      </c>
      <c r="N29" s="52"/>
      <c r="O29" s="52"/>
      <c r="P29" s="52"/>
      <c r="Q29" s="52"/>
      <c r="R29" s="52"/>
      <c r="S29" s="52"/>
      <c r="T29" s="52"/>
      <c r="U29" s="52"/>
      <c r="V29" s="52"/>
      <c r="W29" s="53"/>
      <c r="X29" s="23"/>
      <c r="Y29" s="52"/>
      <c r="Z29" s="52"/>
      <c r="AA29" s="52"/>
      <c r="AB29" s="52"/>
      <c r="AC29" s="52"/>
      <c r="AD29" s="52"/>
      <c r="AE29" s="52"/>
    </row>
    <row r="30" spans="1:31" s="55" customFormat="1" x14ac:dyDescent="0.25">
      <c r="A30" s="52"/>
      <c r="B30" s="52"/>
      <c r="C30" s="52"/>
      <c r="D30" s="52"/>
      <c r="E30" s="52" t="str">
        <f t="shared" si="0"/>
        <v>PROG</v>
      </c>
      <c r="F30" s="52"/>
      <c r="G30" s="52" t="str">
        <f t="shared" si="1"/>
        <v>P</v>
      </c>
      <c r="H30" s="52"/>
      <c r="I30" s="52"/>
      <c r="J30" s="52" t="str">
        <f t="shared" si="3"/>
        <v>ELEM</v>
      </c>
      <c r="K30" s="52"/>
      <c r="L30" s="87"/>
      <c r="M30" s="52" t="e">
        <v>#N/A</v>
      </c>
      <c r="N30" s="52"/>
      <c r="O30" s="52"/>
      <c r="P30" s="52"/>
      <c r="Q30" s="52"/>
      <c r="R30" s="52"/>
      <c r="S30" s="52"/>
      <c r="T30" s="52"/>
      <c r="U30" s="52"/>
      <c r="V30" s="52"/>
      <c r="W30" s="53"/>
      <c r="X30" s="23"/>
      <c r="Y30" s="52"/>
      <c r="Z30" s="52"/>
      <c r="AA30" s="52"/>
      <c r="AB30" s="52"/>
      <c r="AC30" s="52"/>
      <c r="AD30" s="52"/>
      <c r="AE30" s="52"/>
    </row>
    <row r="31" spans="1:31" s="55" customFormat="1" x14ac:dyDescent="0.25">
      <c r="A31" s="52"/>
      <c r="B31" s="52"/>
      <c r="C31" s="52"/>
      <c r="D31" s="52"/>
      <c r="E31" s="52" t="str">
        <f t="shared" si="0"/>
        <v>PROG</v>
      </c>
      <c r="F31" s="52"/>
      <c r="G31" s="52" t="str">
        <f t="shared" si="1"/>
        <v>P</v>
      </c>
      <c r="H31" s="52"/>
      <c r="I31" s="52"/>
      <c r="J31" s="52" t="str">
        <f t="shared" si="3"/>
        <v>ELEM</v>
      </c>
      <c r="K31" s="52"/>
      <c r="L31" s="87"/>
      <c r="M31" s="52" t="e">
        <v>#N/A</v>
      </c>
      <c r="N31" s="52"/>
      <c r="O31" s="52"/>
      <c r="P31" s="52"/>
      <c r="Q31" s="52"/>
      <c r="R31" s="52"/>
      <c r="S31" s="52"/>
      <c r="T31" s="52"/>
      <c r="U31" s="52"/>
      <c r="V31" s="52"/>
      <c r="W31" s="53"/>
      <c r="X31" s="23"/>
      <c r="Y31" s="52"/>
      <c r="Z31" s="52"/>
      <c r="AA31" s="52"/>
      <c r="AB31" s="52"/>
      <c r="AC31" s="52"/>
      <c r="AD31" s="52"/>
      <c r="AE31" s="52"/>
    </row>
    <row r="32" spans="1:31" s="55" customFormat="1" x14ac:dyDescent="0.25">
      <c r="A32" s="52"/>
      <c r="B32" s="52"/>
      <c r="C32" s="52"/>
      <c r="D32" s="52"/>
      <c r="E32" s="52" t="str">
        <f t="shared" si="0"/>
        <v>PROG</v>
      </c>
      <c r="F32" s="52"/>
      <c r="G32" s="52" t="str">
        <f t="shared" si="1"/>
        <v>P</v>
      </c>
      <c r="H32" s="52"/>
      <c r="I32" s="52"/>
      <c r="J32" s="52" t="str">
        <f t="shared" si="3"/>
        <v>ELEM</v>
      </c>
      <c r="K32" s="52"/>
      <c r="L32" s="87"/>
      <c r="M32" s="52" t="e">
        <v>#N/A</v>
      </c>
      <c r="N32" s="52"/>
      <c r="O32" s="52"/>
      <c r="P32" s="52"/>
      <c r="Q32" s="52"/>
      <c r="R32" s="52"/>
      <c r="S32" s="52"/>
      <c r="T32" s="52"/>
      <c r="U32" s="52"/>
      <c r="V32" s="52"/>
      <c r="W32" s="53"/>
      <c r="X32" s="23"/>
      <c r="Y32" s="52"/>
      <c r="Z32" s="52"/>
      <c r="AA32" s="52"/>
      <c r="AB32" s="52"/>
      <c r="AC32" s="52"/>
      <c r="AD32" s="52"/>
      <c r="AE32" s="52"/>
    </row>
    <row r="33" spans="1:31" s="55" customFormat="1" x14ac:dyDescent="0.25">
      <c r="A33" s="52"/>
      <c r="B33" s="52"/>
      <c r="C33" s="52"/>
      <c r="D33" s="52"/>
      <c r="E33" s="52" t="str">
        <f t="shared" si="0"/>
        <v>PROG</v>
      </c>
      <c r="F33" s="52"/>
      <c r="G33" s="52" t="str">
        <f t="shared" si="1"/>
        <v>P</v>
      </c>
      <c r="H33" s="52"/>
      <c r="I33" s="52"/>
      <c r="J33" s="52" t="str">
        <f t="shared" si="3"/>
        <v>ELEM</v>
      </c>
      <c r="K33" s="52"/>
      <c r="L33" s="87"/>
      <c r="M33" s="52" t="e">
        <v>#N/A</v>
      </c>
      <c r="N33" s="52"/>
      <c r="O33" s="52"/>
      <c r="P33" s="52"/>
      <c r="Q33" s="52"/>
      <c r="R33" s="52"/>
      <c r="S33" s="52"/>
      <c r="T33" s="52"/>
      <c r="U33" s="52"/>
      <c r="V33" s="52"/>
      <c r="W33" s="53"/>
      <c r="X33" s="23"/>
      <c r="Y33" s="52"/>
      <c r="Z33" s="52"/>
      <c r="AA33" s="52"/>
      <c r="AB33" s="52"/>
      <c r="AC33" s="52"/>
      <c r="AD33" s="52"/>
      <c r="AE33" s="52"/>
    </row>
    <row r="34" spans="1:31" s="55" customFormat="1" x14ac:dyDescent="0.25">
      <c r="A34" s="52"/>
      <c r="B34" s="52"/>
      <c r="C34" s="52"/>
      <c r="D34" s="52"/>
      <c r="E34" s="52" t="str">
        <f t="shared" si="0"/>
        <v>PROG</v>
      </c>
      <c r="F34" s="52"/>
      <c r="G34" s="52" t="str">
        <f t="shared" si="1"/>
        <v>P</v>
      </c>
      <c r="H34" s="52"/>
      <c r="I34" s="52"/>
      <c r="J34" s="52" t="str">
        <f t="shared" si="3"/>
        <v>ELEM</v>
      </c>
      <c r="K34" s="52"/>
      <c r="L34" s="87"/>
      <c r="M34" s="52" t="e">
        <v>#N/A</v>
      </c>
      <c r="N34" s="52"/>
      <c r="O34" s="52"/>
      <c r="P34" s="52"/>
      <c r="Q34" s="52"/>
      <c r="R34" s="52"/>
      <c r="S34" s="52"/>
      <c r="T34" s="52"/>
      <c r="U34" s="52"/>
      <c r="V34" s="52"/>
      <c r="W34" s="53"/>
      <c r="X34" s="23"/>
      <c r="Y34" s="52"/>
      <c r="Z34" s="52"/>
      <c r="AA34" s="52"/>
      <c r="AB34" s="52"/>
      <c r="AC34" s="52"/>
      <c r="AD34" s="52"/>
      <c r="AE34" s="52"/>
    </row>
    <row r="35" spans="1:31" s="55" customFormat="1" x14ac:dyDescent="0.25">
      <c r="A35" s="52"/>
      <c r="B35" s="52"/>
      <c r="C35" s="52"/>
      <c r="D35" s="52"/>
      <c r="E35" s="52" t="str">
        <f t="shared" si="0"/>
        <v>PROG</v>
      </c>
      <c r="F35" s="52"/>
      <c r="G35" s="52" t="str">
        <f t="shared" si="1"/>
        <v>P</v>
      </c>
      <c r="H35" s="52"/>
      <c r="I35" s="52"/>
      <c r="J35" s="52" t="str">
        <f t="shared" si="3"/>
        <v>ELEM</v>
      </c>
      <c r="K35" s="52"/>
      <c r="L35" s="87"/>
      <c r="M35" s="52" t="e">
        <v>#N/A</v>
      </c>
      <c r="N35" s="52"/>
      <c r="O35" s="52"/>
      <c r="P35" s="52"/>
      <c r="Q35" s="52"/>
      <c r="R35" s="52"/>
      <c r="S35" s="52"/>
      <c r="T35" s="52"/>
      <c r="U35" s="52"/>
      <c r="V35" s="52"/>
      <c r="W35" s="53"/>
      <c r="X35" s="23"/>
      <c r="Y35" s="52"/>
      <c r="Z35" s="52"/>
      <c r="AA35" s="52"/>
      <c r="AB35" s="52"/>
      <c r="AC35" s="52"/>
      <c r="AD35" s="52"/>
      <c r="AE35" s="52"/>
    </row>
    <row r="36" spans="1:31" s="55" customFormat="1" x14ac:dyDescent="0.25">
      <c r="A36" s="52"/>
      <c r="B36" s="52"/>
      <c r="C36" s="52"/>
      <c r="D36" s="52"/>
      <c r="E36" s="52" t="str">
        <f t="shared" si="0"/>
        <v>PROG</v>
      </c>
      <c r="F36" s="52"/>
      <c r="G36" s="52" t="str">
        <f t="shared" si="1"/>
        <v>P</v>
      </c>
      <c r="H36" s="52"/>
      <c r="I36" s="52"/>
      <c r="J36" s="52" t="str">
        <f t="shared" si="3"/>
        <v>ELEM</v>
      </c>
      <c r="K36" s="52"/>
      <c r="L36" s="87"/>
      <c r="M36" s="52" t="e">
        <v>#N/A</v>
      </c>
      <c r="N36" s="52"/>
      <c r="O36" s="52"/>
      <c r="P36" s="52"/>
      <c r="Q36" s="52"/>
      <c r="R36" s="52"/>
      <c r="S36" s="52"/>
      <c r="T36" s="52"/>
      <c r="U36" s="52"/>
      <c r="V36" s="52"/>
      <c r="W36" s="53"/>
      <c r="X36" s="23"/>
      <c r="Y36" s="52"/>
      <c r="Z36" s="52"/>
      <c r="AA36" s="52"/>
      <c r="AB36" s="52"/>
      <c r="AC36" s="52"/>
      <c r="AD36" s="52"/>
      <c r="AE36" s="52"/>
    </row>
    <row r="37" spans="1:31" s="55" customFormat="1" x14ac:dyDescent="0.25">
      <c r="A37" s="52"/>
      <c r="B37" s="52"/>
      <c r="C37" s="52"/>
      <c r="D37" s="52"/>
      <c r="E37" s="52" t="str">
        <f t="shared" si="0"/>
        <v>PROG</v>
      </c>
      <c r="F37" s="52"/>
      <c r="G37" s="52" t="str">
        <f t="shared" si="1"/>
        <v>P</v>
      </c>
      <c r="H37" s="52"/>
      <c r="I37" s="52"/>
      <c r="J37" s="52" t="str">
        <f t="shared" si="3"/>
        <v>ELEM</v>
      </c>
      <c r="K37" s="52"/>
      <c r="L37" s="87"/>
      <c r="M37" s="52" t="e">
        <v>#N/A</v>
      </c>
      <c r="N37" s="52"/>
      <c r="O37" s="52"/>
      <c r="P37" s="52"/>
      <c r="Q37" s="52"/>
      <c r="R37" s="52"/>
      <c r="S37" s="52"/>
      <c r="T37" s="52"/>
      <c r="U37" s="52"/>
      <c r="V37" s="52"/>
      <c r="W37" s="53"/>
      <c r="X37" s="23"/>
      <c r="Y37" s="52"/>
      <c r="Z37" s="52"/>
      <c r="AA37" s="52"/>
      <c r="AB37" s="52"/>
      <c r="AC37" s="52"/>
      <c r="AD37" s="52"/>
      <c r="AE37" s="52"/>
    </row>
    <row r="38" spans="1:31" s="55" customFormat="1" x14ac:dyDescent="0.25">
      <c r="A38" s="52"/>
      <c r="B38" s="52"/>
      <c r="C38" s="52"/>
      <c r="D38" s="52"/>
      <c r="E38" s="52" t="str">
        <f t="shared" si="0"/>
        <v>PROG</v>
      </c>
      <c r="F38" s="52"/>
      <c r="G38" s="52" t="str">
        <f t="shared" si="1"/>
        <v>P</v>
      </c>
      <c r="H38" s="52"/>
      <c r="I38" s="52"/>
      <c r="J38" s="52" t="str">
        <f t="shared" si="3"/>
        <v>ELEM</v>
      </c>
      <c r="K38" s="52"/>
      <c r="L38" s="87"/>
      <c r="M38" s="52" t="e">
        <v>#N/A</v>
      </c>
      <c r="N38" s="52"/>
      <c r="O38" s="52"/>
      <c r="P38" s="52"/>
      <c r="Q38" s="52"/>
      <c r="R38" s="52"/>
      <c r="S38" s="52"/>
      <c r="T38" s="52"/>
      <c r="U38" s="52"/>
      <c r="V38" s="52"/>
      <c r="W38" s="53"/>
      <c r="X38" s="23"/>
      <c r="Y38" s="52"/>
      <c r="Z38" s="52"/>
      <c r="AA38" s="52"/>
      <c r="AB38" s="52"/>
      <c r="AC38" s="52"/>
      <c r="AD38" s="52"/>
      <c r="AE38" s="52"/>
    </row>
    <row r="39" spans="1:31" s="55" customFormat="1" x14ac:dyDescent="0.25">
      <c r="A39" s="52"/>
      <c r="B39" s="52"/>
      <c r="C39" s="52"/>
      <c r="D39" s="52"/>
      <c r="E39" s="52" t="str">
        <f t="shared" si="0"/>
        <v>PROG</v>
      </c>
      <c r="F39" s="52"/>
      <c r="G39" s="52" t="str">
        <f t="shared" si="1"/>
        <v>P</v>
      </c>
      <c r="H39" s="52"/>
      <c r="I39" s="52"/>
      <c r="J39" s="52" t="str">
        <f t="shared" si="3"/>
        <v>ELEM</v>
      </c>
      <c r="K39" s="52"/>
      <c r="L39" s="87"/>
      <c r="M39" s="52" t="e">
        <v>#N/A</v>
      </c>
      <c r="N39" s="52"/>
      <c r="O39" s="52"/>
      <c r="P39" s="52"/>
      <c r="Q39" s="52"/>
      <c r="R39" s="52"/>
      <c r="S39" s="52"/>
      <c r="T39" s="52"/>
      <c r="U39" s="52"/>
      <c r="V39" s="52"/>
      <c r="W39" s="53"/>
      <c r="X39" s="23"/>
      <c r="Y39" s="52"/>
      <c r="Z39" s="52"/>
      <c r="AA39" s="52"/>
      <c r="AB39" s="52"/>
      <c r="AC39" s="52"/>
      <c r="AD39" s="52"/>
      <c r="AE39" s="52"/>
    </row>
    <row r="40" spans="1:31" s="55" customFormat="1" x14ac:dyDescent="0.25">
      <c r="A40" s="52"/>
      <c r="B40" s="52"/>
      <c r="C40" s="52"/>
      <c r="D40" s="52"/>
      <c r="E40" s="52" t="str">
        <f t="shared" si="0"/>
        <v>PROG</v>
      </c>
      <c r="F40" s="52"/>
      <c r="G40" s="52" t="str">
        <f t="shared" si="1"/>
        <v>P</v>
      </c>
      <c r="H40" s="52"/>
      <c r="I40" s="52"/>
      <c r="J40" s="52" t="str">
        <f t="shared" si="3"/>
        <v>ELEM</v>
      </c>
      <c r="K40" s="52"/>
      <c r="L40" s="87"/>
      <c r="M40" s="52" t="e">
        <v>#N/A</v>
      </c>
      <c r="N40" s="52"/>
      <c r="O40" s="52"/>
      <c r="P40" s="52"/>
      <c r="Q40" s="52"/>
      <c r="R40" s="52"/>
      <c r="S40" s="52"/>
      <c r="T40" s="52"/>
      <c r="U40" s="52"/>
      <c r="V40" s="52"/>
      <c r="W40" s="53"/>
      <c r="X40" s="23"/>
      <c r="Y40" s="52"/>
      <c r="Z40" s="52"/>
      <c r="AA40" s="52"/>
      <c r="AB40" s="52"/>
      <c r="AC40" s="52"/>
      <c r="AD40" s="52"/>
      <c r="AE40" s="52"/>
    </row>
    <row r="41" spans="1:31" s="55" customFormat="1" x14ac:dyDescent="0.25">
      <c r="A41" s="52"/>
      <c r="B41" s="52"/>
      <c r="C41" s="52"/>
      <c r="D41" s="52"/>
      <c r="E41" s="52" t="str">
        <f t="shared" si="0"/>
        <v>PROG</v>
      </c>
      <c r="F41" s="52"/>
      <c r="G41" s="52" t="str">
        <f t="shared" si="1"/>
        <v>P</v>
      </c>
      <c r="H41" s="52"/>
      <c r="I41" s="52"/>
      <c r="J41" s="52" t="str">
        <f t="shared" si="3"/>
        <v>ELEM</v>
      </c>
      <c r="K41" s="52"/>
      <c r="L41" s="87"/>
      <c r="M41" s="52" t="e">
        <v>#N/A</v>
      </c>
      <c r="N41" s="52"/>
      <c r="O41" s="52"/>
      <c r="P41" s="52"/>
      <c r="Q41" s="52"/>
      <c r="R41" s="52"/>
      <c r="S41" s="52"/>
      <c r="T41" s="52"/>
      <c r="U41" s="52"/>
      <c r="V41" s="52"/>
      <c r="W41" s="53"/>
      <c r="X41" s="23"/>
      <c r="Y41" s="52"/>
      <c r="Z41" s="52"/>
      <c r="AA41" s="52"/>
      <c r="AB41" s="52"/>
      <c r="AC41" s="52"/>
      <c r="AD41" s="52"/>
      <c r="AE41" s="52"/>
    </row>
    <row r="42" spans="1:31" s="55" customFormat="1" x14ac:dyDescent="0.25">
      <c r="A42" s="52"/>
      <c r="B42" s="52"/>
      <c r="C42" s="52"/>
      <c r="D42" s="52"/>
      <c r="E42" s="52" t="str">
        <f t="shared" si="0"/>
        <v>PROG</v>
      </c>
      <c r="F42" s="52"/>
      <c r="G42" s="52" t="str">
        <f t="shared" si="1"/>
        <v>P</v>
      </c>
      <c r="H42" s="52"/>
      <c r="I42" s="52"/>
      <c r="J42" s="52" t="str">
        <f t="shared" si="3"/>
        <v>ELEM</v>
      </c>
      <c r="K42" s="52"/>
      <c r="L42" s="87"/>
      <c r="M42" s="52" t="e">
        <v>#N/A</v>
      </c>
      <c r="N42" s="52"/>
      <c r="O42" s="52"/>
      <c r="P42" s="52"/>
      <c r="Q42" s="52"/>
      <c r="R42" s="52"/>
      <c r="S42" s="52"/>
      <c r="T42" s="52"/>
      <c r="U42" s="52"/>
      <c r="V42" s="52"/>
      <c r="W42" s="53"/>
      <c r="X42" s="23"/>
      <c r="Y42" s="52"/>
      <c r="Z42" s="52"/>
      <c r="AA42" s="52"/>
      <c r="AB42" s="52"/>
      <c r="AC42" s="52"/>
      <c r="AD42" s="52"/>
      <c r="AE42" s="52"/>
    </row>
    <row r="43" spans="1:31" s="55" customFormat="1" x14ac:dyDescent="0.25">
      <c r="A43" s="52"/>
      <c r="B43" s="52"/>
      <c r="C43" s="52"/>
      <c r="D43" s="52"/>
      <c r="E43" s="52" t="str">
        <f t="shared" si="0"/>
        <v>PROG</v>
      </c>
      <c r="F43" s="52"/>
      <c r="G43" s="52" t="str">
        <f t="shared" si="1"/>
        <v>P</v>
      </c>
      <c r="H43" s="52"/>
      <c r="I43" s="52"/>
      <c r="J43" s="52" t="str">
        <f t="shared" si="3"/>
        <v>ELEM</v>
      </c>
      <c r="K43" s="52"/>
      <c r="L43" s="87"/>
      <c r="M43" s="52" t="e">
        <v>#N/A</v>
      </c>
      <c r="N43" s="52"/>
      <c r="O43" s="52"/>
      <c r="P43" s="52"/>
      <c r="Q43" s="52"/>
      <c r="R43" s="52"/>
      <c r="S43" s="52"/>
      <c r="T43" s="52"/>
      <c r="U43" s="52"/>
      <c r="V43" s="52"/>
      <c r="W43" s="53"/>
      <c r="X43" s="23"/>
      <c r="Y43" s="52"/>
      <c r="Z43" s="52"/>
      <c r="AA43" s="52"/>
      <c r="AB43" s="52"/>
      <c r="AC43" s="52"/>
      <c r="AD43" s="52"/>
      <c r="AE43" s="52"/>
    </row>
    <row r="44" spans="1:31" s="55" customFormat="1" x14ac:dyDescent="0.25">
      <c r="A44" s="52"/>
      <c r="B44" s="52"/>
      <c r="C44" s="52"/>
      <c r="D44" s="52"/>
      <c r="E44" s="52" t="str">
        <f t="shared" si="0"/>
        <v>PROG</v>
      </c>
      <c r="F44" s="52"/>
      <c r="G44" s="52" t="str">
        <f t="shared" si="1"/>
        <v>P</v>
      </c>
      <c r="H44" s="52"/>
      <c r="I44" s="52"/>
      <c r="J44" s="52" t="str">
        <f t="shared" si="3"/>
        <v>ELEM</v>
      </c>
      <c r="K44" s="52"/>
      <c r="L44" s="87"/>
      <c r="M44" s="52" t="e">
        <v>#N/A</v>
      </c>
      <c r="N44" s="52"/>
      <c r="O44" s="52"/>
      <c r="P44" s="52"/>
      <c r="Q44" s="52"/>
      <c r="R44" s="52"/>
      <c r="S44" s="52"/>
      <c r="T44" s="52"/>
      <c r="U44" s="52"/>
      <c r="V44" s="52"/>
      <c r="W44" s="53"/>
      <c r="X44" s="23"/>
      <c r="Y44" s="52"/>
      <c r="Z44" s="52"/>
      <c r="AA44" s="52"/>
      <c r="AB44" s="52"/>
      <c r="AC44" s="52"/>
      <c r="AD44" s="52"/>
      <c r="AE44" s="52"/>
    </row>
    <row r="45" spans="1:31" s="55" customFormat="1" x14ac:dyDescent="0.25">
      <c r="A45" s="52"/>
      <c r="B45" s="52"/>
      <c r="C45" s="52"/>
      <c r="D45" s="52"/>
      <c r="E45" s="52" t="str">
        <f t="shared" si="0"/>
        <v>PROG</v>
      </c>
      <c r="F45" s="52"/>
      <c r="G45" s="52" t="str">
        <f t="shared" si="1"/>
        <v>P</v>
      </c>
      <c r="H45" s="52"/>
      <c r="I45" s="52"/>
      <c r="J45" s="52" t="str">
        <f t="shared" si="3"/>
        <v>ELEM</v>
      </c>
      <c r="K45" s="52"/>
      <c r="L45" s="87"/>
      <c r="M45" s="52" t="e">
        <v>#N/A</v>
      </c>
      <c r="N45" s="52"/>
      <c r="O45" s="52"/>
      <c r="P45" s="52"/>
      <c r="Q45" s="52"/>
      <c r="R45" s="52"/>
      <c r="S45" s="52"/>
      <c r="T45" s="52"/>
      <c r="U45" s="52"/>
      <c r="V45" s="52"/>
      <c r="W45" s="53"/>
      <c r="X45" s="23"/>
      <c r="Y45" s="52"/>
      <c r="Z45" s="52"/>
      <c r="AA45" s="52"/>
      <c r="AB45" s="52"/>
      <c r="AC45" s="52"/>
      <c r="AD45" s="52"/>
      <c r="AE45" s="52"/>
    </row>
    <row r="46" spans="1:31" s="55" customFormat="1" x14ac:dyDescent="0.25">
      <c r="A46" s="52"/>
      <c r="B46" s="52"/>
      <c r="C46" s="52"/>
      <c r="D46" s="52"/>
      <c r="E46" s="52" t="str">
        <f t="shared" si="0"/>
        <v>PROG</v>
      </c>
      <c r="F46" s="52"/>
      <c r="G46" s="52" t="str">
        <f t="shared" si="1"/>
        <v>P</v>
      </c>
      <c r="H46" s="52"/>
      <c r="I46" s="52"/>
      <c r="J46" s="52" t="str">
        <f t="shared" si="3"/>
        <v>ELEM</v>
      </c>
      <c r="K46" s="52"/>
      <c r="L46" s="87"/>
      <c r="M46" s="52" t="e">
        <v>#N/A</v>
      </c>
      <c r="N46" s="52"/>
      <c r="O46" s="52"/>
      <c r="P46" s="52"/>
      <c r="Q46" s="52"/>
      <c r="R46" s="52"/>
      <c r="S46" s="52"/>
      <c r="T46" s="52"/>
      <c r="U46" s="52"/>
      <c r="V46" s="52"/>
      <c r="W46" s="53"/>
      <c r="X46" s="23"/>
      <c r="Y46" s="52"/>
      <c r="Z46" s="52"/>
      <c r="AA46" s="52"/>
      <c r="AB46" s="52"/>
      <c r="AC46" s="52"/>
      <c r="AD46" s="52"/>
      <c r="AE46" s="52"/>
    </row>
    <row r="47" spans="1:31" s="55" customFormat="1" x14ac:dyDescent="0.25">
      <c r="A47" s="52"/>
      <c r="B47" s="52"/>
      <c r="C47" s="52"/>
      <c r="D47" s="52"/>
      <c r="E47" s="52" t="str">
        <f t="shared" si="0"/>
        <v>PROG</v>
      </c>
      <c r="F47" s="52"/>
      <c r="G47" s="52" t="str">
        <f t="shared" si="1"/>
        <v>P</v>
      </c>
      <c r="H47" s="52"/>
      <c r="I47" s="52"/>
      <c r="J47" s="52" t="str">
        <f t="shared" si="3"/>
        <v>ELEM</v>
      </c>
      <c r="K47" s="52"/>
      <c r="L47" s="87"/>
      <c r="M47" s="52" t="e">
        <v>#N/A</v>
      </c>
      <c r="N47" s="52"/>
      <c r="O47" s="52"/>
      <c r="P47" s="52"/>
      <c r="Q47" s="52"/>
      <c r="R47" s="52"/>
      <c r="S47" s="52"/>
      <c r="T47" s="52"/>
      <c r="U47" s="52"/>
      <c r="V47" s="52"/>
      <c r="W47" s="53"/>
      <c r="X47" s="23"/>
      <c r="Y47" s="52"/>
      <c r="Z47" s="52"/>
      <c r="AA47" s="52"/>
      <c r="AB47" s="52"/>
      <c r="AC47" s="52"/>
      <c r="AD47" s="52"/>
      <c r="AE47" s="52"/>
    </row>
    <row r="48" spans="1:31" s="55" customFormat="1" x14ac:dyDescent="0.25">
      <c r="A48" s="52"/>
      <c r="B48" s="52"/>
      <c r="C48" s="52"/>
      <c r="D48" s="52"/>
      <c r="E48" s="52" t="str">
        <f t="shared" si="0"/>
        <v>PROG</v>
      </c>
      <c r="F48" s="52"/>
      <c r="G48" s="52" t="str">
        <f t="shared" si="1"/>
        <v>P</v>
      </c>
      <c r="H48" s="52"/>
      <c r="I48" s="52"/>
      <c r="J48" s="52" t="str">
        <f t="shared" si="3"/>
        <v>ELEM</v>
      </c>
      <c r="K48" s="52"/>
      <c r="L48" s="87"/>
      <c r="M48" s="52" t="e">
        <v>#N/A</v>
      </c>
      <c r="N48" s="52"/>
      <c r="O48" s="52"/>
      <c r="P48" s="52"/>
      <c r="Q48" s="52"/>
      <c r="R48" s="52"/>
      <c r="S48" s="52"/>
      <c r="T48" s="52"/>
      <c r="U48" s="52"/>
      <c r="V48" s="52"/>
      <c r="W48" s="53"/>
      <c r="X48" s="23"/>
      <c r="Y48" s="52"/>
      <c r="Z48" s="52"/>
      <c r="AA48" s="52"/>
      <c r="AB48" s="52"/>
      <c r="AC48" s="52"/>
      <c r="AD48" s="52"/>
      <c r="AE48" s="52"/>
    </row>
    <row r="49" spans="1:31" s="55" customFormat="1" x14ac:dyDescent="0.25">
      <c r="A49" s="52"/>
      <c r="B49" s="52"/>
      <c r="C49" s="52"/>
      <c r="D49" s="52"/>
      <c r="E49" s="52" t="str">
        <f t="shared" si="0"/>
        <v>PROG</v>
      </c>
      <c r="F49" s="52"/>
      <c r="G49" s="52" t="str">
        <f t="shared" si="1"/>
        <v>P</v>
      </c>
      <c r="H49" s="52"/>
      <c r="I49" s="52"/>
      <c r="J49" s="52" t="str">
        <f t="shared" si="3"/>
        <v>ELEM</v>
      </c>
      <c r="K49" s="52"/>
      <c r="L49" s="87"/>
      <c r="M49" s="52" t="e">
        <v>#N/A</v>
      </c>
      <c r="N49" s="52"/>
      <c r="O49" s="52"/>
      <c r="P49" s="52"/>
      <c r="Q49" s="52"/>
      <c r="R49" s="52"/>
      <c r="S49" s="52"/>
      <c r="T49" s="52"/>
      <c r="U49" s="52"/>
      <c r="V49" s="52"/>
      <c r="W49" s="53"/>
      <c r="X49" s="23"/>
      <c r="Y49" s="52"/>
      <c r="Z49" s="52"/>
      <c r="AA49" s="52"/>
      <c r="AB49" s="52"/>
      <c r="AC49" s="52"/>
      <c r="AD49" s="52"/>
      <c r="AE49" s="52"/>
    </row>
    <row r="50" spans="1:31" s="55" customFormat="1" x14ac:dyDescent="0.25">
      <c r="A50" s="52"/>
      <c r="B50" s="52"/>
      <c r="C50" s="52"/>
      <c r="D50" s="52"/>
      <c r="E50" s="52" t="str">
        <f t="shared" si="0"/>
        <v>PROG</v>
      </c>
      <c r="F50" s="52"/>
      <c r="G50" s="52" t="str">
        <f t="shared" si="1"/>
        <v>P</v>
      </c>
      <c r="H50" s="52"/>
      <c r="I50" s="52"/>
      <c r="J50" s="52" t="str">
        <f t="shared" si="3"/>
        <v>ELEM</v>
      </c>
      <c r="K50" s="52"/>
      <c r="L50" s="87"/>
      <c r="M50" s="52" t="e">
        <v>#N/A</v>
      </c>
      <c r="N50" s="52"/>
      <c r="O50" s="52"/>
      <c r="P50" s="52"/>
      <c r="Q50" s="52"/>
      <c r="R50" s="52"/>
      <c r="S50" s="52"/>
      <c r="T50" s="52"/>
      <c r="U50" s="52"/>
      <c r="V50" s="52"/>
      <c r="W50" s="53"/>
      <c r="X50" s="23"/>
      <c r="Y50" s="52"/>
      <c r="Z50" s="52"/>
      <c r="AA50" s="52"/>
      <c r="AB50" s="52"/>
      <c r="AC50" s="52"/>
      <c r="AD50" s="52"/>
      <c r="AE50" s="52"/>
    </row>
    <row r="51" spans="1:31" s="55" customFormat="1" x14ac:dyDescent="0.25">
      <c r="A51" s="52"/>
      <c r="B51" s="52"/>
      <c r="C51" s="52"/>
      <c r="D51" s="52"/>
      <c r="E51" s="52" t="str">
        <f t="shared" si="0"/>
        <v>PROG</v>
      </c>
      <c r="F51" s="52"/>
      <c r="G51" s="52" t="str">
        <f t="shared" si="1"/>
        <v>P</v>
      </c>
      <c r="H51" s="52"/>
      <c r="I51" s="52"/>
      <c r="J51" s="52" t="str">
        <f t="shared" si="3"/>
        <v>ELEM</v>
      </c>
      <c r="K51" s="52"/>
      <c r="L51" s="87"/>
      <c r="M51" s="52" t="e">
        <v>#N/A</v>
      </c>
      <c r="N51" s="52"/>
      <c r="O51" s="52"/>
      <c r="P51" s="52"/>
      <c r="Q51" s="52"/>
      <c r="R51" s="52"/>
      <c r="S51" s="52"/>
      <c r="T51" s="52"/>
      <c r="U51" s="52"/>
      <c r="V51" s="52"/>
      <c r="W51" s="53"/>
      <c r="X51" s="23"/>
      <c r="Y51" s="52"/>
      <c r="Z51" s="52"/>
      <c r="AA51" s="52"/>
      <c r="AB51" s="52"/>
      <c r="AC51" s="52"/>
      <c r="AD51" s="52"/>
      <c r="AE51" s="52"/>
    </row>
    <row r="52" spans="1:31" s="55" customFormat="1" x14ac:dyDescent="0.25">
      <c r="A52" s="52"/>
      <c r="B52" s="52"/>
      <c r="C52" s="52"/>
      <c r="D52" s="52"/>
      <c r="E52" s="52" t="str">
        <f t="shared" si="0"/>
        <v>PROG</v>
      </c>
      <c r="F52" s="52"/>
      <c r="G52" s="52" t="str">
        <f t="shared" si="1"/>
        <v>P</v>
      </c>
      <c r="H52" s="52"/>
      <c r="I52" s="52"/>
      <c r="J52" s="52" t="str">
        <f t="shared" si="3"/>
        <v>ELEM</v>
      </c>
      <c r="K52" s="52"/>
      <c r="L52" s="87"/>
      <c r="M52" s="52" t="e">
        <v>#N/A</v>
      </c>
      <c r="N52" s="52"/>
      <c r="O52" s="52"/>
      <c r="P52" s="52"/>
      <c r="Q52" s="52"/>
      <c r="R52" s="52"/>
      <c r="S52" s="52"/>
      <c r="T52" s="52"/>
      <c r="U52" s="52"/>
      <c r="V52" s="52"/>
      <c r="W52" s="53"/>
      <c r="X52" s="23"/>
      <c r="Y52" s="52"/>
      <c r="Z52" s="52"/>
      <c r="AA52" s="52"/>
      <c r="AB52" s="52"/>
      <c r="AC52" s="52"/>
      <c r="AD52" s="52"/>
      <c r="AE52" s="52"/>
    </row>
    <row r="53" spans="1:31" s="55" customFormat="1" x14ac:dyDescent="0.25">
      <c r="A53" s="52"/>
      <c r="B53" s="52"/>
      <c r="C53" s="52"/>
      <c r="D53" s="52"/>
      <c r="E53" s="52" t="str">
        <f t="shared" si="0"/>
        <v>PROG</v>
      </c>
      <c r="F53" s="52"/>
      <c r="G53" s="52" t="str">
        <f t="shared" si="1"/>
        <v>P</v>
      </c>
      <c r="H53" s="52"/>
      <c r="I53" s="52"/>
      <c r="J53" s="52" t="str">
        <f t="shared" si="3"/>
        <v>ELEM</v>
      </c>
      <c r="K53" s="52"/>
      <c r="L53" s="87"/>
      <c r="M53" s="52" t="e">
        <v>#N/A</v>
      </c>
      <c r="N53" s="52"/>
      <c r="O53" s="52"/>
      <c r="P53" s="52"/>
      <c r="Q53" s="52"/>
      <c r="R53" s="52"/>
      <c r="S53" s="52"/>
      <c r="T53" s="52"/>
      <c r="U53" s="52"/>
      <c r="V53" s="52"/>
      <c r="W53" s="53"/>
      <c r="X53" s="23"/>
      <c r="Y53" s="52"/>
      <c r="Z53" s="52"/>
      <c r="AA53" s="52"/>
      <c r="AB53" s="52"/>
      <c r="AC53" s="52"/>
      <c r="AD53" s="52"/>
      <c r="AE53" s="52"/>
    </row>
    <row r="54" spans="1:31" s="55" customFormat="1" x14ac:dyDescent="0.25">
      <c r="A54" s="52"/>
      <c r="B54" s="52"/>
      <c r="C54" s="52"/>
      <c r="D54" s="52"/>
      <c r="E54" s="52" t="str">
        <f t="shared" si="0"/>
        <v>PROG</v>
      </c>
      <c r="F54" s="52"/>
      <c r="G54" s="52" t="str">
        <f t="shared" si="1"/>
        <v>P</v>
      </c>
      <c r="H54" s="52"/>
      <c r="I54" s="52"/>
      <c r="J54" s="52" t="str">
        <f t="shared" si="3"/>
        <v>ELEM</v>
      </c>
      <c r="K54" s="52"/>
      <c r="L54" s="87"/>
      <c r="M54" s="52" t="e">
        <v>#N/A</v>
      </c>
      <c r="N54" s="52"/>
      <c r="O54" s="52"/>
      <c r="P54" s="52"/>
      <c r="Q54" s="52"/>
      <c r="R54" s="52"/>
      <c r="S54" s="52"/>
      <c r="T54" s="52"/>
      <c r="U54" s="52"/>
      <c r="V54" s="52"/>
      <c r="W54" s="53"/>
      <c r="X54" s="23"/>
      <c r="Y54" s="52"/>
      <c r="Z54" s="52"/>
      <c r="AA54" s="52"/>
      <c r="AB54" s="52"/>
      <c r="AC54" s="52"/>
      <c r="AD54" s="52"/>
      <c r="AE54" s="52"/>
    </row>
    <row r="55" spans="1:31" s="55" customFormat="1" x14ac:dyDescent="0.25">
      <c r="A55" s="52"/>
      <c r="B55" s="52"/>
      <c r="C55" s="52"/>
      <c r="D55" s="52"/>
      <c r="E55" s="52" t="str">
        <f t="shared" si="0"/>
        <v>PROG</v>
      </c>
      <c r="F55" s="52"/>
      <c r="G55" s="52" t="str">
        <f t="shared" si="1"/>
        <v>P</v>
      </c>
      <c r="H55" s="52"/>
      <c r="I55" s="52"/>
      <c r="J55" s="52" t="str">
        <f t="shared" si="3"/>
        <v>ELEM</v>
      </c>
      <c r="K55" s="52"/>
      <c r="L55" s="87"/>
      <c r="M55" s="52" t="e">
        <v>#N/A</v>
      </c>
      <c r="N55" s="52"/>
      <c r="O55" s="52"/>
      <c r="P55" s="52"/>
      <c r="Q55" s="52"/>
      <c r="R55" s="52"/>
      <c r="S55" s="52"/>
      <c r="T55" s="52"/>
      <c r="U55" s="52"/>
      <c r="V55" s="52"/>
      <c r="W55" s="53"/>
      <c r="X55" s="23"/>
      <c r="Y55" s="52"/>
      <c r="Z55" s="52"/>
      <c r="AA55" s="52"/>
      <c r="AB55" s="52"/>
      <c r="AC55" s="52"/>
      <c r="AD55" s="52"/>
      <c r="AE55" s="52"/>
    </row>
    <row r="56" spans="1:31" s="55" customFormat="1" x14ac:dyDescent="0.25">
      <c r="A56" s="52"/>
      <c r="B56" s="52"/>
      <c r="C56" s="52"/>
      <c r="D56" s="52"/>
      <c r="E56" s="52" t="str">
        <f t="shared" si="0"/>
        <v>PROG</v>
      </c>
      <c r="F56" s="52"/>
      <c r="G56" s="52" t="str">
        <f t="shared" si="1"/>
        <v>P</v>
      </c>
      <c r="H56" s="52"/>
      <c r="I56" s="52"/>
      <c r="J56" s="52" t="str">
        <f t="shared" si="3"/>
        <v>ELEM</v>
      </c>
      <c r="K56" s="52"/>
      <c r="L56" s="87"/>
      <c r="M56" s="52" t="e">
        <v>#N/A</v>
      </c>
      <c r="N56" s="52"/>
      <c r="O56" s="52"/>
      <c r="P56" s="52"/>
      <c r="Q56" s="52"/>
      <c r="R56" s="52"/>
      <c r="S56" s="52"/>
      <c r="T56" s="52"/>
      <c r="U56" s="52"/>
      <c r="V56" s="52"/>
      <c r="W56" s="53"/>
      <c r="X56" s="23"/>
      <c r="Y56" s="52"/>
      <c r="Z56" s="52"/>
      <c r="AA56" s="52"/>
      <c r="AB56" s="52"/>
      <c r="AC56" s="52"/>
      <c r="AD56" s="52"/>
      <c r="AE56" s="52"/>
    </row>
    <row r="57" spans="1:31" s="55" customFormat="1" x14ac:dyDescent="0.25">
      <c r="A57" s="52"/>
      <c r="B57" s="52"/>
      <c r="C57" s="52"/>
      <c r="D57" s="52"/>
      <c r="E57" s="52" t="str">
        <f t="shared" si="0"/>
        <v>PROG</v>
      </c>
      <c r="F57" s="52"/>
      <c r="G57" s="52" t="str">
        <f t="shared" si="1"/>
        <v>P</v>
      </c>
      <c r="H57" s="52"/>
      <c r="I57" s="52"/>
      <c r="J57" s="52" t="str">
        <f t="shared" si="3"/>
        <v>ELEM</v>
      </c>
      <c r="K57" s="52"/>
      <c r="L57" s="87"/>
      <c r="M57" s="52" t="e">
        <v>#N/A</v>
      </c>
      <c r="N57" s="52"/>
      <c r="O57" s="52"/>
      <c r="P57" s="52"/>
      <c r="Q57" s="52"/>
      <c r="R57" s="52"/>
      <c r="S57" s="52"/>
      <c r="T57" s="52"/>
      <c r="U57" s="52"/>
      <c r="V57" s="52"/>
      <c r="W57" s="53"/>
      <c r="X57" s="23"/>
      <c r="Y57" s="52"/>
      <c r="Z57" s="52"/>
      <c r="AA57" s="52"/>
      <c r="AB57" s="52"/>
      <c r="AC57" s="52"/>
      <c r="AD57" s="52"/>
      <c r="AE57" s="52"/>
    </row>
    <row r="58" spans="1:31" s="55" customFormat="1" x14ac:dyDescent="0.25">
      <c r="A58" s="52"/>
      <c r="B58" s="52"/>
      <c r="C58" s="52"/>
      <c r="D58" s="52"/>
      <c r="E58" s="52" t="str">
        <f t="shared" si="0"/>
        <v>PROG</v>
      </c>
      <c r="F58" s="52"/>
      <c r="G58" s="52" t="str">
        <f t="shared" si="1"/>
        <v>P</v>
      </c>
      <c r="H58" s="52"/>
      <c r="I58" s="52"/>
      <c r="J58" s="52" t="str">
        <f t="shared" si="3"/>
        <v>ELEM</v>
      </c>
      <c r="K58" s="52"/>
      <c r="L58" s="87"/>
      <c r="M58" s="52" t="e">
        <v>#N/A</v>
      </c>
      <c r="N58" s="52"/>
      <c r="O58" s="52"/>
      <c r="P58" s="52"/>
      <c r="Q58" s="52"/>
      <c r="R58" s="52"/>
      <c r="S58" s="52"/>
      <c r="T58" s="52"/>
      <c r="U58" s="52"/>
      <c r="V58" s="52"/>
      <c r="W58" s="53"/>
      <c r="X58" s="23"/>
      <c r="Y58" s="52"/>
      <c r="Z58" s="52"/>
      <c r="AA58" s="52"/>
      <c r="AB58" s="52"/>
      <c r="AC58" s="52"/>
      <c r="AD58" s="52"/>
      <c r="AE58" s="52"/>
    </row>
    <row r="59" spans="1:31" s="55" customFormat="1" x14ac:dyDescent="0.25">
      <c r="A59" s="52"/>
      <c r="B59" s="52"/>
      <c r="C59" s="52"/>
      <c r="D59" s="52"/>
      <c r="E59" s="52" t="str">
        <f t="shared" si="0"/>
        <v>PROG</v>
      </c>
      <c r="F59" s="52"/>
      <c r="G59" s="52" t="str">
        <f t="shared" si="1"/>
        <v>P</v>
      </c>
      <c r="H59" s="52"/>
      <c r="I59" s="52"/>
      <c r="J59" s="52" t="str">
        <f t="shared" si="3"/>
        <v>ELEM</v>
      </c>
      <c r="K59" s="52"/>
      <c r="L59" s="87"/>
      <c r="M59" s="52" t="e">
        <v>#N/A</v>
      </c>
      <c r="N59" s="52"/>
      <c r="O59" s="52"/>
      <c r="P59" s="52"/>
      <c r="Q59" s="52"/>
      <c r="R59" s="52"/>
      <c r="S59" s="52"/>
      <c r="T59" s="52"/>
      <c r="U59" s="52"/>
      <c r="V59" s="52"/>
      <c r="W59" s="53"/>
      <c r="X59" s="23"/>
      <c r="Y59" s="52"/>
      <c r="Z59" s="52"/>
      <c r="AA59" s="52"/>
      <c r="AB59" s="52"/>
      <c r="AC59" s="52"/>
      <c r="AD59" s="52"/>
      <c r="AE59" s="52"/>
    </row>
    <row r="60" spans="1:31" s="55" customFormat="1" x14ac:dyDescent="0.25">
      <c r="A60" s="52"/>
      <c r="B60" s="52"/>
      <c r="C60" s="52"/>
      <c r="D60" s="52"/>
      <c r="E60" s="52" t="str">
        <f t="shared" si="0"/>
        <v>PROG</v>
      </c>
      <c r="F60" s="52"/>
      <c r="G60" s="52" t="str">
        <f t="shared" si="1"/>
        <v>P</v>
      </c>
      <c r="H60" s="52"/>
      <c r="I60" s="52"/>
      <c r="J60" s="52" t="str">
        <f t="shared" si="3"/>
        <v>ELEM</v>
      </c>
      <c r="K60" s="52"/>
      <c r="L60" s="87"/>
      <c r="M60" s="52" t="e">
        <v>#N/A</v>
      </c>
      <c r="N60" s="52"/>
      <c r="O60" s="52"/>
      <c r="P60" s="52"/>
      <c r="Q60" s="52"/>
      <c r="R60" s="52"/>
      <c r="S60" s="52"/>
      <c r="T60" s="52"/>
      <c r="U60" s="52"/>
      <c r="V60" s="52"/>
      <c r="W60" s="53"/>
      <c r="X60" s="23"/>
      <c r="Y60" s="52"/>
      <c r="Z60" s="52"/>
      <c r="AA60" s="52"/>
      <c r="AB60" s="52"/>
      <c r="AC60" s="52"/>
      <c r="AD60" s="52"/>
      <c r="AE60" s="52"/>
    </row>
    <row r="61" spans="1:31" s="55" customFormat="1" x14ac:dyDescent="0.25">
      <c r="A61" s="52"/>
      <c r="B61" s="52"/>
      <c r="C61" s="52"/>
      <c r="D61" s="52"/>
      <c r="E61" s="52" t="str">
        <f t="shared" si="0"/>
        <v>PROG</v>
      </c>
      <c r="F61" s="52"/>
      <c r="G61" s="52" t="str">
        <f t="shared" si="1"/>
        <v>P</v>
      </c>
      <c r="H61" s="52"/>
      <c r="I61" s="52"/>
      <c r="J61" s="52" t="str">
        <f t="shared" si="3"/>
        <v>ELEM</v>
      </c>
      <c r="K61" s="52"/>
      <c r="L61" s="87"/>
      <c r="M61" s="52" t="e">
        <v>#N/A</v>
      </c>
      <c r="N61" s="52"/>
      <c r="O61" s="52"/>
      <c r="P61" s="52"/>
      <c r="Q61" s="52"/>
      <c r="R61" s="52"/>
      <c r="S61" s="52"/>
      <c r="T61" s="52"/>
      <c r="U61" s="52"/>
      <c r="V61" s="52"/>
      <c r="W61" s="53"/>
      <c r="X61" s="23"/>
      <c r="Y61" s="52"/>
      <c r="Z61" s="52"/>
      <c r="AA61" s="52"/>
      <c r="AB61" s="52"/>
      <c r="AC61" s="52"/>
      <c r="AD61" s="52"/>
      <c r="AE61" s="52"/>
    </row>
    <row r="62" spans="1:31" s="55" customFormat="1" x14ac:dyDescent="0.25">
      <c r="A62" s="52"/>
      <c r="B62" s="52"/>
      <c r="C62" s="52"/>
      <c r="D62" s="52"/>
      <c r="E62" s="52" t="str">
        <f t="shared" si="0"/>
        <v>PROG</v>
      </c>
      <c r="F62" s="52"/>
      <c r="G62" s="52" t="str">
        <f t="shared" si="1"/>
        <v>P</v>
      </c>
      <c r="H62" s="52"/>
      <c r="I62" s="52"/>
      <c r="J62" s="52" t="str">
        <f t="shared" si="3"/>
        <v>ELEM</v>
      </c>
      <c r="K62" s="52"/>
      <c r="L62" s="87"/>
      <c r="M62" s="52" t="e">
        <v>#N/A</v>
      </c>
      <c r="N62" s="52"/>
      <c r="O62" s="52"/>
      <c r="P62" s="52"/>
      <c r="Q62" s="52"/>
      <c r="R62" s="52"/>
      <c r="S62" s="52"/>
      <c r="T62" s="52"/>
      <c r="U62" s="52"/>
      <c r="V62" s="52"/>
      <c r="W62" s="53"/>
      <c r="X62" s="23"/>
      <c r="Y62" s="52"/>
      <c r="Z62" s="52"/>
      <c r="AA62" s="52"/>
      <c r="AB62" s="52"/>
      <c r="AC62" s="52"/>
      <c r="AD62" s="52"/>
      <c r="AE62" s="52"/>
    </row>
    <row r="63" spans="1:31" s="55" customFormat="1" x14ac:dyDescent="0.25">
      <c r="A63" s="52"/>
      <c r="B63" s="52"/>
      <c r="C63" s="52"/>
      <c r="D63" s="52"/>
      <c r="E63" s="52" t="str">
        <f t="shared" si="0"/>
        <v>PROG</v>
      </c>
      <c r="F63" s="52"/>
      <c r="G63" s="52" t="str">
        <f t="shared" si="1"/>
        <v>P</v>
      </c>
      <c r="H63" s="52"/>
      <c r="I63" s="52"/>
      <c r="J63" s="52" t="str">
        <f t="shared" si="3"/>
        <v>ELEM</v>
      </c>
      <c r="K63" s="52"/>
      <c r="L63" s="87"/>
      <c r="M63" s="52" t="e">
        <v>#N/A</v>
      </c>
      <c r="N63" s="52"/>
      <c r="O63" s="52"/>
      <c r="P63" s="52"/>
      <c r="Q63" s="52"/>
      <c r="R63" s="52"/>
      <c r="S63" s="52"/>
      <c r="T63" s="52"/>
      <c r="U63" s="52"/>
      <c r="V63" s="52"/>
      <c r="W63" s="53"/>
      <c r="X63" s="23"/>
      <c r="Y63" s="52"/>
      <c r="Z63" s="52"/>
      <c r="AA63" s="52"/>
      <c r="AB63" s="52"/>
      <c r="AC63" s="52"/>
      <c r="AD63" s="52"/>
      <c r="AE63" s="52"/>
    </row>
    <row r="64" spans="1:31" s="55" customFormat="1" x14ac:dyDescent="0.25">
      <c r="A64" s="52"/>
      <c r="B64" s="52"/>
      <c r="C64" s="52"/>
      <c r="D64" s="52"/>
      <c r="E64" s="52" t="str">
        <f t="shared" si="0"/>
        <v>PROG</v>
      </c>
      <c r="F64" s="52"/>
      <c r="G64" s="52" t="str">
        <f t="shared" si="1"/>
        <v>P</v>
      </c>
      <c r="H64" s="52"/>
      <c r="I64" s="52"/>
      <c r="J64" s="52" t="str">
        <f t="shared" si="3"/>
        <v>ELEM</v>
      </c>
      <c r="K64" s="52"/>
      <c r="L64" s="87"/>
      <c r="M64" s="52" t="e">
        <v>#N/A</v>
      </c>
      <c r="N64" s="52"/>
      <c r="O64" s="52"/>
      <c r="P64" s="52"/>
      <c r="Q64" s="52"/>
      <c r="R64" s="52"/>
      <c r="S64" s="52"/>
      <c r="T64" s="52"/>
      <c r="U64" s="52"/>
      <c r="V64" s="52"/>
      <c r="W64" s="53"/>
      <c r="X64" s="23"/>
      <c r="Y64" s="52"/>
      <c r="Z64" s="52"/>
      <c r="AA64" s="52"/>
      <c r="AB64" s="52"/>
      <c r="AC64" s="52"/>
      <c r="AD64" s="52"/>
      <c r="AE64" s="52"/>
    </row>
    <row r="65" spans="1:31" s="55" customFormat="1" x14ac:dyDescent="0.25">
      <c r="A65" s="52"/>
      <c r="B65" s="52"/>
      <c r="C65" s="52"/>
      <c r="D65" s="52"/>
      <c r="E65" s="52" t="str">
        <f t="shared" si="0"/>
        <v>PROG</v>
      </c>
      <c r="F65" s="52"/>
      <c r="G65" s="52" t="str">
        <f t="shared" si="1"/>
        <v>P</v>
      </c>
      <c r="H65" s="52"/>
      <c r="I65" s="52"/>
      <c r="J65" s="52" t="str">
        <f t="shared" si="3"/>
        <v>ELEM</v>
      </c>
      <c r="K65" s="52"/>
      <c r="L65" s="87"/>
      <c r="M65" s="52" t="e">
        <v>#N/A</v>
      </c>
      <c r="N65" s="52"/>
      <c r="O65" s="52"/>
      <c r="P65" s="52"/>
      <c r="Q65" s="52"/>
      <c r="R65" s="52"/>
      <c r="S65" s="52"/>
      <c r="T65" s="52"/>
      <c r="U65" s="52"/>
      <c r="V65" s="52"/>
      <c r="W65" s="53"/>
      <c r="X65" s="23"/>
      <c r="Y65" s="52"/>
      <c r="Z65" s="52"/>
      <c r="AA65" s="52"/>
      <c r="AB65" s="52"/>
      <c r="AC65" s="52"/>
      <c r="AD65" s="52"/>
      <c r="AE65" s="52"/>
    </row>
    <row r="66" spans="1:31" s="55" customFormat="1" x14ac:dyDescent="0.25">
      <c r="A66" s="52"/>
      <c r="B66" s="52"/>
      <c r="C66" s="52"/>
      <c r="D66" s="52"/>
      <c r="E66" s="52" t="str">
        <f t="shared" si="0"/>
        <v>PROG</v>
      </c>
      <c r="F66" s="52"/>
      <c r="G66" s="52" t="str">
        <f t="shared" si="1"/>
        <v>P</v>
      </c>
      <c r="H66" s="52"/>
      <c r="I66" s="52"/>
      <c r="J66" s="52" t="str">
        <f t="shared" si="3"/>
        <v>ELEM</v>
      </c>
      <c r="K66" s="52"/>
      <c r="L66" s="87"/>
      <c r="M66" s="52" t="e">
        <v>#N/A</v>
      </c>
      <c r="N66" s="52"/>
      <c r="O66" s="52"/>
      <c r="P66" s="52"/>
      <c r="Q66" s="52"/>
      <c r="R66" s="52"/>
      <c r="S66" s="52"/>
      <c r="T66" s="52"/>
      <c r="U66" s="52"/>
      <c r="V66" s="52"/>
      <c r="W66" s="53"/>
      <c r="X66" s="23"/>
      <c r="Y66" s="52"/>
      <c r="Z66" s="52"/>
      <c r="AA66" s="52"/>
      <c r="AB66" s="52"/>
      <c r="AC66" s="52"/>
      <c r="AD66" s="52"/>
      <c r="AE66" s="52"/>
    </row>
    <row r="67" spans="1:31" s="55" customFormat="1" x14ac:dyDescent="0.25">
      <c r="A67" s="52"/>
      <c r="B67" s="52"/>
      <c r="C67" s="52"/>
      <c r="D67" s="52"/>
      <c r="E67" s="52" t="str">
        <f t="shared" ref="E67:E130" si="4">CONCATENATE(A67,"PROG")</f>
        <v>PROG</v>
      </c>
      <c r="F67" s="52"/>
      <c r="G67" s="52" t="str">
        <f t="shared" ref="G67:G130" si="5">CONCATENATE("P",(LEFT(F67,3)),A67)</f>
        <v>P</v>
      </c>
      <c r="H67" s="52"/>
      <c r="I67" s="52"/>
      <c r="J67" s="52" t="str">
        <f t="shared" ref="J67:J130" si="6">CONCATENATE("ELEM",LEFT(I67,2))</f>
        <v>ELEM</v>
      </c>
      <c r="K67" s="52"/>
      <c r="L67" s="87"/>
      <c r="M67" s="52" t="e">
        <v>#N/A</v>
      </c>
      <c r="N67" s="52"/>
      <c r="O67" s="52"/>
      <c r="P67" s="52"/>
      <c r="Q67" s="52"/>
      <c r="R67" s="52"/>
      <c r="S67" s="52"/>
      <c r="T67" s="52"/>
      <c r="U67" s="52"/>
      <c r="V67" s="52"/>
      <c r="W67" s="53"/>
      <c r="X67" s="23"/>
      <c r="Y67" s="52"/>
      <c r="Z67" s="52"/>
      <c r="AA67" s="52"/>
      <c r="AB67" s="52"/>
      <c r="AC67" s="52"/>
      <c r="AD67" s="52"/>
      <c r="AE67" s="52"/>
    </row>
    <row r="68" spans="1:31" s="55" customFormat="1" x14ac:dyDescent="0.25">
      <c r="A68" s="52"/>
      <c r="B68" s="52"/>
      <c r="C68" s="52"/>
      <c r="D68" s="52"/>
      <c r="E68" s="52" t="str">
        <f t="shared" si="4"/>
        <v>PROG</v>
      </c>
      <c r="F68" s="52"/>
      <c r="G68" s="52" t="str">
        <f t="shared" si="5"/>
        <v>P</v>
      </c>
      <c r="H68" s="52"/>
      <c r="I68" s="52"/>
      <c r="J68" s="52" t="str">
        <f t="shared" si="6"/>
        <v>ELEM</v>
      </c>
      <c r="K68" s="52"/>
      <c r="L68" s="87"/>
      <c r="M68" s="52" t="e">
        <v>#N/A</v>
      </c>
      <c r="N68" s="52"/>
      <c r="O68" s="52"/>
      <c r="P68" s="52"/>
      <c r="Q68" s="52"/>
      <c r="R68" s="52"/>
      <c r="S68" s="52"/>
      <c r="T68" s="52"/>
      <c r="U68" s="52"/>
      <c r="V68" s="52"/>
      <c r="W68" s="53"/>
      <c r="X68" s="23"/>
      <c r="Y68" s="52"/>
      <c r="Z68" s="52"/>
      <c r="AA68" s="52"/>
      <c r="AB68" s="52"/>
      <c r="AC68" s="52"/>
      <c r="AD68" s="52"/>
      <c r="AE68" s="52"/>
    </row>
    <row r="69" spans="1:31" s="55" customFormat="1" x14ac:dyDescent="0.25">
      <c r="A69" s="52"/>
      <c r="B69" s="52"/>
      <c r="C69" s="52"/>
      <c r="D69" s="52"/>
      <c r="E69" s="52" t="str">
        <f t="shared" si="4"/>
        <v>PROG</v>
      </c>
      <c r="F69" s="52"/>
      <c r="G69" s="52" t="str">
        <f t="shared" si="5"/>
        <v>P</v>
      </c>
      <c r="H69" s="52"/>
      <c r="I69" s="52"/>
      <c r="J69" s="52" t="str">
        <f t="shared" si="6"/>
        <v>ELEM</v>
      </c>
      <c r="K69" s="52"/>
      <c r="L69" s="87"/>
      <c r="M69" s="52" t="e">
        <v>#N/A</v>
      </c>
      <c r="N69" s="52"/>
      <c r="O69" s="52"/>
      <c r="P69" s="52"/>
      <c r="Q69" s="52"/>
      <c r="R69" s="52"/>
      <c r="S69" s="52"/>
      <c r="T69" s="52"/>
      <c r="U69" s="52"/>
      <c r="V69" s="52"/>
      <c r="W69" s="53"/>
      <c r="X69" s="23"/>
      <c r="Y69" s="52"/>
      <c r="Z69" s="52"/>
      <c r="AA69" s="52"/>
      <c r="AB69" s="52"/>
      <c r="AC69" s="52"/>
      <c r="AD69" s="52"/>
      <c r="AE69" s="52"/>
    </row>
    <row r="70" spans="1:31" s="55" customFormat="1" x14ac:dyDescent="0.25">
      <c r="A70" s="52"/>
      <c r="B70" s="52"/>
      <c r="C70" s="52"/>
      <c r="D70" s="52"/>
      <c r="E70" s="52" t="str">
        <f t="shared" si="4"/>
        <v>PROG</v>
      </c>
      <c r="F70" s="52"/>
      <c r="G70" s="52" t="str">
        <f t="shared" si="5"/>
        <v>P</v>
      </c>
      <c r="H70" s="52"/>
      <c r="I70" s="52"/>
      <c r="J70" s="52" t="str">
        <f t="shared" si="6"/>
        <v>ELEM</v>
      </c>
      <c r="K70" s="52"/>
      <c r="L70" s="87"/>
      <c r="M70" s="52" t="e">
        <v>#N/A</v>
      </c>
      <c r="N70" s="52"/>
      <c r="O70" s="52"/>
      <c r="P70" s="52"/>
      <c r="Q70" s="52"/>
      <c r="R70" s="52"/>
      <c r="S70" s="52"/>
      <c r="T70" s="52"/>
      <c r="U70" s="52"/>
      <c r="V70" s="52"/>
      <c r="W70" s="53"/>
      <c r="X70" s="23"/>
      <c r="Y70" s="52"/>
      <c r="Z70" s="52"/>
      <c r="AA70" s="52"/>
      <c r="AB70" s="52"/>
      <c r="AC70" s="52"/>
      <c r="AD70" s="52"/>
      <c r="AE70" s="52"/>
    </row>
    <row r="71" spans="1:31" s="55" customFormat="1" x14ac:dyDescent="0.25">
      <c r="A71" s="52"/>
      <c r="B71" s="52"/>
      <c r="C71" s="52"/>
      <c r="D71" s="52"/>
      <c r="E71" s="52" t="str">
        <f t="shared" si="4"/>
        <v>PROG</v>
      </c>
      <c r="F71" s="52"/>
      <c r="G71" s="52" t="str">
        <f t="shared" si="5"/>
        <v>P</v>
      </c>
      <c r="H71" s="52"/>
      <c r="I71" s="52"/>
      <c r="J71" s="52" t="str">
        <f t="shared" si="6"/>
        <v>ELEM</v>
      </c>
      <c r="K71" s="52"/>
      <c r="L71" s="87"/>
      <c r="M71" s="52" t="e">
        <v>#N/A</v>
      </c>
      <c r="N71" s="52"/>
      <c r="O71" s="52"/>
      <c r="P71" s="52"/>
      <c r="Q71" s="52"/>
      <c r="R71" s="52"/>
      <c r="S71" s="52"/>
      <c r="T71" s="52"/>
      <c r="U71" s="52"/>
      <c r="V71" s="52"/>
      <c r="W71" s="53"/>
      <c r="X71" s="23"/>
      <c r="Y71" s="52"/>
      <c r="Z71" s="52"/>
      <c r="AA71" s="52"/>
      <c r="AB71" s="52"/>
      <c r="AC71" s="52"/>
      <c r="AD71" s="52"/>
      <c r="AE71" s="52"/>
    </row>
    <row r="72" spans="1:31" s="55" customFormat="1" x14ac:dyDescent="0.25">
      <c r="A72" s="52"/>
      <c r="B72" s="52"/>
      <c r="C72" s="52"/>
      <c r="D72" s="52"/>
      <c r="E72" s="52" t="str">
        <f t="shared" si="4"/>
        <v>PROG</v>
      </c>
      <c r="F72" s="52"/>
      <c r="G72" s="52" t="str">
        <f t="shared" si="5"/>
        <v>P</v>
      </c>
      <c r="H72" s="52"/>
      <c r="I72" s="52"/>
      <c r="J72" s="52" t="str">
        <f t="shared" si="6"/>
        <v>ELEM</v>
      </c>
      <c r="K72" s="52"/>
      <c r="L72" s="87"/>
      <c r="M72" s="52" t="e">
        <v>#N/A</v>
      </c>
      <c r="N72" s="52"/>
      <c r="O72" s="52"/>
      <c r="P72" s="52"/>
      <c r="Q72" s="52"/>
      <c r="R72" s="52"/>
      <c r="S72" s="52"/>
      <c r="T72" s="52"/>
      <c r="U72" s="52"/>
      <c r="V72" s="52"/>
      <c r="W72" s="53"/>
      <c r="X72" s="23"/>
      <c r="Y72" s="52"/>
      <c r="Z72" s="52"/>
      <c r="AA72" s="52"/>
      <c r="AB72" s="52"/>
      <c r="AC72" s="52"/>
      <c r="AD72" s="52"/>
      <c r="AE72" s="52"/>
    </row>
    <row r="73" spans="1:31" s="55" customFormat="1" x14ac:dyDescent="0.25">
      <c r="A73" s="52"/>
      <c r="B73" s="52"/>
      <c r="C73" s="52"/>
      <c r="D73" s="52"/>
      <c r="E73" s="52" t="str">
        <f t="shared" si="4"/>
        <v>PROG</v>
      </c>
      <c r="F73" s="52"/>
      <c r="G73" s="52" t="str">
        <f t="shared" si="5"/>
        <v>P</v>
      </c>
      <c r="H73" s="52"/>
      <c r="I73" s="52"/>
      <c r="J73" s="52" t="str">
        <f t="shared" si="6"/>
        <v>ELEM</v>
      </c>
      <c r="K73" s="52"/>
      <c r="L73" s="87"/>
      <c r="M73" s="52" t="e">
        <v>#N/A</v>
      </c>
      <c r="N73" s="52"/>
      <c r="O73" s="52"/>
      <c r="P73" s="52"/>
      <c r="Q73" s="52"/>
      <c r="R73" s="52"/>
      <c r="S73" s="52"/>
      <c r="T73" s="52"/>
      <c r="U73" s="52"/>
      <c r="V73" s="52"/>
      <c r="W73" s="53"/>
      <c r="X73" s="23"/>
      <c r="Y73" s="52"/>
      <c r="Z73" s="52"/>
      <c r="AA73" s="52"/>
      <c r="AB73" s="52"/>
      <c r="AC73" s="52"/>
      <c r="AD73" s="52"/>
      <c r="AE73" s="52"/>
    </row>
    <row r="74" spans="1:31" s="55" customFormat="1" x14ac:dyDescent="0.25">
      <c r="A74" s="52"/>
      <c r="B74" s="52"/>
      <c r="C74" s="52"/>
      <c r="D74" s="52"/>
      <c r="E74" s="52" t="str">
        <f t="shared" si="4"/>
        <v>PROG</v>
      </c>
      <c r="F74" s="52"/>
      <c r="G74" s="52" t="str">
        <f t="shared" si="5"/>
        <v>P</v>
      </c>
      <c r="H74" s="52"/>
      <c r="I74" s="52"/>
      <c r="J74" s="52" t="str">
        <f t="shared" si="6"/>
        <v>ELEM</v>
      </c>
      <c r="K74" s="52"/>
      <c r="L74" s="87"/>
      <c r="M74" s="52" t="e">
        <v>#N/A</v>
      </c>
      <c r="N74" s="52"/>
      <c r="O74" s="52"/>
      <c r="P74" s="52"/>
      <c r="Q74" s="52"/>
      <c r="R74" s="52"/>
      <c r="S74" s="52"/>
      <c r="T74" s="52"/>
      <c r="U74" s="52"/>
      <c r="V74" s="52"/>
      <c r="W74" s="53"/>
      <c r="X74" s="23"/>
      <c r="Y74" s="52"/>
      <c r="Z74" s="52"/>
      <c r="AA74" s="52"/>
      <c r="AB74" s="52"/>
      <c r="AC74" s="52"/>
      <c r="AD74" s="52"/>
      <c r="AE74" s="52"/>
    </row>
    <row r="75" spans="1:31" s="55" customFormat="1" x14ac:dyDescent="0.25">
      <c r="A75" s="52"/>
      <c r="B75" s="52"/>
      <c r="C75" s="52"/>
      <c r="D75" s="52"/>
      <c r="E75" s="52" t="str">
        <f t="shared" si="4"/>
        <v>PROG</v>
      </c>
      <c r="F75" s="52"/>
      <c r="G75" s="52" t="str">
        <f t="shared" si="5"/>
        <v>P</v>
      </c>
      <c r="H75" s="52"/>
      <c r="I75" s="52"/>
      <c r="J75" s="52" t="str">
        <f t="shared" si="6"/>
        <v>ELEM</v>
      </c>
      <c r="K75" s="52"/>
      <c r="L75" s="87"/>
      <c r="M75" s="52" t="e">
        <v>#N/A</v>
      </c>
      <c r="N75" s="52"/>
      <c r="O75" s="52"/>
      <c r="P75" s="52"/>
      <c r="Q75" s="52"/>
      <c r="R75" s="52"/>
      <c r="S75" s="52"/>
      <c r="T75" s="52"/>
      <c r="U75" s="52"/>
      <c r="V75" s="52"/>
      <c r="W75" s="53"/>
      <c r="X75" s="23"/>
      <c r="Y75" s="52"/>
      <c r="Z75" s="52"/>
      <c r="AA75" s="52"/>
      <c r="AB75" s="52"/>
      <c r="AC75" s="52"/>
      <c r="AD75" s="52"/>
      <c r="AE75" s="52"/>
    </row>
    <row r="76" spans="1:31" s="55" customFormat="1" x14ac:dyDescent="0.25">
      <c r="A76" s="52"/>
      <c r="B76" s="52"/>
      <c r="C76" s="52"/>
      <c r="D76" s="52"/>
      <c r="E76" s="52" t="str">
        <f t="shared" si="4"/>
        <v>PROG</v>
      </c>
      <c r="F76" s="52"/>
      <c r="G76" s="52" t="str">
        <f t="shared" si="5"/>
        <v>P</v>
      </c>
      <c r="H76" s="52"/>
      <c r="I76" s="52"/>
      <c r="J76" s="52" t="str">
        <f t="shared" si="6"/>
        <v>ELEM</v>
      </c>
      <c r="K76" s="52"/>
      <c r="L76" s="87"/>
      <c r="M76" s="52" t="e">
        <v>#N/A</v>
      </c>
      <c r="N76" s="52"/>
      <c r="O76" s="52"/>
      <c r="P76" s="52"/>
      <c r="Q76" s="52"/>
      <c r="R76" s="52"/>
      <c r="S76" s="52"/>
      <c r="T76" s="52"/>
      <c r="U76" s="52"/>
      <c r="V76" s="52"/>
      <c r="W76" s="53"/>
      <c r="X76" s="23"/>
      <c r="Y76" s="52"/>
      <c r="Z76" s="52"/>
      <c r="AA76" s="52"/>
      <c r="AB76" s="52"/>
      <c r="AC76" s="52"/>
      <c r="AD76" s="52"/>
      <c r="AE76" s="52"/>
    </row>
    <row r="77" spans="1:31" s="55" customFormat="1" x14ac:dyDescent="0.25">
      <c r="A77" s="52"/>
      <c r="B77" s="52"/>
      <c r="C77" s="52"/>
      <c r="D77" s="52"/>
      <c r="E77" s="52" t="str">
        <f t="shared" si="4"/>
        <v>PROG</v>
      </c>
      <c r="F77" s="52"/>
      <c r="G77" s="52" t="str">
        <f t="shared" si="5"/>
        <v>P</v>
      </c>
      <c r="H77" s="52"/>
      <c r="I77" s="52"/>
      <c r="J77" s="52" t="str">
        <f t="shared" si="6"/>
        <v>ELEM</v>
      </c>
      <c r="K77" s="52"/>
      <c r="L77" s="87"/>
      <c r="M77" s="52" t="e">
        <v>#N/A</v>
      </c>
      <c r="N77" s="52"/>
      <c r="O77" s="52"/>
      <c r="P77" s="52"/>
      <c r="Q77" s="52"/>
      <c r="R77" s="52"/>
      <c r="S77" s="52"/>
      <c r="T77" s="52"/>
      <c r="U77" s="52"/>
      <c r="V77" s="52"/>
      <c r="W77" s="53"/>
      <c r="X77" s="23"/>
      <c r="Y77" s="52"/>
      <c r="Z77" s="52"/>
      <c r="AA77" s="52"/>
      <c r="AB77" s="52"/>
      <c r="AC77" s="52"/>
      <c r="AD77" s="52"/>
      <c r="AE77" s="52"/>
    </row>
    <row r="78" spans="1:31" s="55" customFormat="1" x14ac:dyDescent="0.25">
      <c r="A78" s="52"/>
      <c r="B78" s="52"/>
      <c r="C78" s="52"/>
      <c r="D78" s="52"/>
      <c r="E78" s="52" t="str">
        <f t="shared" si="4"/>
        <v>PROG</v>
      </c>
      <c r="F78" s="52"/>
      <c r="G78" s="52" t="str">
        <f t="shared" si="5"/>
        <v>P</v>
      </c>
      <c r="H78" s="52"/>
      <c r="I78" s="52"/>
      <c r="J78" s="52" t="str">
        <f t="shared" si="6"/>
        <v>ELEM</v>
      </c>
      <c r="K78" s="52"/>
      <c r="L78" s="87"/>
      <c r="M78" s="52" t="e">
        <v>#N/A</v>
      </c>
      <c r="N78" s="52"/>
      <c r="O78" s="52"/>
      <c r="P78" s="52"/>
      <c r="Q78" s="52"/>
      <c r="R78" s="52"/>
      <c r="S78" s="52"/>
      <c r="T78" s="52"/>
      <c r="U78" s="52"/>
      <c r="V78" s="52"/>
      <c r="W78" s="53"/>
      <c r="X78" s="23"/>
      <c r="Y78" s="52"/>
      <c r="Z78" s="52"/>
      <c r="AA78" s="52"/>
      <c r="AB78" s="52"/>
      <c r="AC78" s="52"/>
      <c r="AD78" s="52"/>
      <c r="AE78" s="52"/>
    </row>
    <row r="79" spans="1:31" s="55" customFormat="1" x14ac:dyDescent="0.25">
      <c r="A79" s="52"/>
      <c r="B79" s="52"/>
      <c r="C79" s="52"/>
      <c r="D79" s="52"/>
      <c r="E79" s="52" t="str">
        <f t="shared" si="4"/>
        <v>PROG</v>
      </c>
      <c r="F79" s="52"/>
      <c r="G79" s="52" t="str">
        <f t="shared" si="5"/>
        <v>P</v>
      </c>
      <c r="H79" s="52"/>
      <c r="I79" s="52"/>
      <c r="J79" s="52" t="str">
        <f t="shared" si="6"/>
        <v>ELEM</v>
      </c>
      <c r="K79" s="52"/>
      <c r="L79" s="87"/>
      <c r="M79" s="52" t="e">
        <v>#N/A</v>
      </c>
      <c r="N79" s="52"/>
      <c r="O79" s="52"/>
      <c r="P79" s="52"/>
      <c r="Q79" s="52"/>
      <c r="R79" s="52"/>
      <c r="S79" s="52"/>
      <c r="T79" s="52"/>
      <c r="U79" s="52"/>
      <c r="V79" s="52"/>
      <c r="W79" s="53"/>
      <c r="X79" s="23"/>
      <c r="Y79" s="52"/>
      <c r="Z79" s="52"/>
      <c r="AA79" s="52"/>
      <c r="AB79" s="52"/>
      <c r="AC79" s="52"/>
      <c r="AD79" s="52"/>
      <c r="AE79" s="52"/>
    </row>
    <row r="80" spans="1:31" s="55" customFormat="1" x14ac:dyDescent="0.25">
      <c r="A80" s="52"/>
      <c r="B80" s="52"/>
      <c r="C80" s="52"/>
      <c r="D80" s="52"/>
      <c r="E80" s="52" t="str">
        <f t="shared" si="4"/>
        <v>PROG</v>
      </c>
      <c r="F80" s="52"/>
      <c r="G80" s="52" t="str">
        <f t="shared" si="5"/>
        <v>P</v>
      </c>
      <c r="H80" s="52"/>
      <c r="I80" s="52"/>
      <c r="J80" s="52" t="str">
        <f t="shared" si="6"/>
        <v>ELEM</v>
      </c>
      <c r="K80" s="52"/>
      <c r="L80" s="87"/>
      <c r="M80" s="52" t="e">
        <v>#N/A</v>
      </c>
      <c r="N80" s="52"/>
      <c r="O80" s="52"/>
      <c r="P80" s="52"/>
      <c r="Q80" s="52"/>
      <c r="R80" s="52"/>
      <c r="S80" s="52"/>
      <c r="T80" s="52"/>
      <c r="U80" s="52"/>
      <c r="V80" s="52"/>
      <c r="W80" s="53"/>
      <c r="X80" s="23"/>
      <c r="Y80" s="52"/>
      <c r="Z80" s="52"/>
      <c r="AA80" s="52"/>
      <c r="AB80" s="52"/>
      <c r="AC80" s="52"/>
      <c r="AD80" s="52"/>
      <c r="AE80" s="52"/>
    </row>
    <row r="81" spans="1:31" s="55" customFormat="1" x14ac:dyDescent="0.25">
      <c r="A81" s="52"/>
      <c r="B81" s="52"/>
      <c r="C81" s="52"/>
      <c r="D81" s="52"/>
      <c r="E81" s="52" t="str">
        <f t="shared" si="4"/>
        <v>PROG</v>
      </c>
      <c r="F81" s="52"/>
      <c r="G81" s="52" t="str">
        <f t="shared" si="5"/>
        <v>P</v>
      </c>
      <c r="H81" s="52"/>
      <c r="I81" s="52"/>
      <c r="J81" s="52" t="str">
        <f t="shared" si="6"/>
        <v>ELEM</v>
      </c>
      <c r="K81" s="52"/>
      <c r="L81" s="87"/>
      <c r="M81" s="52" t="e">
        <v>#N/A</v>
      </c>
      <c r="N81" s="52"/>
      <c r="O81" s="52"/>
      <c r="P81" s="52"/>
      <c r="Q81" s="52"/>
      <c r="R81" s="52"/>
      <c r="S81" s="52"/>
      <c r="T81" s="52"/>
      <c r="U81" s="52"/>
      <c r="V81" s="52"/>
      <c r="W81" s="53"/>
      <c r="X81" s="23"/>
      <c r="Y81" s="52"/>
      <c r="Z81" s="52"/>
      <c r="AA81" s="52"/>
      <c r="AB81" s="52"/>
      <c r="AC81" s="52"/>
      <c r="AD81" s="52"/>
      <c r="AE81" s="52"/>
    </row>
    <row r="82" spans="1:31" s="55" customFormat="1" x14ac:dyDescent="0.25">
      <c r="A82" s="52"/>
      <c r="B82" s="52"/>
      <c r="C82" s="52"/>
      <c r="D82" s="52"/>
      <c r="E82" s="52" t="str">
        <f t="shared" si="4"/>
        <v>PROG</v>
      </c>
      <c r="F82" s="52"/>
      <c r="G82" s="52" t="str">
        <f t="shared" si="5"/>
        <v>P</v>
      </c>
      <c r="H82" s="52"/>
      <c r="I82" s="52"/>
      <c r="J82" s="52" t="str">
        <f t="shared" si="6"/>
        <v>ELEM</v>
      </c>
      <c r="K82" s="52"/>
      <c r="L82" s="87"/>
      <c r="M82" s="52" t="e">
        <v>#N/A</v>
      </c>
      <c r="N82" s="52"/>
      <c r="O82" s="52"/>
      <c r="P82" s="52"/>
      <c r="Q82" s="52"/>
      <c r="R82" s="52"/>
      <c r="S82" s="52"/>
      <c r="T82" s="52"/>
      <c r="U82" s="52"/>
      <c r="V82" s="52"/>
      <c r="W82" s="53"/>
      <c r="X82" s="23"/>
      <c r="Y82" s="52"/>
      <c r="Z82" s="52"/>
      <c r="AA82" s="52"/>
      <c r="AB82" s="52"/>
      <c r="AC82" s="52"/>
      <c r="AD82" s="52"/>
      <c r="AE82" s="52"/>
    </row>
    <row r="83" spans="1:31" s="55" customFormat="1" x14ac:dyDescent="0.25">
      <c r="A83" s="52"/>
      <c r="B83" s="52"/>
      <c r="C83" s="52"/>
      <c r="D83" s="52"/>
      <c r="E83" s="52" t="str">
        <f t="shared" si="4"/>
        <v>PROG</v>
      </c>
      <c r="F83" s="52"/>
      <c r="G83" s="52" t="str">
        <f t="shared" si="5"/>
        <v>P</v>
      </c>
      <c r="H83" s="52"/>
      <c r="I83" s="52"/>
      <c r="J83" s="52" t="str">
        <f t="shared" si="6"/>
        <v>ELEM</v>
      </c>
      <c r="K83" s="52"/>
      <c r="L83" s="87"/>
      <c r="M83" s="52" t="e">
        <v>#N/A</v>
      </c>
      <c r="N83" s="52"/>
      <c r="O83" s="52"/>
      <c r="P83" s="52"/>
      <c r="Q83" s="52"/>
      <c r="R83" s="52"/>
      <c r="S83" s="52"/>
      <c r="T83" s="52"/>
      <c r="U83" s="52"/>
      <c r="V83" s="52"/>
      <c r="W83" s="53"/>
      <c r="X83" s="23"/>
      <c r="Y83" s="52"/>
      <c r="Z83" s="52"/>
      <c r="AA83" s="52"/>
      <c r="AB83" s="52"/>
      <c r="AC83" s="52"/>
      <c r="AD83" s="52"/>
      <c r="AE83" s="52"/>
    </row>
    <row r="84" spans="1:31" s="55" customFormat="1" x14ac:dyDescent="0.25">
      <c r="A84" s="52"/>
      <c r="B84" s="52"/>
      <c r="C84" s="52"/>
      <c r="D84" s="52"/>
      <c r="E84" s="52" t="str">
        <f t="shared" si="4"/>
        <v>PROG</v>
      </c>
      <c r="F84" s="52"/>
      <c r="G84" s="52" t="str">
        <f t="shared" si="5"/>
        <v>P</v>
      </c>
      <c r="H84" s="52"/>
      <c r="I84" s="52"/>
      <c r="J84" s="52" t="str">
        <f t="shared" si="6"/>
        <v>ELEM</v>
      </c>
      <c r="K84" s="52"/>
      <c r="L84" s="87"/>
      <c r="M84" s="52" t="e">
        <v>#N/A</v>
      </c>
      <c r="N84" s="52"/>
      <c r="O84" s="52"/>
      <c r="P84" s="52"/>
      <c r="Q84" s="52"/>
      <c r="R84" s="52"/>
      <c r="S84" s="52"/>
      <c r="T84" s="52"/>
      <c r="U84" s="52"/>
      <c r="V84" s="52"/>
      <c r="W84" s="53"/>
      <c r="X84" s="23"/>
      <c r="Y84" s="52"/>
      <c r="Z84" s="52"/>
      <c r="AA84" s="52"/>
      <c r="AB84" s="52"/>
      <c r="AC84" s="52"/>
      <c r="AD84" s="52"/>
      <c r="AE84" s="52"/>
    </row>
    <row r="85" spans="1:31" s="55" customFormat="1" x14ac:dyDescent="0.25">
      <c r="A85" s="52"/>
      <c r="B85" s="52"/>
      <c r="C85" s="52"/>
      <c r="D85" s="52"/>
      <c r="E85" s="52" t="str">
        <f t="shared" si="4"/>
        <v>PROG</v>
      </c>
      <c r="F85" s="52"/>
      <c r="G85" s="52" t="str">
        <f t="shared" si="5"/>
        <v>P</v>
      </c>
      <c r="H85" s="52"/>
      <c r="I85" s="52"/>
      <c r="J85" s="52" t="str">
        <f t="shared" si="6"/>
        <v>ELEM</v>
      </c>
      <c r="K85" s="52"/>
      <c r="L85" s="87"/>
      <c r="M85" s="52" t="e">
        <v>#N/A</v>
      </c>
      <c r="N85" s="52"/>
      <c r="O85" s="52"/>
      <c r="P85" s="52"/>
      <c r="Q85" s="52"/>
      <c r="R85" s="52"/>
      <c r="S85" s="52"/>
      <c r="T85" s="52"/>
      <c r="U85" s="52"/>
      <c r="V85" s="52"/>
      <c r="W85" s="53"/>
      <c r="X85" s="23"/>
      <c r="Y85" s="52"/>
      <c r="Z85" s="52"/>
      <c r="AA85" s="52"/>
      <c r="AB85" s="52"/>
      <c r="AC85" s="52"/>
      <c r="AD85" s="52"/>
      <c r="AE85" s="52"/>
    </row>
    <row r="86" spans="1:31" s="55" customFormat="1" x14ac:dyDescent="0.25">
      <c r="A86" s="52"/>
      <c r="B86" s="52"/>
      <c r="C86" s="52"/>
      <c r="D86" s="52"/>
      <c r="E86" s="52" t="str">
        <f t="shared" si="4"/>
        <v>PROG</v>
      </c>
      <c r="F86" s="52"/>
      <c r="G86" s="52" t="str">
        <f t="shared" si="5"/>
        <v>P</v>
      </c>
      <c r="H86" s="52"/>
      <c r="I86" s="52"/>
      <c r="J86" s="52" t="str">
        <f t="shared" si="6"/>
        <v>ELEM</v>
      </c>
      <c r="K86" s="52"/>
      <c r="L86" s="87"/>
      <c r="M86" s="52" t="e">
        <v>#N/A</v>
      </c>
      <c r="N86" s="52"/>
      <c r="O86" s="52"/>
      <c r="P86" s="52"/>
      <c r="Q86" s="52"/>
      <c r="R86" s="52"/>
      <c r="S86" s="52"/>
      <c r="T86" s="52"/>
      <c r="U86" s="52"/>
      <c r="V86" s="52"/>
      <c r="W86" s="53"/>
      <c r="X86" s="23"/>
      <c r="Y86" s="52"/>
      <c r="Z86" s="52"/>
      <c r="AA86" s="52"/>
      <c r="AB86" s="52"/>
      <c r="AC86" s="52"/>
      <c r="AD86" s="52"/>
      <c r="AE86" s="52"/>
    </row>
    <row r="87" spans="1:31" s="55" customFormat="1" x14ac:dyDescent="0.25">
      <c r="A87" s="52"/>
      <c r="B87" s="52"/>
      <c r="C87" s="52"/>
      <c r="D87" s="52"/>
      <c r="E87" s="52" t="str">
        <f t="shared" si="4"/>
        <v>PROG</v>
      </c>
      <c r="F87" s="52"/>
      <c r="G87" s="52" t="str">
        <f t="shared" si="5"/>
        <v>P</v>
      </c>
      <c r="H87" s="52"/>
      <c r="I87" s="52"/>
      <c r="J87" s="52" t="str">
        <f t="shared" si="6"/>
        <v>ELEM</v>
      </c>
      <c r="K87" s="52"/>
      <c r="L87" s="87"/>
      <c r="M87" s="52" t="e">
        <v>#N/A</v>
      </c>
      <c r="N87" s="52"/>
      <c r="O87" s="52"/>
      <c r="P87" s="52"/>
      <c r="Q87" s="52"/>
      <c r="R87" s="52"/>
      <c r="S87" s="52"/>
      <c r="T87" s="52"/>
      <c r="U87" s="52"/>
      <c r="V87" s="52"/>
      <c r="W87" s="53"/>
      <c r="X87" s="23"/>
      <c r="Y87" s="52"/>
      <c r="Z87" s="52"/>
      <c r="AA87" s="52"/>
      <c r="AB87" s="52"/>
      <c r="AC87" s="52"/>
      <c r="AD87" s="52"/>
      <c r="AE87" s="52"/>
    </row>
    <row r="88" spans="1:31" s="55" customFormat="1" x14ac:dyDescent="0.25">
      <c r="A88" s="52"/>
      <c r="B88" s="52"/>
      <c r="C88" s="52"/>
      <c r="D88" s="52"/>
      <c r="E88" s="52" t="str">
        <f t="shared" si="4"/>
        <v>PROG</v>
      </c>
      <c r="F88" s="52"/>
      <c r="G88" s="52" t="str">
        <f t="shared" si="5"/>
        <v>P</v>
      </c>
      <c r="H88" s="52"/>
      <c r="I88" s="52"/>
      <c r="J88" s="52" t="str">
        <f t="shared" si="6"/>
        <v>ELEM</v>
      </c>
      <c r="K88" s="52"/>
      <c r="L88" s="87"/>
      <c r="M88" s="52" t="e">
        <v>#N/A</v>
      </c>
      <c r="N88" s="52"/>
      <c r="O88" s="52"/>
      <c r="P88" s="52"/>
      <c r="Q88" s="52"/>
      <c r="R88" s="52"/>
      <c r="S88" s="52"/>
      <c r="T88" s="52"/>
      <c r="U88" s="52"/>
      <c r="V88" s="52"/>
      <c r="W88" s="53"/>
      <c r="X88" s="23"/>
      <c r="Y88" s="52"/>
      <c r="Z88" s="52"/>
      <c r="AA88" s="52"/>
      <c r="AB88" s="52"/>
      <c r="AC88" s="52"/>
      <c r="AD88" s="52"/>
      <c r="AE88" s="52"/>
    </row>
    <row r="89" spans="1:31" s="55" customFormat="1" x14ac:dyDescent="0.25">
      <c r="A89" s="52"/>
      <c r="B89" s="52"/>
      <c r="C89" s="52"/>
      <c r="D89" s="52"/>
      <c r="E89" s="52" t="str">
        <f t="shared" si="4"/>
        <v>PROG</v>
      </c>
      <c r="F89" s="52"/>
      <c r="G89" s="52" t="str">
        <f t="shared" si="5"/>
        <v>P</v>
      </c>
      <c r="H89" s="52"/>
      <c r="I89" s="52"/>
      <c r="J89" s="52" t="str">
        <f t="shared" si="6"/>
        <v>ELEM</v>
      </c>
      <c r="K89" s="52"/>
      <c r="L89" s="87"/>
      <c r="M89" s="52" t="e">
        <v>#N/A</v>
      </c>
      <c r="N89" s="52"/>
      <c r="O89" s="52"/>
      <c r="P89" s="52"/>
      <c r="Q89" s="52"/>
      <c r="R89" s="52"/>
      <c r="S89" s="52"/>
      <c r="T89" s="52"/>
      <c r="U89" s="52"/>
      <c r="V89" s="52"/>
      <c r="W89" s="53"/>
      <c r="X89" s="23"/>
      <c r="Y89" s="52"/>
      <c r="Z89" s="52"/>
      <c r="AA89" s="52"/>
      <c r="AB89" s="52"/>
      <c r="AC89" s="52"/>
      <c r="AD89" s="52"/>
      <c r="AE89" s="52"/>
    </row>
    <row r="90" spans="1:31" s="55" customFormat="1" x14ac:dyDescent="0.25">
      <c r="A90" s="52"/>
      <c r="B90" s="52"/>
      <c r="C90" s="52"/>
      <c r="D90" s="52"/>
      <c r="E90" s="52" t="str">
        <f t="shared" si="4"/>
        <v>PROG</v>
      </c>
      <c r="F90" s="52"/>
      <c r="G90" s="52" t="str">
        <f t="shared" si="5"/>
        <v>P</v>
      </c>
      <c r="H90" s="52"/>
      <c r="I90" s="52"/>
      <c r="J90" s="52" t="str">
        <f t="shared" si="6"/>
        <v>ELEM</v>
      </c>
      <c r="K90" s="52"/>
      <c r="L90" s="87"/>
      <c r="M90" s="52" t="e">
        <v>#N/A</v>
      </c>
      <c r="N90" s="52"/>
      <c r="O90" s="52"/>
      <c r="P90" s="52"/>
      <c r="Q90" s="52"/>
      <c r="R90" s="52"/>
      <c r="S90" s="52"/>
      <c r="T90" s="52"/>
      <c r="U90" s="52"/>
      <c r="V90" s="52"/>
      <c r="W90" s="53"/>
      <c r="X90" s="23"/>
      <c r="Y90" s="52"/>
      <c r="Z90" s="52"/>
      <c r="AA90" s="52"/>
      <c r="AB90" s="52"/>
      <c r="AC90" s="52"/>
      <c r="AD90" s="52"/>
      <c r="AE90" s="52"/>
    </row>
    <row r="91" spans="1:31" s="55" customFormat="1" x14ac:dyDescent="0.25">
      <c r="A91" s="52"/>
      <c r="B91" s="52"/>
      <c r="C91" s="52"/>
      <c r="D91" s="52"/>
      <c r="E91" s="52" t="str">
        <f t="shared" si="4"/>
        <v>PROG</v>
      </c>
      <c r="F91" s="52"/>
      <c r="G91" s="52" t="str">
        <f t="shared" si="5"/>
        <v>P</v>
      </c>
      <c r="H91" s="52"/>
      <c r="I91" s="52"/>
      <c r="J91" s="52" t="str">
        <f t="shared" si="6"/>
        <v>ELEM</v>
      </c>
      <c r="K91" s="52"/>
      <c r="L91" s="87"/>
      <c r="M91" s="52" t="e">
        <v>#N/A</v>
      </c>
      <c r="N91" s="52"/>
      <c r="O91" s="52"/>
      <c r="P91" s="52"/>
      <c r="Q91" s="52"/>
      <c r="R91" s="52"/>
      <c r="S91" s="52"/>
      <c r="T91" s="52"/>
      <c r="U91" s="52"/>
      <c r="V91" s="52"/>
      <c r="W91" s="53"/>
      <c r="X91" s="23"/>
      <c r="Y91" s="52"/>
      <c r="Z91" s="52"/>
      <c r="AA91" s="52"/>
      <c r="AB91" s="52"/>
      <c r="AC91" s="52"/>
      <c r="AD91" s="52"/>
      <c r="AE91" s="52"/>
    </row>
    <row r="92" spans="1:31" s="55" customFormat="1" x14ac:dyDescent="0.25">
      <c r="A92" s="52"/>
      <c r="B92" s="52"/>
      <c r="C92" s="52"/>
      <c r="D92" s="52"/>
      <c r="E92" s="52" t="str">
        <f t="shared" si="4"/>
        <v>PROG</v>
      </c>
      <c r="F92" s="52"/>
      <c r="G92" s="52" t="str">
        <f t="shared" si="5"/>
        <v>P</v>
      </c>
      <c r="H92" s="52"/>
      <c r="I92" s="52"/>
      <c r="J92" s="52" t="str">
        <f t="shared" si="6"/>
        <v>ELEM</v>
      </c>
      <c r="K92" s="52"/>
      <c r="L92" s="87"/>
      <c r="M92" s="52" t="e">
        <v>#N/A</v>
      </c>
      <c r="N92" s="52"/>
      <c r="O92" s="52"/>
      <c r="P92" s="52"/>
      <c r="Q92" s="52"/>
      <c r="R92" s="52"/>
      <c r="S92" s="52"/>
      <c r="T92" s="52"/>
      <c r="U92" s="52"/>
      <c r="V92" s="52"/>
      <c r="W92" s="53"/>
      <c r="X92" s="23"/>
      <c r="Y92" s="52"/>
      <c r="Z92" s="52"/>
      <c r="AA92" s="52"/>
      <c r="AB92" s="52"/>
      <c r="AC92" s="52"/>
      <c r="AD92" s="52"/>
      <c r="AE92" s="52"/>
    </row>
    <row r="93" spans="1:31" s="55" customFormat="1" x14ac:dyDescent="0.25">
      <c r="A93" s="52"/>
      <c r="B93" s="52"/>
      <c r="C93" s="52"/>
      <c r="D93" s="52"/>
      <c r="E93" s="52" t="str">
        <f t="shared" si="4"/>
        <v>PROG</v>
      </c>
      <c r="F93" s="52"/>
      <c r="G93" s="52" t="str">
        <f t="shared" si="5"/>
        <v>P</v>
      </c>
      <c r="H93" s="52"/>
      <c r="I93" s="52"/>
      <c r="J93" s="52" t="str">
        <f t="shared" si="6"/>
        <v>ELEM</v>
      </c>
      <c r="K93" s="52"/>
      <c r="L93" s="87"/>
      <c r="M93" s="52" t="e">
        <v>#N/A</v>
      </c>
      <c r="N93" s="52"/>
      <c r="O93" s="52"/>
      <c r="P93" s="52"/>
      <c r="Q93" s="52"/>
      <c r="R93" s="52"/>
      <c r="S93" s="52"/>
      <c r="T93" s="52"/>
      <c r="U93" s="52"/>
      <c r="V93" s="52"/>
      <c r="W93" s="53"/>
      <c r="X93" s="23"/>
      <c r="Y93" s="52"/>
      <c r="Z93" s="52"/>
      <c r="AA93" s="52"/>
      <c r="AB93" s="52"/>
      <c r="AC93" s="52"/>
      <c r="AD93" s="52"/>
      <c r="AE93" s="52"/>
    </row>
    <row r="94" spans="1:31" s="55" customFormat="1" x14ac:dyDescent="0.25">
      <c r="A94" s="52"/>
      <c r="B94" s="52"/>
      <c r="C94" s="52"/>
      <c r="D94" s="52"/>
      <c r="E94" s="52" t="str">
        <f t="shared" si="4"/>
        <v>PROG</v>
      </c>
      <c r="F94" s="52"/>
      <c r="G94" s="52" t="str">
        <f t="shared" si="5"/>
        <v>P</v>
      </c>
      <c r="H94" s="52"/>
      <c r="I94" s="52"/>
      <c r="J94" s="52" t="str">
        <f t="shared" si="6"/>
        <v>ELEM</v>
      </c>
      <c r="K94" s="52"/>
      <c r="L94" s="87"/>
      <c r="M94" s="52" t="e">
        <v>#N/A</v>
      </c>
      <c r="N94" s="52"/>
      <c r="O94" s="52"/>
      <c r="P94" s="52"/>
      <c r="Q94" s="52"/>
      <c r="R94" s="52"/>
      <c r="S94" s="52"/>
      <c r="T94" s="52"/>
      <c r="U94" s="52"/>
      <c r="V94" s="52"/>
      <c r="W94" s="53"/>
      <c r="X94" s="23"/>
      <c r="Y94" s="52"/>
      <c r="Z94" s="52"/>
      <c r="AA94" s="52"/>
      <c r="AB94" s="52"/>
      <c r="AC94" s="52"/>
      <c r="AD94" s="52"/>
      <c r="AE94" s="52"/>
    </row>
    <row r="95" spans="1:31" s="55" customFormat="1" x14ac:dyDescent="0.25">
      <c r="A95" s="52"/>
      <c r="B95" s="52"/>
      <c r="C95" s="52"/>
      <c r="D95" s="52"/>
      <c r="E95" s="52" t="str">
        <f t="shared" si="4"/>
        <v>PROG</v>
      </c>
      <c r="F95" s="52"/>
      <c r="G95" s="52" t="str">
        <f t="shared" si="5"/>
        <v>P</v>
      </c>
      <c r="H95" s="52"/>
      <c r="I95" s="52"/>
      <c r="J95" s="52" t="str">
        <f t="shared" si="6"/>
        <v>ELEM</v>
      </c>
      <c r="K95" s="52"/>
      <c r="L95" s="87"/>
      <c r="M95" s="52" t="e">
        <v>#N/A</v>
      </c>
      <c r="N95" s="52"/>
      <c r="O95" s="52"/>
      <c r="P95" s="52"/>
      <c r="Q95" s="52"/>
      <c r="R95" s="52"/>
      <c r="S95" s="52"/>
      <c r="T95" s="52"/>
      <c r="U95" s="52"/>
      <c r="V95" s="52"/>
      <c r="W95" s="53"/>
      <c r="X95" s="23"/>
      <c r="Y95" s="52"/>
      <c r="Z95" s="52"/>
      <c r="AA95" s="52"/>
      <c r="AB95" s="52"/>
      <c r="AC95" s="52"/>
      <c r="AD95" s="52"/>
      <c r="AE95" s="52"/>
    </row>
    <row r="96" spans="1:31" s="55" customFormat="1" x14ac:dyDescent="0.25">
      <c r="A96" s="52"/>
      <c r="B96" s="52"/>
      <c r="C96" s="52"/>
      <c r="D96" s="52"/>
      <c r="E96" s="52" t="str">
        <f t="shared" si="4"/>
        <v>PROG</v>
      </c>
      <c r="F96" s="52"/>
      <c r="G96" s="52" t="str">
        <f t="shared" si="5"/>
        <v>P</v>
      </c>
      <c r="H96" s="52"/>
      <c r="I96" s="52"/>
      <c r="J96" s="52" t="str">
        <f t="shared" si="6"/>
        <v>ELEM</v>
      </c>
      <c r="K96" s="52"/>
      <c r="L96" s="87"/>
      <c r="M96" s="52" t="e">
        <v>#N/A</v>
      </c>
      <c r="N96" s="52"/>
      <c r="O96" s="52"/>
      <c r="P96" s="52"/>
      <c r="Q96" s="52"/>
      <c r="R96" s="52"/>
      <c r="S96" s="52"/>
      <c r="T96" s="52"/>
      <c r="U96" s="52"/>
      <c r="V96" s="52"/>
      <c r="W96" s="53"/>
      <c r="X96" s="23"/>
      <c r="Y96" s="52"/>
      <c r="Z96" s="52"/>
      <c r="AA96" s="52"/>
      <c r="AB96" s="52"/>
      <c r="AC96" s="52"/>
      <c r="AD96" s="52"/>
      <c r="AE96" s="52"/>
    </row>
    <row r="97" spans="1:31" s="55" customFormat="1" x14ac:dyDescent="0.25">
      <c r="A97" s="52"/>
      <c r="B97" s="52"/>
      <c r="C97" s="52"/>
      <c r="D97" s="52"/>
      <c r="E97" s="52" t="str">
        <f t="shared" si="4"/>
        <v>PROG</v>
      </c>
      <c r="F97" s="52"/>
      <c r="G97" s="52" t="str">
        <f t="shared" si="5"/>
        <v>P</v>
      </c>
      <c r="H97" s="52"/>
      <c r="I97" s="52"/>
      <c r="J97" s="52" t="str">
        <f t="shared" si="6"/>
        <v>ELEM</v>
      </c>
      <c r="K97" s="52"/>
      <c r="L97" s="87"/>
      <c r="M97" s="52" t="e">
        <v>#N/A</v>
      </c>
      <c r="N97" s="52"/>
      <c r="O97" s="52"/>
      <c r="P97" s="52"/>
      <c r="Q97" s="52"/>
      <c r="R97" s="52"/>
      <c r="S97" s="52"/>
      <c r="T97" s="52"/>
      <c r="U97" s="52"/>
      <c r="V97" s="52"/>
      <c r="W97" s="53"/>
      <c r="X97" s="23"/>
      <c r="Y97" s="52"/>
      <c r="Z97" s="52"/>
      <c r="AA97" s="52"/>
      <c r="AB97" s="52"/>
      <c r="AC97" s="52"/>
      <c r="AD97" s="52"/>
      <c r="AE97" s="52"/>
    </row>
    <row r="98" spans="1:31" s="55" customFormat="1" x14ac:dyDescent="0.25">
      <c r="A98" s="52"/>
      <c r="B98" s="52"/>
      <c r="C98" s="52"/>
      <c r="D98" s="52"/>
      <c r="E98" s="52" t="str">
        <f t="shared" si="4"/>
        <v>PROG</v>
      </c>
      <c r="F98" s="52"/>
      <c r="G98" s="52" t="str">
        <f t="shared" si="5"/>
        <v>P</v>
      </c>
      <c r="H98" s="52"/>
      <c r="I98" s="52"/>
      <c r="J98" s="52" t="str">
        <f t="shared" si="6"/>
        <v>ELEM</v>
      </c>
      <c r="K98" s="52"/>
      <c r="L98" s="87"/>
      <c r="M98" s="52" t="e">
        <v>#N/A</v>
      </c>
      <c r="N98" s="52"/>
      <c r="O98" s="52"/>
      <c r="P98" s="52"/>
      <c r="Q98" s="52"/>
      <c r="R98" s="52"/>
      <c r="S98" s="52"/>
      <c r="T98" s="52"/>
      <c r="U98" s="52"/>
      <c r="V98" s="52"/>
      <c r="W98" s="53"/>
      <c r="X98" s="23"/>
      <c r="Y98" s="52"/>
      <c r="Z98" s="52"/>
      <c r="AA98" s="52"/>
      <c r="AB98" s="52"/>
      <c r="AC98" s="52"/>
      <c r="AD98" s="52"/>
      <c r="AE98" s="52"/>
    </row>
    <row r="99" spans="1:31" s="55" customFormat="1" x14ac:dyDescent="0.25">
      <c r="A99" s="52"/>
      <c r="B99" s="52"/>
      <c r="C99" s="52"/>
      <c r="D99" s="52"/>
      <c r="E99" s="52" t="str">
        <f t="shared" si="4"/>
        <v>PROG</v>
      </c>
      <c r="F99" s="52"/>
      <c r="G99" s="52" t="str">
        <f t="shared" si="5"/>
        <v>P</v>
      </c>
      <c r="H99" s="52"/>
      <c r="I99" s="52"/>
      <c r="J99" s="52" t="str">
        <f t="shared" si="6"/>
        <v>ELEM</v>
      </c>
      <c r="K99" s="52"/>
      <c r="L99" s="87"/>
      <c r="M99" s="52" t="e">
        <v>#N/A</v>
      </c>
      <c r="N99" s="52"/>
      <c r="O99" s="52"/>
      <c r="P99" s="52"/>
      <c r="Q99" s="52"/>
      <c r="R99" s="52"/>
      <c r="S99" s="52"/>
      <c r="T99" s="52"/>
      <c r="U99" s="52"/>
      <c r="V99" s="52"/>
      <c r="W99" s="53"/>
      <c r="X99" s="23"/>
      <c r="Y99" s="52"/>
      <c r="Z99" s="52"/>
      <c r="AA99" s="52"/>
      <c r="AB99" s="52"/>
      <c r="AC99" s="52"/>
      <c r="AD99" s="52"/>
      <c r="AE99" s="52"/>
    </row>
    <row r="100" spans="1:31" s="55" customFormat="1" x14ac:dyDescent="0.25">
      <c r="A100" s="52"/>
      <c r="B100" s="52"/>
      <c r="C100" s="52"/>
      <c r="D100" s="52"/>
      <c r="E100" s="52" t="str">
        <f t="shared" si="4"/>
        <v>PROG</v>
      </c>
      <c r="F100" s="52"/>
      <c r="G100" s="52" t="str">
        <f t="shared" si="5"/>
        <v>P</v>
      </c>
      <c r="H100" s="52"/>
      <c r="I100" s="52"/>
      <c r="J100" s="52" t="str">
        <f t="shared" si="6"/>
        <v>ELEM</v>
      </c>
      <c r="K100" s="52"/>
      <c r="L100" s="87"/>
      <c r="M100" s="52" t="e">
        <v>#N/A</v>
      </c>
      <c r="N100" s="52"/>
      <c r="O100" s="52"/>
      <c r="P100" s="52"/>
      <c r="Q100" s="52"/>
      <c r="R100" s="52"/>
      <c r="S100" s="52"/>
      <c r="T100" s="52"/>
      <c r="U100" s="52"/>
      <c r="V100" s="52"/>
      <c r="W100" s="53"/>
      <c r="X100" s="23"/>
      <c r="Y100" s="52"/>
      <c r="Z100" s="52"/>
      <c r="AA100" s="52"/>
      <c r="AB100" s="52"/>
      <c r="AC100" s="52"/>
      <c r="AD100" s="52"/>
      <c r="AE100" s="52"/>
    </row>
    <row r="101" spans="1:31" s="55" customFormat="1" x14ac:dyDescent="0.25">
      <c r="A101" s="52"/>
      <c r="B101" s="52"/>
      <c r="C101" s="52"/>
      <c r="D101" s="52"/>
      <c r="E101" s="52" t="str">
        <f t="shared" si="4"/>
        <v>PROG</v>
      </c>
      <c r="F101" s="52"/>
      <c r="G101" s="52" t="str">
        <f t="shared" si="5"/>
        <v>P</v>
      </c>
      <c r="H101" s="52"/>
      <c r="I101" s="52"/>
      <c r="J101" s="52" t="str">
        <f t="shared" si="6"/>
        <v>ELEM</v>
      </c>
      <c r="K101" s="52"/>
      <c r="L101" s="87"/>
      <c r="M101" s="52" t="e">
        <v>#N/A</v>
      </c>
      <c r="N101" s="52"/>
      <c r="O101" s="52"/>
      <c r="P101" s="52"/>
      <c r="Q101" s="52"/>
      <c r="R101" s="52"/>
      <c r="S101" s="52"/>
      <c r="T101" s="52"/>
      <c r="U101" s="52"/>
      <c r="V101" s="52"/>
      <c r="W101" s="53"/>
      <c r="X101" s="23"/>
      <c r="Y101" s="52"/>
      <c r="Z101" s="52"/>
      <c r="AA101" s="52"/>
      <c r="AB101" s="52"/>
      <c r="AC101" s="52"/>
      <c r="AD101" s="52"/>
      <c r="AE101" s="52"/>
    </row>
    <row r="102" spans="1:31" s="55" customFormat="1" x14ac:dyDescent="0.25">
      <c r="A102" s="52"/>
      <c r="B102" s="52"/>
      <c r="C102" s="52"/>
      <c r="D102" s="52"/>
      <c r="E102" s="52" t="str">
        <f t="shared" si="4"/>
        <v>PROG</v>
      </c>
      <c r="F102" s="52"/>
      <c r="G102" s="52" t="str">
        <f t="shared" si="5"/>
        <v>P</v>
      </c>
      <c r="H102" s="52"/>
      <c r="I102" s="52"/>
      <c r="J102" s="52" t="str">
        <f t="shared" si="6"/>
        <v>ELEM</v>
      </c>
      <c r="K102" s="52"/>
      <c r="L102" s="87"/>
      <c r="M102" s="52" t="e">
        <v>#N/A</v>
      </c>
      <c r="N102" s="52"/>
      <c r="O102" s="52"/>
      <c r="P102" s="52"/>
      <c r="Q102" s="52"/>
      <c r="R102" s="52"/>
      <c r="S102" s="52"/>
      <c r="T102" s="52"/>
      <c r="U102" s="52"/>
      <c r="V102" s="52"/>
      <c r="W102" s="53"/>
      <c r="X102" s="23"/>
      <c r="Y102" s="52"/>
      <c r="Z102" s="52"/>
      <c r="AA102" s="52"/>
      <c r="AB102" s="52"/>
      <c r="AC102" s="52"/>
      <c r="AD102" s="52"/>
      <c r="AE102" s="52"/>
    </row>
    <row r="103" spans="1:31" s="55" customFormat="1" x14ac:dyDescent="0.25">
      <c r="A103" s="52"/>
      <c r="B103" s="52"/>
      <c r="C103" s="52"/>
      <c r="D103" s="52"/>
      <c r="E103" s="52" t="str">
        <f t="shared" si="4"/>
        <v>PROG</v>
      </c>
      <c r="F103" s="52"/>
      <c r="G103" s="52" t="str">
        <f t="shared" si="5"/>
        <v>P</v>
      </c>
      <c r="H103" s="52"/>
      <c r="I103" s="52"/>
      <c r="J103" s="52" t="str">
        <f t="shared" si="6"/>
        <v>ELEM</v>
      </c>
      <c r="K103" s="52"/>
      <c r="L103" s="87"/>
      <c r="M103" s="52" t="e">
        <v>#N/A</v>
      </c>
      <c r="N103" s="52"/>
      <c r="O103" s="52"/>
      <c r="P103" s="52"/>
      <c r="Q103" s="52"/>
      <c r="R103" s="52"/>
      <c r="S103" s="52"/>
      <c r="T103" s="52"/>
      <c r="U103" s="52"/>
      <c r="V103" s="52"/>
      <c r="W103" s="53"/>
      <c r="X103" s="23"/>
      <c r="Y103" s="52"/>
      <c r="Z103" s="52"/>
      <c r="AA103" s="52"/>
      <c r="AB103" s="52"/>
      <c r="AC103" s="52"/>
      <c r="AD103" s="52"/>
      <c r="AE103" s="52"/>
    </row>
    <row r="104" spans="1:31" s="55" customFormat="1" x14ac:dyDescent="0.25">
      <c r="A104" s="52"/>
      <c r="B104" s="52"/>
      <c r="C104" s="52"/>
      <c r="D104" s="52"/>
      <c r="E104" s="52" t="str">
        <f t="shared" si="4"/>
        <v>PROG</v>
      </c>
      <c r="F104" s="52"/>
      <c r="G104" s="52" t="str">
        <f t="shared" si="5"/>
        <v>P</v>
      </c>
      <c r="H104" s="52"/>
      <c r="I104" s="52"/>
      <c r="J104" s="52" t="str">
        <f t="shared" si="6"/>
        <v>ELEM</v>
      </c>
      <c r="K104" s="52"/>
      <c r="L104" s="87"/>
      <c r="M104" s="52" t="e">
        <v>#N/A</v>
      </c>
      <c r="N104" s="52"/>
      <c r="O104" s="52"/>
      <c r="P104" s="52"/>
      <c r="Q104" s="52"/>
      <c r="R104" s="52"/>
      <c r="S104" s="52"/>
      <c r="T104" s="52"/>
      <c r="U104" s="52"/>
      <c r="V104" s="52"/>
      <c r="W104" s="53"/>
      <c r="X104" s="23"/>
      <c r="Y104" s="52"/>
      <c r="Z104" s="52"/>
      <c r="AA104" s="52"/>
      <c r="AB104" s="52"/>
      <c r="AC104" s="52"/>
      <c r="AD104" s="52"/>
      <c r="AE104" s="52"/>
    </row>
    <row r="105" spans="1:31" s="55" customFormat="1" x14ac:dyDescent="0.25">
      <c r="A105" s="52"/>
      <c r="B105" s="52"/>
      <c r="C105" s="52"/>
      <c r="D105" s="52"/>
      <c r="E105" s="52" t="str">
        <f t="shared" si="4"/>
        <v>PROG</v>
      </c>
      <c r="F105" s="52"/>
      <c r="G105" s="52" t="str">
        <f t="shared" si="5"/>
        <v>P</v>
      </c>
      <c r="H105" s="52"/>
      <c r="I105" s="52"/>
      <c r="J105" s="52" t="str">
        <f t="shared" si="6"/>
        <v>ELEM</v>
      </c>
      <c r="K105" s="52"/>
      <c r="L105" s="87"/>
      <c r="M105" s="52" t="e">
        <v>#N/A</v>
      </c>
      <c r="N105" s="52"/>
      <c r="O105" s="52"/>
      <c r="P105" s="52"/>
      <c r="Q105" s="52"/>
      <c r="R105" s="52"/>
      <c r="S105" s="52"/>
      <c r="T105" s="52"/>
      <c r="U105" s="52"/>
      <c r="V105" s="52"/>
      <c r="W105" s="53"/>
      <c r="X105" s="23"/>
      <c r="Y105" s="52"/>
      <c r="Z105" s="52"/>
      <c r="AA105" s="52"/>
      <c r="AB105" s="52"/>
      <c r="AC105" s="52"/>
      <c r="AD105" s="52"/>
      <c r="AE105" s="52"/>
    </row>
    <row r="106" spans="1:31" s="55" customFormat="1" x14ac:dyDescent="0.25">
      <c r="A106" s="52"/>
      <c r="B106" s="52"/>
      <c r="C106" s="52"/>
      <c r="D106" s="52"/>
      <c r="E106" s="52" t="str">
        <f t="shared" si="4"/>
        <v>PROG</v>
      </c>
      <c r="F106" s="52"/>
      <c r="G106" s="52" t="str">
        <f t="shared" si="5"/>
        <v>P</v>
      </c>
      <c r="H106" s="52"/>
      <c r="I106" s="52"/>
      <c r="J106" s="52" t="str">
        <f t="shared" si="6"/>
        <v>ELEM</v>
      </c>
      <c r="K106" s="52"/>
      <c r="L106" s="87"/>
      <c r="M106" s="52" t="e">
        <v>#N/A</v>
      </c>
      <c r="N106" s="52"/>
      <c r="O106" s="52"/>
      <c r="P106" s="52"/>
      <c r="Q106" s="52"/>
      <c r="R106" s="52"/>
      <c r="S106" s="52"/>
      <c r="T106" s="52"/>
      <c r="U106" s="52"/>
      <c r="V106" s="52"/>
      <c r="W106" s="53"/>
      <c r="X106" s="23"/>
      <c r="Y106" s="52"/>
      <c r="Z106" s="52"/>
      <c r="AA106" s="52"/>
      <c r="AB106" s="52"/>
      <c r="AC106" s="52"/>
      <c r="AD106" s="52"/>
      <c r="AE106" s="52"/>
    </row>
    <row r="107" spans="1:31" s="55" customFormat="1" x14ac:dyDescent="0.25">
      <c r="A107" s="52"/>
      <c r="B107" s="52"/>
      <c r="C107" s="52"/>
      <c r="D107" s="52"/>
      <c r="E107" s="52" t="str">
        <f t="shared" si="4"/>
        <v>PROG</v>
      </c>
      <c r="F107" s="52"/>
      <c r="G107" s="52" t="str">
        <f t="shared" si="5"/>
        <v>P</v>
      </c>
      <c r="H107" s="52"/>
      <c r="I107" s="52"/>
      <c r="J107" s="52" t="str">
        <f t="shared" si="6"/>
        <v>ELEM</v>
      </c>
      <c r="K107" s="52"/>
      <c r="L107" s="87"/>
      <c r="M107" s="52" t="e">
        <v>#N/A</v>
      </c>
      <c r="N107" s="52"/>
      <c r="O107" s="52"/>
      <c r="P107" s="52"/>
      <c r="Q107" s="52"/>
      <c r="R107" s="52"/>
      <c r="S107" s="52"/>
      <c r="T107" s="52"/>
      <c r="U107" s="52"/>
      <c r="V107" s="52"/>
      <c r="W107" s="53"/>
      <c r="X107" s="23"/>
      <c r="Y107" s="52"/>
      <c r="Z107" s="52"/>
      <c r="AA107" s="52"/>
      <c r="AB107" s="52"/>
      <c r="AC107" s="52"/>
      <c r="AD107" s="52"/>
      <c r="AE107" s="52"/>
    </row>
    <row r="108" spans="1:31" s="55" customFormat="1" x14ac:dyDescent="0.25">
      <c r="A108" s="52"/>
      <c r="B108" s="52"/>
      <c r="C108" s="52"/>
      <c r="D108" s="52"/>
      <c r="E108" s="52" t="str">
        <f t="shared" si="4"/>
        <v>PROG</v>
      </c>
      <c r="F108" s="52"/>
      <c r="G108" s="52" t="str">
        <f t="shared" si="5"/>
        <v>P</v>
      </c>
      <c r="H108" s="52"/>
      <c r="I108" s="52"/>
      <c r="J108" s="52" t="str">
        <f t="shared" si="6"/>
        <v>ELEM</v>
      </c>
      <c r="K108" s="52"/>
      <c r="L108" s="87"/>
      <c r="M108" s="52" t="e">
        <v>#N/A</v>
      </c>
      <c r="N108" s="52"/>
      <c r="O108" s="52"/>
      <c r="P108" s="52"/>
      <c r="Q108" s="52"/>
      <c r="R108" s="52"/>
      <c r="S108" s="52"/>
      <c r="T108" s="52"/>
      <c r="U108" s="52"/>
      <c r="V108" s="52"/>
      <c r="W108" s="53"/>
      <c r="X108" s="23"/>
      <c r="Y108" s="52"/>
      <c r="Z108" s="52"/>
      <c r="AA108" s="52"/>
      <c r="AB108" s="52"/>
      <c r="AC108" s="52"/>
      <c r="AD108" s="52"/>
      <c r="AE108" s="52"/>
    </row>
    <row r="109" spans="1:31" s="55" customFormat="1" x14ac:dyDescent="0.25">
      <c r="A109" s="52"/>
      <c r="B109" s="52"/>
      <c r="C109" s="52"/>
      <c r="D109" s="52"/>
      <c r="E109" s="52" t="str">
        <f t="shared" si="4"/>
        <v>PROG</v>
      </c>
      <c r="F109" s="52"/>
      <c r="G109" s="52" t="str">
        <f t="shared" si="5"/>
        <v>P</v>
      </c>
      <c r="H109" s="52"/>
      <c r="I109" s="52"/>
      <c r="J109" s="52" t="str">
        <f t="shared" si="6"/>
        <v>ELEM</v>
      </c>
      <c r="K109" s="52"/>
      <c r="L109" s="87"/>
      <c r="M109" s="52" t="e">
        <v>#N/A</v>
      </c>
      <c r="N109" s="52"/>
      <c r="O109" s="52"/>
      <c r="P109" s="52"/>
      <c r="Q109" s="52"/>
      <c r="R109" s="52"/>
      <c r="S109" s="52"/>
      <c r="T109" s="52"/>
      <c r="U109" s="52"/>
      <c r="V109" s="52"/>
      <c r="W109" s="53"/>
      <c r="X109" s="23"/>
      <c r="Y109" s="52"/>
      <c r="Z109" s="52"/>
      <c r="AA109" s="52"/>
      <c r="AB109" s="52"/>
      <c r="AC109" s="52"/>
      <c r="AD109" s="52"/>
      <c r="AE109" s="52"/>
    </row>
    <row r="110" spans="1:31" s="55" customFormat="1" x14ac:dyDescent="0.25">
      <c r="A110" s="52"/>
      <c r="B110" s="52"/>
      <c r="C110" s="52"/>
      <c r="D110" s="52"/>
      <c r="E110" s="52" t="str">
        <f t="shared" si="4"/>
        <v>PROG</v>
      </c>
      <c r="F110" s="52"/>
      <c r="G110" s="52" t="str">
        <f t="shared" si="5"/>
        <v>P</v>
      </c>
      <c r="H110" s="52"/>
      <c r="I110" s="52"/>
      <c r="J110" s="52" t="str">
        <f t="shared" si="6"/>
        <v>ELEM</v>
      </c>
      <c r="K110" s="52"/>
      <c r="L110" s="87"/>
      <c r="M110" s="52" t="e">
        <v>#N/A</v>
      </c>
      <c r="N110" s="52"/>
      <c r="O110" s="52"/>
      <c r="P110" s="52"/>
      <c r="Q110" s="52"/>
      <c r="R110" s="52"/>
      <c r="S110" s="52"/>
      <c r="T110" s="52"/>
      <c r="U110" s="52"/>
      <c r="V110" s="52"/>
      <c r="W110" s="53"/>
      <c r="X110" s="23"/>
      <c r="Y110" s="52"/>
      <c r="Z110" s="52"/>
      <c r="AA110" s="52"/>
      <c r="AB110" s="52"/>
      <c r="AC110" s="52"/>
      <c r="AD110" s="52"/>
      <c r="AE110" s="52"/>
    </row>
    <row r="111" spans="1:31" s="55" customFormat="1" x14ac:dyDescent="0.25">
      <c r="A111" s="52"/>
      <c r="B111" s="52"/>
      <c r="C111" s="52"/>
      <c r="D111" s="52"/>
      <c r="E111" s="52" t="str">
        <f t="shared" si="4"/>
        <v>PROG</v>
      </c>
      <c r="F111" s="52"/>
      <c r="G111" s="52" t="str">
        <f t="shared" si="5"/>
        <v>P</v>
      </c>
      <c r="H111" s="52"/>
      <c r="I111" s="52"/>
      <c r="J111" s="52" t="str">
        <f t="shared" si="6"/>
        <v>ELEM</v>
      </c>
      <c r="K111" s="52"/>
      <c r="L111" s="87"/>
      <c r="M111" s="52" t="e">
        <v>#N/A</v>
      </c>
      <c r="N111" s="52"/>
      <c r="O111" s="52"/>
      <c r="P111" s="52"/>
      <c r="Q111" s="52"/>
      <c r="R111" s="52"/>
      <c r="S111" s="52"/>
      <c r="T111" s="52"/>
      <c r="U111" s="52"/>
      <c r="V111" s="52"/>
      <c r="W111" s="53"/>
      <c r="X111" s="23"/>
      <c r="Y111" s="52"/>
      <c r="Z111" s="52"/>
      <c r="AA111" s="52"/>
      <c r="AB111" s="52"/>
      <c r="AC111" s="52"/>
      <c r="AD111" s="52"/>
      <c r="AE111" s="52"/>
    </row>
    <row r="112" spans="1:31" s="55" customFormat="1" x14ac:dyDescent="0.25">
      <c r="A112" s="52"/>
      <c r="B112" s="52"/>
      <c r="C112" s="52"/>
      <c r="D112" s="52"/>
      <c r="E112" s="52" t="str">
        <f t="shared" si="4"/>
        <v>PROG</v>
      </c>
      <c r="F112" s="52"/>
      <c r="G112" s="52" t="str">
        <f t="shared" si="5"/>
        <v>P</v>
      </c>
      <c r="H112" s="52"/>
      <c r="I112" s="52"/>
      <c r="J112" s="52" t="str">
        <f t="shared" si="6"/>
        <v>ELEM</v>
      </c>
      <c r="K112" s="52"/>
      <c r="L112" s="87"/>
      <c r="M112" s="52" t="e">
        <v>#N/A</v>
      </c>
      <c r="N112" s="52"/>
      <c r="O112" s="52"/>
      <c r="P112" s="52"/>
      <c r="Q112" s="52"/>
      <c r="R112" s="52"/>
      <c r="S112" s="52"/>
      <c r="T112" s="52"/>
      <c r="U112" s="52"/>
      <c r="V112" s="52"/>
      <c r="W112" s="53"/>
      <c r="X112" s="23"/>
      <c r="Y112" s="52"/>
      <c r="Z112" s="52"/>
      <c r="AA112" s="52"/>
      <c r="AB112" s="52"/>
      <c r="AC112" s="52"/>
      <c r="AD112" s="52"/>
      <c r="AE112" s="52"/>
    </row>
    <row r="113" spans="1:31" s="55" customFormat="1" x14ac:dyDescent="0.25">
      <c r="A113" s="52"/>
      <c r="B113" s="52"/>
      <c r="C113" s="52"/>
      <c r="D113" s="52"/>
      <c r="E113" s="52" t="str">
        <f t="shared" si="4"/>
        <v>PROG</v>
      </c>
      <c r="F113" s="52"/>
      <c r="G113" s="52" t="str">
        <f t="shared" si="5"/>
        <v>P</v>
      </c>
      <c r="H113" s="52"/>
      <c r="I113" s="52"/>
      <c r="J113" s="52" t="str">
        <f t="shared" si="6"/>
        <v>ELEM</v>
      </c>
      <c r="K113" s="52"/>
      <c r="L113" s="87"/>
      <c r="M113" s="52" t="e">
        <v>#N/A</v>
      </c>
      <c r="N113" s="52"/>
      <c r="O113" s="52"/>
      <c r="P113" s="52"/>
      <c r="Q113" s="52"/>
      <c r="R113" s="52"/>
      <c r="S113" s="52"/>
      <c r="T113" s="52"/>
      <c r="U113" s="52"/>
      <c r="V113" s="52"/>
      <c r="W113" s="53"/>
      <c r="X113" s="23"/>
      <c r="Y113" s="52"/>
      <c r="Z113" s="52"/>
      <c r="AA113" s="52"/>
      <c r="AB113" s="52"/>
      <c r="AC113" s="52"/>
      <c r="AD113" s="52"/>
      <c r="AE113" s="52"/>
    </row>
    <row r="114" spans="1:31" s="55" customFormat="1" x14ac:dyDescent="0.25">
      <c r="A114" s="52"/>
      <c r="B114" s="52"/>
      <c r="C114" s="52"/>
      <c r="D114" s="52"/>
      <c r="E114" s="52" t="str">
        <f t="shared" si="4"/>
        <v>PROG</v>
      </c>
      <c r="F114" s="52"/>
      <c r="G114" s="52" t="str">
        <f t="shared" si="5"/>
        <v>P</v>
      </c>
      <c r="H114" s="52"/>
      <c r="I114" s="52"/>
      <c r="J114" s="52" t="str">
        <f t="shared" si="6"/>
        <v>ELEM</v>
      </c>
      <c r="K114" s="52"/>
      <c r="L114" s="87"/>
      <c r="M114" s="52" t="e">
        <v>#N/A</v>
      </c>
      <c r="N114" s="52"/>
      <c r="O114" s="52"/>
      <c r="P114" s="52"/>
      <c r="Q114" s="52"/>
      <c r="R114" s="52"/>
      <c r="S114" s="52"/>
      <c r="T114" s="52"/>
      <c r="U114" s="52"/>
      <c r="V114" s="52"/>
      <c r="W114" s="53"/>
      <c r="X114" s="23"/>
      <c r="Y114" s="52"/>
      <c r="Z114" s="52"/>
      <c r="AA114" s="52"/>
      <c r="AB114" s="52"/>
      <c r="AC114" s="52"/>
      <c r="AD114" s="52"/>
      <c r="AE114" s="52"/>
    </row>
    <row r="115" spans="1:31" s="55" customFormat="1" x14ac:dyDescent="0.25">
      <c r="A115" s="52"/>
      <c r="B115" s="52"/>
      <c r="C115" s="52"/>
      <c r="D115" s="52"/>
      <c r="E115" s="52" t="str">
        <f t="shared" si="4"/>
        <v>PROG</v>
      </c>
      <c r="F115" s="52"/>
      <c r="G115" s="52" t="str">
        <f t="shared" si="5"/>
        <v>P</v>
      </c>
      <c r="H115" s="52"/>
      <c r="I115" s="52"/>
      <c r="J115" s="52" t="str">
        <f t="shared" si="6"/>
        <v>ELEM</v>
      </c>
      <c r="K115" s="52"/>
      <c r="L115" s="87"/>
      <c r="M115" s="52" t="e">
        <v>#N/A</v>
      </c>
      <c r="N115" s="52"/>
      <c r="O115" s="52"/>
      <c r="P115" s="52"/>
      <c r="Q115" s="52"/>
      <c r="R115" s="52"/>
      <c r="S115" s="52"/>
      <c r="T115" s="52"/>
      <c r="U115" s="52"/>
      <c r="V115" s="52"/>
      <c r="W115" s="53"/>
      <c r="X115" s="23"/>
      <c r="Y115" s="52"/>
      <c r="Z115" s="52"/>
      <c r="AA115" s="52"/>
      <c r="AB115" s="52"/>
      <c r="AC115" s="52"/>
      <c r="AD115" s="52"/>
      <c r="AE115" s="52"/>
    </row>
    <row r="116" spans="1:31" s="55" customFormat="1" x14ac:dyDescent="0.25">
      <c r="A116" s="52"/>
      <c r="B116" s="52"/>
      <c r="C116" s="52"/>
      <c r="D116" s="52"/>
      <c r="E116" s="52" t="str">
        <f t="shared" si="4"/>
        <v>PROG</v>
      </c>
      <c r="F116" s="52"/>
      <c r="G116" s="52" t="str">
        <f t="shared" si="5"/>
        <v>P</v>
      </c>
      <c r="H116" s="52"/>
      <c r="I116" s="52"/>
      <c r="J116" s="52" t="str">
        <f t="shared" si="6"/>
        <v>ELEM</v>
      </c>
      <c r="K116" s="52"/>
      <c r="L116" s="87"/>
      <c r="M116" s="52" t="e">
        <v>#N/A</v>
      </c>
      <c r="N116" s="52"/>
      <c r="O116" s="52"/>
      <c r="P116" s="52"/>
      <c r="Q116" s="52"/>
      <c r="R116" s="52"/>
      <c r="S116" s="52"/>
      <c r="T116" s="52"/>
      <c r="U116" s="52"/>
      <c r="V116" s="52"/>
      <c r="W116" s="53"/>
      <c r="X116" s="23"/>
      <c r="Y116" s="52"/>
      <c r="Z116" s="52"/>
      <c r="AA116" s="52"/>
      <c r="AB116" s="52"/>
      <c r="AC116" s="52"/>
      <c r="AD116" s="52"/>
      <c r="AE116" s="52"/>
    </row>
    <row r="117" spans="1:31" s="55" customFormat="1" x14ac:dyDescent="0.25">
      <c r="A117" s="52"/>
      <c r="B117" s="52"/>
      <c r="C117" s="52"/>
      <c r="D117" s="52"/>
      <c r="E117" s="52" t="str">
        <f t="shared" si="4"/>
        <v>PROG</v>
      </c>
      <c r="F117" s="52"/>
      <c r="G117" s="52" t="str">
        <f t="shared" si="5"/>
        <v>P</v>
      </c>
      <c r="H117" s="52"/>
      <c r="I117" s="52"/>
      <c r="J117" s="52" t="str">
        <f t="shared" si="6"/>
        <v>ELEM</v>
      </c>
      <c r="K117" s="52"/>
      <c r="L117" s="87"/>
      <c r="M117" s="52" t="e">
        <v>#N/A</v>
      </c>
      <c r="N117" s="52"/>
      <c r="O117" s="52"/>
      <c r="P117" s="52"/>
      <c r="Q117" s="52"/>
      <c r="R117" s="52"/>
      <c r="S117" s="52"/>
      <c r="T117" s="52"/>
      <c r="U117" s="52"/>
      <c r="V117" s="52"/>
      <c r="W117" s="53"/>
      <c r="X117" s="23"/>
      <c r="Y117" s="52"/>
      <c r="Z117" s="52"/>
      <c r="AA117" s="52"/>
      <c r="AB117" s="52"/>
      <c r="AC117" s="52"/>
      <c r="AD117" s="52"/>
      <c r="AE117" s="52"/>
    </row>
    <row r="118" spans="1:31" s="55" customFormat="1" x14ac:dyDescent="0.25">
      <c r="A118" s="52"/>
      <c r="B118" s="52"/>
      <c r="C118" s="52"/>
      <c r="D118" s="52"/>
      <c r="E118" s="52" t="str">
        <f t="shared" si="4"/>
        <v>PROG</v>
      </c>
      <c r="F118" s="52"/>
      <c r="G118" s="52" t="str">
        <f t="shared" si="5"/>
        <v>P</v>
      </c>
      <c r="H118" s="52"/>
      <c r="I118" s="52"/>
      <c r="J118" s="52" t="str">
        <f t="shared" si="6"/>
        <v>ELEM</v>
      </c>
      <c r="K118" s="52"/>
      <c r="L118" s="87"/>
      <c r="M118" s="52" t="e">
        <v>#N/A</v>
      </c>
      <c r="N118" s="52"/>
      <c r="O118" s="52"/>
      <c r="P118" s="52"/>
      <c r="Q118" s="52"/>
      <c r="R118" s="52"/>
      <c r="S118" s="52"/>
      <c r="T118" s="52"/>
      <c r="U118" s="52"/>
      <c r="V118" s="52"/>
      <c r="W118" s="53"/>
      <c r="X118" s="23"/>
      <c r="Y118" s="52"/>
      <c r="Z118" s="52"/>
      <c r="AA118" s="52"/>
      <c r="AB118" s="52"/>
      <c r="AC118" s="52"/>
      <c r="AD118" s="52"/>
      <c r="AE118" s="52"/>
    </row>
    <row r="119" spans="1:31" s="55" customFormat="1" x14ac:dyDescent="0.25">
      <c r="A119" s="52"/>
      <c r="B119" s="52"/>
      <c r="C119" s="52"/>
      <c r="D119" s="52"/>
      <c r="E119" s="52" t="str">
        <f t="shared" si="4"/>
        <v>PROG</v>
      </c>
      <c r="F119" s="52"/>
      <c r="G119" s="52" t="str">
        <f t="shared" si="5"/>
        <v>P</v>
      </c>
      <c r="H119" s="52"/>
      <c r="I119" s="52"/>
      <c r="J119" s="52" t="str">
        <f t="shared" si="6"/>
        <v>ELEM</v>
      </c>
      <c r="K119" s="52"/>
      <c r="L119" s="87"/>
      <c r="M119" s="52" t="e">
        <v>#N/A</v>
      </c>
      <c r="N119" s="52"/>
      <c r="O119" s="52"/>
      <c r="P119" s="52"/>
      <c r="Q119" s="52"/>
      <c r="R119" s="52"/>
      <c r="S119" s="52"/>
      <c r="T119" s="52"/>
      <c r="U119" s="52"/>
      <c r="V119" s="52"/>
      <c r="W119" s="53"/>
      <c r="X119" s="23"/>
      <c r="Y119" s="52"/>
      <c r="Z119" s="52"/>
      <c r="AA119" s="52"/>
      <c r="AB119" s="52"/>
      <c r="AC119" s="52"/>
      <c r="AD119" s="52"/>
      <c r="AE119" s="52"/>
    </row>
    <row r="120" spans="1:31" s="55" customFormat="1" x14ac:dyDescent="0.25">
      <c r="A120" s="52"/>
      <c r="B120" s="52"/>
      <c r="C120" s="52"/>
      <c r="D120" s="52"/>
      <c r="E120" s="52" t="str">
        <f t="shared" si="4"/>
        <v>PROG</v>
      </c>
      <c r="F120" s="52"/>
      <c r="G120" s="52" t="str">
        <f t="shared" si="5"/>
        <v>P</v>
      </c>
      <c r="H120" s="52"/>
      <c r="I120" s="52"/>
      <c r="J120" s="52" t="str">
        <f t="shared" si="6"/>
        <v>ELEM</v>
      </c>
      <c r="K120" s="52"/>
      <c r="L120" s="87"/>
      <c r="M120" s="52" t="e">
        <v>#N/A</v>
      </c>
      <c r="N120" s="52"/>
      <c r="O120" s="52"/>
      <c r="P120" s="52"/>
      <c r="Q120" s="52"/>
      <c r="R120" s="52"/>
      <c r="S120" s="52"/>
      <c r="T120" s="52"/>
      <c r="U120" s="52"/>
      <c r="V120" s="52"/>
      <c r="W120" s="53"/>
      <c r="X120" s="23"/>
      <c r="Y120" s="52"/>
      <c r="Z120" s="52"/>
      <c r="AA120" s="52"/>
      <c r="AB120" s="52"/>
      <c r="AC120" s="52"/>
      <c r="AD120" s="52"/>
      <c r="AE120" s="52"/>
    </row>
    <row r="121" spans="1:31" s="55" customFormat="1" x14ac:dyDescent="0.25">
      <c r="A121" s="52"/>
      <c r="B121" s="52"/>
      <c r="C121" s="52"/>
      <c r="D121" s="52"/>
      <c r="E121" s="52" t="str">
        <f t="shared" si="4"/>
        <v>PROG</v>
      </c>
      <c r="F121" s="52"/>
      <c r="G121" s="52" t="str">
        <f t="shared" si="5"/>
        <v>P</v>
      </c>
      <c r="H121" s="52"/>
      <c r="I121" s="52"/>
      <c r="J121" s="52" t="str">
        <f t="shared" si="6"/>
        <v>ELEM</v>
      </c>
      <c r="K121" s="52"/>
      <c r="L121" s="87"/>
      <c r="M121" s="52" t="e">
        <v>#N/A</v>
      </c>
      <c r="N121" s="52"/>
      <c r="O121" s="52"/>
      <c r="P121" s="52"/>
      <c r="Q121" s="52"/>
      <c r="R121" s="52"/>
      <c r="S121" s="52"/>
      <c r="T121" s="52"/>
      <c r="U121" s="52"/>
      <c r="V121" s="52"/>
      <c r="W121" s="53"/>
      <c r="X121" s="23"/>
      <c r="Y121" s="52"/>
      <c r="Z121" s="52"/>
      <c r="AA121" s="52"/>
      <c r="AB121" s="52"/>
      <c r="AC121" s="52"/>
      <c r="AD121" s="52"/>
      <c r="AE121" s="52"/>
    </row>
    <row r="122" spans="1:31" s="55" customFormat="1" x14ac:dyDescent="0.25">
      <c r="A122" s="52"/>
      <c r="B122" s="52"/>
      <c r="C122" s="52"/>
      <c r="D122" s="52"/>
      <c r="E122" s="52" t="str">
        <f t="shared" si="4"/>
        <v>PROG</v>
      </c>
      <c r="F122" s="52"/>
      <c r="G122" s="52" t="str">
        <f t="shared" si="5"/>
        <v>P</v>
      </c>
      <c r="H122" s="52"/>
      <c r="I122" s="52"/>
      <c r="J122" s="52" t="str">
        <f t="shared" si="6"/>
        <v>ELEM</v>
      </c>
      <c r="K122" s="52"/>
      <c r="L122" s="87"/>
      <c r="M122" s="52" t="e">
        <v>#N/A</v>
      </c>
      <c r="N122" s="52"/>
      <c r="O122" s="52"/>
      <c r="P122" s="52"/>
      <c r="Q122" s="52"/>
      <c r="R122" s="52"/>
      <c r="S122" s="52"/>
      <c r="T122" s="52"/>
      <c r="U122" s="52"/>
      <c r="V122" s="52"/>
      <c r="W122" s="53"/>
      <c r="X122" s="23"/>
      <c r="Y122" s="52"/>
      <c r="Z122" s="52"/>
      <c r="AA122" s="52"/>
      <c r="AB122" s="52"/>
      <c r="AC122" s="52"/>
      <c r="AD122" s="52"/>
      <c r="AE122" s="52"/>
    </row>
    <row r="123" spans="1:31" s="55" customFormat="1" x14ac:dyDescent="0.25">
      <c r="A123" s="52"/>
      <c r="B123" s="52"/>
      <c r="C123" s="52"/>
      <c r="D123" s="52"/>
      <c r="E123" s="52" t="str">
        <f t="shared" si="4"/>
        <v>PROG</v>
      </c>
      <c r="F123" s="52"/>
      <c r="G123" s="52" t="str">
        <f t="shared" si="5"/>
        <v>P</v>
      </c>
      <c r="H123" s="52"/>
      <c r="I123" s="52"/>
      <c r="J123" s="52" t="str">
        <f t="shared" si="6"/>
        <v>ELEM</v>
      </c>
      <c r="K123" s="52"/>
      <c r="L123" s="87"/>
      <c r="M123" s="52" t="e">
        <v>#N/A</v>
      </c>
      <c r="N123" s="52"/>
      <c r="O123" s="52"/>
      <c r="P123" s="52"/>
      <c r="Q123" s="52"/>
      <c r="R123" s="52"/>
      <c r="S123" s="52"/>
      <c r="T123" s="52"/>
      <c r="U123" s="52"/>
      <c r="V123" s="52"/>
      <c r="W123" s="53"/>
      <c r="X123" s="23"/>
      <c r="Y123" s="52"/>
      <c r="Z123" s="52"/>
      <c r="AA123" s="52"/>
      <c r="AB123" s="52"/>
      <c r="AC123" s="52"/>
      <c r="AD123" s="52"/>
      <c r="AE123" s="52"/>
    </row>
    <row r="124" spans="1:31" s="55" customFormat="1" x14ac:dyDescent="0.25">
      <c r="A124" s="52"/>
      <c r="B124" s="52"/>
      <c r="C124" s="52"/>
      <c r="D124" s="52"/>
      <c r="E124" s="52" t="str">
        <f t="shared" si="4"/>
        <v>PROG</v>
      </c>
      <c r="F124" s="52"/>
      <c r="G124" s="52" t="str">
        <f t="shared" si="5"/>
        <v>P</v>
      </c>
      <c r="H124" s="52"/>
      <c r="I124" s="52"/>
      <c r="J124" s="52" t="str">
        <f t="shared" si="6"/>
        <v>ELEM</v>
      </c>
      <c r="K124" s="52"/>
      <c r="L124" s="87"/>
      <c r="M124" s="52" t="e">
        <v>#N/A</v>
      </c>
      <c r="N124" s="52"/>
      <c r="O124" s="52"/>
      <c r="P124" s="52"/>
      <c r="Q124" s="52"/>
      <c r="R124" s="52"/>
      <c r="S124" s="52"/>
      <c r="T124" s="52"/>
      <c r="U124" s="52"/>
      <c r="V124" s="52"/>
      <c r="W124" s="53"/>
      <c r="X124" s="23"/>
      <c r="Y124" s="52"/>
      <c r="Z124" s="52"/>
      <c r="AA124" s="52"/>
      <c r="AB124" s="52"/>
      <c r="AC124" s="52"/>
      <c r="AD124" s="52"/>
      <c r="AE124" s="52"/>
    </row>
    <row r="125" spans="1:31" s="55" customFormat="1" x14ac:dyDescent="0.25">
      <c r="A125" s="52"/>
      <c r="B125" s="52"/>
      <c r="C125" s="52"/>
      <c r="D125" s="52"/>
      <c r="E125" s="52" t="str">
        <f t="shared" si="4"/>
        <v>PROG</v>
      </c>
      <c r="F125" s="52"/>
      <c r="G125" s="52" t="str">
        <f t="shared" si="5"/>
        <v>P</v>
      </c>
      <c r="H125" s="52"/>
      <c r="I125" s="52"/>
      <c r="J125" s="52" t="str">
        <f t="shared" si="6"/>
        <v>ELEM</v>
      </c>
      <c r="K125" s="52"/>
      <c r="L125" s="87"/>
      <c r="M125" s="52" t="e">
        <v>#N/A</v>
      </c>
      <c r="N125" s="52"/>
      <c r="O125" s="52"/>
      <c r="P125" s="52"/>
      <c r="Q125" s="52"/>
      <c r="R125" s="52"/>
      <c r="S125" s="52"/>
      <c r="T125" s="52"/>
      <c r="U125" s="52"/>
      <c r="V125" s="52"/>
      <c r="W125" s="53"/>
      <c r="X125" s="23"/>
      <c r="Y125" s="52"/>
      <c r="Z125" s="52"/>
      <c r="AA125" s="52"/>
      <c r="AB125" s="52"/>
      <c r="AC125" s="52"/>
      <c r="AD125" s="52"/>
      <c r="AE125" s="52"/>
    </row>
    <row r="126" spans="1:31" s="55" customFormat="1" x14ac:dyDescent="0.25">
      <c r="A126" s="52"/>
      <c r="B126" s="52"/>
      <c r="C126" s="52"/>
      <c r="D126" s="52"/>
      <c r="E126" s="52" t="str">
        <f t="shared" si="4"/>
        <v>PROG</v>
      </c>
      <c r="F126" s="52"/>
      <c r="G126" s="52" t="str">
        <f t="shared" si="5"/>
        <v>P</v>
      </c>
      <c r="H126" s="52"/>
      <c r="I126" s="52"/>
      <c r="J126" s="52" t="str">
        <f t="shared" si="6"/>
        <v>ELEM</v>
      </c>
      <c r="K126" s="52"/>
      <c r="L126" s="87"/>
      <c r="M126" s="52" t="e">
        <v>#N/A</v>
      </c>
      <c r="N126" s="52"/>
      <c r="O126" s="52"/>
      <c r="P126" s="52"/>
      <c r="Q126" s="52"/>
      <c r="R126" s="52"/>
      <c r="S126" s="52"/>
      <c r="T126" s="52"/>
      <c r="U126" s="52"/>
      <c r="V126" s="52"/>
      <c r="W126" s="53"/>
      <c r="X126" s="23"/>
      <c r="Y126" s="52"/>
      <c r="Z126" s="52"/>
      <c r="AA126" s="52"/>
      <c r="AB126" s="52"/>
      <c r="AC126" s="52"/>
      <c r="AD126" s="52"/>
      <c r="AE126" s="52"/>
    </row>
    <row r="127" spans="1:31" s="55" customFormat="1" x14ac:dyDescent="0.25">
      <c r="A127" s="52"/>
      <c r="B127" s="52"/>
      <c r="C127" s="52"/>
      <c r="D127" s="52"/>
      <c r="E127" s="52" t="str">
        <f t="shared" si="4"/>
        <v>PROG</v>
      </c>
      <c r="F127" s="52"/>
      <c r="G127" s="52" t="str">
        <f t="shared" si="5"/>
        <v>P</v>
      </c>
      <c r="H127" s="52"/>
      <c r="I127" s="52"/>
      <c r="J127" s="52" t="str">
        <f t="shared" si="6"/>
        <v>ELEM</v>
      </c>
      <c r="K127" s="52"/>
      <c r="L127" s="87"/>
      <c r="M127" s="52" t="e">
        <v>#N/A</v>
      </c>
      <c r="N127" s="52"/>
      <c r="O127" s="52"/>
      <c r="P127" s="52"/>
      <c r="Q127" s="52"/>
      <c r="R127" s="52"/>
      <c r="S127" s="52"/>
      <c r="T127" s="52"/>
      <c r="U127" s="52"/>
      <c r="V127" s="52"/>
      <c r="W127" s="53"/>
      <c r="X127" s="23"/>
      <c r="Y127" s="52"/>
      <c r="Z127" s="52"/>
      <c r="AA127" s="52"/>
      <c r="AB127" s="52"/>
      <c r="AC127" s="52"/>
      <c r="AD127" s="52"/>
      <c r="AE127" s="52"/>
    </row>
    <row r="128" spans="1:31" s="55" customFormat="1" x14ac:dyDescent="0.25">
      <c r="A128" s="52"/>
      <c r="B128" s="52"/>
      <c r="C128" s="52"/>
      <c r="D128" s="52"/>
      <c r="E128" s="52" t="str">
        <f t="shared" si="4"/>
        <v>PROG</v>
      </c>
      <c r="F128" s="52"/>
      <c r="G128" s="52" t="str">
        <f t="shared" si="5"/>
        <v>P</v>
      </c>
      <c r="H128" s="52"/>
      <c r="I128" s="52"/>
      <c r="J128" s="52" t="str">
        <f t="shared" si="6"/>
        <v>ELEM</v>
      </c>
      <c r="K128" s="52"/>
      <c r="L128" s="87"/>
      <c r="M128" s="52" t="e">
        <v>#N/A</v>
      </c>
      <c r="N128" s="52"/>
      <c r="O128" s="52"/>
      <c r="P128" s="52"/>
      <c r="Q128" s="52"/>
      <c r="R128" s="52"/>
      <c r="S128" s="52"/>
      <c r="T128" s="52"/>
      <c r="U128" s="52"/>
      <c r="V128" s="52"/>
      <c r="W128" s="53"/>
      <c r="X128" s="23"/>
      <c r="Y128" s="52"/>
      <c r="Z128" s="52"/>
      <c r="AA128" s="52"/>
      <c r="AB128" s="52"/>
      <c r="AC128" s="52"/>
      <c r="AD128" s="52"/>
      <c r="AE128" s="52"/>
    </row>
    <row r="129" spans="1:31" s="55" customFormat="1" x14ac:dyDescent="0.25">
      <c r="A129" s="52"/>
      <c r="B129" s="52"/>
      <c r="C129" s="52"/>
      <c r="D129" s="52"/>
      <c r="E129" s="52" t="str">
        <f t="shared" si="4"/>
        <v>PROG</v>
      </c>
      <c r="F129" s="52"/>
      <c r="G129" s="52" t="str">
        <f t="shared" si="5"/>
        <v>P</v>
      </c>
      <c r="H129" s="52"/>
      <c r="I129" s="52"/>
      <c r="J129" s="52" t="str">
        <f t="shared" si="6"/>
        <v>ELEM</v>
      </c>
      <c r="K129" s="52"/>
      <c r="L129" s="87"/>
      <c r="M129" s="52" t="e">
        <v>#N/A</v>
      </c>
      <c r="N129" s="52"/>
      <c r="O129" s="52"/>
      <c r="P129" s="52"/>
      <c r="Q129" s="52"/>
      <c r="R129" s="52"/>
      <c r="S129" s="52"/>
      <c r="T129" s="52"/>
      <c r="U129" s="52"/>
      <c r="V129" s="52"/>
      <c r="W129" s="53"/>
      <c r="X129" s="23"/>
      <c r="Y129" s="52"/>
      <c r="Z129" s="52"/>
      <c r="AA129" s="52"/>
      <c r="AB129" s="52"/>
      <c r="AC129" s="52"/>
      <c r="AD129" s="52"/>
      <c r="AE129" s="52"/>
    </row>
    <row r="130" spans="1:31" s="55" customFormat="1" x14ac:dyDescent="0.25">
      <c r="A130" s="52"/>
      <c r="B130" s="52"/>
      <c r="C130" s="52"/>
      <c r="D130" s="52"/>
      <c r="E130" s="52" t="str">
        <f t="shared" si="4"/>
        <v>PROG</v>
      </c>
      <c r="F130" s="52"/>
      <c r="G130" s="52" t="str">
        <f t="shared" si="5"/>
        <v>P</v>
      </c>
      <c r="H130" s="52"/>
      <c r="I130" s="52"/>
      <c r="J130" s="52" t="str">
        <f t="shared" si="6"/>
        <v>ELEM</v>
      </c>
      <c r="K130" s="52"/>
      <c r="L130" s="87"/>
      <c r="M130" s="52" t="e">
        <v>#N/A</v>
      </c>
      <c r="N130" s="52"/>
      <c r="O130" s="52"/>
      <c r="P130" s="52"/>
      <c r="Q130" s="52"/>
      <c r="R130" s="52"/>
      <c r="S130" s="52"/>
      <c r="T130" s="52"/>
      <c r="U130" s="52"/>
      <c r="V130" s="52"/>
      <c r="W130" s="53"/>
      <c r="X130" s="23"/>
      <c r="Y130" s="52"/>
      <c r="Z130" s="52"/>
      <c r="AA130" s="52"/>
      <c r="AB130" s="52"/>
      <c r="AC130" s="52"/>
      <c r="AD130" s="52"/>
      <c r="AE130" s="52"/>
    </row>
    <row r="131" spans="1:31" s="55" customFormat="1" x14ac:dyDescent="0.25">
      <c r="A131" s="52"/>
      <c r="B131" s="52"/>
      <c r="C131" s="52"/>
      <c r="D131" s="52"/>
      <c r="E131" s="52" t="str">
        <f t="shared" ref="E131:E194" si="7">CONCATENATE(A131,"PROG")</f>
        <v>PROG</v>
      </c>
      <c r="F131" s="52"/>
      <c r="G131" s="52" t="str">
        <f t="shared" ref="G131:G194" si="8">CONCATENATE("P",(LEFT(F131,3)),A131)</f>
        <v>P</v>
      </c>
      <c r="H131" s="52"/>
      <c r="I131" s="52"/>
      <c r="J131" s="52" t="str">
        <f t="shared" ref="J131:J194" si="9">CONCATENATE("ELEM",LEFT(I131,2))</f>
        <v>ELEM</v>
      </c>
      <c r="K131" s="52"/>
      <c r="L131" s="87"/>
      <c r="M131" s="52" t="e">
        <v>#N/A</v>
      </c>
      <c r="N131" s="52"/>
      <c r="O131" s="52"/>
      <c r="P131" s="52"/>
      <c r="Q131" s="52"/>
      <c r="R131" s="52"/>
      <c r="S131" s="52"/>
      <c r="T131" s="52"/>
      <c r="U131" s="52"/>
      <c r="V131" s="52"/>
      <c r="W131" s="53"/>
      <c r="X131" s="23"/>
      <c r="Y131" s="52"/>
      <c r="Z131" s="52"/>
      <c r="AA131" s="52"/>
      <c r="AB131" s="52"/>
      <c r="AC131" s="52"/>
      <c r="AD131" s="52"/>
      <c r="AE131" s="52"/>
    </row>
    <row r="132" spans="1:31" s="55" customFormat="1" x14ac:dyDescent="0.25">
      <c r="A132" s="52"/>
      <c r="B132" s="52"/>
      <c r="C132" s="52"/>
      <c r="D132" s="52"/>
      <c r="E132" s="52" t="str">
        <f t="shared" si="7"/>
        <v>PROG</v>
      </c>
      <c r="F132" s="52"/>
      <c r="G132" s="52" t="str">
        <f t="shared" si="8"/>
        <v>P</v>
      </c>
      <c r="H132" s="52"/>
      <c r="I132" s="52"/>
      <c r="J132" s="52" t="str">
        <f t="shared" si="9"/>
        <v>ELEM</v>
      </c>
      <c r="K132" s="52"/>
      <c r="L132" s="87"/>
      <c r="M132" s="52" t="e">
        <v>#N/A</v>
      </c>
      <c r="N132" s="52"/>
      <c r="O132" s="52"/>
      <c r="P132" s="52"/>
      <c r="Q132" s="52"/>
      <c r="R132" s="52"/>
      <c r="S132" s="52"/>
      <c r="T132" s="52"/>
      <c r="U132" s="52"/>
      <c r="V132" s="52"/>
      <c r="W132" s="53"/>
      <c r="X132" s="23"/>
      <c r="Y132" s="52"/>
      <c r="Z132" s="52"/>
      <c r="AA132" s="52"/>
      <c r="AB132" s="52"/>
      <c r="AC132" s="52"/>
      <c r="AD132" s="52"/>
      <c r="AE132" s="52"/>
    </row>
    <row r="133" spans="1:31" s="55" customFormat="1" x14ac:dyDescent="0.25">
      <c r="A133" s="52"/>
      <c r="B133" s="52"/>
      <c r="C133" s="52"/>
      <c r="D133" s="52"/>
      <c r="E133" s="52" t="str">
        <f t="shared" si="7"/>
        <v>PROG</v>
      </c>
      <c r="F133" s="52"/>
      <c r="G133" s="52" t="str">
        <f t="shared" si="8"/>
        <v>P</v>
      </c>
      <c r="H133" s="52"/>
      <c r="I133" s="52"/>
      <c r="J133" s="52" t="str">
        <f t="shared" si="9"/>
        <v>ELEM</v>
      </c>
      <c r="K133" s="52"/>
      <c r="L133" s="87"/>
      <c r="M133" s="52" t="e">
        <v>#N/A</v>
      </c>
      <c r="N133" s="52"/>
      <c r="O133" s="52"/>
      <c r="P133" s="52"/>
      <c r="Q133" s="52"/>
      <c r="R133" s="52"/>
      <c r="S133" s="52"/>
      <c r="T133" s="52"/>
      <c r="U133" s="52"/>
      <c r="V133" s="52"/>
      <c r="W133" s="53"/>
      <c r="X133" s="23"/>
      <c r="Y133" s="52"/>
      <c r="Z133" s="52"/>
      <c r="AA133" s="52"/>
      <c r="AB133" s="52"/>
      <c r="AC133" s="52"/>
      <c r="AD133" s="52"/>
      <c r="AE133" s="52"/>
    </row>
    <row r="134" spans="1:31" s="55" customFormat="1" x14ac:dyDescent="0.25">
      <c r="A134" s="52"/>
      <c r="B134" s="52"/>
      <c r="C134" s="52"/>
      <c r="D134" s="52"/>
      <c r="E134" s="52" t="str">
        <f t="shared" si="7"/>
        <v>PROG</v>
      </c>
      <c r="F134" s="52"/>
      <c r="G134" s="52" t="str">
        <f t="shared" si="8"/>
        <v>P</v>
      </c>
      <c r="H134" s="52"/>
      <c r="I134" s="52"/>
      <c r="J134" s="52" t="str">
        <f t="shared" si="9"/>
        <v>ELEM</v>
      </c>
      <c r="K134" s="52"/>
      <c r="L134" s="87"/>
      <c r="M134" s="52" t="e">
        <v>#N/A</v>
      </c>
      <c r="N134" s="52"/>
      <c r="O134" s="52"/>
      <c r="P134" s="52"/>
      <c r="Q134" s="52"/>
      <c r="R134" s="52"/>
      <c r="S134" s="52"/>
      <c r="T134" s="52"/>
      <c r="U134" s="52"/>
      <c r="V134" s="52"/>
      <c r="W134" s="53"/>
      <c r="X134" s="23"/>
      <c r="Y134" s="52"/>
      <c r="Z134" s="52"/>
      <c r="AA134" s="52"/>
      <c r="AB134" s="52"/>
      <c r="AC134" s="52"/>
      <c r="AD134" s="52"/>
      <c r="AE134" s="52"/>
    </row>
    <row r="135" spans="1:31" s="55" customFormat="1" x14ac:dyDescent="0.25">
      <c r="A135" s="52"/>
      <c r="B135" s="52"/>
      <c r="C135" s="52"/>
      <c r="D135" s="52"/>
      <c r="E135" s="52" t="str">
        <f t="shared" si="7"/>
        <v>PROG</v>
      </c>
      <c r="F135" s="52"/>
      <c r="G135" s="52" t="str">
        <f t="shared" si="8"/>
        <v>P</v>
      </c>
      <c r="H135" s="52"/>
      <c r="I135" s="52"/>
      <c r="J135" s="52" t="str">
        <f t="shared" si="9"/>
        <v>ELEM</v>
      </c>
      <c r="K135" s="52"/>
      <c r="L135" s="87"/>
      <c r="M135" s="52" t="e">
        <v>#N/A</v>
      </c>
      <c r="N135" s="52"/>
      <c r="O135" s="52"/>
      <c r="P135" s="52"/>
      <c r="Q135" s="52"/>
      <c r="R135" s="52"/>
      <c r="S135" s="52"/>
      <c r="T135" s="52"/>
      <c r="U135" s="52"/>
      <c r="V135" s="52"/>
      <c r="W135" s="53"/>
      <c r="X135" s="23"/>
      <c r="Y135" s="52"/>
      <c r="Z135" s="52"/>
      <c r="AA135" s="52"/>
      <c r="AB135" s="52"/>
      <c r="AC135" s="52"/>
      <c r="AD135" s="52"/>
      <c r="AE135" s="52"/>
    </row>
    <row r="136" spans="1:31" s="55" customFormat="1" x14ac:dyDescent="0.25">
      <c r="A136" s="52"/>
      <c r="B136" s="52"/>
      <c r="C136" s="52"/>
      <c r="D136" s="52"/>
      <c r="E136" s="52" t="str">
        <f t="shared" si="7"/>
        <v>PROG</v>
      </c>
      <c r="F136" s="52"/>
      <c r="G136" s="52" t="str">
        <f t="shared" si="8"/>
        <v>P</v>
      </c>
      <c r="H136" s="52"/>
      <c r="I136" s="52"/>
      <c r="J136" s="52" t="str">
        <f t="shared" si="9"/>
        <v>ELEM</v>
      </c>
      <c r="K136" s="52"/>
      <c r="L136" s="87"/>
      <c r="M136" s="52" t="e">
        <v>#N/A</v>
      </c>
      <c r="N136" s="52"/>
      <c r="O136" s="52"/>
      <c r="P136" s="52"/>
      <c r="Q136" s="52"/>
      <c r="R136" s="52"/>
      <c r="S136" s="52"/>
      <c r="T136" s="52"/>
      <c r="U136" s="52"/>
      <c r="V136" s="52"/>
      <c r="W136" s="53"/>
      <c r="X136" s="23"/>
      <c r="Y136" s="52"/>
      <c r="Z136" s="52"/>
      <c r="AA136" s="52"/>
      <c r="AB136" s="52"/>
      <c r="AC136" s="52"/>
      <c r="AD136" s="52"/>
      <c r="AE136" s="52"/>
    </row>
    <row r="137" spans="1:31" s="55" customFormat="1" x14ac:dyDescent="0.25">
      <c r="A137" s="52"/>
      <c r="B137" s="52"/>
      <c r="C137" s="52"/>
      <c r="D137" s="52"/>
      <c r="E137" s="52" t="str">
        <f t="shared" si="7"/>
        <v>PROG</v>
      </c>
      <c r="F137" s="52"/>
      <c r="G137" s="52" t="str">
        <f t="shared" si="8"/>
        <v>P</v>
      </c>
      <c r="H137" s="52"/>
      <c r="I137" s="52"/>
      <c r="J137" s="52" t="str">
        <f t="shared" si="9"/>
        <v>ELEM</v>
      </c>
      <c r="K137" s="52"/>
      <c r="L137" s="87"/>
      <c r="M137" s="52" t="e">
        <v>#N/A</v>
      </c>
      <c r="N137" s="52"/>
      <c r="O137" s="52"/>
      <c r="P137" s="52"/>
      <c r="Q137" s="52"/>
      <c r="R137" s="52"/>
      <c r="S137" s="52"/>
      <c r="T137" s="52"/>
      <c r="U137" s="52"/>
      <c r="V137" s="52"/>
      <c r="W137" s="53"/>
      <c r="X137" s="23"/>
      <c r="Y137" s="52"/>
      <c r="Z137" s="52"/>
      <c r="AA137" s="52"/>
      <c r="AB137" s="52"/>
      <c r="AC137" s="52"/>
      <c r="AD137" s="52"/>
      <c r="AE137" s="52"/>
    </row>
    <row r="138" spans="1:31" s="55" customFormat="1" x14ac:dyDescent="0.25">
      <c r="A138" s="52"/>
      <c r="B138" s="52"/>
      <c r="C138" s="52"/>
      <c r="D138" s="52"/>
      <c r="E138" s="52" t="str">
        <f t="shared" si="7"/>
        <v>PROG</v>
      </c>
      <c r="F138" s="52"/>
      <c r="G138" s="52" t="str">
        <f t="shared" si="8"/>
        <v>P</v>
      </c>
      <c r="H138" s="52"/>
      <c r="I138" s="52"/>
      <c r="J138" s="52" t="str">
        <f t="shared" si="9"/>
        <v>ELEM</v>
      </c>
      <c r="K138" s="52"/>
      <c r="L138" s="87"/>
      <c r="M138" s="52" t="e">
        <v>#N/A</v>
      </c>
      <c r="N138" s="52"/>
      <c r="O138" s="52"/>
      <c r="P138" s="52"/>
      <c r="Q138" s="52"/>
      <c r="R138" s="52"/>
      <c r="S138" s="52"/>
      <c r="T138" s="52"/>
      <c r="U138" s="52"/>
      <c r="V138" s="52"/>
      <c r="W138" s="53"/>
      <c r="X138" s="23"/>
      <c r="Y138" s="52"/>
      <c r="Z138" s="52"/>
      <c r="AA138" s="52"/>
      <c r="AB138" s="52"/>
      <c r="AC138" s="52"/>
      <c r="AD138" s="52"/>
      <c r="AE138" s="52"/>
    </row>
    <row r="139" spans="1:31" s="55" customFormat="1" x14ac:dyDescent="0.25">
      <c r="A139" s="52"/>
      <c r="B139" s="52"/>
      <c r="C139" s="52"/>
      <c r="D139" s="52"/>
      <c r="E139" s="52" t="str">
        <f t="shared" si="7"/>
        <v>PROG</v>
      </c>
      <c r="F139" s="52"/>
      <c r="G139" s="52" t="str">
        <f t="shared" si="8"/>
        <v>P</v>
      </c>
      <c r="H139" s="52"/>
      <c r="I139" s="52"/>
      <c r="J139" s="52" t="str">
        <f t="shared" si="9"/>
        <v>ELEM</v>
      </c>
      <c r="K139" s="52"/>
      <c r="L139" s="87"/>
      <c r="M139" s="52" t="e">
        <v>#N/A</v>
      </c>
      <c r="N139" s="52"/>
      <c r="O139" s="52"/>
      <c r="P139" s="52"/>
      <c r="Q139" s="52"/>
      <c r="R139" s="52"/>
      <c r="S139" s="52"/>
      <c r="T139" s="52"/>
      <c r="U139" s="52"/>
      <c r="V139" s="52"/>
      <c r="W139" s="53"/>
      <c r="X139" s="23"/>
      <c r="Y139" s="52"/>
      <c r="Z139" s="52"/>
      <c r="AA139" s="52"/>
      <c r="AB139" s="52"/>
      <c r="AC139" s="52"/>
      <c r="AD139" s="52"/>
      <c r="AE139" s="52"/>
    </row>
    <row r="140" spans="1:31" s="55" customFormat="1" x14ac:dyDescent="0.25">
      <c r="A140" s="52"/>
      <c r="B140" s="52"/>
      <c r="C140" s="52"/>
      <c r="D140" s="52"/>
      <c r="E140" s="52" t="str">
        <f t="shared" si="7"/>
        <v>PROG</v>
      </c>
      <c r="F140" s="52"/>
      <c r="G140" s="52" t="str">
        <f t="shared" si="8"/>
        <v>P</v>
      </c>
      <c r="H140" s="52"/>
      <c r="I140" s="52"/>
      <c r="J140" s="52" t="str">
        <f t="shared" si="9"/>
        <v>ELEM</v>
      </c>
      <c r="K140" s="52"/>
      <c r="L140" s="87"/>
      <c r="M140" s="52" t="e">
        <v>#N/A</v>
      </c>
      <c r="N140" s="52"/>
      <c r="O140" s="52"/>
      <c r="P140" s="52"/>
      <c r="Q140" s="52"/>
      <c r="R140" s="52"/>
      <c r="S140" s="52"/>
      <c r="T140" s="52"/>
      <c r="U140" s="52"/>
      <c r="V140" s="52"/>
      <c r="W140" s="53"/>
      <c r="X140" s="23"/>
      <c r="Y140" s="52"/>
      <c r="Z140" s="52"/>
      <c r="AA140" s="52"/>
      <c r="AB140" s="52"/>
      <c r="AC140" s="52"/>
      <c r="AD140" s="52"/>
      <c r="AE140" s="52"/>
    </row>
    <row r="141" spans="1:31" s="55" customFormat="1" x14ac:dyDescent="0.25">
      <c r="A141" s="52"/>
      <c r="B141" s="52"/>
      <c r="C141" s="52"/>
      <c r="D141" s="52"/>
      <c r="E141" s="52" t="str">
        <f t="shared" si="7"/>
        <v>PROG</v>
      </c>
      <c r="F141" s="52"/>
      <c r="G141" s="52" t="str">
        <f t="shared" si="8"/>
        <v>P</v>
      </c>
      <c r="H141" s="52"/>
      <c r="I141" s="52"/>
      <c r="J141" s="52" t="str">
        <f t="shared" si="9"/>
        <v>ELEM</v>
      </c>
      <c r="K141" s="52"/>
      <c r="L141" s="87"/>
      <c r="M141" s="52" t="e">
        <v>#N/A</v>
      </c>
      <c r="N141" s="52"/>
      <c r="O141" s="52"/>
      <c r="P141" s="52"/>
      <c r="Q141" s="52"/>
      <c r="R141" s="52"/>
      <c r="S141" s="52"/>
      <c r="T141" s="52"/>
      <c r="U141" s="52"/>
      <c r="V141" s="52"/>
      <c r="W141" s="53"/>
      <c r="X141" s="23"/>
      <c r="Y141" s="52"/>
      <c r="Z141" s="52"/>
      <c r="AA141" s="52"/>
      <c r="AB141" s="52"/>
      <c r="AC141" s="52"/>
      <c r="AD141" s="52"/>
      <c r="AE141" s="52"/>
    </row>
    <row r="142" spans="1:31" s="55" customFormat="1" x14ac:dyDescent="0.25">
      <c r="A142" s="52"/>
      <c r="B142" s="52"/>
      <c r="C142" s="52"/>
      <c r="D142" s="52"/>
      <c r="E142" s="52" t="str">
        <f t="shared" si="7"/>
        <v>PROG</v>
      </c>
      <c r="F142" s="52"/>
      <c r="G142" s="52" t="str">
        <f t="shared" si="8"/>
        <v>P</v>
      </c>
      <c r="H142" s="52"/>
      <c r="I142" s="52"/>
      <c r="J142" s="52" t="str">
        <f t="shared" si="9"/>
        <v>ELEM</v>
      </c>
      <c r="K142" s="52"/>
      <c r="L142" s="87"/>
      <c r="M142" s="52" t="e">
        <v>#N/A</v>
      </c>
      <c r="N142" s="52"/>
      <c r="O142" s="52"/>
      <c r="P142" s="52"/>
      <c r="Q142" s="52"/>
      <c r="R142" s="52"/>
      <c r="S142" s="52"/>
      <c r="T142" s="52"/>
      <c r="U142" s="52"/>
      <c r="V142" s="52"/>
      <c r="W142" s="53"/>
      <c r="X142" s="23"/>
      <c r="Y142" s="52"/>
      <c r="Z142" s="52"/>
      <c r="AA142" s="52"/>
      <c r="AB142" s="52"/>
      <c r="AC142" s="52"/>
      <c r="AD142" s="52"/>
      <c r="AE142" s="52"/>
    </row>
    <row r="143" spans="1:31" s="55" customFormat="1" x14ac:dyDescent="0.25">
      <c r="A143" s="52"/>
      <c r="B143" s="52"/>
      <c r="C143" s="52"/>
      <c r="D143" s="52"/>
      <c r="E143" s="52" t="str">
        <f t="shared" si="7"/>
        <v>PROG</v>
      </c>
      <c r="F143" s="52"/>
      <c r="G143" s="52" t="str">
        <f t="shared" si="8"/>
        <v>P</v>
      </c>
      <c r="H143" s="52"/>
      <c r="I143" s="52"/>
      <c r="J143" s="52" t="str">
        <f t="shared" si="9"/>
        <v>ELEM</v>
      </c>
      <c r="K143" s="52"/>
      <c r="L143" s="87"/>
      <c r="M143" s="52" t="e">
        <v>#N/A</v>
      </c>
      <c r="N143" s="52"/>
      <c r="O143" s="52"/>
      <c r="P143" s="52"/>
      <c r="Q143" s="52"/>
      <c r="R143" s="52"/>
      <c r="S143" s="52"/>
      <c r="T143" s="52"/>
      <c r="U143" s="52"/>
      <c r="V143" s="52"/>
      <c r="W143" s="53"/>
      <c r="X143" s="23"/>
      <c r="Y143" s="52"/>
      <c r="Z143" s="52"/>
      <c r="AA143" s="52"/>
      <c r="AB143" s="52"/>
      <c r="AC143" s="52"/>
      <c r="AD143" s="52"/>
      <c r="AE143" s="52"/>
    </row>
    <row r="144" spans="1:31" s="55" customFormat="1" x14ac:dyDescent="0.25">
      <c r="A144" s="52"/>
      <c r="B144" s="52"/>
      <c r="C144" s="52"/>
      <c r="D144" s="52"/>
      <c r="E144" s="52" t="str">
        <f t="shared" si="7"/>
        <v>PROG</v>
      </c>
      <c r="F144" s="52"/>
      <c r="G144" s="52" t="str">
        <f t="shared" si="8"/>
        <v>P</v>
      </c>
      <c r="H144" s="52"/>
      <c r="I144" s="52"/>
      <c r="J144" s="52" t="str">
        <f t="shared" si="9"/>
        <v>ELEM</v>
      </c>
      <c r="K144" s="52"/>
      <c r="L144" s="87"/>
      <c r="M144" s="52" t="e">
        <v>#N/A</v>
      </c>
      <c r="N144" s="52"/>
      <c r="O144" s="52"/>
      <c r="P144" s="52"/>
      <c r="Q144" s="52"/>
      <c r="R144" s="52"/>
      <c r="S144" s="52"/>
      <c r="T144" s="52"/>
      <c r="U144" s="52"/>
      <c r="V144" s="52"/>
      <c r="W144" s="53"/>
      <c r="X144" s="23"/>
      <c r="Y144" s="52"/>
      <c r="Z144" s="52"/>
      <c r="AA144" s="52"/>
      <c r="AB144" s="52"/>
      <c r="AC144" s="52"/>
      <c r="AD144" s="52"/>
      <c r="AE144" s="52"/>
    </row>
    <row r="145" spans="1:31" s="55" customFormat="1" x14ac:dyDescent="0.25">
      <c r="A145" s="52"/>
      <c r="B145" s="52"/>
      <c r="C145" s="52"/>
      <c r="D145" s="52"/>
      <c r="E145" s="52" t="str">
        <f t="shared" si="7"/>
        <v>PROG</v>
      </c>
      <c r="F145" s="52"/>
      <c r="G145" s="52" t="str">
        <f t="shared" si="8"/>
        <v>P</v>
      </c>
      <c r="H145" s="52"/>
      <c r="I145" s="52"/>
      <c r="J145" s="52" t="str">
        <f t="shared" si="9"/>
        <v>ELEM</v>
      </c>
      <c r="K145" s="52"/>
      <c r="L145" s="87"/>
      <c r="M145" s="52" t="e">
        <v>#N/A</v>
      </c>
      <c r="N145" s="52"/>
      <c r="O145" s="52"/>
      <c r="P145" s="52"/>
      <c r="Q145" s="52"/>
      <c r="R145" s="52"/>
      <c r="S145" s="52"/>
      <c r="T145" s="52"/>
      <c r="U145" s="52"/>
      <c r="V145" s="52"/>
      <c r="W145" s="53"/>
      <c r="X145" s="23"/>
      <c r="Y145" s="52"/>
      <c r="Z145" s="52"/>
      <c r="AA145" s="52"/>
      <c r="AB145" s="52"/>
      <c r="AC145" s="52"/>
      <c r="AD145" s="52"/>
      <c r="AE145" s="52"/>
    </row>
    <row r="146" spans="1:31" s="55" customFormat="1" x14ac:dyDescent="0.25">
      <c r="A146" s="52"/>
      <c r="B146" s="52"/>
      <c r="C146" s="52"/>
      <c r="D146" s="52"/>
      <c r="E146" s="52" t="str">
        <f t="shared" si="7"/>
        <v>PROG</v>
      </c>
      <c r="F146" s="52"/>
      <c r="G146" s="52" t="str">
        <f t="shared" si="8"/>
        <v>P</v>
      </c>
      <c r="H146" s="52"/>
      <c r="I146" s="52"/>
      <c r="J146" s="52" t="str">
        <f t="shared" si="9"/>
        <v>ELEM</v>
      </c>
      <c r="K146" s="52"/>
      <c r="L146" s="87"/>
      <c r="M146" s="52" t="e">
        <v>#N/A</v>
      </c>
      <c r="N146" s="52"/>
      <c r="O146" s="52"/>
      <c r="P146" s="52"/>
      <c r="Q146" s="52"/>
      <c r="R146" s="52"/>
      <c r="S146" s="52"/>
      <c r="T146" s="52"/>
      <c r="U146" s="52"/>
      <c r="V146" s="52"/>
      <c r="W146" s="53"/>
      <c r="X146" s="23"/>
      <c r="Y146" s="52"/>
      <c r="Z146" s="52"/>
      <c r="AA146" s="52"/>
      <c r="AB146" s="52"/>
      <c r="AC146" s="52"/>
      <c r="AD146" s="52"/>
      <c r="AE146" s="52"/>
    </row>
    <row r="147" spans="1:31" s="55" customFormat="1" x14ac:dyDescent="0.25">
      <c r="A147" s="52"/>
      <c r="B147" s="52"/>
      <c r="C147" s="52"/>
      <c r="D147" s="52"/>
      <c r="E147" s="52" t="str">
        <f t="shared" si="7"/>
        <v>PROG</v>
      </c>
      <c r="F147" s="52"/>
      <c r="G147" s="52" t="str">
        <f t="shared" si="8"/>
        <v>P</v>
      </c>
      <c r="H147" s="52"/>
      <c r="I147" s="52"/>
      <c r="J147" s="52" t="str">
        <f t="shared" si="9"/>
        <v>ELEM</v>
      </c>
      <c r="K147" s="52"/>
      <c r="L147" s="87"/>
      <c r="M147" s="52" t="e">
        <v>#N/A</v>
      </c>
      <c r="N147" s="52"/>
      <c r="O147" s="52"/>
      <c r="P147" s="52"/>
      <c r="Q147" s="52"/>
      <c r="R147" s="52"/>
      <c r="S147" s="52"/>
      <c r="T147" s="52"/>
      <c r="U147" s="52"/>
      <c r="V147" s="52"/>
      <c r="W147" s="53"/>
      <c r="X147" s="23"/>
      <c r="Y147" s="52"/>
      <c r="Z147" s="52"/>
      <c r="AA147" s="52"/>
      <c r="AB147" s="52"/>
      <c r="AC147" s="52"/>
      <c r="AD147" s="52"/>
      <c r="AE147" s="52"/>
    </row>
    <row r="148" spans="1:31" s="55" customFormat="1" x14ac:dyDescent="0.25">
      <c r="A148" s="52"/>
      <c r="B148" s="52"/>
      <c r="C148" s="52"/>
      <c r="D148" s="52"/>
      <c r="E148" s="52" t="str">
        <f t="shared" si="7"/>
        <v>PROG</v>
      </c>
      <c r="F148" s="52"/>
      <c r="G148" s="52" t="str">
        <f t="shared" si="8"/>
        <v>P</v>
      </c>
      <c r="H148" s="52"/>
      <c r="I148" s="52"/>
      <c r="J148" s="52" t="str">
        <f t="shared" si="9"/>
        <v>ELEM</v>
      </c>
      <c r="K148" s="52"/>
      <c r="L148" s="87"/>
      <c r="M148" s="52" t="e">
        <v>#N/A</v>
      </c>
      <c r="N148" s="52"/>
      <c r="O148" s="52"/>
      <c r="P148" s="52"/>
      <c r="Q148" s="52"/>
      <c r="R148" s="52"/>
      <c r="S148" s="52"/>
      <c r="T148" s="52"/>
      <c r="U148" s="52"/>
      <c r="V148" s="52"/>
      <c r="W148" s="53"/>
      <c r="X148" s="23"/>
      <c r="Y148" s="52"/>
      <c r="Z148" s="52"/>
      <c r="AA148" s="52"/>
      <c r="AB148" s="52"/>
      <c r="AC148" s="52"/>
      <c r="AD148" s="52"/>
      <c r="AE148" s="52"/>
    </row>
    <row r="149" spans="1:31" s="55" customFormat="1" x14ac:dyDescent="0.25">
      <c r="A149" s="52"/>
      <c r="B149" s="52"/>
      <c r="C149" s="52"/>
      <c r="D149" s="52"/>
      <c r="E149" s="52" t="str">
        <f t="shared" si="7"/>
        <v>PROG</v>
      </c>
      <c r="F149" s="52"/>
      <c r="G149" s="52" t="str">
        <f t="shared" si="8"/>
        <v>P</v>
      </c>
      <c r="H149" s="52"/>
      <c r="I149" s="52"/>
      <c r="J149" s="52" t="str">
        <f t="shared" si="9"/>
        <v>ELEM</v>
      </c>
      <c r="K149" s="52"/>
      <c r="L149" s="87"/>
      <c r="M149" s="52" t="e">
        <v>#N/A</v>
      </c>
      <c r="N149" s="52"/>
      <c r="O149" s="52"/>
      <c r="P149" s="52"/>
      <c r="Q149" s="52"/>
      <c r="R149" s="52"/>
      <c r="S149" s="52"/>
      <c r="T149" s="52"/>
      <c r="U149" s="52"/>
      <c r="V149" s="52"/>
      <c r="W149" s="53"/>
      <c r="X149" s="23"/>
      <c r="Y149" s="52"/>
      <c r="Z149" s="52"/>
      <c r="AA149" s="52"/>
      <c r="AB149" s="52"/>
      <c r="AC149" s="52"/>
      <c r="AD149" s="52"/>
      <c r="AE149" s="52"/>
    </row>
    <row r="150" spans="1:31" s="55" customFormat="1" x14ac:dyDescent="0.25">
      <c r="A150" s="52"/>
      <c r="B150" s="52"/>
      <c r="C150" s="52"/>
      <c r="D150" s="52"/>
      <c r="E150" s="52" t="str">
        <f t="shared" si="7"/>
        <v>PROG</v>
      </c>
      <c r="F150" s="52"/>
      <c r="G150" s="52" t="str">
        <f t="shared" si="8"/>
        <v>P</v>
      </c>
      <c r="H150" s="52"/>
      <c r="I150" s="52"/>
      <c r="J150" s="52" t="str">
        <f t="shared" si="9"/>
        <v>ELEM</v>
      </c>
      <c r="K150" s="52"/>
      <c r="L150" s="87"/>
      <c r="M150" s="52" t="e">
        <v>#N/A</v>
      </c>
      <c r="N150" s="52"/>
      <c r="O150" s="52"/>
      <c r="P150" s="52"/>
      <c r="Q150" s="52"/>
      <c r="R150" s="52"/>
      <c r="S150" s="52"/>
      <c r="T150" s="52"/>
      <c r="U150" s="52"/>
      <c r="V150" s="52"/>
      <c r="W150" s="53"/>
      <c r="X150" s="23"/>
      <c r="Y150" s="52"/>
      <c r="Z150" s="52"/>
      <c r="AA150" s="52"/>
      <c r="AB150" s="52"/>
      <c r="AC150" s="52"/>
      <c r="AD150" s="52"/>
      <c r="AE150" s="52"/>
    </row>
    <row r="151" spans="1:31" s="55" customFormat="1" x14ac:dyDescent="0.25">
      <c r="A151" s="52"/>
      <c r="B151" s="52"/>
      <c r="C151" s="52"/>
      <c r="D151" s="52"/>
      <c r="E151" s="52" t="str">
        <f t="shared" si="7"/>
        <v>PROG</v>
      </c>
      <c r="F151" s="52"/>
      <c r="G151" s="52" t="str">
        <f t="shared" si="8"/>
        <v>P</v>
      </c>
      <c r="H151" s="52"/>
      <c r="I151" s="52"/>
      <c r="J151" s="52" t="str">
        <f t="shared" si="9"/>
        <v>ELEM</v>
      </c>
      <c r="K151" s="52"/>
      <c r="L151" s="87"/>
      <c r="M151" s="52" t="e">
        <v>#N/A</v>
      </c>
      <c r="N151" s="52"/>
      <c r="O151" s="52"/>
      <c r="P151" s="52"/>
      <c r="Q151" s="52"/>
      <c r="R151" s="52"/>
      <c r="S151" s="52"/>
      <c r="T151" s="52"/>
      <c r="U151" s="52"/>
      <c r="V151" s="52"/>
      <c r="W151" s="53"/>
      <c r="X151" s="23"/>
      <c r="Y151" s="52"/>
      <c r="Z151" s="52"/>
      <c r="AA151" s="52"/>
      <c r="AB151" s="52"/>
      <c r="AC151" s="52"/>
      <c r="AD151" s="52"/>
      <c r="AE151" s="52"/>
    </row>
    <row r="152" spans="1:31" s="55" customFormat="1" x14ac:dyDescent="0.25">
      <c r="A152" s="52"/>
      <c r="B152" s="52"/>
      <c r="C152" s="52"/>
      <c r="D152" s="52"/>
      <c r="E152" s="52" t="str">
        <f t="shared" si="7"/>
        <v>PROG</v>
      </c>
      <c r="F152" s="52"/>
      <c r="G152" s="52" t="str">
        <f t="shared" si="8"/>
        <v>P</v>
      </c>
      <c r="H152" s="52"/>
      <c r="I152" s="52"/>
      <c r="J152" s="52" t="str">
        <f t="shared" si="9"/>
        <v>ELEM</v>
      </c>
      <c r="K152" s="52"/>
      <c r="L152" s="87"/>
      <c r="M152" s="52" t="e">
        <v>#N/A</v>
      </c>
      <c r="N152" s="52"/>
      <c r="O152" s="52"/>
      <c r="P152" s="52"/>
      <c r="Q152" s="52"/>
      <c r="R152" s="52"/>
      <c r="S152" s="52"/>
      <c r="T152" s="52"/>
      <c r="U152" s="52"/>
      <c r="V152" s="52"/>
      <c r="W152" s="53"/>
      <c r="X152" s="23"/>
      <c r="Y152" s="52"/>
      <c r="Z152" s="52"/>
      <c r="AA152" s="52"/>
      <c r="AB152" s="52"/>
      <c r="AC152" s="52"/>
      <c r="AD152" s="52"/>
      <c r="AE152" s="52"/>
    </row>
    <row r="153" spans="1:31" s="55" customFormat="1" x14ac:dyDescent="0.25">
      <c r="A153" s="52"/>
      <c r="B153" s="52"/>
      <c r="C153" s="52"/>
      <c r="D153" s="52"/>
      <c r="E153" s="52" t="str">
        <f t="shared" si="7"/>
        <v>PROG</v>
      </c>
      <c r="F153" s="52"/>
      <c r="G153" s="52" t="str">
        <f t="shared" si="8"/>
        <v>P</v>
      </c>
      <c r="H153" s="52"/>
      <c r="I153" s="52"/>
      <c r="J153" s="52" t="str">
        <f t="shared" si="9"/>
        <v>ELEM</v>
      </c>
      <c r="K153" s="52"/>
      <c r="L153" s="87"/>
      <c r="M153" s="52" t="e">
        <v>#N/A</v>
      </c>
      <c r="N153" s="52"/>
      <c r="O153" s="52"/>
      <c r="P153" s="52"/>
      <c r="Q153" s="52"/>
      <c r="R153" s="52"/>
      <c r="S153" s="52"/>
      <c r="T153" s="52"/>
      <c r="U153" s="52"/>
      <c r="V153" s="52"/>
      <c r="W153" s="53"/>
      <c r="X153" s="23"/>
      <c r="Y153" s="52"/>
      <c r="Z153" s="52"/>
      <c r="AA153" s="52"/>
      <c r="AB153" s="52"/>
      <c r="AC153" s="52"/>
      <c r="AD153" s="52"/>
      <c r="AE153" s="52"/>
    </row>
    <row r="154" spans="1:31" s="55" customFormat="1" x14ac:dyDescent="0.25">
      <c r="A154" s="52"/>
      <c r="B154" s="52"/>
      <c r="C154" s="52"/>
      <c r="D154" s="52"/>
      <c r="E154" s="52" t="str">
        <f t="shared" si="7"/>
        <v>PROG</v>
      </c>
      <c r="F154" s="52"/>
      <c r="G154" s="52" t="str">
        <f t="shared" si="8"/>
        <v>P</v>
      </c>
      <c r="H154" s="52"/>
      <c r="I154" s="52"/>
      <c r="J154" s="52" t="str">
        <f t="shared" si="9"/>
        <v>ELEM</v>
      </c>
      <c r="K154" s="52"/>
      <c r="L154" s="87"/>
      <c r="M154" s="52" t="e">
        <v>#N/A</v>
      </c>
      <c r="N154" s="52"/>
      <c r="O154" s="52"/>
      <c r="P154" s="52"/>
      <c r="Q154" s="52"/>
      <c r="R154" s="52"/>
      <c r="S154" s="52"/>
      <c r="T154" s="52"/>
      <c r="U154" s="52"/>
      <c r="V154" s="52"/>
      <c r="W154" s="53"/>
      <c r="X154" s="23"/>
      <c r="Y154" s="52"/>
      <c r="Z154" s="52"/>
      <c r="AA154" s="52"/>
      <c r="AB154" s="52"/>
      <c r="AC154" s="52"/>
      <c r="AD154" s="52"/>
      <c r="AE154" s="52"/>
    </row>
    <row r="155" spans="1:31" s="55" customFormat="1" x14ac:dyDescent="0.25">
      <c r="A155" s="52"/>
      <c r="B155" s="52"/>
      <c r="C155" s="52"/>
      <c r="D155" s="52"/>
      <c r="E155" s="52" t="str">
        <f t="shared" si="7"/>
        <v>PROG</v>
      </c>
      <c r="F155" s="52"/>
      <c r="G155" s="52" t="str">
        <f t="shared" si="8"/>
        <v>P</v>
      </c>
      <c r="H155" s="52"/>
      <c r="I155" s="52"/>
      <c r="J155" s="52" t="str">
        <f t="shared" si="9"/>
        <v>ELEM</v>
      </c>
      <c r="K155" s="52"/>
      <c r="L155" s="87"/>
      <c r="M155" s="52" t="e">
        <v>#N/A</v>
      </c>
      <c r="N155" s="52"/>
      <c r="O155" s="52"/>
      <c r="P155" s="52"/>
      <c r="Q155" s="52"/>
      <c r="R155" s="52"/>
      <c r="S155" s="52"/>
      <c r="T155" s="52"/>
      <c r="U155" s="52"/>
      <c r="V155" s="52"/>
      <c r="W155" s="53"/>
      <c r="X155" s="23"/>
      <c r="Y155" s="52"/>
      <c r="Z155" s="52"/>
      <c r="AA155" s="52"/>
      <c r="AB155" s="52"/>
      <c r="AC155" s="52"/>
      <c r="AD155" s="52"/>
      <c r="AE155" s="52"/>
    </row>
    <row r="156" spans="1:31" s="55" customFormat="1" x14ac:dyDescent="0.25">
      <c r="A156" s="52"/>
      <c r="B156" s="52"/>
      <c r="C156" s="52"/>
      <c r="D156" s="52"/>
      <c r="E156" s="52" t="str">
        <f t="shared" si="7"/>
        <v>PROG</v>
      </c>
      <c r="F156" s="52"/>
      <c r="G156" s="52" t="str">
        <f t="shared" si="8"/>
        <v>P</v>
      </c>
      <c r="H156" s="52"/>
      <c r="I156" s="52"/>
      <c r="J156" s="52" t="str">
        <f t="shared" si="9"/>
        <v>ELEM</v>
      </c>
      <c r="K156" s="52"/>
      <c r="L156" s="87"/>
      <c r="M156" s="52" t="e">
        <v>#N/A</v>
      </c>
      <c r="N156" s="52"/>
      <c r="O156" s="52"/>
      <c r="P156" s="52"/>
      <c r="Q156" s="52"/>
      <c r="R156" s="52"/>
      <c r="S156" s="52"/>
      <c r="T156" s="52"/>
      <c r="U156" s="52"/>
      <c r="V156" s="52"/>
      <c r="W156" s="53"/>
      <c r="X156" s="23"/>
      <c r="Y156" s="52"/>
      <c r="Z156" s="52"/>
      <c r="AA156" s="52"/>
      <c r="AB156" s="52"/>
      <c r="AC156" s="52"/>
      <c r="AD156" s="52"/>
      <c r="AE156" s="52"/>
    </row>
    <row r="157" spans="1:31" s="55" customFormat="1" x14ac:dyDescent="0.25">
      <c r="A157" s="52"/>
      <c r="B157" s="52"/>
      <c r="C157" s="52"/>
      <c r="D157" s="52"/>
      <c r="E157" s="52" t="str">
        <f t="shared" si="7"/>
        <v>PROG</v>
      </c>
      <c r="F157" s="52"/>
      <c r="G157" s="52" t="str">
        <f t="shared" si="8"/>
        <v>P</v>
      </c>
      <c r="H157" s="52"/>
      <c r="I157" s="52"/>
      <c r="J157" s="52" t="str">
        <f t="shared" si="9"/>
        <v>ELEM</v>
      </c>
      <c r="K157" s="52"/>
      <c r="L157" s="87"/>
      <c r="M157" s="52" t="e">
        <v>#N/A</v>
      </c>
      <c r="N157" s="52"/>
      <c r="O157" s="52"/>
      <c r="P157" s="52"/>
      <c r="Q157" s="52"/>
      <c r="R157" s="52"/>
      <c r="S157" s="52"/>
      <c r="T157" s="52"/>
      <c r="U157" s="52"/>
      <c r="V157" s="52"/>
      <c r="W157" s="53"/>
      <c r="X157" s="23"/>
      <c r="Y157" s="52"/>
      <c r="Z157" s="52"/>
      <c r="AA157" s="52"/>
      <c r="AB157" s="52"/>
      <c r="AC157" s="52"/>
      <c r="AD157" s="52"/>
      <c r="AE157" s="52"/>
    </row>
    <row r="158" spans="1:31" s="55" customFormat="1" x14ac:dyDescent="0.25">
      <c r="A158" s="52"/>
      <c r="B158" s="52"/>
      <c r="C158" s="52"/>
      <c r="D158" s="52"/>
      <c r="E158" s="52" t="str">
        <f t="shared" si="7"/>
        <v>PROG</v>
      </c>
      <c r="F158" s="52"/>
      <c r="G158" s="52" t="str">
        <f t="shared" si="8"/>
        <v>P</v>
      </c>
      <c r="H158" s="52"/>
      <c r="I158" s="52"/>
      <c r="J158" s="52" t="str">
        <f t="shared" si="9"/>
        <v>ELEM</v>
      </c>
      <c r="K158" s="52"/>
      <c r="L158" s="87"/>
      <c r="M158" s="52" t="e">
        <v>#N/A</v>
      </c>
      <c r="N158" s="52"/>
      <c r="O158" s="52"/>
      <c r="P158" s="52"/>
      <c r="Q158" s="52"/>
      <c r="R158" s="52"/>
      <c r="S158" s="52"/>
      <c r="T158" s="52"/>
      <c r="U158" s="52"/>
      <c r="V158" s="52"/>
      <c r="W158" s="53"/>
      <c r="X158" s="23"/>
      <c r="Y158" s="52"/>
      <c r="Z158" s="52"/>
      <c r="AA158" s="52"/>
      <c r="AB158" s="52"/>
      <c r="AC158" s="52"/>
      <c r="AD158" s="52"/>
      <c r="AE158" s="52"/>
    </row>
    <row r="159" spans="1:31" s="55" customFormat="1" x14ac:dyDescent="0.25">
      <c r="A159" s="52"/>
      <c r="B159" s="52"/>
      <c r="C159" s="52"/>
      <c r="D159" s="52"/>
      <c r="E159" s="52" t="str">
        <f t="shared" si="7"/>
        <v>PROG</v>
      </c>
      <c r="F159" s="52"/>
      <c r="G159" s="52" t="str">
        <f t="shared" si="8"/>
        <v>P</v>
      </c>
      <c r="H159" s="52"/>
      <c r="I159" s="52"/>
      <c r="J159" s="52" t="str">
        <f t="shared" si="9"/>
        <v>ELEM</v>
      </c>
      <c r="K159" s="52"/>
      <c r="L159" s="87"/>
      <c r="M159" s="52" t="e">
        <v>#N/A</v>
      </c>
      <c r="N159" s="52"/>
      <c r="O159" s="52"/>
      <c r="P159" s="52"/>
      <c r="Q159" s="52"/>
      <c r="R159" s="52"/>
      <c r="S159" s="52"/>
      <c r="T159" s="52"/>
      <c r="U159" s="52"/>
      <c r="V159" s="52"/>
      <c r="W159" s="53"/>
      <c r="X159" s="23"/>
      <c r="Y159" s="52"/>
      <c r="Z159" s="52"/>
      <c r="AA159" s="52"/>
      <c r="AB159" s="52"/>
      <c r="AC159" s="52"/>
      <c r="AD159" s="52"/>
      <c r="AE159" s="52"/>
    </row>
    <row r="160" spans="1:31" s="55" customFormat="1" x14ac:dyDescent="0.25">
      <c r="A160" s="52"/>
      <c r="B160" s="52"/>
      <c r="C160" s="52"/>
      <c r="D160" s="52"/>
      <c r="E160" s="52" t="str">
        <f t="shared" si="7"/>
        <v>PROG</v>
      </c>
      <c r="F160" s="52"/>
      <c r="G160" s="52" t="str">
        <f t="shared" si="8"/>
        <v>P</v>
      </c>
      <c r="H160" s="52"/>
      <c r="I160" s="52"/>
      <c r="J160" s="52" t="str">
        <f t="shared" si="9"/>
        <v>ELEM</v>
      </c>
      <c r="K160" s="52"/>
      <c r="L160" s="87"/>
      <c r="M160" s="52" t="e">
        <v>#N/A</v>
      </c>
      <c r="N160" s="52"/>
      <c r="O160" s="52"/>
      <c r="P160" s="52"/>
      <c r="Q160" s="52"/>
      <c r="R160" s="52"/>
      <c r="S160" s="52"/>
      <c r="T160" s="52"/>
      <c r="U160" s="52"/>
      <c r="V160" s="52"/>
      <c r="W160" s="53"/>
      <c r="X160" s="23"/>
      <c r="Y160" s="52"/>
      <c r="Z160" s="52"/>
      <c r="AA160" s="52"/>
      <c r="AB160" s="52"/>
      <c r="AC160" s="52"/>
      <c r="AD160" s="52"/>
      <c r="AE160" s="52"/>
    </row>
    <row r="161" spans="1:31" s="55" customFormat="1" x14ac:dyDescent="0.25">
      <c r="A161" s="52"/>
      <c r="B161" s="52"/>
      <c r="C161" s="52"/>
      <c r="D161" s="52"/>
      <c r="E161" s="52" t="str">
        <f t="shared" si="7"/>
        <v>PROG</v>
      </c>
      <c r="F161" s="52"/>
      <c r="G161" s="52" t="str">
        <f t="shared" si="8"/>
        <v>P</v>
      </c>
      <c r="H161" s="52"/>
      <c r="I161" s="52"/>
      <c r="J161" s="52" t="str">
        <f t="shared" si="9"/>
        <v>ELEM</v>
      </c>
      <c r="K161" s="52"/>
      <c r="L161" s="87"/>
      <c r="M161" s="52" t="e">
        <v>#N/A</v>
      </c>
      <c r="N161" s="52"/>
      <c r="O161" s="52"/>
      <c r="P161" s="52"/>
      <c r="Q161" s="52"/>
      <c r="R161" s="52"/>
      <c r="S161" s="52"/>
      <c r="T161" s="52"/>
      <c r="U161" s="52"/>
      <c r="V161" s="52"/>
      <c r="W161" s="53"/>
      <c r="X161" s="23"/>
      <c r="Y161" s="52"/>
      <c r="Z161" s="52"/>
      <c r="AA161" s="52"/>
      <c r="AB161" s="52"/>
      <c r="AC161" s="52"/>
      <c r="AD161" s="52"/>
      <c r="AE161" s="52"/>
    </row>
    <row r="162" spans="1:31" s="55" customFormat="1" x14ac:dyDescent="0.25">
      <c r="A162" s="52"/>
      <c r="B162" s="52"/>
      <c r="C162" s="52"/>
      <c r="D162" s="52"/>
      <c r="E162" s="52" t="str">
        <f t="shared" si="7"/>
        <v>PROG</v>
      </c>
      <c r="F162" s="52"/>
      <c r="G162" s="52" t="str">
        <f t="shared" si="8"/>
        <v>P</v>
      </c>
      <c r="H162" s="52"/>
      <c r="I162" s="52"/>
      <c r="J162" s="52" t="str">
        <f t="shared" si="9"/>
        <v>ELEM</v>
      </c>
      <c r="K162" s="52"/>
      <c r="L162" s="87"/>
      <c r="M162" s="52" t="e">
        <v>#N/A</v>
      </c>
      <c r="N162" s="52"/>
      <c r="O162" s="52"/>
      <c r="P162" s="52"/>
      <c r="Q162" s="52"/>
      <c r="R162" s="52"/>
      <c r="S162" s="52"/>
      <c r="T162" s="52"/>
      <c r="U162" s="52"/>
      <c r="V162" s="52"/>
      <c r="W162" s="53"/>
      <c r="X162" s="23"/>
      <c r="Y162" s="52"/>
      <c r="Z162" s="52"/>
      <c r="AA162" s="52"/>
      <c r="AB162" s="52"/>
      <c r="AC162" s="52"/>
      <c r="AD162" s="52"/>
      <c r="AE162" s="52"/>
    </row>
    <row r="163" spans="1:31" s="55" customFormat="1" x14ac:dyDescent="0.25">
      <c r="A163" s="52"/>
      <c r="B163" s="52"/>
      <c r="C163" s="52"/>
      <c r="D163" s="52"/>
      <c r="E163" s="52" t="str">
        <f t="shared" si="7"/>
        <v>PROG</v>
      </c>
      <c r="F163" s="52"/>
      <c r="G163" s="52" t="str">
        <f t="shared" si="8"/>
        <v>P</v>
      </c>
      <c r="H163" s="52"/>
      <c r="I163" s="52"/>
      <c r="J163" s="52" t="str">
        <f t="shared" si="9"/>
        <v>ELEM</v>
      </c>
      <c r="K163" s="52"/>
      <c r="L163" s="87"/>
      <c r="M163" s="52" t="e">
        <v>#N/A</v>
      </c>
      <c r="N163" s="52"/>
      <c r="O163" s="52"/>
      <c r="P163" s="52"/>
      <c r="Q163" s="52"/>
      <c r="R163" s="52"/>
      <c r="S163" s="52"/>
      <c r="T163" s="52"/>
      <c r="U163" s="52"/>
      <c r="V163" s="52"/>
      <c r="W163" s="53"/>
      <c r="X163" s="23"/>
      <c r="Y163" s="52"/>
      <c r="Z163" s="52"/>
      <c r="AA163" s="52"/>
      <c r="AB163" s="52"/>
      <c r="AC163" s="52"/>
      <c r="AD163" s="52"/>
      <c r="AE163" s="52"/>
    </row>
    <row r="164" spans="1:31" s="55" customFormat="1" x14ac:dyDescent="0.25">
      <c r="A164" s="52"/>
      <c r="B164" s="52"/>
      <c r="C164" s="52"/>
      <c r="D164" s="52"/>
      <c r="E164" s="52" t="str">
        <f t="shared" si="7"/>
        <v>PROG</v>
      </c>
      <c r="F164" s="52"/>
      <c r="G164" s="52" t="str">
        <f t="shared" si="8"/>
        <v>P</v>
      </c>
      <c r="H164" s="52"/>
      <c r="I164" s="52"/>
      <c r="J164" s="52" t="str">
        <f t="shared" si="9"/>
        <v>ELEM</v>
      </c>
      <c r="K164" s="52"/>
      <c r="L164" s="87"/>
      <c r="M164" s="52" t="e">
        <v>#N/A</v>
      </c>
      <c r="N164" s="52"/>
      <c r="O164" s="52"/>
      <c r="P164" s="52"/>
      <c r="Q164" s="52"/>
      <c r="R164" s="52"/>
      <c r="S164" s="52"/>
      <c r="T164" s="52"/>
      <c r="U164" s="52"/>
      <c r="V164" s="52"/>
      <c r="W164" s="53"/>
      <c r="X164" s="23"/>
      <c r="Y164" s="52"/>
      <c r="Z164" s="52"/>
      <c r="AA164" s="52"/>
      <c r="AB164" s="52"/>
      <c r="AC164" s="52"/>
      <c r="AD164" s="52"/>
      <c r="AE164" s="52"/>
    </row>
    <row r="165" spans="1:31" s="55" customFormat="1" x14ac:dyDescent="0.25">
      <c r="A165" s="52"/>
      <c r="B165" s="52"/>
      <c r="C165" s="52"/>
      <c r="D165" s="52"/>
      <c r="E165" s="52" t="str">
        <f t="shared" si="7"/>
        <v>PROG</v>
      </c>
      <c r="F165" s="52"/>
      <c r="G165" s="52" t="str">
        <f t="shared" si="8"/>
        <v>P</v>
      </c>
      <c r="H165" s="52"/>
      <c r="I165" s="52"/>
      <c r="J165" s="52" t="str">
        <f t="shared" si="9"/>
        <v>ELEM</v>
      </c>
      <c r="K165" s="52"/>
      <c r="L165" s="87"/>
      <c r="M165" s="52" t="e">
        <v>#N/A</v>
      </c>
      <c r="N165" s="52"/>
      <c r="O165" s="52"/>
      <c r="P165" s="52"/>
      <c r="Q165" s="52"/>
      <c r="R165" s="52"/>
      <c r="S165" s="52"/>
      <c r="T165" s="52"/>
      <c r="U165" s="52"/>
      <c r="V165" s="52"/>
      <c r="W165" s="53"/>
      <c r="X165" s="23"/>
      <c r="Y165" s="52"/>
      <c r="Z165" s="52"/>
      <c r="AA165" s="52"/>
      <c r="AB165" s="52"/>
      <c r="AC165" s="52"/>
      <c r="AD165" s="52"/>
      <c r="AE165" s="52"/>
    </row>
    <row r="166" spans="1:31" s="55" customFormat="1" x14ac:dyDescent="0.25">
      <c r="A166" s="52"/>
      <c r="B166" s="52"/>
      <c r="C166" s="52"/>
      <c r="D166" s="52"/>
      <c r="E166" s="52" t="str">
        <f t="shared" si="7"/>
        <v>PROG</v>
      </c>
      <c r="F166" s="52"/>
      <c r="G166" s="52" t="str">
        <f t="shared" si="8"/>
        <v>P</v>
      </c>
      <c r="H166" s="52"/>
      <c r="I166" s="52"/>
      <c r="J166" s="52" t="str">
        <f t="shared" si="9"/>
        <v>ELEM</v>
      </c>
      <c r="K166" s="52"/>
      <c r="L166" s="87"/>
      <c r="M166" s="52" t="e">
        <v>#N/A</v>
      </c>
      <c r="N166" s="52"/>
      <c r="O166" s="52"/>
      <c r="P166" s="52"/>
      <c r="Q166" s="52"/>
      <c r="R166" s="52"/>
      <c r="S166" s="52"/>
      <c r="T166" s="52"/>
      <c r="U166" s="52"/>
      <c r="V166" s="52"/>
      <c r="W166" s="53"/>
      <c r="X166" s="23"/>
      <c r="Y166" s="52"/>
      <c r="Z166" s="52"/>
      <c r="AA166" s="52"/>
      <c r="AB166" s="52"/>
      <c r="AC166" s="52"/>
      <c r="AD166" s="52"/>
      <c r="AE166" s="52"/>
    </row>
    <row r="167" spans="1:31" s="55" customFormat="1" x14ac:dyDescent="0.25">
      <c r="A167" s="52"/>
      <c r="B167" s="52"/>
      <c r="C167" s="52"/>
      <c r="D167" s="52"/>
      <c r="E167" s="52" t="str">
        <f t="shared" si="7"/>
        <v>PROG</v>
      </c>
      <c r="F167" s="52"/>
      <c r="G167" s="52" t="str">
        <f t="shared" si="8"/>
        <v>P</v>
      </c>
      <c r="H167" s="52"/>
      <c r="I167" s="52"/>
      <c r="J167" s="52" t="str">
        <f t="shared" si="9"/>
        <v>ELEM</v>
      </c>
      <c r="K167" s="52"/>
      <c r="L167" s="87"/>
      <c r="M167" s="52" t="e">
        <v>#N/A</v>
      </c>
      <c r="N167" s="52"/>
      <c r="O167" s="52"/>
      <c r="P167" s="52"/>
      <c r="Q167" s="52"/>
      <c r="R167" s="52"/>
      <c r="S167" s="52"/>
      <c r="T167" s="52"/>
      <c r="U167" s="52"/>
      <c r="V167" s="52"/>
      <c r="W167" s="53"/>
      <c r="X167" s="23"/>
      <c r="Y167" s="52"/>
      <c r="Z167" s="52"/>
      <c r="AA167" s="52"/>
      <c r="AB167" s="52"/>
      <c r="AC167" s="52"/>
      <c r="AD167" s="52"/>
      <c r="AE167" s="52"/>
    </row>
    <row r="168" spans="1:31" s="55" customFormat="1" x14ac:dyDescent="0.25">
      <c r="A168" s="52"/>
      <c r="B168" s="52"/>
      <c r="C168" s="52"/>
      <c r="D168" s="52"/>
      <c r="E168" s="52" t="str">
        <f t="shared" si="7"/>
        <v>PROG</v>
      </c>
      <c r="F168" s="52"/>
      <c r="G168" s="52" t="str">
        <f t="shared" si="8"/>
        <v>P</v>
      </c>
      <c r="H168" s="52"/>
      <c r="I168" s="52"/>
      <c r="J168" s="52" t="str">
        <f t="shared" si="9"/>
        <v>ELEM</v>
      </c>
      <c r="K168" s="52"/>
      <c r="L168" s="87"/>
      <c r="M168" s="52" t="e">
        <v>#N/A</v>
      </c>
      <c r="N168" s="52"/>
      <c r="O168" s="52"/>
      <c r="P168" s="52"/>
      <c r="Q168" s="52"/>
      <c r="R168" s="52"/>
      <c r="S168" s="52"/>
      <c r="T168" s="52"/>
      <c r="U168" s="52"/>
      <c r="V168" s="52"/>
      <c r="W168" s="53"/>
      <c r="X168" s="23"/>
      <c r="Y168" s="52"/>
      <c r="Z168" s="52"/>
      <c r="AA168" s="52"/>
      <c r="AB168" s="52"/>
      <c r="AC168" s="52"/>
      <c r="AD168" s="52"/>
      <c r="AE168" s="52"/>
    </row>
    <row r="169" spans="1:31" s="55" customFormat="1" x14ac:dyDescent="0.25">
      <c r="A169" s="52"/>
      <c r="B169" s="52"/>
      <c r="C169" s="52"/>
      <c r="D169" s="52"/>
      <c r="E169" s="52" t="str">
        <f t="shared" si="7"/>
        <v>PROG</v>
      </c>
      <c r="F169" s="52"/>
      <c r="G169" s="52" t="str">
        <f t="shared" si="8"/>
        <v>P</v>
      </c>
      <c r="H169" s="52"/>
      <c r="I169" s="52"/>
      <c r="J169" s="52" t="str">
        <f t="shared" si="9"/>
        <v>ELEM</v>
      </c>
      <c r="K169" s="52"/>
      <c r="L169" s="87"/>
      <c r="M169" s="52" t="e">
        <v>#N/A</v>
      </c>
      <c r="N169" s="52"/>
      <c r="O169" s="52"/>
      <c r="P169" s="52"/>
      <c r="Q169" s="52"/>
      <c r="R169" s="52"/>
      <c r="S169" s="52"/>
      <c r="T169" s="52"/>
      <c r="U169" s="52"/>
      <c r="V169" s="52"/>
      <c r="W169" s="53"/>
      <c r="X169" s="23"/>
      <c r="Y169" s="52"/>
      <c r="Z169" s="52"/>
      <c r="AA169" s="52"/>
      <c r="AB169" s="52"/>
      <c r="AC169" s="52"/>
      <c r="AD169" s="52"/>
      <c r="AE169" s="52"/>
    </row>
    <row r="170" spans="1:31" s="55" customFormat="1" x14ac:dyDescent="0.25">
      <c r="A170" s="52"/>
      <c r="B170" s="52"/>
      <c r="C170" s="52"/>
      <c r="D170" s="52"/>
      <c r="E170" s="52" t="str">
        <f t="shared" si="7"/>
        <v>PROG</v>
      </c>
      <c r="F170" s="52"/>
      <c r="G170" s="52" t="str">
        <f t="shared" si="8"/>
        <v>P</v>
      </c>
      <c r="H170" s="52"/>
      <c r="I170" s="52"/>
      <c r="J170" s="52" t="str">
        <f t="shared" si="9"/>
        <v>ELEM</v>
      </c>
      <c r="K170" s="52"/>
      <c r="L170" s="87"/>
      <c r="M170" s="52" t="e">
        <v>#N/A</v>
      </c>
      <c r="N170" s="52"/>
      <c r="O170" s="52"/>
      <c r="P170" s="52"/>
      <c r="Q170" s="52"/>
      <c r="R170" s="52"/>
      <c r="S170" s="52"/>
      <c r="T170" s="52"/>
      <c r="U170" s="52"/>
      <c r="V170" s="52"/>
      <c r="W170" s="53"/>
      <c r="X170" s="23"/>
      <c r="Y170" s="52"/>
      <c r="Z170" s="52"/>
      <c r="AA170" s="52"/>
      <c r="AB170" s="52"/>
      <c r="AC170" s="52"/>
      <c r="AD170" s="52"/>
      <c r="AE170" s="52"/>
    </row>
    <row r="171" spans="1:31" s="55" customFormat="1" x14ac:dyDescent="0.25">
      <c r="A171" s="52"/>
      <c r="B171" s="52"/>
      <c r="C171" s="52"/>
      <c r="D171" s="52"/>
      <c r="E171" s="52" t="str">
        <f t="shared" si="7"/>
        <v>PROG</v>
      </c>
      <c r="F171" s="52"/>
      <c r="G171" s="52" t="str">
        <f t="shared" si="8"/>
        <v>P</v>
      </c>
      <c r="H171" s="52"/>
      <c r="I171" s="52"/>
      <c r="J171" s="52" t="str">
        <f t="shared" si="9"/>
        <v>ELEM</v>
      </c>
      <c r="K171" s="52"/>
      <c r="L171" s="87"/>
      <c r="M171" s="52" t="e">
        <v>#N/A</v>
      </c>
      <c r="N171" s="52"/>
      <c r="O171" s="52"/>
      <c r="P171" s="52"/>
      <c r="Q171" s="52"/>
      <c r="R171" s="52"/>
      <c r="S171" s="52"/>
      <c r="T171" s="52"/>
      <c r="U171" s="52"/>
      <c r="V171" s="52"/>
      <c r="W171" s="53"/>
      <c r="X171" s="23"/>
      <c r="Y171" s="52"/>
      <c r="Z171" s="52"/>
      <c r="AA171" s="52"/>
      <c r="AB171" s="52"/>
      <c r="AC171" s="52"/>
      <c r="AD171" s="52"/>
      <c r="AE171" s="52"/>
    </row>
    <row r="172" spans="1:31" s="55" customFormat="1" x14ac:dyDescent="0.25">
      <c r="A172" s="52"/>
      <c r="B172" s="52"/>
      <c r="C172" s="52"/>
      <c r="D172" s="52"/>
      <c r="E172" s="52" t="str">
        <f t="shared" si="7"/>
        <v>PROG</v>
      </c>
      <c r="F172" s="52"/>
      <c r="G172" s="52" t="str">
        <f t="shared" si="8"/>
        <v>P</v>
      </c>
      <c r="H172" s="52"/>
      <c r="I172" s="52"/>
      <c r="J172" s="52" t="str">
        <f t="shared" si="9"/>
        <v>ELEM</v>
      </c>
      <c r="K172" s="52"/>
      <c r="L172" s="87"/>
      <c r="M172" s="52" t="e">
        <v>#N/A</v>
      </c>
      <c r="N172" s="52"/>
      <c r="O172" s="52"/>
      <c r="P172" s="52"/>
      <c r="Q172" s="52"/>
      <c r="R172" s="52"/>
      <c r="S172" s="52"/>
      <c r="T172" s="52"/>
      <c r="U172" s="52"/>
      <c r="V172" s="52"/>
      <c r="W172" s="53"/>
      <c r="X172" s="23"/>
      <c r="Y172" s="52"/>
      <c r="Z172" s="52"/>
      <c r="AA172" s="52"/>
      <c r="AB172" s="52"/>
      <c r="AC172" s="52"/>
      <c r="AD172" s="52"/>
      <c r="AE172" s="52"/>
    </row>
    <row r="173" spans="1:31" s="55" customFormat="1" x14ac:dyDescent="0.25">
      <c r="A173" s="52"/>
      <c r="B173" s="52"/>
      <c r="C173" s="52"/>
      <c r="D173" s="52"/>
      <c r="E173" s="52" t="str">
        <f t="shared" si="7"/>
        <v>PROG</v>
      </c>
      <c r="F173" s="52"/>
      <c r="G173" s="52" t="str">
        <f t="shared" si="8"/>
        <v>P</v>
      </c>
      <c r="H173" s="52"/>
      <c r="I173" s="52"/>
      <c r="J173" s="52" t="str">
        <f t="shared" si="9"/>
        <v>ELEM</v>
      </c>
      <c r="K173" s="52"/>
      <c r="L173" s="87"/>
      <c r="M173" s="52" t="e">
        <v>#N/A</v>
      </c>
      <c r="N173" s="52"/>
      <c r="O173" s="52"/>
      <c r="P173" s="52"/>
      <c r="Q173" s="52"/>
      <c r="R173" s="52"/>
      <c r="S173" s="52"/>
      <c r="T173" s="52"/>
      <c r="U173" s="52"/>
      <c r="V173" s="52"/>
      <c r="W173" s="53"/>
      <c r="X173" s="23"/>
      <c r="Y173" s="52"/>
      <c r="Z173" s="52"/>
      <c r="AA173" s="52"/>
      <c r="AB173" s="52"/>
      <c r="AC173" s="52"/>
      <c r="AD173" s="52"/>
      <c r="AE173" s="52"/>
    </row>
    <row r="174" spans="1:31" s="55" customFormat="1" x14ac:dyDescent="0.25">
      <c r="A174" s="52"/>
      <c r="B174" s="52"/>
      <c r="C174" s="52"/>
      <c r="D174" s="52"/>
      <c r="E174" s="52" t="str">
        <f t="shared" si="7"/>
        <v>PROG</v>
      </c>
      <c r="F174" s="52"/>
      <c r="G174" s="52" t="str">
        <f t="shared" si="8"/>
        <v>P</v>
      </c>
      <c r="H174" s="52"/>
      <c r="I174" s="52"/>
      <c r="J174" s="52" t="str">
        <f t="shared" si="9"/>
        <v>ELEM</v>
      </c>
      <c r="K174" s="52"/>
      <c r="L174" s="87"/>
      <c r="M174" s="52" t="e">
        <v>#N/A</v>
      </c>
      <c r="N174" s="52"/>
      <c r="O174" s="52"/>
      <c r="P174" s="52"/>
      <c r="Q174" s="52"/>
      <c r="R174" s="52"/>
      <c r="S174" s="52"/>
      <c r="T174" s="52"/>
      <c r="U174" s="52"/>
      <c r="V174" s="52"/>
      <c r="W174" s="53"/>
      <c r="X174" s="23"/>
      <c r="Y174" s="52"/>
      <c r="Z174" s="52"/>
      <c r="AA174" s="52"/>
      <c r="AB174" s="52"/>
      <c r="AC174" s="52"/>
      <c r="AD174" s="52"/>
      <c r="AE174" s="52"/>
    </row>
    <row r="175" spans="1:31" s="55" customFormat="1" x14ac:dyDescent="0.25">
      <c r="A175" s="52"/>
      <c r="B175" s="52"/>
      <c r="C175" s="52"/>
      <c r="D175" s="52"/>
      <c r="E175" s="52" t="str">
        <f t="shared" si="7"/>
        <v>PROG</v>
      </c>
      <c r="F175" s="52"/>
      <c r="G175" s="52" t="str">
        <f t="shared" si="8"/>
        <v>P</v>
      </c>
      <c r="H175" s="52"/>
      <c r="I175" s="52"/>
      <c r="J175" s="52" t="str">
        <f t="shared" si="9"/>
        <v>ELEM</v>
      </c>
      <c r="K175" s="52"/>
      <c r="L175" s="87"/>
      <c r="M175" s="52" t="e">
        <v>#N/A</v>
      </c>
      <c r="N175" s="52"/>
      <c r="O175" s="52"/>
      <c r="P175" s="52"/>
      <c r="Q175" s="52"/>
      <c r="R175" s="52"/>
      <c r="S175" s="52"/>
      <c r="T175" s="52"/>
      <c r="U175" s="52"/>
      <c r="V175" s="52"/>
      <c r="W175" s="53"/>
      <c r="X175" s="23"/>
      <c r="Y175" s="52"/>
      <c r="Z175" s="52"/>
      <c r="AA175" s="52"/>
      <c r="AB175" s="52"/>
      <c r="AC175" s="52"/>
      <c r="AD175" s="52"/>
      <c r="AE175" s="52"/>
    </row>
    <row r="176" spans="1:31" s="55" customFormat="1" x14ac:dyDescent="0.25">
      <c r="A176" s="52"/>
      <c r="B176" s="52"/>
      <c r="C176" s="52"/>
      <c r="D176" s="52"/>
      <c r="E176" s="52" t="str">
        <f t="shared" si="7"/>
        <v>PROG</v>
      </c>
      <c r="F176" s="52"/>
      <c r="G176" s="52" t="str">
        <f t="shared" si="8"/>
        <v>P</v>
      </c>
      <c r="H176" s="52"/>
      <c r="I176" s="52"/>
      <c r="J176" s="52" t="str">
        <f t="shared" si="9"/>
        <v>ELEM</v>
      </c>
      <c r="K176" s="52"/>
      <c r="L176" s="87"/>
      <c r="M176" s="52" t="e">
        <v>#N/A</v>
      </c>
      <c r="N176" s="52"/>
      <c r="O176" s="52"/>
      <c r="P176" s="52"/>
      <c r="Q176" s="52"/>
      <c r="R176" s="52"/>
      <c r="S176" s="52"/>
      <c r="T176" s="52"/>
      <c r="U176" s="52"/>
      <c r="V176" s="52"/>
      <c r="W176" s="53"/>
      <c r="X176" s="23"/>
      <c r="Y176" s="52"/>
      <c r="Z176" s="52"/>
      <c r="AA176" s="52"/>
      <c r="AB176" s="52"/>
      <c r="AC176" s="52"/>
      <c r="AD176" s="52"/>
      <c r="AE176" s="52"/>
    </row>
    <row r="177" spans="1:31" s="55" customFormat="1" x14ac:dyDescent="0.25">
      <c r="A177" s="52"/>
      <c r="B177" s="52"/>
      <c r="C177" s="52"/>
      <c r="D177" s="52"/>
      <c r="E177" s="52" t="str">
        <f t="shared" si="7"/>
        <v>PROG</v>
      </c>
      <c r="F177" s="52"/>
      <c r="G177" s="52" t="str">
        <f t="shared" si="8"/>
        <v>P</v>
      </c>
      <c r="H177" s="52"/>
      <c r="I177" s="52"/>
      <c r="J177" s="52" t="str">
        <f t="shared" si="9"/>
        <v>ELEM</v>
      </c>
      <c r="K177" s="52"/>
      <c r="L177" s="87"/>
      <c r="M177" s="52" t="e">
        <v>#N/A</v>
      </c>
      <c r="N177" s="52"/>
      <c r="O177" s="52"/>
      <c r="P177" s="52"/>
      <c r="Q177" s="52"/>
      <c r="R177" s="52"/>
      <c r="S177" s="52"/>
      <c r="T177" s="52"/>
      <c r="U177" s="52"/>
      <c r="V177" s="52"/>
      <c r="W177" s="53"/>
      <c r="X177" s="23"/>
      <c r="Y177" s="52"/>
      <c r="Z177" s="52"/>
      <c r="AA177" s="52"/>
      <c r="AB177" s="52"/>
      <c r="AC177" s="52"/>
      <c r="AD177" s="52"/>
      <c r="AE177" s="52"/>
    </row>
    <row r="178" spans="1:31" s="55" customFormat="1" x14ac:dyDescent="0.25">
      <c r="A178" s="52"/>
      <c r="B178" s="52"/>
      <c r="C178" s="52"/>
      <c r="D178" s="52"/>
      <c r="E178" s="52" t="str">
        <f t="shared" si="7"/>
        <v>PROG</v>
      </c>
      <c r="F178" s="52"/>
      <c r="G178" s="52" t="str">
        <f t="shared" si="8"/>
        <v>P</v>
      </c>
      <c r="H178" s="52"/>
      <c r="I178" s="52"/>
      <c r="J178" s="52" t="str">
        <f t="shared" si="9"/>
        <v>ELEM</v>
      </c>
      <c r="K178" s="52"/>
      <c r="L178" s="87"/>
      <c r="M178" s="52" t="e">
        <v>#N/A</v>
      </c>
      <c r="N178" s="52"/>
      <c r="O178" s="52"/>
      <c r="P178" s="52"/>
      <c r="Q178" s="52"/>
      <c r="R178" s="52"/>
      <c r="S178" s="52"/>
      <c r="T178" s="52"/>
      <c r="U178" s="52"/>
      <c r="V178" s="52"/>
      <c r="W178" s="53"/>
      <c r="X178" s="23"/>
      <c r="Y178" s="52"/>
      <c r="Z178" s="52"/>
      <c r="AA178" s="52"/>
      <c r="AB178" s="52"/>
      <c r="AC178" s="52"/>
      <c r="AD178" s="52"/>
      <c r="AE178" s="52"/>
    </row>
    <row r="179" spans="1:31" s="55" customFormat="1" x14ac:dyDescent="0.25">
      <c r="A179" s="52"/>
      <c r="B179" s="52"/>
      <c r="C179" s="52"/>
      <c r="D179" s="52"/>
      <c r="E179" s="52" t="str">
        <f t="shared" si="7"/>
        <v>PROG</v>
      </c>
      <c r="F179" s="52"/>
      <c r="G179" s="52" t="str">
        <f t="shared" si="8"/>
        <v>P</v>
      </c>
      <c r="H179" s="52"/>
      <c r="I179" s="52"/>
      <c r="J179" s="52" t="str">
        <f t="shared" si="9"/>
        <v>ELEM</v>
      </c>
      <c r="K179" s="52"/>
      <c r="L179" s="87"/>
      <c r="M179" s="52" t="e">
        <v>#N/A</v>
      </c>
      <c r="N179" s="52"/>
      <c r="O179" s="52"/>
      <c r="P179" s="52"/>
      <c r="Q179" s="52"/>
      <c r="R179" s="52"/>
      <c r="S179" s="52"/>
      <c r="T179" s="52"/>
      <c r="U179" s="52"/>
      <c r="V179" s="52"/>
      <c r="W179" s="53"/>
      <c r="X179" s="23"/>
      <c r="Y179" s="52"/>
      <c r="Z179" s="52"/>
      <c r="AA179" s="52"/>
      <c r="AB179" s="52"/>
      <c r="AC179" s="52"/>
      <c r="AD179" s="52"/>
      <c r="AE179" s="52"/>
    </row>
    <row r="180" spans="1:31" s="55" customFormat="1" x14ac:dyDescent="0.25">
      <c r="A180" s="52"/>
      <c r="B180" s="52"/>
      <c r="C180" s="52"/>
      <c r="D180" s="52"/>
      <c r="E180" s="52" t="str">
        <f t="shared" si="7"/>
        <v>PROG</v>
      </c>
      <c r="F180" s="52"/>
      <c r="G180" s="52" t="str">
        <f t="shared" si="8"/>
        <v>P</v>
      </c>
      <c r="H180" s="52"/>
      <c r="I180" s="52"/>
      <c r="J180" s="52" t="str">
        <f t="shared" si="9"/>
        <v>ELEM</v>
      </c>
      <c r="K180" s="52"/>
      <c r="L180" s="87"/>
      <c r="M180" s="52" t="e">
        <v>#N/A</v>
      </c>
      <c r="N180" s="52"/>
      <c r="O180" s="52"/>
      <c r="P180" s="52"/>
      <c r="Q180" s="52"/>
      <c r="R180" s="52"/>
      <c r="S180" s="52"/>
      <c r="T180" s="52"/>
      <c r="U180" s="52"/>
      <c r="V180" s="52"/>
      <c r="W180" s="53"/>
      <c r="X180" s="23"/>
      <c r="Y180" s="52"/>
      <c r="Z180" s="52"/>
      <c r="AA180" s="52"/>
      <c r="AB180" s="52"/>
      <c r="AC180" s="52"/>
      <c r="AD180" s="52"/>
      <c r="AE180" s="52"/>
    </row>
    <row r="181" spans="1:31" s="55" customFormat="1" x14ac:dyDescent="0.25">
      <c r="A181" s="52"/>
      <c r="B181" s="52"/>
      <c r="C181" s="52"/>
      <c r="D181" s="52"/>
      <c r="E181" s="52" t="str">
        <f t="shared" si="7"/>
        <v>PROG</v>
      </c>
      <c r="F181" s="52"/>
      <c r="G181" s="52" t="str">
        <f t="shared" si="8"/>
        <v>P</v>
      </c>
      <c r="H181" s="52"/>
      <c r="I181" s="52"/>
      <c r="J181" s="52" t="str">
        <f t="shared" si="9"/>
        <v>ELEM</v>
      </c>
      <c r="K181" s="52"/>
      <c r="L181" s="87"/>
      <c r="M181" s="52" t="e">
        <v>#N/A</v>
      </c>
      <c r="N181" s="52"/>
      <c r="O181" s="52"/>
      <c r="P181" s="52"/>
      <c r="Q181" s="52"/>
      <c r="R181" s="52"/>
      <c r="S181" s="52"/>
      <c r="T181" s="52"/>
      <c r="U181" s="52"/>
      <c r="V181" s="52"/>
      <c r="W181" s="53"/>
      <c r="X181" s="23"/>
      <c r="Y181" s="52"/>
      <c r="Z181" s="52"/>
      <c r="AA181" s="52"/>
      <c r="AB181" s="52"/>
      <c r="AC181" s="52"/>
      <c r="AD181" s="52"/>
      <c r="AE181" s="52"/>
    </row>
    <row r="182" spans="1:31" s="55" customFormat="1" x14ac:dyDescent="0.25">
      <c r="A182" s="52"/>
      <c r="B182" s="52"/>
      <c r="C182" s="52"/>
      <c r="D182" s="52"/>
      <c r="E182" s="52" t="str">
        <f t="shared" si="7"/>
        <v>PROG</v>
      </c>
      <c r="F182" s="52"/>
      <c r="G182" s="52" t="str">
        <f t="shared" si="8"/>
        <v>P</v>
      </c>
      <c r="H182" s="52"/>
      <c r="I182" s="52"/>
      <c r="J182" s="52" t="str">
        <f t="shared" si="9"/>
        <v>ELEM</v>
      </c>
      <c r="K182" s="52"/>
      <c r="L182" s="87"/>
      <c r="M182" s="52" t="e">
        <v>#N/A</v>
      </c>
      <c r="N182" s="52"/>
      <c r="O182" s="52"/>
      <c r="P182" s="52"/>
      <c r="Q182" s="52"/>
      <c r="R182" s="52"/>
      <c r="S182" s="52"/>
      <c r="T182" s="52"/>
      <c r="U182" s="52"/>
      <c r="V182" s="52"/>
      <c r="W182" s="53"/>
      <c r="X182" s="23"/>
      <c r="Y182" s="52"/>
      <c r="Z182" s="52"/>
      <c r="AA182" s="52"/>
      <c r="AB182" s="52"/>
      <c r="AC182" s="52"/>
      <c r="AD182" s="52"/>
      <c r="AE182" s="52"/>
    </row>
    <row r="183" spans="1:31" s="55" customFormat="1" x14ac:dyDescent="0.25">
      <c r="A183" s="52"/>
      <c r="B183" s="52"/>
      <c r="C183" s="52"/>
      <c r="D183" s="52"/>
      <c r="E183" s="52" t="str">
        <f t="shared" si="7"/>
        <v>PROG</v>
      </c>
      <c r="F183" s="52"/>
      <c r="G183" s="52" t="str">
        <f t="shared" si="8"/>
        <v>P</v>
      </c>
      <c r="H183" s="52"/>
      <c r="I183" s="52"/>
      <c r="J183" s="52" t="str">
        <f t="shared" si="9"/>
        <v>ELEM</v>
      </c>
      <c r="K183" s="52"/>
      <c r="L183" s="87"/>
      <c r="M183" s="52" t="e">
        <v>#N/A</v>
      </c>
      <c r="N183" s="52"/>
      <c r="O183" s="52"/>
      <c r="P183" s="52"/>
      <c r="Q183" s="52"/>
      <c r="R183" s="52"/>
      <c r="S183" s="52"/>
      <c r="T183" s="52"/>
      <c r="U183" s="52"/>
      <c r="V183" s="52"/>
      <c r="W183" s="53"/>
      <c r="X183" s="23"/>
      <c r="Y183" s="52"/>
      <c r="Z183" s="52"/>
      <c r="AA183" s="52"/>
      <c r="AB183" s="52"/>
      <c r="AC183" s="52"/>
      <c r="AD183" s="52"/>
      <c r="AE183" s="52"/>
    </row>
    <row r="184" spans="1:31" s="55" customFormat="1" x14ac:dyDescent="0.25">
      <c r="A184" s="52"/>
      <c r="B184" s="52"/>
      <c r="C184" s="52"/>
      <c r="D184" s="52"/>
      <c r="E184" s="52" t="str">
        <f t="shared" si="7"/>
        <v>PROG</v>
      </c>
      <c r="F184" s="52"/>
      <c r="G184" s="52" t="str">
        <f t="shared" si="8"/>
        <v>P</v>
      </c>
      <c r="H184" s="52"/>
      <c r="I184" s="52"/>
      <c r="J184" s="52" t="str">
        <f t="shared" si="9"/>
        <v>ELEM</v>
      </c>
      <c r="K184" s="52"/>
      <c r="L184" s="87"/>
      <c r="M184" s="52" t="e">
        <v>#N/A</v>
      </c>
      <c r="N184" s="52"/>
      <c r="O184" s="52"/>
      <c r="P184" s="52"/>
      <c r="Q184" s="52"/>
      <c r="R184" s="52"/>
      <c r="S184" s="52"/>
      <c r="T184" s="52"/>
      <c r="U184" s="52"/>
      <c r="V184" s="52"/>
      <c r="W184" s="53"/>
      <c r="X184" s="23"/>
      <c r="Y184" s="52"/>
      <c r="Z184" s="52"/>
      <c r="AA184" s="52"/>
      <c r="AB184" s="52"/>
      <c r="AC184" s="52"/>
      <c r="AD184" s="52"/>
      <c r="AE184" s="52"/>
    </row>
    <row r="185" spans="1:31" s="55" customFormat="1" x14ac:dyDescent="0.25">
      <c r="A185" s="52"/>
      <c r="B185" s="52"/>
      <c r="C185" s="52"/>
      <c r="D185" s="52"/>
      <c r="E185" s="52" t="str">
        <f t="shared" si="7"/>
        <v>PROG</v>
      </c>
      <c r="F185" s="52"/>
      <c r="G185" s="52" t="str">
        <f t="shared" si="8"/>
        <v>P</v>
      </c>
      <c r="H185" s="52"/>
      <c r="I185" s="52"/>
      <c r="J185" s="52" t="str">
        <f t="shared" si="9"/>
        <v>ELEM</v>
      </c>
      <c r="K185" s="52"/>
      <c r="L185" s="87"/>
      <c r="M185" s="52" t="e">
        <v>#N/A</v>
      </c>
      <c r="N185" s="52"/>
      <c r="O185" s="52"/>
      <c r="P185" s="52"/>
      <c r="Q185" s="52"/>
      <c r="R185" s="52"/>
      <c r="S185" s="52"/>
      <c r="T185" s="52"/>
      <c r="U185" s="52"/>
      <c r="V185" s="52"/>
      <c r="W185" s="53"/>
      <c r="X185" s="23"/>
      <c r="Y185" s="52"/>
      <c r="Z185" s="52"/>
      <c r="AA185" s="52"/>
      <c r="AB185" s="52"/>
      <c r="AC185" s="52"/>
      <c r="AD185" s="52"/>
      <c r="AE185" s="52"/>
    </row>
    <row r="186" spans="1:31" s="55" customFormat="1" x14ac:dyDescent="0.25">
      <c r="A186" s="52"/>
      <c r="B186" s="52"/>
      <c r="C186" s="52"/>
      <c r="D186" s="52"/>
      <c r="E186" s="52" t="str">
        <f t="shared" si="7"/>
        <v>PROG</v>
      </c>
      <c r="F186" s="52"/>
      <c r="G186" s="52" t="str">
        <f t="shared" si="8"/>
        <v>P</v>
      </c>
      <c r="H186" s="52"/>
      <c r="I186" s="52"/>
      <c r="J186" s="52" t="str">
        <f t="shared" si="9"/>
        <v>ELEM</v>
      </c>
      <c r="K186" s="52"/>
      <c r="L186" s="87"/>
      <c r="M186" s="52" t="e">
        <v>#N/A</v>
      </c>
      <c r="N186" s="52"/>
      <c r="O186" s="52"/>
      <c r="P186" s="52"/>
      <c r="Q186" s="52"/>
      <c r="R186" s="52"/>
      <c r="S186" s="52"/>
      <c r="T186" s="52"/>
      <c r="U186" s="52"/>
      <c r="V186" s="52"/>
      <c r="W186" s="53"/>
      <c r="X186" s="23"/>
      <c r="Y186" s="52"/>
      <c r="Z186" s="52"/>
      <c r="AA186" s="52"/>
      <c r="AB186" s="52"/>
      <c r="AC186" s="52"/>
      <c r="AD186" s="52"/>
      <c r="AE186" s="52"/>
    </row>
    <row r="187" spans="1:31" s="55" customFormat="1" x14ac:dyDescent="0.25">
      <c r="A187" s="52"/>
      <c r="B187" s="52"/>
      <c r="C187" s="52"/>
      <c r="D187" s="52"/>
      <c r="E187" s="52" t="str">
        <f t="shared" si="7"/>
        <v>PROG</v>
      </c>
      <c r="F187" s="52"/>
      <c r="G187" s="52" t="str">
        <f t="shared" si="8"/>
        <v>P</v>
      </c>
      <c r="H187" s="52"/>
      <c r="I187" s="52"/>
      <c r="J187" s="52" t="str">
        <f t="shared" si="9"/>
        <v>ELEM</v>
      </c>
      <c r="K187" s="52"/>
      <c r="L187" s="87"/>
      <c r="M187" s="52" t="e">
        <v>#N/A</v>
      </c>
      <c r="N187" s="52"/>
      <c r="O187" s="52"/>
      <c r="P187" s="52"/>
      <c r="Q187" s="52"/>
      <c r="R187" s="52"/>
      <c r="S187" s="52"/>
      <c r="T187" s="52"/>
      <c r="U187" s="52"/>
      <c r="V187" s="52"/>
      <c r="W187" s="53"/>
      <c r="X187" s="23"/>
      <c r="Y187" s="52"/>
      <c r="Z187" s="52"/>
      <c r="AA187" s="52"/>
      <c r="AB187" s="52"/>
      <c r="AC187" s="52"/>
      <c r="AD187" s="52"/>
      <c r="AE187" s="52"/>
    </row>
    <row r="188" spans="1:31" s="55" customFormat="1" x14ac:dyDescent="0.25">
      <c r="A188" s="52"/>
      <c r="B188" s="52"/>
      <c r="C188" s="52"/>
      <c r="D188" s="52"/>
      <c r="E188" s="52" t="str">
        <f t="shared" si="7"/>
        <v>PROG</v>
      </c>
      <c r="F188" s="52"/>
      <c r="G188" s="52" t="str">
        <f t="shared" si="8"/>
        <v>P</v>
      </c>
      <c r="H188" s="52"/>
      <c r="I188" s="52"/>
      <c r="J188" s="52" t="str">
        <f t="shared" si="9"/>
        <v>ELEM</v>
      </c>
      <c r="K188" s="52"/>
      <c r="L188" s="87"/>
      <c r="M188" s="52" t="e">
        <v>#N/A</v>
      </c>
      <c r="N188" s="52"/>
      <c r="O188" s="52"/>
      <c r="P188" s="52"/>
      <c r="Q188" s="52"/>
      <c r="R188" s="52"/>
      <c r="S188" s="52"/>
      <c r="T188" s="52"/>
      <c r="U188" s="52"/>
      <c r="V188" s="52"/>
      <c r="W188" s="53"/>
      <c r="X188" s="23"/>
      <c r="Y188" s="52"/>
      <c r="Z188" s="52"/>
      <c r="AA188" s="52"/>
      <c r="AB188" s="52"/>
      <c r="AC188" s="52"/>
      <c r="AD188" s="52"/>
      <c r="AE188" s="52"/>
    </row>
    <row r="189" spans="1:31" s="55" customFormat="1" x14ac:dyDescent="0.25">
      <c r="A189" s="52"/>
      <c r="B189" s="52"/>
      <c r="C189" s="52"/>
      <c r="D189" s="52"/>
      <c r="E189" s="52" t="str">
        <f t="shared" si="7"/>
        <v>PROG</v>
      </c>
      <c r="F189" s="52"/>
      <c r="G189" s="52" t="str">
        <f t="shared" si="8"/>
        <v>P</v>
      </c>
      <c r="H189" s="52"/>
      <c r="I189" s="52"/>
      <c r="J189" s="52" t="str">
        <f t="shared" si="9"/>
        <v>ELEM</v>
      </c>
      <c r="K189" s="52"/>
      <c r="L189" s="87"/>
      <c r="M189" s="52" t="e">
        <v>#N/A</v>
      </c>
      <c r="N189" s="52"/>
      <c r="O189" s="52"/>
      <c r="P189" s="52"/>
      <c r="Q189" s="52"/>
      <c r="R189" s="52"/>
      <c r="S189" s="52"/>
      <c r="T189" s="52"/>
      <c r="U189" s="52"/>
      <c r="V189" s="52"/>
      <c r="W189" s="53"/>
      <c r="X189" s="23"/>
      <c r="Y189" s="52"/>
      <c r="Z189" s="52"/>
      <c r="AA189" s="52"/>
      <c r="AB189" s="52"/>
      <c r="AC189" s="52"/>
      <c r="AD189" s="52"/>
      <c r="AE189" s="52"/>
    </row>
    <row r="190" spans="1:31" s="55" customFormat="1" x14ac:dyDescent="0.25">
      <c r="A190" s="52"/>
      <c r="B190" s="52"/>
      <c r="C190" s="52"/>
      <c r="D190" s="52"/>
      <c r="E190" s="52" t="str">
        <f t="shared" si="7"/>
        <v>PROG</v>
      </c>
      <c r="F190" s="52"/>
      <c r="G190" s="52" t="str">
        <f t="shared" si="8"/>
        <v>P</v>
      </c>
      <c r="H190" s="52"/>
      <c r="I190" s="52"/>
      <c r="J190" s="52" t="str">
        <f t="shared" si="9"/>
        <v>ELEM</v>
      </c>
      <c r="K190" s="52"/>
      <c r="L190" s="87"/>
      <c r="M190" s="52" t="e">
        <v>#N/A</v>
      </c>
      <c r="N190" s="52"/>
      <c r="O190" s="52"/>
      <c r="P190" s="52"/>
      <c r="Q190" s="52"/>
      <c r="R190" s="52"/>
      <c r="S190" s="52"/>
      <c r="T190" s="52"/>
      <c r="U190" s="52"/>
      <c r="V190" s="52"/>
      <c r="W190" s="53"/>
      <c r="X190" s="23"/>
      <c r="Y190" s="52"/>
      <c r="Z190" s="52"/>
      <c r="AA190" s="52"/>
      <c r="AB190" s="52"/>
      <c r="AC190" s="52"/>
      <c r="AD190" s="52"/>
      <c r="AE190" s="52"/>
    </row>
    <row r="191" spans="1:31" s="55" customFormat="1" x14ac:dyDescent="0.25">
      <c r="A191" s="52"/>
      <c r="B191" s="52"/>
      <c r="C191" s="52"/>
      <c r="D191" s="52"/>
      <c r="E191" s="52" t="str">
        <f t="shared" si="7"/>
        <v>PROG</v>
      </c>
      <c r="F191" s="52"/>
      <c r="G191" s="52" t="str">
        <f t="shared" si="8"/>
        <v>P</v>
      </c>
      <c r="H191" s="52"/>
      <c r="I191" s="52"/>
      <c r="J191" s="52" t="str">
        <f t="shared" si="9"/>
        <v>ELEM</v>
      </c>
      <c r="K191" s="52"/>
      <c r="L191" s="87"/>
      <c r="M191" s="52" t="e">
        <v>#N/A</v>
      </c>
      <c r="N191" s="52"/>
      <c r="O191" s="52"/>
      <c r="P191" s="52"/>
      <c r="Q191" s="52"/>
      <c r="R191" s="52"/>
      <c r="S191" s="52"/>
      <c r="T191" s="52"/>
      <c r="U191" s="52"/>
      <c r="V191" s="52"/>
      <c r="W191" s="53"/>
      <c r="X191" s="23"/>
      <c r="Y191" s="52"/>
      <c r="Z191" s="52"/>
      <c r="AA191" s="52"/>
      <c r="AB191" s="52"/>
      <c r="AC191" s="52"/>
      <c r="AD191" s="52"/>
      <c r="AE191" s="52"/>
    </row>
    <row r="192" spans="1:31" s="55" customFormat="1" x14ac:dyDescent="0.25">
      <c r="A192" s="52"/>
      <c r="B192" s="52"/>
      <c r="C192" s="52"/>
      <c r="D192" s="52"/>
      <c r="E192" s="52" t="str">
        <f t="shared" si="7"/>
        <v>PROG</v>
      </c>
      <c r="F192" s="52"/>
      <c r="G192" s="52" t="str">
        <f t="shared" si="8"/>
        <v>P</v>
      </c>
      <c r="H192" s="52"/>
      <c r="I192" s="52"/>
      <c r="J192" s="52" t="str">
        <f t="shared" si="9"/>
        <v>ELEM</v>
      </c>
      <c r="K192" s="52"/>
      <c r="L192" s="87"/>
      <c r="M192" s="52" t="e">
        <v>#N/A</v>
      </c>
      <c r="N192" s="52"/>
      <c r="O192" s="52"/>
      <c r="P192" s="52"/>
      <c r="Q192" s="52"/>
      <c r="R192" s="52"/>
      <c r="S192" s="52"/>
      <c r="T192" s="52"/>
      <c r="U192" s="52"/>
      <c r="V192" s="52"/>
      <c r="W192" s="53"/>
      <c r="X192" s="23"/>
      <c r="Y192" s="52"/>
      <c r="Z192" s="52"/>
      <c r="AA192" s="52"/>
      <c r="AB192" s="52"/>
      <c r="AC192" s="52"/>
      <c r="AD192" s="52"/>
      <c r="AE192" s="52"/>
    </row>
    <row r="193" spans="1:31" s="55" customFormat="1" x14ac:dyDescent="0.25">
      <c r="A193" s="52"/>
      <c r="B193" s="52"/>
      <c r="C193" s="52"/>
      <c r="D193" s="52"/>
      <c r="E193" s="52" t="str">
        <f t="shared" si="7"/>
        <v>PROG</v>
      </c>
      <c r="F193" s="52"/>
      <c r="G193" s="52" t="str">
        <f t="shared" si="8"/>
        <v>P</v>
      </c>
      <c r="H193" s="52"/>
      <c r="I193" s="52"/>
      <c r="J193" s="52" t="str">
        <f t="shared" si="9"/>
        <v>ELEM</v>
      </c>
      <c r="K193" s="52"/>
      <c r="L193" s="87"/>
      <c r="M193" s="52" t="e">
        <v>#N/A</v>
      </c>
      <c r="N193" s="52"/>
      <c r="O193" s="52"/>
      <c r="P193" s="52"/>
      <c r="Q193" s="52"/>
      <c r="R193" s="52"/>
      <c r="S193" s="52"/>
      <c r="T193" s="52"/>
      <c r="U193" s="52"/>
      <c r="V193" s="52"/>
      <c r="W193" s="53"/>
      <c r="X193" s="23"/>
      <c r="Y193" s="52"/>
      <c r="Z193" s="52"/>
      <c r="AA193" s="52"/>
      <c r="AB193" s="52"/>
      <c r="AC193" s="52"/>
      <c r="AD193" s="52"/>
      <c r="AE193" s="52"/>
    </row>
    <row r="194" spans="1:31" s="55" customFormat="1" x14ac:dyDescent="0.25">
      <c r="A194" s="52"/>
      <c r="B194" s="52"/>
      <c r="C194" s="52"/>
      <c r="D194" s="52"/>
      <c r="E194" s="52" t="str">
        <f t="shared" si="7"/>
        <v>PROG</v>
      </c>
      <c r="F194" s="52"/>
      <c r="G194" s="52" t="str">
        <f t="shared" si="8"/>
        <v>P</v>
      </c>
      <c r="H194" s="52"/>
      <c r="I194" s="52"/>
      <c r="J194" s="52" t="str">
        <f t="shared" si="9"/>
        <v>ELEM</v>
      </c>
      <c r="K194" s="52"/>
      <c r="L194" s="87"/>
      <c r="M194" s="52" t="e">
        <v>#N/A</v>
      </c>
      <c r="N194" s="52"/>
      <c r="O194" s="52"/>
      <c r="P194" s="52"/>
      <c r="Q194" s="52"/>
      <c r="R194" s="52"/>
      <c r="S194" s="52"/>
      <c r="T194" s="52"/>
      <c r="U194" s="52"/>
      <c r="V194" s="52"/>
      <c r="W194" s="53"/>
      <c r="X194" s="23"/>
      <c r="Y194" s="52"/>
      <c r="Z194" s="52"/>
      <c r="AA194" s="52"/>
      <c r="AB194" s="52"/>
      <c r="AC194" s="52"/>
      <c r="AD194" s="52"/>
      <c r="AE194" s="52"/>
    </row>
    <row r="195" spans="1:31" s="55" customFormat="1" x14ac:dyDescent="0.25">
      <c r="A195" s="52"/>
      <c r="B195" s="52"/>
      <c r="C195" s="52"/>
      <c r="D195" s="52"/>
      <c r="E195" s="52" t="str">
        <f t="shared" ref="E195:E258" si="10">CONCATENATE(A195,"PROG")</f>
        <v>PROG</v>
      </c>
      <c r="F195" s="52"/>
      <c r="G195" s="52" t="str">
        <f t="shared" ref="G195:G258" si="11">CONCATENATE("P",(LEFT(F195,3)),A195)</f>
        <v>P</v>
      </c>
      <c r="H195" s="52"/>
      <c r="I195" s="52"/>
      <c r="J195" s="52" t="str">
        <f t="shared" ref="J195:J258" si="12">CONCATENATE("ELEM",LEFT(I195,2))</f>
        <v>ELEM</v>
      </c>
      <c r="K195" s="52"/>
      <c r="L195" s="87"/>
      <c r="M195" s="52" t="e">
        <v>#N/A</v>
      </c>
      <c r="N195" s="52"/>
      <c r="O195" s="52"/>
      <c r="P195" s="52"/>
      <c r="Q195" s="52"/>
      <c r="R195" s="52"/>
      <c r="S195" s="52"/>
      <c r="T195" s="52"/>
      <c r="U195" s="52"/>
      <c r="V195" s="52"/>
      <c r="W195" s="53"/>
      <c r="X195" s="23"/>
      <c r="Y195" s="52"/>
      <c r="Z195" s="52"/>
      <c r="AA195" s="52"/>
      <c r="AB195" s="52"/>
      <c r="AC195" s="52"/>
      <c r="AD195" s="52"/>
      <c r="AE195" s="52"/>
    </row>
    <row r="196" spans="1:31" s="55" customFormat="1" x14ac:dyDescent="0.25">
      <c r="A196" s="52"/>
      <c r="B196" s="52"/>
      <c r="C196" s="52"/>
      <c r="D196" s="52"/>
      <c r="E196" s="52" t="str">
        <f t="shared" si="10"/>
        <v>PROG</v>
      </c>
      <c r="F196" s="52"/>
      <c r="G196" s="52" t="str">
        <f t="shared" si="11"/>
        <v>P</v>
      </c>
      <c r="H196" s="52"/>
      <c r="I196" s="52"/>
      <c r="J196" s="52" t="str">
        <f t="shared" si="12"/>
        <v>ELEM</v>
      </c>
      <c r="K196" s="52"/>
      <c r="L196" s="87"/>
      <c r="M196" s="52" t="e">
        <v>#N/A</v>
      </c>
      <c r="N196" s="52"/>
      <c r="O196" s="52"/>
      <c r="P196" s="52"/>
      <c r="Q196" s="52"/>
      <c r="R196" s="52"/>
      <c r="S196" s="52"/>
      <c r="T196" s="52"/>
      <c r="U196" s="52"/>
      <c r="V196" s="52"/>
      <c r="W196" s="53"/>
      <c r="X196" s="23"/>
      <c r="Y196" s="52"/>
      <c r="Z196" s="52"/>
      <c r="AA196" s="52"/>
      <c r="AB196" s="52"/>
      <c r="AC196" s="52"/>
      <c r="AD196" s="52"/>
      <c r="AE196" s="52"/>
    </row>
    <row r="197" spans="1:31" s="55" customFormat="1" x14ac:dyDescent="0.25">
      <c r="A197" s="52"/>
      <c r="B197" s="52"/>
      <c r="C197" s="52"/>
      <c r="D197" s="52"/>
      <c r="E197" s="52" t="str">
        <f t="shared" si="10"/>
        <v>PROG</v>
      </c>
      <c r="F197" s="52"/>
      <c r="G197" s="52" t="str">
        <f t="shared" si="11"/>
        <v>P</v>
      </c>
      <c r="H197" s="52"/>
      <c r="I197" s="52"/>
      <c r="J197" s="52" t="str">
        <f t="shared" si="12"/>
        <v>ELEM</v>
      </c>
      <c r="K197" s="52"/>
      <c r="L197" s="87"/>
      <c r="M197" s="52" t="e">
        <v>#N/A</v>
      </c>
      <c r="N197" s="52"/>
      <c r="O197" s="52"/>
      <c r="P197" s="52"/>
      <c r="Q197" s="52"/>
      <c r="R197" s="52"/>
      <c r="S197" s="52"/>
      <c r="T197" s="52"/>
      <c r="U197" s="52"/>
      <c r="V197" s="52"/>
      <c r="W197" s="53"/>
      <c r="X197" s="23"/>
      <c r="Y197" s="52"/>
      <c r="Z197" s="52"/>
      <c r="AA197" s="52"/>
      <c r="AB197" s="52"/>
      <c r="AC197" s="52"/>
      <c r="AD197" s="52"/>
      <c r="AE197" s="52"/>
    </row>
    <row r="198" spans="1:31" s="55" customFormat="1" x14ac:dyDescent="0.25">
      <c r="A198" s="52"/>
      <c r="B198" s="52"/>
      <c r="C198" s="52"/>
      <c r="D198" s="52"/>
      <c r="E198" s="52" t="str">
        <f t="shared" si="10"/>
        <v>PROG</v>
      </c>
      <c r="F198" s="52"/>
      <c r="G198" s="52" t="str">
        <f t="shared" si="11"/>
        <v>P</v>
      </c>
      <c r="H198" s="52"/>
      <c r="I198" s="52"/>
      <c r="J198" s="52" t="str">
        <f t="shared" si="12"/>
        <v>ELEM</v>
      </c>
      <c r="K198" s="52"/>
      <c r="L198" s="87"/>
      <c r="M198" s="52" t="e">
        <v>#N/A</v>
      </c>
      <c r="N198" s="52"/>
      <c r="O198" s="52"/>
      <c r="P198" s="52"/>
      <c r="Q198" s="52"/>
      <c r="R198" s="52"/>
      <c r="S198" s="52"/>
      <c r="T198" s="52"/>
      <c r="U198" s="52"/>
      <c r="V198" s="52"/>
      <c r="W198" s="53"/>
      <c r="X198" s="23"/>
      <c r="Y198" s="52"/>
      <c r="Z198" s="52"/>
      <c r="AA198" s="52"/>
      <c r="AB198" s="52"/>
      <c r="AC198" s="52"/>
      <c r="AD198" s="52"/>
      <c r="AE198" s="52"/>
    </row>
    <row r="199" spans="1:31" s="55" customFormat="1" x14ac:dyDescent="0.25">
      <c r="A199" s="52"/>
      <c r="B199" s="52"/>
      <c r="C199" s="52"/>
      <c r="D199" s="52"/>
      <c r="E199" s="52" t="str">
        <f t="shared" si="10"/>
        <v>PROG</v>
      </c>
      <c r="F199" s="52"/>
      <c r="G199" s="52" t="str">
        <f t="shared" si="11"/>
        <v>P</v>
      </c>
      <c r="H199" s="52"/>
      <c r="I199" s="52"/>
      <c r="J199" s="52" t="str">
        <f t="shared" si="12"/>
        <v>ELEM</v>
      </c>
      <c r="K199" s="52"/>
      <c r="L199" s="87"/>
      <c r="M199" s="52" t="e">
        <v>#N/A</v>
      </c>
      <c r="N199" s="52"/>
      <c r="O199" s="52"/>
      <c r="P199" s="52"/>
      <c r="Q199" s="52"/>
      <c r="R199" s="52"/>
      <c r="S199" s="52"/>
      <c r="T199" s="52"/>
      <c r="U199" s="52"/>
      <c r="V199" s="52"/>
      <c r="W199" s="53"/>
      <c r="X199" s="23"/>
      <c r="Y199" s="52"/>
      <c r="Z199" s="52"/>
      <c r="AA199" s="52"/>
      <c r="AB199" s="52"/>
      <c r="AC199" s="52"/>
      <c r="AD199" s="52"/>
      <c r="AE199" s="52"/>
    </row>
    <row r="200" spans="1:31" s="55" customFormat="1" x14ac:dyDescent="0.25">
      <c r="A200" s="52"/>
      <c r="B200" s="52"/>
      <c r="C200" s="52"/>
      <c r="D200" s="52"/>
      <c r="E200" s="52" t="str">
        <f t="shared" si="10"/>
        <v>PROG</v>
      </c>
      <c r="F200" s="52"/>
      <c r="G200" s="52" t="str">
        <f t="shared" si="11"/>
        <v>P</v>
      </c>
      <c r="H200" s="52"/>
      <c r="I200" s="52"/>
      <c r="J200" s="52" t="str">
        <f t="shared" si="12"/>
        <v>ELEM</v>
      </c>
      <c r="K200" s="52"/>
      <c r="L200" s="87"/>
      <c r="M200" s="52" t="e">
        <v>#N/A</v>
      </c>
      <c r="N200" s="52"/>
      <c r="O200" s="52"/>
      <c r="P200" s="52"/>
      <c r="Q200" s="52"/>
      <c r="R200" s="52"/>
      <c r="S200" s="52"/>
      <c r="T200" s="52"/>
      <c r="U200" s="52"/>
      <c r="V200" s="52"/>
      <c r="W200" s="53"/>
      <c r="X200" s="23"/>
      <c r="Y200" s="52"/>
      <c r="Z200" s="52"/>
      <c r="AA200" s="52"/>
      <c r="AB200" s="52"/>
      <c r="AC200" s="52"/>
      <c r="AD200" s="52"/>
      <c r="AE200" s="52"/>
    </row>
    <row r="201" spans="1:31" s="55" customFormat="1" x14ac:dyDescent="0.25">
      <c r="A201" s="52"/>
      <c r="B201" s="52"/>
      <c r="C201" s="52"/>
      <c r="D201" s="52"/>
      <c r="E201" s="52" t="str">
        <f t="shared" si="10"/>
        <v>PROG</v>
      </c>
      <c r="F201" s="52"/>
      <c r="G201" s="52" t="str">
        <f t="shared" si="11"/>
        <v>P</v>
      </c>
      <c r="H201" s="52"/>
      <c r="I201" s="52"/>
      <c r="J201" s="52" t="str">
        <f t="shared" si="12"/>
        <v>ELEM</v>
      </c>
      <c r="K201" s="52"/>
      <c r="L201" s="87"/>
      <c r="M201" s="52" t="e">
        <v>#N/A</v>
      </c>
      <c r="N201" s="52"/>
      <c r="O201" s="52"/>
      <c r="P201" s="52"/>
      <c r="Q201" s="52"/>
      <c r="R201" s="52"/>
      <c r="S201" s="52"/>
      <c r="T201" s="52"/>
      <c r="U201" s="52"/>
      <c r="V201" s="52"/>
      <c r="W201" s="53"/>
      <c r="X201" s="23"/>
      <c r="Y201" s="52"/>
      <c r="Z201" s="52"/>
      <c r="AA201" s="52"/>
      <c r="AB201" s="52"/>
      <c r="AC201" s="52"/>
      <c r="AD201" s="52"/>
      <c r="AE201" s="52"/>
    </row>
    <row r="202" spans="1:31" s="55" customFormat="1" x14ac:dyDescent="0.25">
      <c r="A202" s="52"/>
      <c r="B202" s="52"/>
      <c r="C202" s="52"/>
      <c r="D202" s="52"/>
      <c r="E202" s="52" t="str">
        <f t="shared" si="10"/>
        <v>PROG</v>
      </c>
      <c r="F202" s="52"/>
      <c r="G202" s="52" t="str">
        <f t="shared" si="11"/>
        <v>P</v>
      </c>
      <c r="H202" s="52"/>
      <c r="I202" s="52"/>
      <c r="J202" s="52" t="str">
        <f t="shared" si="12"/>
        <v>ELEM</v>
      </c>
      <c r="K202" s="52"/>
      <c r="L202" s="87"/>
      <c r="M202" s="52" t="e">
        <v>#N/A</v>
      </c>
      <c r="N202" s="52"/>
      <c r="O202" s="52"/>
      <c r="P202" s="52"/>
      <c r="Q202" s="52"/>
      <c r="R202" s="52"/>
      <c r="S202" s="52"/>
      <c r="T202" s="52"/>
      <c r="U202" s="52"/>
      <c r="V202" s="52"/>
      <c r="W202" s="53"/>
      <c r="X202" s="23"/>
      <c r="Y202" s="52"/>
      <c r="Z202" s="52"/>
      <c r="AA202" s="52"/>
      <c r="AB202" s="52"/>
      <c r="AC202" s="52"/>
      <c r="AD202" s="52"/>
      <c r="AE202" s="52"/>
    </row>
    <row r="203" spans="1:31" x14ac:dyDescent="0.25">
      <c r="B203" s="52"/>
      <c r="C203" s="52"/>
      <c r="D203" s="52"/>
      <c r="E203" s="52" t="str">
        <f t="shared" si="10"/>
        <v>PROG</v>
      </c>
      <c r="F203" s="52"/>
      <c r="G203" s="52" t="str">
        <f t="shared" si="11"/>
        <v>P</v>
      </c>
      <c r="H203" s="52"/>
      <c r="I203" s="52"/>
      <c r="J203" s="52" t="str">
        <f t="shared" si="12"/>
        <v>ELEM</v>
      </c>
      <c r="K203" s="52"/>
      <c r="L203" s="87"/>
      <c r="M203" s="52" t="e">
        <v>#N/A</v>
      </c>
      <c r="N203" s="52"/>
      <c r="O203" s="52"/>
      <c r="P203" s="52"/>
      <c r="Q203" s="52"/>
      <c r="R203" s="52"/>
      <c r="S203" s="52"/>
      <c r="T203" s="52"/>
      <c r="U203" s="52"/>
      <c r="V203" s="52"/>
      <c r="W203" s="53"/>
      <c r="X203" s="23"/>
      <c r="Y203" s="52"/>
      <c r="Z203" s="52"/>
      <c r="AA203" s="52"/>
      <c r="AB203" s="52"/>
      <c r="AC203" s="52"/>
      <c r="AD203" s="52"/>
      <c r="AE203" s="52"/>
    </row>
    <row r="204" spans="1:31" x14ac:dyDescent="0.25">
      <c r="B204" s="52"/>
      <c r="C204" s="52"/>
      <c r="D204" s="52"/>
      <c r="E204" s="52" t="str">
        <f t="shared" si="10"/>
        <v>PROG</v>
      </c>
      <c r="F204" s="52"/>
      <c r="G204" s="52" t="str">
        <f t="shared" si="11"/>
        <v>P</v>
      </c>
      <c r="H204" s="52"/>
      <c r="I204" s="52"/>
      <c r="J204" s="52" t="str">
        <f t="shared" si="12"/>
        <v>ELEM</v>
      </c>
      <c r="K204" s="52"/>
      <c r="L204" s="87"/>
      <c r="M204" s="52" t="e">
        <v>#N/A</v>
      </c>
      <c r="N204" s="52"/>
      <c r="O204" s="52"/>
      <c r="P204" s="52"/>
      <c r="Q204" s="52"/>
      <c r="R204" s="52"/>
      <c r="S204" s="52"/>
      <c r="T204" s="52"/>
      <c r="U204" s="52"/>
      <c r="V204" s="52"/>
      <c r="W204" s="53"/>
      <c r="X204" s="23"/>
      <c r="Y204" s="52"/>
      <c r="Z204" s="52"/>
      <c r="AA204" s="52"/>
      <c r="AB204" s="52"/>
      <c r="AC204" s="52"/>
      <c r="AD204" s="52"/>
      <c r="AE204" s="52"/>
    </row>
    <row r="205" spans="1:31" x14ac:dyDescent="0.25">
      <c r="B205" s="52"/>
      <c r="C205" s="52"/>
      <c r="D205" s="52"/>
      <c r="E205" s="52" t="str">
        <f t="shared" si="10"/>
        <v>PROG</v>
      </c>
      <c r="F205" s="52"/>
      <c r="G205" s="52" t="str">
        <f t="shared" si="11"/>
        <v>P</v>
      </c>
      <c r="H205" s="52"/>
      <c r="I205" s="52"/>
      <c r="J205" s="52" t="str">
        <f t="shared" si="12"/>
        <v>ELEM</v>
      </c>
      <c r="K205" s="52"/>
      <c r="L205" s="87"/>
      <c r="M205" s="52" t="e">
        <v>#N/A</v>
      </c>
      <c r="N205" s="52"/>
      <c r="O205" s="52"/>
      <c r="P205" s="52"/>
      <c r="Q205" s="52"/>
      <c r="R205" s="52"/>
      <c r="S205" s="52"/>
      <c r="T205" s="52"/>
      <c r="U205" s="52"/>
      <c r="V205" s="52"/>
      <c r="W205" s="53"/>
      <c r="X205" s="23"/>
      <c r="Y205" s="52"/>
      <c r="Z205" s="52"/>
      <c r="AA205" s="52"/>
      <c r="AB205" s="52"/>
      <c r="AC205" s="52"/>
      <c r="AD205" s="52"/>
      <c r="AE205" s="52"/>
    </row>
    <row r="206" spans="1:31" x14ac:dyDescent="0.25">
      <c r="B206" s="52"/>
      <c r="C206" s="52"/>
      <c r="D206" s="52"/>
      <c r="E206" s="52" t="str">
        <f t="shared" si="10"/>
        <v>PROG</v>
      </c>
      <c r="F206" s="52"/>
      <c r="G206" s="52" t="str">
        <f t="shared" si="11"/>
        <v>P</v>
      </c>
      <c r="H206" s="52"/>
      <c r="I206" s="52"/>
      <c r="J206" s="52" t="str">
        <f t="shared" si="12"/>
        <v>ELEM</v>
      </c>
      <c r="K206" s="52"/>
      <c r="L206" s="87"/>
      <c r="M206" s="52" t="e">
        <v>#N/A</v>
      </c>
      <c r="N206" s="52"/>
      <c r="O206" s="52"/>
      <c r="P206" s="52"/>
      <c r="Q206" s="52"/>
      <c r="R206" s="52"/>
      <c r="S206" s="52"/>
      <c r="T206" s="52"/>
      <c r="U206" s="52"/>
      <c r="V206" s="52"/>
      <c r="W206" s="53"/>
      <c r="X206" s="23"/>
      <c r="Y206" s="52"/>
      <c r="Z206" s="52"/>
      <c r="AA206" s="52"/>
      <c r="AB206" s="52"/>
      <c r="AC206" s="52"/>
      <c r="AD206" s="52"/>
      <c r="AE206" s="52"/>
    </row>
    <row r="207" spans="1:31" x14ac:dyDescent="0.25">
      <c r="B207" s="52"/>
      <c r="C207" s="52"/>
      <c r="D207" s="52"/>
      <c r="E207" s="52" t="str">
        <f t="shared" si="10"/>
        <v>PROG</v>
      </c>
      <c r="F207" s="52"/>
      <c r="G207" s="52" t="str">
        <f t="shared" si="11"/>
        <v>P</v>
      </c>
      <c r="H207" s="52"/>
      <c r="I207" s="52"/>
      <c r="J207" s="52" t="str">
        <f t="shared" si="12"/>
        <v>ELEM</v>
      </c>
      <c r="K207" s="52"/>
      <c r="L207" s="87"/>
      <c r="M207" s="52" t="e">
        <v>#N/A</v>
      </c>
      <c r="N207" s="52"/>
      <c r="O207" s="52"/>
      <c r="P207" s="52"/>
      <c r="Q207" s="52"/>
      <c r="R207" s="52"/>
      <c r="S207" s="52"/>
      <c r="T207" s="52"/>
      <c r="U207" s="52"/>
      <c r="V207" s="52"/>
      <c r="W207" s="53"/>
      <c r="X207" s="23"/>
      <c r="Y207" s="52"/>
      <c r="Z207" s="52"/>
      <c r="AA207" s="52"/>
      <c r="AB207" s="52"/>
      <c r="AC207" s="52"/>
      <c r="AD207" s="52"/>
      <c r="AE207" s="52"/>
    </row>
    <row r="208" spans="1:31" x14ac:dyDescent="0.25">
      <c r="B208" s="52"/>
      <c r="C208" s="52"/>
      <c r="D208" s="52"/>
      <c r="E208" s="52" t="str">
        <f t="shared" si="10"/>
        <v>PROG</v>
      </c>
      <c r="F208" s="52"/>
      <c r="G208" s="52" t="str">
        <f t="shared" si="11"/>
        <v>P</v>
      </c>
      <c r="H208" s="52"/>
      <c r="I208" s="52"/>
      <c r="J208" s="52" t="str">
        <f t="shared" si="12"/>
        <v>ELEM</v>
      </c>
      <c r="K208" s="52"/>
      <c r="L208" s="87"/>
      <c r="M208" s="52" t="e">
        <v>#N/A</v>
      </c>
      <c r="N208" s="52"/>
      <c r="O208" s="52"/>
      <c r="P208" s="52"/>
      <c r="Q208" s="52"/>
      <c r="R208" s="52"/>
      <c r="S208" s="52"/>
      <c r="T208" s="52"/>
      <c r="U208" s="52"/>
      <c r="V208" s="52"/>
      <c r="W208" s="53"/>
      <c r="X208" s="23"/>
      <c r="Y208" s="52"/>
      <c r="Z208" s="52"/>
      <c r="AA208" s="52"/>
      <c r="AB208" s="52"/>
      <c r="AC208" s="52"/>
      <c r="AD208" s="52"/>
      <c r="AE208" s="52"/>
    </row>
    <row r="209" spans="2:31" x14ac:dyDescent="0.25">
      <c r="B209" s="52"/>
      <c r="C209" s="52"/>
      <c r="D209" s="52"/>
      <c r="E209" s="52" t="str">
        <f t="shared" si="10"/>
        <v>PROG</v>
      </c>
      <c r="F209" s="52"/>
      <c r="G209" s="52" t="str">
        <f t="shared" si="11"/>
        <v>P</v>
      </c>
      <c r="H209" s="52"/>
      <c r="I209" s="52"/>
      <c r="J209" s="52" t="str">
        <f t="shared" si="12"/>
        <v>ELEM</v>
      </c>
      <c r="K209" s="52"/>
      <c r="L209" s="87"/>
      <c r="M209" s="52" t="e">
        <v>#N/A</v>
      </c>
      <c r="N209" s="52"/>
      <c r="O209" s="52"/>
      <c r="P209" s="52"/>
      <c r="Q209" s="52"/>
      <c r="R209" s="52"/>
      <c r="S209" s="52"/>
      <c r="T209" s="52"/>
      <c r="U209" s="52"/>
      <c r="V209" s="52"/>
      <c r="W209" s="53"/>
      <c r="X209" s="23"/>
      <c r="Y209" s="52"/>
      <c r="Z209" s="52"/>
      <c r="AA209" s="52"/>
      <c r="AB209" s="52"/>
      <c r="AC209" s="52"/>
      <c r="AD209" s="52"/>
      <c r="AE209" s="52"/>
    </row>
    <row r="210" spans="2:31" x14ac:dyDescent="0.25">
      <c r="B210" s="52"/>
      <c r="C210" s="52"/>
      <c r="D210" s="52"/>
      <c r="E210" s="52" t="str">
        <f t="shared" si="10"/>
        <v>PROG</v>
      </c>
      <c r="F210" s="52"/>
      <c r="G210" s="52" t="str">
        <f t="shared" si="11"/>
        <v>P</v>
      </c>
      <c r="H210" s="52"/>
      <c r="I210" s="52"/>
      <c r="J210" s="52" t="str">
        <f t="shared" si="12"/>
        <v>ELEM</v>
      </c>
      <c r="K210" s="52"/>
      <c r="L210" s="87"/>
      <c r="M210" s="52" t="e">
        <v>#N/A</v>
      </c>
      <c r="N210" s="52"/>
      <c r="O210" s="52"/>
      <c r="P210" s="52"/>
      <c r="Q210" s="52"/>
      <c r="R210" s="52"/>
      <c r="S210" s="52"/>
      <c r="T210" s="52"/>
      <c r="U210" s="52"/>
      <c r="V210" s="52"/>
      <c r="W210" s="53"/>
      <c r="X210" s="23"/>
      <c r="Y210" s="52"/>
      <c r="Z210" s="52"/>
      <c r="AA210" s="52"/>
      <c r="AB210" s="52"/>
      <c r="AC210" s="52"/>
      <c r="AD210" s="52"/>
      <c r="AE210" s="52"/>
    </row>
    <row r="211" spans="2:31" x14ac:dyDescent="0.25">
      <c r="B211" s="52"/>
      <c r="C211" s="52"/>
      <c r="D211" s="52"/>
      <c r="E211" s="52" t="str">
        <f t="shared" si="10"/>
        <v>PROG</v>
      </c>
      <c r="F211" s="52"/>
      <c r="G211" s="52" t="str">
        <f t="shared" si="11"/>
        <v>P</v>
      </c>
      <c r="H211" s="52"/>
      <c r="I211" s="52"/>
      <c r="J211" s="52" t="str">
        <f t="shared" si="12"/>
        <v>ELEM</v>
      </c>
      <c r="K211" s="52"/>
      <c r="L211" s="87"/>
      <c r="M211" s="52" t="e">
        <v>#N/A</v>
      </c>
      <c r="N211" s="52"/>
      <c r="O211" s="52"/>
      <c r="P211" s="52"/>
      <c r="Q211" s="52"/>
      <c r="R211" s="52"/>
      <c r="S211" s="52"/>
      <c r="T211" s="52"/>
      <c r="U211" s="52"/>
      <c r="V211" s="52"/>
      <c r="W211" s="53"/>
      <c r="X211" s="23"/>
      <c r="Y211" s="52"/>
      <c r="Z211" s="52"/>
      <c r="AA211" s="52"/>
      <c r="AB211" s="52"/>
      <c r="AC211" s="52"/>
      <c r="AD211" s="52"/>
      <c r="AE211" s="52"/>
    </row>
    <row r="212" spans="2:31" x14ac:dyDescent="0.25">
      <c r="B212" s="52"/>
      <c r="C212" s="52"/>
      <c r="D212" s="52"/>
      <c r="E212" s="52" t="str">
        <f t="shared" si="10"/>
        <v>PROG</v>
      </c>
      <c r="F212" s="52"/>
      <c r="G212" s="52" t="str">
        <f t="shared" si="11"/>
        <v>P</v>
      </c>
      <c r="H212" s="52"/>
      <c r="I212" s="52"/>
      <c r="J212" s="52" t="str">
        <f t="shared" si="12"/>
        <v>ELEM</v>
      </c>
      <c r="K212" s="52"/>
      <c r="L212" s="87"/>
      <c r="M212" s="52" t="e">
        <v>#N/A</v>
      </c>
      <c r="N212" s="52"/>
      <c r="O212" s="52"/>
      <c r="P212" s="52"/>
      <c r="Q212" s="52"/>
      <c r="R212" s="52"/>
      <c r="S212" s="52"/>
      <c r="T212" s="52"/>
      <c r="U212" s="52"/>
      <c r="V212" s="52"/>
      <c r="W212" s="53"/>
      <c r="X212" s="23"/>
      <c r="Y212" s="52"/>
      <c r="Z212" s="52"/>
      <c r="AA212" s="52"/>
      <c r="AB212" s="52"/>
      <c r="AC212" s="52"/>
      <c r="AD212" s="52"/>
      <c r="AE212" s="52"/>
    </row>
    <row r="213" spans="2:31" x14ac:dyDescent="0.25">
      <c r="B213" s="52"/>
      <c r="C213" s="52"/>
      <c r="D213" s="52"/>
      <c r="E213" s="52" t="str">
        <f t="shared" si="10"/>
        <v>PROG</v>
      </c>
      <c r="F213" s="52"/>
      <c r="G213" s="52" t="str">
        <f t="shared" si="11"/>
        <v>P</v>
      </c>
      <c r="H213" s="52"/>
      <c r="I213" s="52"/>
      <c r="J213" s="52" t="str">
        <f t="shared" si="12"/>
        <v>ELEM</v>
      </c>
      <c r="K213" s="52"/>
      <c r="L213" s="87"/>
      <c r="M213" s="52" t="e">
        <v>#N/A</v>
      </c>
      <c r="N213" s="52"/>
      <c r="O213" s="52"/>
      <c r="P213" s="52"/>
      <c r="Q213" s="52"/>
      <c r="R213" s="52"/>
      <c r="S213" s="52"/>
      <c r="T213" s="52"/>
      <c r="U213" s="52"/>
      <c r="V213" s="52"/>
      <c r="W213" s="53"/>
      <c r="X213" s="23"/>
      <c r="Y213" s="52"/>
      <c r="Z213" s="52"/>
      <c r="AA213" s="52"/>
      <c r="AB213" s="52"/>
      <c r="AC213" s="52"/>
      <c r="AD213" s="52"/>
      <c r="AE213" s="52"/>
    </row>
    <row r="214" spans="2:31" x14ac:dyDescent="0.25">
      <c r="B214" s="52"/>
      <c r="C214" s="52"/>
      <c r="D214" s="52"/>
      <c r="E214" s="52" t="str">
        <f t="shared" si="10"/>
        <v>PROG</v>
      </c>
      <c r="F214" s="52"/>
      <c r="G214" s="52" t="str">
        <f t="shared" si="11"/>
        <v>P</v>
      </c>
      <c r="H214" s="52"/>
      <c r="I214" s="52"/>
      <c r="J214" s="52" t="str">
        <f t="shared" si="12"/>
        <v>ELEM</v>
      </c>
      <c r="K214" s="52"/>
      <c r="L214" s="87"/>
      <c r="M214" s="52" t="e">
        <v>#N/A</v>
      </c>
      <c r="N214" s="52"/>
      <c r="O214" s="52"/>
      <c r="P214" s="52"/>
      <c r="Q214" s="52"/>
      <c r="R214" s="52"/>
      <c r="S214" s="52"/>
      <c r="T214" s="52"/>
      <c r="U214" s="52"/>
      <c r="V214" s="52"/>
      <c r="W214" s="53"/>
      <c r="X214" s="23"/>
      <c r="Y214" s="52"/>
      <c r="Z214" s="52"/>
      <c r="AA214" s="52"/>
      <c r="AB214" s="52"/>
      <c r="AC214" s="52"/>
      <c r="AD214" s="52"/>
      <c r="AE214" s="52"/>
    </row>
    <row r="215" spans="2:31" x14ac:dyDescent="0.25">
      <c r="B215" s="52"/>
      <c r="C215" s="52"/>
      <c r="D215" s="52"/>
      <c r="E215" s="52" t="str">
        <f t="shared" si="10"/>
        <v>PROG</v>
      </c>
      <c r="F215" s="52"/>
      <c r="G215" s="52" t="str">
        <f t="shared" si="11"/>
        <v>P</v>
      </c>
      <c r="H215" s="52"/>
      <c r="I215" s="52"/>
      <c r="J215" s="52" t="str">
        <f t="shared" si="12"/>
        <v>ELEM</v>
      </c>
      <c r="K215" s="52"/>
      <c r="L215" s="87"/>
      <c r="M215" s="52" t="e">
        <v>#N/A</v>
      </c>
      <c r="N215" s="52"/>
      <c r="O215" s="52"/>
      <c r="P215" s="52"/>
      <c r="Q215" s="52"/>
      <c r="R215" s="52"/>
      <c r="S215" s="52"/>
      <c r="T215" s="52"/>
      <c r="U215" s="52"/>
      <c r="V215" s="52"/>
      <c r="W215" s="53"/>
      <c r="X215" s="23"/>
      <c r="Y215" s="52"/>
      <c r="Z215" s="52"/>
      <c r="AA215" s="52"/>
      <c r="AB215" s="52"/>
      <c r="AC215" s="52"/>
      <c r="AD215" s="52"/>
      <c r="AE215" s="52"/>
    </row>
    <row r="216" spans="2:31" x14ac:dyDescent="0.25">
      <c r="B216" s="52"/>
      <c r="C216" s="52"/>
      <c r="D216" s="52"/>
      <c r="E216" s="52" t="str">
        <f t="shared" si="10"/>
        <v>PROG</v>
      </c>
      <c r="F216" s="52"/>
      <c r="G216" s="52" t="str">
        <f t="shared" si="11"/>
        <v>P</v>
      </c>
      <c r="H216" s="52"/>
      <c r="I216" s="52"/>
      <c r="J216" s="52" t="str">
        <f t="shared" si="12"/>
        <v>ELEM</v>
      </c>
      <c r="K216" s="52"/>
      <c r="L216" s="87"/>
      <c r="M216" s="52" t="e">
        <v>#N/A</v>
      </c>
      <c r="N216" s="52"/>
      <c r="O216" s="52"/>
      <c r="P216" s="52"/>
      <c r="Q216" s="52"/>
      <c r="R216" s="52"/>
      <c r="S216" s="52"/>
      <c r="T216" s="52"/>
      <c r="U216" s="52"/>
      <c r="V216" s="52"/>
      <c r="W216" s="53"/>
      <c r="X216" s="23"/>
      <c r="Y216" s="52"/>
      <c r="Z216" s="52"/>
      <c r="AA216" s="52"/>
      <c r="AB216" s="52"/>
      <c r="AC216" s="52"/>
      <c r="AD216" s="52"/>
      <c r="AE216" s="52"/>
    </row>
    <row r="217" spans="2:31" x14ac:dyDescent="0.25">
      <c r="B217" s="52"/>
      <c r="C217" s="52"/>
      <c r="D217" s="52"/>
      <c r="E217" s="52" t="str">
        <f t="shared" si="10"/>
        <v>PROG</v>
      </c>
      <c r="F217" s="52"/>
      <c r="G217" s="52" t="str">
        <f t="shared" si="11"/>
        <v>P</v>
      </c>
      <c r="H217" s="52"/>
      <c r="I217" s="52"/>
      <c r="J217" s="52" t="str">
        <f t="shared" si="12"/>
        <v>ELEM</v>
      </c>
      <c r="K217" s="52"/>
      <c r="L217" s="87"/>
      <c r="M217" s="52" t="e">
        <v>#N/A</v>
      </c>
      <c r="N217" s="52"/>
      <c r="O217" s="52"/>
      <c r="P217" s="52"/>
      <c r="Q217" s="52"/>
      <c r="R217" s="52"/>
      <c r="S217" s="52"/>
      <c r="T217" s="52"/>
      <c r="U217" s="52"/>
      <c r="V217" s="52"/>
      <c r="W217" s="53"/>
      <c r="X217" s="23"/>
      <c r="Y217" s="52"/>
      <c r="Z217" s="52"/>
      <c r="AA217" s="52"/>
      <c r="AB217" s="52"/>
      <c r="AC217" s="52"/>
      <c r="AD217" s="52"/>
      <c r="AE217" s="52"/>
    </row>
    <row r="218" spans="2:31" x14ac:dyDescent="0.25">
      <c r="B218" s="52"/>
      <c r="C218" s="52"/>
      <c r="D218" s="52"/>
      <c r="E218" s="52" t="str">
        <f t="shared" si="10"/>
        <v>PROG</v>
      </c>
      <c r="F218" s="52"/>
      <c r="G218" s="52" t="str">
        <f t="shared" si="11"/>
        <v>P</v>
      </c>
      <c r="H218" s="52"/>
      <c r="I218" s="52"/>
      <c r="J218" s="52" t="str">
        <f t="shared" si="12"/>
        <v>ELEM</v>
      </c>
      <c r="K218" s="52"/>
      <c r="L218" s="87"/>
      <c r="M218" s="52" t="e">
        <v>#N/A</v>
      </c>
      <c r="N218" s="52"/>
      <c r="O218" s="52"/>
      <c r="P218" s="52"/>
      <c r="Q218" s="52"/>
      <c r="R218" s="52"/>
      <c r="S218" s="52"/>
      <c r="T218" s="52"/>
      <c r="U218" s="52"/>
      <c r="V218" s="52"/>
      <c r="W218" s="53"/>
      <c r="X218" s="23"/>
      <c r="Y218" s="52"/>
      <c r="Z218" s="52"/>
      <c r="AA218" s="52"/>
      <c r="AB218" s="52"/>
      <c r="AC218" s="52"/>
      <c r="AD218" s="52"/>
      <c r="AE218" s="52"/>
    </row>
    <row r="219" spans="2:31" x14ac:dyDescent="0.25">
      <c r="B219" s="52"/>
      <c r="C219" s="52"/>
      <c r="D219" s="52"/>
      <c r="E219" s="52" t="str">
        <f t="shared" si="10"/>
        <v>PROG</v>
      </c>
      <c r="F219" s="52"/>
      <c r="G219" s="52" t="str">
        <f t="shared" si="11"/>
        <v>P</v>
      </c>
      <c r="H219" s="52"/>
      <c r="I219" s="52"/>
      <c r="J219" s="52" t="str">
        <f t="shared" si="12"/>
        <v>ELEM</v>
      </c>
      <c r="K219" s="52"/>
      <c r="L219" s="87"/>
      <c r="M219" s="52" t="e">
        <v>#N/A</v>
      </c>
      <c r="N219" s="52"/>
      <c r="O219" s="52"/>
      <c r="P219" s="52"/>
      <c r="Q219" s="52"/>
      <c r="R219" s="52"/>
      <c r="S219" s="52"/>
      <c r="T219" s="52"/>
      <c r="U219" s="52"/>
      <c r="V219" s="52"/>
      <c r="W219" s="53"/>
      <c r="X219" s="23"/>
      <c r="Y219" s="52"/>
      <c r="Z219" s="52"/>
      <c r="AA219" s="52"/>
      <c r="AB219" s="52"/>
      <c r="AC219" s="52"/>
      <c r="AD219" s="52"/>
      <c r="AE219" s="52"/>
    </row>
    <row r="220" spans="2:31" x14ac:dyDescent="0.25">
      <c r="B220" s="52"/>
      <c r="C220" s="52"/>
      <c r="D220" s="52"/>
      <c r="E220" s="52" t="str">
        <f t="shared" si="10"/>
        <v>PROG</v>
      </c>
      <c r="F220" s="52"/>
      <c r="G220" s="52" t="str">
        <f t="shared" si="11"/>
        <v>P</v>
      </c>
      <c r="H220" s="52"/>
      <c r="I220" s="52"/>
      <c r="J220" s="52" t="str">
        <f t="shared" si="12"/>
        <v>ELEM</v>
      </c>
      <c r="K220" s="52"/>
      <c r="L220" s="87"/>
      <c r="M220" s="52" t="e">
        <v>#N/A</v>
      </c>
      <c r="N220" s="52"/>
      <c r="O220" s="52"/>
      <c r="P220" s="52"/>
      <c r="Q220" s="52"/>
      <c r="R220" s="52"/>
      <c r="S220" s="52"/>
      <c r="T220" s="52"/>
      <c r="U220" s="52"/>
      <c r="V220" s="52"/>
      <c r="W220" s="53"/>
      <c r="X220" s="23"/>
      <c r="Y220" s="52"/>
      <c r="Z220" s="52"/>
      <c r="AA220" s="52"/>
      <c r="AB220" s="52"/>
      <c r="AC220" s="52"/>
      <c r="AD220" s="52"/>
      <c r="AE220" s="52"/>
    </row>
    <row r="221" spans="2:31" x14ac:dyDescent="0.25">
      <c r="B221" s="52"/>
      <c r="C221" s="52"/>
      <c r="D221" s="52"/>
      <c r="E221" s="52" t="str">
        <f t="shared" si="10"/>
        <v>PROG</v>
      </c>
      <c r="F221" s="52"/>
      <c r="G221" s="52" t="str">
        <f t="shared" si="11"/>
        <v>P</v>
      </c>
      <c r="H221" s="52"/>
      <c r="I221" s="52"/>
      <c r="J221" s="52" t="str">
        <f t="shared" si="12"/>
        <v>ELEM</v>
      </c>
      <c r="K221" s="52"/>
      <c r="L221" s="87"/>
      <c r="M221" s="52" t="e">
        <v>#N/A</v>
      </c>
      <c r="N221" s="52"/>
      <c r="O221" s="52"/>
      <c r="P221" s="52"/>
      <c r="Q221" s="52"/>
      <c r="R221" s="52"/>
      <c r="S221" s="52"/>
      <c r="T221" s="52"/>
      <c r="U221" s="52"/>
      <c r="V221" s="52"/>
      <c r="W221" s="53"/>
      <c r="X221" s="23"/>
      <c r="Y221" s="52"/>
      <c r="Z221" s="52"/>
      <c r="AA221" s="52"/>
      <c r="AB221" s="52"/>
      <c r="AC221" s="52"/>
      <c r="AD221" s="52"/>
      <c r="AE221" s="52"/>
    </row>
    <row r="222" spans="2:31" x14ac:dyDescent="0.25">
      <c r="B222" s="52"/>
      <c r="C222" s="52"/>
      <c r="D222" s="52"/>
      <c r="E222" s="52" t="str">
        <f t="shared" si="10"/>
        <v>PROG</v>
      </c>
      <c r="F222" s="52"/>
      <c r="G222" s="52" t="str">
        <f t="shared" si="11"/>
        <v>P</v>
      </c>
      <c r="H222" s="52"/>
      <c r="I222" s="52"/>
      <c r="J222" s="52" t="str">
        <f t="shared" si="12"/>
        <v>ELEM</v>
      </c>
      <c r="K222" s="52"/>
      <c r="L222" s="87"/>
      <c r="M222" s="52" t="e">
        <v>#N/A</v>
      </c>
      <c r="N222" s="52"/>
      <c r="O222" s="52"/>
      <c r="P222" s="52"/>
      <c r="Q222" s="52"/>
      <c r="R222" s="52"/>
      <c r="S222" s="52"/>
      <c r="T222" s="52"/>
      <c r="U222" s="52"/>
      <c r="V222" s="52"/>
      <c r="W222" s="53"/>
      <c r="X222" s="23"/>
      <c r="Y222" s="52"/>
      <c r="Z222" s="52"/>
      <c r="AA222" s="52"/>
      <c r="AB222" s="52"/>
      <c r="AC222" s="52"/>
      <c r="AD222" s="52"/>
      <c r="AE222" s="52"/>
    </row>
    <row r="223" spans="2:31" x14ac:dyDescent="0.25">
      <c r="B223" s="52"/>
      <c r="C223" s="52"/>
      <c r="D223" s="52"/>
      <c r="E223" s="52" t="str">
        <f t="shared" si="10"/>
        <v>PROG</v>
      </c>
      <c r="F223" s="52"/>
      <c r="G223" s="52" t="str">
        <f t="shared" si="11"/>
        <v>P</v>
      </c>
      <c r="H223" s="52"/>
      <c r="I223" s="52"/>
      <c r="J223" s="52" t="str">
        <f t="shared" si="12"/>
        <v>ELEM</v>
      </c>
      <c r="K223" s="52"/>
      <c r="L223" s="87"/>
      <c r="M223" s="52" t="e">
        <v>#N/A</v>
      </c>
      <c r="N223" s="52"/>
      <c r="O223" s="52"/>
      <c r="P223" s="52"/>
      <c r="Q223" s="52"/>
      <c r="R223" s="52"/>
      <c r="S223" s="52"/>
      <c r="T223" s="52"/>
      <c r="U223" s="52"/>
      <c r="V223" s="52"/>
      <c r="W223" s="53"/>
      <c r="X223" s="23"/>
      <c r="Y223" s="52"/>
      <c r="Z223" s="52"/>
      <c r="AA223" s="52"/>
      <c r="AB223" s="52"/>
      <c r="AC223" s="52"/>
      <c r="AD223" s="52"/>
      <c r="AE223" s="52"/>
    </row>
    <row r="224" spans="2:31" x14ac:dyDescent="0.25">
      <c r="B224" s="52"/>
      <c r="C224" s="52"/>
      <c r="D224" s="52"/>
      <c r="E224" s="52" t="str">
        <f t="shared" si="10"/>
        <v>PROG</v>
      </c>
      <c r="F224" s="52"/>
      <c r="G224" s="52" t="str">
        <f t="shared" si="11"/>
        <v>P</v>
      </c>
      <c r="H224" s="52"/>
      <c r="I224" s="52"/>
      <c r="J224" s="52" t="str">
        <f t="shared" si="12"/>
        <v>ELEM</v>
      </c>
      <c r="K224" s="52"/>
      <c r="L224" s="87"/>
      <c r="M224" s="52" t="e">
        <v>#N/A</v>
      </c>
      <c r="N224" s="52"/>
      <c r="O224" s="52"/>
      <c r="P224" s="52"/>
      <c r="Q224" s="52"/>
      <c r="R224" s="52"/>
      <c r="S224" s="52"/>
      <c r="T224" s="52"/>
      <c r="U224" s="52"/>
      <c r="V224" s="52"/>
      <c r="W224" s="53"/>
      <c r="X224" s="23"/>
      <c r="Y224" s="52"/>
      <c r="Z224" s="52"/>
      <c r="AA224" s="52"/>
      <c r="AB224" s="52"/>
      <c r="AC224" s="52"/>
      <c r="AD224" s="52"/>
      <c r="AE224" s="52"/>
    </row>
    <row r="225" spans="2:31" x14ac:dyDescent="0.25">
      <c r="B225" s="52"/>
      <c r="C225" s="52"/>
      <c r="D225" s="52"/>
      <c r="E225" s="52" t="str">
        <f t="shared" si="10"/>
        <v>PROG</v>
      </c>
      <c r="F225" s="52"/>
      <c r="G225" s="52" t="str">
        <f t="shared" si="11"/>
        <v>P</v>
      </c>
      <c r="H225" s="52"/>
      <c r="I225" s="52"/>
      <c r="J225" s="52" t="str">
        <f t="shared" si="12"/>
        <v>ELEM</v>
      </c>
      <c r="K225" s="52"/>
      <c r="L225" s="87"/>
      <c r="M225" s="52" t="e">
        <v>#N/A</v>
      </c>
      <c r="N225" s="52"/>
      <c r="O225" s="52"/>
      <c r="P225" s="52"/>
      <c r="Q225" s="52"/>
      <c r="R225" s="52"/>
      <c r="S225" s="52"/>
      <c r="T225" s="52"/>
      <c r="U225" s="52"/>
      <c r="V225" s="52"/>
      <c r="W225" s="53"/>
      <c r="X225" s="23"/>
      <c r="Y225" s="52"/>
      <c r="Z225" s="52"/>
      <c r="AA225" s="52"/>
      <c r="AB225" s="52"/>
      <c r="AC225" s="52"/>
      <c r="AD225" s="52"/>
      <c r="AE225" s="52"/>
    </row>
    <row r="226" spans="2:31" x14ac:dyDescent="0.25">
      <c r="B226" s="52"/>
      <c r="C226" s="52"/>
      <c r="D226" s="52"/>
      <c r="E226" s="52" t="str">
        <f t="shared" si="10"/>
        <v>PROG</v>
      </c>
      <c r="F226" s="52"/>
      <c r="G226" s="52" t="str">
        <f t="shared" si="11"/>
        <v>P</v>
      </c>
      <c r="H226" s="52"/>
      <c r="I226" s="52"/>
      <c r="J226" s="52" t="str">
        <f t="shared" si="12"/>
        <v>ELEM</v>
      </c>
      <c r="K226" s="52"/>
      <c r="L226" s="87"/>
      <c r="M226" s="52" t="e">
        <v>#N/A</v>
      </c>
      <c r="N226" s="52"/>
      <c r="O226" s="52"/>
      <c r="P226" s="52"/>
      <c r="Q226" s="52"/>
      <c r="R226" s="52"/>
      <c r="S226" s="52"/>
      <c r="T226" s="52"/>
      <c r="U226" s="52"/>
      <c r="V226" s="52"/>
      <c r="W226" s="53"/>
      <c r="X226" s="23"/>
      <c r="Y226" s="52"/>
      <c r="Z226" s="52"/>
      <c r="AA226" s="52"/>
      <c r="AB226" s="52"/>
      <c r="AC226" s="52"/>
      <c r="AD226" s="52"/>
      <c r="AE226" s="52"/>
    </row>
    <row r="227" spans="2:31" x14ac:dyDescent="0.25">
      <c r="B227" s="52"/>
      <c r="C227" s="52"/>
      <c r="D227" s="52"/>
      <c r="E227" s="52" t="str">
        <f t="shared" si="10"/>
        <v>PROG</v>
      </c>
      <c r="F227" s="52"/>
      <c r="G227" s="52" t="str">
        <f t="shared" si="11"/>
        <v>P</v>
      </c>
      <c r="H227" s="52"/>
      <c r="I227" s="52"/>
      <c r="J227" s="52" t="str">
        <f t="shared" si="12"/>
        <v>ELEM</v>
      </c>
      <c r="K227" s="52"/>
      <c r="L227" s="87"/>
      <c r="M227" s="52" t="e">
        <v>#N/A</v>
      </c>
      <c r="N227" s="52"/>
      <c r="O227" s="52"/>
      <c r="P227" s="52"/>
      <c r="Q227" s="52"/>
      <c r="R227" s="52"/>
      <c r="S227" s="52"/>
      <c r="T227" s="52"/>
      <c r="U227" s="52"/>
      <c r="V227" s="52"/>
      <c r="W227" s="53"/>
      <c r="X227" s="23"/>
      <c r="Y227" s="52"/>
      <c r="Z227" s="52"/>
      <c r="AA227" s="52"/>
      <c r="AB227" s="52"/>
      <c r="AC227" s="52"/>
      <c r="AD227" s="52"/>
      <c r="AE227" s="52"/>
    </row>
    <row r="228" spans="2:31" x14ac:dyDescent="0.25">
      <c r="B228" s="52"/>
      <c r="C228" s="52"/>
      <c r="D228" s="52"/>
      <c r="E228" s="52" t="str">
        <f t="shared" si="10"/>
        <v>PROG</v>
      </c>
      <c r="F228" s="52"/>
      <c r="G228" s="52" t="str">
        <f t="shared" si="11"/>
        <v>P</v>
      </c>
      <c r="H228" s="52"/>
      <c r="I228" s="52"/>
      <c r="J228" s="52" t="str">
        <f t="shared" si="12"/>
        <v>ELEM</v>
      </c>
      <c r="K228" s="52"/>
      <c r="L228" s="87"/>
      <c r="M228" s="52" t="e">
        <v>#N/A</v>
      </c>
      <c r="N228" s="52"/>
      <c r="O228" s="52"/>
      <c r="P228" s="52"/>
      <c r="Q228" s="52"/>
      <c r="R228" s="52"/>
      <c r="S228" s="52"/>
      <c r="T228" s="52"/>
      <c r="U228" s="52"/>
      <c r="V228" s="52"/>
      <c r="W228" s="53"/>
      <c r="X228" s="23"/>
      <c r="Y228" s="52"/>
      <c r="Z228" s="52"/>
      <c r="AA228" s="52"/>
      <c r="AB228" s="52"/>
      <c r="AC228" s="52"/>
      <c r="AD228" s="52"/>
      <c r="AE228" s="52"/>
    </row>
    <row r="229" spans="2:31" x14ac:dyDescent="0.25">
      <c r="B229" s="52"/>
      <c r="C229" s="52"/>
      <c r="D229" s="52"/>
      <c r="E229" s="52" t="str">
        <f t="shared" si="10"/>
        <v>PROG</v>
      </c>
      <c r="F229" s="52"/>
      <c r="G229" s="52" t="str">
        <f t="shared" si="11"/>
        <v>P</v>
      </c>
      <c r="H229" s="52"/>
      <c r="I229" s="52"/>
      <c r="J229" s="52" t="str">
        <f t="shared" si="12"/>
        <v>ELEM</v>
      </c>
      <c r="K229" s="52"/>
      <c r="L229" s="87"/>
      <c r="M229" s="52" t="e">
        <v>#N/A</v>
      </c>
      <c r="N229" s="52"/>
      <c r="O229" s="52"/>
      <c r="P229" s="52"/>
      <c r="Q229" s="52"/>
      <c r="R229" s="52"/>
      <c r="S229" s="52"/>
      <c r="T229" s="52"/>
      <c r="U229" s="52"/>
      <c r="V229" s="52"/>
      <c r="W229" s="53"/>
      <c r="X229" s="23"/>
      <c r="Y229" s="52"/>
      <c r="Z229" s="52"/>
      <c r="AA229" s="52"/>
      <c r="AB229" s="52"/>
      <c r="AC229" s="52"/>
      <c r="AD229" s="52"/>
      <c r="AE229" s="52"/>
    </row>
    <row r="230" spans="2:31" x14ac:dyDescent="0.25">
      <c r="B230" s="52"/>
      <c r="C230" s="52"/>
      <c r="D230" s="52"/>
      <c r="E230" s="52" t="str">
        <f t="shared" si="10"/>
        <v>PROG</v>
      </c>
      <c r="F230" s="52"/>
      <c r="G230" s="52" t="str">
        <f t="shared" si="11"/>
        <v>P</v>
      </c>
      <c r="H230" s="52"/>
      <c r="I230" s="52"/>
      <c r="J230" s="52" t="str">
        <f t="shared" si="12"/>
        <v>ELEM</v>
      </c>
      <c r="K230" s="52"/>
      <c r="L230" s="87"/>
      <c r="M230" s="52" t="e">
        <v>#N/A</v>
      </c>
      <c r="N230" s="52"/>
      <c r="O230" s="52"/>
      <c r="P230" s="52"/>
      <c r="Q230" s="52"/>
      <c r="R230" s="52"/>
      <c r="S230" s="52"/>
      <c r="T230" s="52"/>
      <c r="U230" s="52"/>
      <c r="V230" s="52"/>
      <c r="W230" s="53"/>
      <c r="X230" s="23"/>
      <c r="Y230" s="52"/>
      <c r="Z230" s="52"/>
      <c r="AA230" s="52"/>
      <c r="AB230" s="52"/>
      <c r="AC230" s="52"/>
      <c r="AD230" s="52"/>
      <c r="AE230" s="52"/>
    </row>
    <row r="231" spans="2:31" x14ac:dyDescent="0.25">
      <c r="B231" s="52"/>
      <c r="C231" s="52"/>
      <c r="D231" s="52"/>
      <c r="E231" s="52" t="str">
        <f t="shared" si="10"/>
        <v>PROG</v>
      </c>
      <c r="F231" s="52"/>
      <c r="G231" s="52" t="str">
        <f t="shared" si="11"/>
        <v>P</v>
      </c>
      <c r="H231" s="52"/>
      <c r="I231" s="52"/>
      <c r="J231" s="52" t="str">
        <f t="shared" si="12"/>
        <v>ELEM</v>
      </c>
      <c r="K231" s="52"/>
      <c r="L231" s="87"/>
      <c r="M231" s="52" t="e">
        <v>#N/A</v>
      </c>
      <c r="N231" s="52"/>
      <c r="O231" s="52"/>
      <c r="P231" s="52"/>
      <c r="Q231" s="52"/>
      <c r="R231" s="52"/>
      <c r="S231" s="52"/>
      <c r="T231" s="52"/>
      <c r="U231" s="52"/>
      <c r="V231" s="52"/>
      <c r="W231" s="53"/>
      <c r="X231" s="23"/>
      <c r="Y231" s="52"/>
      <c r="Z231" s="52"/>
      <c r="AA231" s="52"/>
      <c r="AB231" s="52"/>
      <c r="AC231" s="52"/>
      <c r="AD231" s="52"/>
      <c r="AE231" s="52"/>
    </row>
    <row r="232" spans="2:31" x14ac:dyDescent="0.25">
      <c r="B232" s="52"/>
      <c r="C232" s="52"/>
      <c r="D232" s="52"/>
      <c r="E232" s="52" t="str">
        <f t="shared" si="10"/>
        <v>PROG</v>
      </c>
      <c r="F232" s="52"/>
      <c r="G232" s="52" t="str">
        <f t="shared" si="11"/>
        <v>P</v>
      </c>
      <c r="H232" s="52"/>
      <c r="I232" s="52"/>
      <c r="J232" s="52" t="str">
        <f t="shared" si="12"/>
        <v>ELEM</v>
      </c>
      <c r="K232" s="52"/>
      <c r="L232" s="87"/>
      <c r="M232" s="52" t="e">
        <v>#N/A</v>
      </c>
      <c r="N232" s="52"/>
      <c r="O232" s="52"/>
      <c r="P232" s="52"/>
      <c r="Q232" s="52"/>
      <c r="R232" s="52"/>
      <c r="S232" s="52"/>
      <c r="T232" s="52"/>
      <c r="U232" s="52"/>
      <c r="V232" s="52"/>
      <c r="W232" s="53"/>
      <c r="X232" s="23"/>
      <c r="Y232" s="52"/>
      <c r="Z232" s="52"/>
      <c r="AA232" s="52"/>
      <c r="AB232" s="52"/>
      <c r="AC232" s="52"/>
      <c r="AD232" s="52"/>
      <c r="AE232" s="52"/>
    </row>
    <row r="233" spans="2:31" x14ac:dyDescent="0.25">
      <c r="B233" s="52"/>
      <c r="C233" s="52"/>
      <c r="D233" s="52"/>
      <c r="E233" s="52" t="str">
        <f t="shared" si="10"/>
        <v>PROG</v>
      </c>
      <c r="F233" s="52"/>
      <c r="G233" s="52" t="str">
        <f t="shared" si="11"/>
        <v>P</v>
      </c>
      <c r="H233" s="52"/>
      <c r="I233" s="52"/>
      <c r="J233" s="52" t="str">
        <f t="shared" si="12"/>
        <v>ELEM</v>
      </c>
      <c r="K233" s="52"/>
      <c r="L233" s="87"/>
      <c r="M233" s="52" t="e">
        <v>#N/A</v>
      </c>
      <c r="N233" s="52"/>
      <c r="O233" s="52"/>
      <c r="P233" s="52"/>
      <c r="Q233" s="52"/>
      <c r="R233" s="52"/>
      <c r="S233" s="52"/>
      <c r="T233" s="52"/>
      <c r="U233" s="52"/>
      <c r="V233" s="52"/>
      <c r="W233" s="53"/>
      <c r="X233" s="23"/>
      <c r="Y233" s="52"/>
      <c r="Z233" s="52"/>
      <c r="AA233" s="52"/>
      <c r="AB233" s="52"/>
      <c r="AC233" s="52"/>
      <c r="AD233" s="52"/>
      <c r="AE233" s="52"/>
    </row>
    <row r="234" spans="2:31" x14ac:dyDescent="0.25">
      <c r="B234" s="52"/>
      <c r="C234" s="52"/>
      <c r="D234" s="52"/>
      <c r="E234" s="52" t="str">
        <f t="shared" si="10"/>
        <v>PROG</v>
      </c>
      <c r="F234" s="52"/>
      <c r="G234" s="52" t="str">
        <f t="shared" si="11"/>
        <v>P</v>
      </c>
      <c r="H234" s="52"/>
      <c r="I234" s="52"/>
      <c r="J234" s="52" t="str">
        <f t="shared" si="12"/>
        <v>ELEM</v>
      </c>
      <c r="K234" s="52"/>
      <c r="L234" s="87"/>
      <c r="M234" s="52" t="e">
        <v>#N/A</v>
      </c>
      <c r="N234" s="52"/>
      <c r="O234" s="52"/>
      <c r="P234" s="52"/>
      <c r="Q234" s="52"/>
      <c r="R234" s="52"/>
      <c r="S234" s="52"/>
      <c r="T234" s="52"/>
      <c r="U234" s="52"/>
      <c r="V234" s="52"/>
      <c r="W234" s="53"/>
      <c r="X234" s="23"/>
      <c r="Y234" s="52"/>
      <c r="Z234" s="52"/>
      <c r="AA234" s="52"/>
      <c r="AB234" s="52"/>
      <c r="AC234" s="52"/>
      <c r="AD234" s="52"/>
      <c r="AE234" s="52"/>
    </row>
    <row r="235" spans="2:31" x14ac:dyDescent="0.25">
      <c r="B235" s="52"/>
      <c r="C235" s="52"/>
      <c r="D235" s="52"/>
      <c r="E235" s="52" t="str">
        <f t="shared" si="10"/>
        <v>PROG</v>
      </c>
      <c r="F235" s="52"/>
      <c r="G235" s="52" t="str">
        <f t="shared" si="11"/>
        <v>P</v>
      </c>
      <c r="H235" s="52"/>
      <c r="I235" s="52"/>
      <c r="J235" s="52" t="str">
        <f t="shared" si="12"/>
        <v>ELEM</v>
      </c>
      <c r="K235" s="52"/>
      <c r="L235" s="87"/>
      <c r="M235" s="52" t="e">
        <v>#N/A</v>
      </c>
      <c r="N235" s="52"/>
      <c r="O235" s="52"/>
      <c r="P235" s="52"/>
      <c r="Q235" s="52"/>
      <c r="R235" s="52"/>
      <c r="S235" s="52"/>
      <c r="T235" s="52"/>
      <c r="U235" s="52"/>
      <c r="V235" s="52"/>
      <c r="W235" s="53"/>
      <c r="X235" s="23"/>
      <c r="Y235" s="52"/>
      <c r="Z235" s="52"/>
      <c r="AA235" s="52"/>
      <c r="AB235" s="52"/>
      <c r="AC235" s="52"/>
      <c r="AD235" s="52"/>
      <c r="AE235" s="52"/>
    </row>
    <row r="236" spans="2:31" x14ac:dyDescent="0.25">
      <c r="B236" s="52"/>
      <c r="C236" s="52"/>
      <c r="D236" s="52"/>
      <c r="E236" s="52" t="str">
        <f t="shared" si="10"/>
        <v>PROG</v>
      </c>
      <c r="F236" s="52"/>
      <c r="G236" s="52" t="str">
        <f t="shared" si="11"/>
        <v>P</v>
      </c>
      <c r="H236" s="52"/>
      <c r="I236" s="52"/>
      <c r="J236" s="52" t="str">
        <f t="shared" si="12"/>
        <v>ELEM</v>
      </c>
      <c r="K236" s="52"/>
      <c r="L236" s="87"/>
      <c r="M236" s="52" t="e">
        <v>#N/A</v>
      </c>
      <c r="N236" s="52"/>
      <c r="O236" s="52"/>
      <c r="P236" s="52"/>
      <c r="Q236" s="52"/>
      <c r="R236" s="52"/>
      <c r="S236" s="52"/>
      <c r="T236" s="52"/>
      <c r="U236" s="52"/>
      <c r="V236" s="52"/>
      <c r="W236" s="53"/>
      <c r="X236" s="23"/>
      <c r="Y236" s="52"/>
      <c r="Z236" s="52"/>
      <c r="AA236" s="52"/>
      <c r="AB236" s="52"/>
      <c r="AC236" s="52"/>
      <c r="AD236" s="52"/>
      <c r="AE236" s="52"/>
    </row>
    <row r="237" spans="2:31" x14ac:dyDescent="0.25">
      <c r="B237" s="52"/>
      <c r="C237" s="52"/>
      <c r="D237" s="52"/>
      <c r="E237" s="52" t="str">
        <f t="shared" si="10"/>
        <v>PROG</v>
      </c>
      <c r="F237" s="52"/>
      <c r="G237" s="52" t="str">
        <f t="shared" si="11"/>
        <v>P</v>
      </c>
      <c r="H237" s="52"/>
      <c r="I237" s="52"/>
      <c r="J237" s="52" t="str">
        <f t="shared" si="12"/>
        <v>ELEM</v>
      </c>
      <c r="K237" s="52"/>
      <c r="L237" s="87"/>
      <c r="M237" s="52" t="e">
        <v>#N/A</v>
      </c>
      <c r="N237" s="52"/>
      <c r="O237" s="52"/>
      <c r="P237" s="52"/>
      <c r="Q237" s="52"/>
      <c r="R237" s="52"/>
      <c r="S237" s="52"/>
      <c r="T237" s="52"/>
      <c r="U237" s="52"/>
      <c r="V237" s="52"/>
      <c r="W237" s="53"/>
      <c r="X237" s="23"/>
      <c r="Y237" s="52"/>
      <c r="Z237" s="52"/>
      <c r="AA237" s="52"/>
      <c r="AB237" s="52"/>
      <c r="AC237" s="52"/>
      <c r="AD237" s="52"/>
      <c r="AE237" s="52"/>
    </row>
    <row r="238" spans="2:31" x14ac:dyDescent="0.25">
      <c r="B238" s="52"/>
      <c r="C238" s="52"/>
      <c r="D238" s="52"/>
      <c r="E238" s="52" t="str">
        <f t="shared" si="10"/>
        <v>PROG</v>
      </c>
      <c r="F238" s="52"/>
      <c r="G238" s="52" t="str">
        <f t="shared" si="11"/>
        <v>P</v>
      </c>
      <c r="H238" s="52"/>
      <c r="I238" s="52"/>
      <c r="J238" s="52" t="str">
        <f t="shared" si="12"/>
        <v>ELEM</v>
      </c>
      <c r="K238" s="52"/>
      <c r="L238" s="87"/>
      <c r="M238" s="52" t="e">
        <v>#N/A</v>
      </c>
      <c r="N238" s="52"/>
      <c r="O238" s="52"/>
      <c r="P238" s="52"/>
      <c r="Q238" s="52"/>
      <c r="R238" s="52"/>
      <c r="S238" s="52"/>
      <c r="T238" s="52"/>
      <c r="U238" s="52"/>
      <c r="V238" s="52"/>
      <c r="W238" s="53"/>
      <c r="X238" s="23"/>
      <c r="Y238" s="52"/>
      <c r="Z238" s="52"/>
      <c r="AA238" s="52"/>
      <c r="AB238" s="52"/>
      <c r="AC238" s="52"/>
      <c r="AD238" s="52"/>
      <c r="AE238" s="52"/>
    </row>
    <row r="239" spans="2:31" x14ac:dyDescent="0.25">
      <c r="B239" s="52"/>
      <c r="C239" s="52"/>
      <c r="D239" s="52"/>
      <c r="E239" s="52" t="str">
        <f t="shared" si="10"/>
        <v>PROG</v>
      </c>
      <c r="F239" s="52"/>
      <c r="G239" s="52" t="str">
        <f t="shared" si="11"/>
        <v>P</v>
      </c>
      <c r="H239" s="52"/>
      <c r="I239" s="52"/>
      <c r="J239" s="52" t="str">
        <f t="shared" si="12"/>
        <v>ELEM</v>
      </c>
      <c r="K239" s="52"/>
      <c r="L239" s="87"/>
      <c r="M239" s="52" t="e">
        <v>#N/A</v>
      </c>
      <c r="N239" s="52"/>
      <c r="O239" s="52"/>
      <c r="P239" s="52"/>
      <c r="Q239" s="52"/>
      <c r="R239" s="52"/>
      <c r="S239" s="52"/>
      <c r="T239" s="52"/>
      <c r="U239" s="52"/>
      <c r="V239" s="52"/>
      <c r="W239" s="53"/>
      <c r="X239" s="23"/>
      <c r="Y239" s="52"/>
      <c r="Z239" s="52"/>
      <c r="AA239" s="52"/>
      <c r="AB239" s="52"/>
      <c r="AC239" s="52"/>
      <c r="AD239" s="52"/>
      <c r="AE239" s="52"/>
    </row>
    <row r="240" spans="2:31" x14ac:dyDescent="0.25">
      <c r="B240" s="52"/>
      <c r="C240" s="52"/>
      <c r="D240" s="52"/>
      <c r="E240" s="52" t="str">
        <f t="shared" si="10"/>
        <v>PROG</v>
      </c>
      <c r="F240" s="52"/>
      <c r="G240" s="52" t="str">
        <f t="shared" si="11"/>
        <v>P</v>
      </c>
      <c r="H240" s="52"/>
      <c r="I240" s="52"/>
      <c r="J240" s="52" t="str">
        <f t="shared" si="12"/>
        <v>ELEM</v>
      </c>
      <c r="K240" s="52"/>
      <c r="L240" s="87"/>
      <c r="M240" s="52" t="e">
        <v>#N/A</v>
      </c>
      <c r="N240" s="52"/>
      <c r="O240" s="52"/>
      <c r="P240" s="52"/>
      <c r="Q240" s="52"/>
      <c r="R240" s="52"/>
      <c r="S240" s="52"/>
      <c r="T240" s="52"/>
      <c r="U240" s="52"/>
      <c r="V240" s="52"/>
      <c r="W240" s="53"/>
      <c r="X240" s="23"/>
      <c r="Y240" s="52"/>
      <c r="Z240" s="52"/>
      <c r="AA240" s="52"/>
      <c r="AB240" s="52"/>
      <c r="AC240" s="52"/>
      <c r="AD240" s="52"/>
      <c r="AE240" s="52"/>
    </row>
    <row r="241" spans="2:31" x14ac:dyDescent="0.25">
      <c r="B241" s="52"/>
      <c r="C241" s="52"/>
      <c r="D241" s="52"/>
      <c r="E241" s="52" t="str">
        <f t="shared" si="10"/>
        <v>PROG</v>
      </c>
      <c r="F241" s="52"/>
      <c r="G241" s="52" t="str">
        <f t="shared" si="11"/>
        <v>P</v>
      </c>
      <c r="H241" s="52"/>
      <c r="I241" s="52"/>
      <c r="J241" s="52" t="str">
        <f t="shared" si="12"/>
        <v>ELEM</v>
      </c>
      <c r="K241" s="52"/>
      <c r="L241" s="87"/>
      <c r="M241" s="52" t="e">
        <v>#N/A</v>
      </c>
      <c r="N241" s="52"/>
      <c r="O241" s="52"/>
      <c r="P241" s="52"/>
      <c r="Q241" s="52"/>
      <c r="R241" s="52"/>
      <c r="S241" s="52"/>
      <c r="T241" s="52"/>
      <c r="U241" s="52"/>
      <c r="V241" s="52"/>
      <c r="W241" s="53"/>
      <c r="X241" s="23"/>
      <c r="Y241" s="52"/>
      <c r="Z241" s="52"/>
      <c r="AA241" s="52"/>
      <c r="AB241" s="52"/>
      <c r="AC241" s="52"/>
      <c r="AD241" s="52"/>
      <c r="AE241" s="52"/>
    </row>
    <row r="242" spans="2:31" x14ac:dyDescent="0.25">
      <c r="B242" s="52"/>
      <c r="C242" s="52"/>
      <c r="D242" s="52"/>
      <c r="E242" s="52" t="str">
        <f t="shared" si="10"/>
        <v>PROG</v>
      </c>
      <c r="F242" s="52"/>
      <c r="G242" s="52" t="str">
        <f t="shared" si="11"/>
        <v>P</v>
      </c>
      <c r="H242" s="52"/>
      <c r="I242" s="52"/>
      <c r="J242" s="52" t="str">
        <f t="shared" si="12"/>
        <v>ELEM</v>
      </c>
      <c r="K242" s="52"/>
      <c r="L242" s="87"/>
      <c r="M242" s="52" t="e">
        <v>#N/A</v>
      </c>
      <c r="N242" s="52"/>
      <c r="O242" s="52"/>
      <c r="P242" s="52"/>
      <c r="Q242" s="52"/>
      <c r="R242" s="52"/>
      <c r="S242" s="52"/>
      <c r="T242" s="52"/>
      <c r="U242" s="52"/>
      <c r="V242" s="52"/>
      <c r="W242" s="53"/>
      <c r="X242" s="23"/>
      <c r="Y242" s="52"/>
      <c r="Z242" s="52"/>
      <c r="AA242" s="52"/>
      <c r="AB242" s="52"/>
      <c r="AC242" s="52"/>
      <c r="AD242" s="52"/>
      <c r="AE242" s="52"/>
    </row>
    <row r="243" spans="2:31" x14ac:dyDescent="0.25">
      <c r="B243" s="52"/>
      <c r="C243" s="52"/>
      <c r="D243" s="52"/>
      <c r="E243" s="52" t="str">
        <f t="shared" si="10"/>
        <v>PROG</v>
      </c>
      <c r="F243" s="52"/>
      <c r="G243" s="52" t="str">
        <f t="shared" si="11"/>
        <v>P</v>
      </c>
      <c r="H243" s="52"/>
      <c r="I243" s="52"/>
      <c r="J243" s="52" t="str">
        <f t="shared" si="12"/>
        <v>ELEM</v>
      </c>
      <c r="K243" s="52"/>
      <c r="L243" s="87"/>
      <c r="M243" s="52" t="e">
        <v>#N/A</v>
      </c>
      <c r="N243" s="52"/>
      <c r="O243" s="52"/>
      <c r="P243" s="52"/>
      <c r="Q243" s="52"/>
      <c r="R243" s="52"/>
      <c r="S243" s="52"/>
      <c r="T243" s="52"/>
      <c r="U243" s="52"/>
      <c r="V243" s="52"/>
      <c r="W243" s="53"/>
      <c r="X243" s="23"/>
      <c r="Y243" s="52"/>
      <c r="Z243" s="52"/>
      <c r="AA243" s="52"/>
      <c r="AB243" s="52"/>
      <c r="AC243" s="52"/>
      <c r="AD243" s="52"/>
      <c r="AE243" s="52"/>
    </row>
    <row r="244" spans="2:31" x14ac:dyDescent="0.25">
      <c r="B244" s="52"/>
      <c r="C244" s="52"/>
      <c r="D244" s="52"/>
      <c r="E244" s="52" t="str">
        <f t="shared" si="10"/>
        <v>PROG</v>
      </c>
      <c r="F244" s="52"/>
      <c r="G244" s="52" t="str">
        <f t="shared" si="11"/>
        <v>P</v>
      </c>
      <c r="H244" s="52"/>
      <c r="I244" s="52"/>
      <c r="J244" s="52" t="str">
        <f t="shared" si="12"/>
        <v>ELEM</v>
      </c>
      <c r="K244" s="52"/>
      <c r="L244" s="87"/>
      <c r="M244" s="52" t="e">
        <v>#N/A</v>
      </c>
      <c r="N244" s="52"/>
      <c r="O244" s="52"/>
      <c r="P244" s="52"/>
      <c r="Q244" s="52"/>
      <c r="R244" s="52"/>
      <c r="S244" s="52"/>
      <c r="T244" s="52"/>
      <c r="U244" s="52"/>
      <c r="V244" s="52"/>
      <c r="W244" s="53"/>
      <c r="X244" s="23"/>
      <c r="Y244" s="52"/>
      <c r="Z244" s="52"/>
      <c r="AA244" s="52"/>
      <c r="AB244" s="52"/>
      <c r="AC244" s="52"/>
      <c r="AD244" s="52"/>
      <c r="AE244" s="52"/>
    </row>
    <row r="245" spans="2:31" x14ac:dyDescent="0.25">
      <c r="B245" s="52"/>
      <c r="C245" s="52"/>
      <c r="D245" s="52"/>
      <c r="E245" s="52" t="str">
        <f t="shared" si="10"/>
        <v>PROG</v>
      </c>
      <c r="F245" s="52"/>
      <c r="G245" s="52" t="str">
        <f t="shared" si="11"/>
        <v>P</v>
      </c>
      <c r="H245" s="52"/>
      <c r="I245" s="52"/>
      <c r="J245" s="52" t="str">
        <f t="shared" si="12"/>
        <v>ELEM</v>
      </c>
      <c r="K245" s="52"/>
      <c r="L245" s="87"/>
      <c r="M245" s="52" t="e">
        <v>#N/A</v>
      </c>
      <c r="N245" s="52"/>
      <c r="O245" s="52"/>
      <c r="P245" s="52"/>
      <c r="Q245" s="52"/>
      <c r="R245" s="52"/>
      <c r="S245" s="52"/>
      <c r="T245" s="52"/>
      <c r="U245" s="52"/>
      <c r="V245" s="52"/>
      <c r="W245" s="53"/>
      <c r="X245" s="23"/>
      <c r="Y245" s="52"/>
      <c r="Z245" s="52"/>
      <c r="AA245" s="52"/>
      <c r="AB245" s="52"/>
      <c r="AC245" s="52"/>
      <c r="AD245" s="52"/>
      <c r="AE245" s="52"/>
    </row>
    <row r="246" spans="2:31" x14ac:dyDescent="0.25">
      <c r="B246" s="52"/>
      <c r="C246" s="52"/>
      <c r="D246" s="52"/>
      <c r="E246" s="52" t="str">
        <f t="shared" si="10"/>
        <v>PROG</v>
      </c>
      <c r="F246" s="52"/>
      <c r="G246" s="52" t="str">
        <f t="shared" si="11"/>
        <v>P</v>
      </c>
      <c r="H246" s="52"/>
      <c r="I246" s="52"/>
      <c r="J246" s="52" t="str">
        <f t="shared" si="12"/>
        <v>ELEM</v>
      </c>
      <c r="K246" s="52"/>
      <c r="L246" s="87"/>
      <c r="M246" s="52" t="e">
        <v>#N/A</v>
      </c>
      <c r="N246" s="52"/>
      <c r="O246" s="52"/>
      <c r="P246" s="52"/>
      <c r="Q246" s="52"/>
      <c r="R246" s="52"/>
      <c r="S246" s="52"/>
      <c r="T246" s="52"/>
      <c r="U246" s="52"/>
      <c r="V246" s="52"/>
      <c r="W246" s="53"/>
      <c r="X246" s="23"/>
      <c r="Y246" s="52"/>
      <c r="Z246" s="52"/>
      <c r="AA246" s="52"/>
      <c r="AB246" s="52"/>
      <c r="AC246" s="52"/>
      <c r="AD246" s="52"/>
      <c r="AE246" s="52"/>
    </row>
    <row r="247" spans="2:31" x14ac:dyDescent="0.25">
      <c r="B247" s="52"/>
      <c r="C247" s="52"/>
      <c r="D247" s="52"/>
      <c r="E247" s="52" t="str">
        <f t="shared" si="10"/>
        <v>PROG</v>
      </c>
      <c r="F247" s="52"/>
      <c r="G247" s="52" t="str">
        <f t="shared" si="11"/>
        <v>P</v>
      </c>
      <c r="H247" s="52"/>
      <c r="I247" s="52"/>
      <c r="J247" s="52" t="str">
        <f t="shared" si="12"/>
        <v>ELEM</v>
      </c>
      <c r="K247" s="52"/>
      <c r="L247" s="87"/>
      <c r="M247" s="52" t="e">
        <v>#N/A</v>
      </c>
      <c r="N247" s="52"/>
      <c r="O247" s="52"/>
      <c r="P247" s="52"/>
      <c r="Q247" s="52"/>
      <c r="R247" s="52"/>
      <c r="S247" s="52"/>
      <c r="T247" s="52"/>
      <c r="U247" s="52"/>
      <c r="V247" s="52"/>
      <c r="W247" s="53"/>
      <c r="X247" s="23"/>
      <c r="Y247" s="52"/>
      <c r="Z247" s="52"/>
      <c r="AA247" s="52"/>
      <c r="AB247" s="52"/>
      <c r="AC247" s="52"/>
      <c r="AD247" s="52"/>
      <c r="AE247" s="52"/>
    </row>
    <row r="248" spans="2:31" x14ac:dyDescent="0.25">
      <c r="B248" s="52"/>
      <c r="C248" s="52"/>
      <c r="D248" s="52"/>
      <c r="E248" s="52" t="str">
        <f t="shared" si="10"/>
        <v>PROG</v>
      </c>
      <c r="F248" s="52"/>
      <c r="G248" s="52" t="str">
        <f t="shared" si="11"/>
        <v>P</v>
      </c>
      <c r="H248" s="52"/>
      <c r="I248" s="52"/>
      <c r="J248" s="52" t="str">
        <f t="shared" si="12"/>
        <v>ELEM</v>
      </c>
      <c r="K248" s="52"/>
      <c r="L248" s="87"/>
      <c r="M248" s="52" t="e">
        <v>#N/A</v>
      </c>
      <c r="N248" s="52"/>
      <c r="O248" s="52"/>
      <c r="P248" s="52"/>
      <c r="Q248" s="52"/>
      <c r="R248" s="52"/>
      <c r="S248" s="52"/>
      <c r="T248" s="52"/>
      <c r="U248" s="52"/>
      <c r="V248" s="52"/>
      <c r="W248" s="53"/>
      <c r="X248" s="23"/>
      <c r="Y248" s="52"/>
      <c r="Z248" s="52"/>
      <c r="AA248" s="52"/>
      <c r="AB248" s="52"/>
      <c r="AC248" s="52"/>
      <c r="AD248" s="52"/>
      <c r="AE248" s="52"/>
    </row>
    <row r="249" spans="2:31" x14ac:dyDescent="0.25">
      <c r="B249" s="52"/>
      <c r="C249" s="52"/>
      <c r="D249" s="52"/>
      <c r="E249" s="52" t="str">
        <f t="shared" si="10"/>
        <v>PROG</v>
      </c>
      <c r="F249" s="52"/>
      <c r="G249" s="52" t="str">
        <f t="shared" si="11"/>
        <v>P</v>
      </c>
      <c r="H249" s="52"/>
      <c r="I249" s="52"/>
      <c r="J249" s="52" t="str">
        <f t="shared" si="12"/>
        <v>ELEM</v>
      </c>
      <c r="K249" s="52"/>
      <c r="L249" s="87"/>
      <c r="M249" s="52" t="e">
        <v>#N/A</v>
      </c>
      <c r="N249" s="52"/>
      <c r="O249" s="52"/>
      <c r="P249" s="52"/>
      <c r="Q249" s="52"/>
      <c r="R249" s="52"/>
      <c r="S249" s="52"/>
      <c r="T249" s="52"/>
      <c r="U249" s="52"/>
      <c r="V249" s="52"/>
      <c r="W249" s="53"/>
      <c r="X249" s="23"/>
      <c r="Y249" s="52"/>
      <c r="Z249" s="52"/>
      <c r="AA249" s="52"/>
      <c r="AB249" s="52"/>
      <c r="AC249" s="52"/>
      <c r="AD249" s="52"/>
      <c r="AE249" s="52"/>
    </row>
    <row r="250" spans="2:31" x14ac:dyDescent="0.25">
      <c r="B250" s="52"/>
      <c r="C250" s="52"/>
      <c r="D250" s="52"/>
      <c r="E250" s="52" t="str">
        <f t="shared" si="10"/>
        <v>PROG</v>
      </c>
      <c r="F250" s="52"/>
      <c r="G250" s="52" t="str">
        <f t="shared" si="11"/>
        <v>P</v>
      </c>
      <c r="H250" s="52"/>
      <c r="I250" s="52"/>
      <c r="J250" s="52" t="str">
        <f t="shared" si="12"/>
        <v>ELEM</v>
      </c>
      <c r="K250" s="52"/>
      <c r="L250" s="87"/>
      <c r="M250" s="52" t="e">
        <v>#N/A</v>
      </c>
      <c r="N250" s="52"/>
      <c r="O250" s="52"/>
      <c r="P250" s="52"/>
      <c r="Q250" s="52"/>
      <c r="R250" s="52"/>
      <c r="S250" s="52"/>
      <c r="T250" s="52"/>
      <c r="U250" s="52"/>
      <c r="V250" s="52"/>
      <c r="W250" s="53"/>
      <c r="X250" s="23"/>
      <c r="Y250" s="52"/>
      <c r="Z250" s="52"/>
      <c r="AA250" s="52"/>
      <c r="AB250" s="52"/>
      <c r="AC250" s="52"/>
      <c r="AD250" s="52"/>
      <c r="AE250" s="52"/>
    </row>
    <row r="251" spans="2:31" x14ac:dyDescent="0.25">
      <c r="B251" s="52"/>
      <c r="C251" s="52"/>
      <c r="D251" s="52"/>
      <c r="E251" s="52" t="str">
        <f t="shared" si="10"/>
        <v>PROG</v>
      </c>
      <c r="F251" s="52"/>
      <c r="G251" s="52" t="str">
        <f t="shared" si="11"/>
        <v>P</v>
      </c>
      <c r="H251" s="52"/>
      <c r="I251" s="52"/>
      <c r="J251" s="52" t="str">
        <f t="shared" si="12"/>
        <v>ELEM</v>
      </c>
      <c r="K251" s="52"/>
      <c r="L251" s="87"/>
      <c r="M251" s="52" t="e">
        <v>#N/A</v>
      </c>
      <c r="N251" s="52"/>
      <c r="O251" s="52"/>
      <c r="P251" s="52"/>
      <c r="Q251" s="52"/>
      <c r="R251" s="52"/>
      <c r="S251" s="52"/>
      <c r="T251" s="52"/>
      <c r="U251" s="52"/>
      <c r="V251" s="52"/>
      <c r="W251" s="53"/>
      <c r="X251" s="23"/>
      <c r="Y251" s="52"/>
      <c r="Z251" s="52"/>
      <c r="AA251" s="52"/>
      <c r="AB251" s="52"/>
      <c r="AC251" s="52"/>
      <c r="AD251" s="52"/>
      <c r="AE251" s="52"/>
    </row>
    <row r="252" spans="2:31" x14ac:dyDescent="0.25">
      <c r="B252" s="52"/>
      <c r="C252" s="52"/>
      <c r="D252" s="52"/>
      <c r="E252" s="52" t="str">
        <f t="shared" si="10"/>
        <v>PROG</v>
      </c>
      <c r="F252" s="52"/>
      <c r="G252" s="52" t="str">
        <f t="shared" si="11"/>
        <v>P</v>
      </c>
      <c r="H252" s="52"/>
      <c r="I252" s="52"/>
      <c r="J252" s="52" t="str">
        <f t="shared" si="12"/>
        <v>ELEM</v>
      </c>
      <c r="K252" s="52"/>
      <c r="L252" s="87"/>
      <c r="M252" s="52" t="e">
        <v>#N/A</v>
      </c>
      <c r="N252" s="52"/>
      <c r="O252" s="52"/>
      <c r="P252" s="52"/>
      <c r="Q252" s="52"/>
      <c r="R252" s="52"/>
      <c r="S252" s="52"/>
      <c r="T252" s="52"/>
      <c r="U252" s="52"/>
      <c r="V252" s="52"/>
      <c r="W252" s="53"/>
      <c r="X252" s="23"/>
      <c r="Y252" s="52"/>
      <c r="Z252" s="52"/>
      <c r="AA252" s="52"/>
      <c r="AB252" s="52"/>
      <c r="AC252" s="52"/>
      <c r="AD252" s="52"/>
      <c r="AE252" s="52"/>
    </row>
    <row r="253" spans="2:31" x14ac:dyDescent="0.25">
      <c r="B253" s="52"/>
      <c r="C253" s="52"/>
      <c r="D253" s="52"/>
      <c r="E253" s="52" t="str">
        <f t="shared" si="10"/>
        <v>PROG</v>
      </c>
      <c r="F253" s="52"/>
      <c r="G253" s="52" t="str">
        <f t="shared" si="11"/>
        <v>P</v>
      </c>
      <c r="H253" s="52"/>
      <c r="I253" s="52"/>
      <c r="J253" s="52" t="str">
        <f t="shared" si="12"/>
        <v>ELEM</v>
      </c>
      <c r="K253" s="52"/>
      <c r="L253" s="87"/>
      <c r="M253" s="52" t="e">
        <v>#N/A</v>
      </c>
      <c r="N253" s="52"/>
      <c r="O253" s="52"/>
      <c r="P253" s="52"/>
      <c r="Q253" s="52"/>
      <c r="R253" s="52"/>
      <c r="S253" s="52"/>
      <c r="T253" s="52"/>
      <c r="U253" s="52"/>
      <c r="V253" s="52"/>
      <c r="W253" s="53"/>
      <c r="X253" s="23"/>
      <c r="Y253" s="52"/>
      <c r="Z253" s="52"/>
      <c r="AA253" s="52"/>
      <c r="AB253" s="52"/>
      <c r="AC253" s="52"/>
      <c r="AD253" s="52"/>
      <c r="AE253" s="52"/>
    </row>
    <row r="254" spans="2:31" x14ac:dyDescent="0.25">
      <c r="B254" s="52"/>
      <c r="C254" s="52"/>
      <c r="D254" s="52"/>
      <c r="E254" s="52" t="str">
        <f t="shared" si="10"/>
        <v>PROG</v>
      </c>
      <c r="F254" s="52"/>
      <c r="G254" s="52" t="str">
        <f t="shared" si="11"/>
        <v>P</v>
      </c>
      <c r="H254" s="52"/>
      <c r="I254" s="52"/>
      <c r="J254" s="52" t="str">
        <f t="shared" si="12"/>
        <v>ELEM</v>
      </c>
      <c r="K254" s="52"/>
      <c r="L254" s="87"/>
      <c r="M254" s="52" t="e">
        <v>#N/A</v>
      </c>
      <c r="N254" s="52"/>
      <c r="O254" s="52"/>
      <c r="P254" s="52"/>
      <c r="Q254" s="52"/>
      <c r="R254" s="52"/>
      <c r="S254" s="52"/>
      <c r="T254" s="52"/>
      <c r="U254" s="52"/>
      <c r="V254" s="52"/>
      <c r="W254" s="53"/>
      <c r="X254" s="23"/>
      <c r="Y254" s="52"/>
      <c r="Z254" s="52"/>
      <c r="AA254" s="52"/>
      <c r="AB254" s="52"/>
      <c r="AC254" s="52"/>
      <c r="AD254" s="52"/>
      <c r="AE254" s="52"/>
    </row>
    <row r="255" spans="2:31" x14ac:dyDescent="0.25">
      <c r="B255" s="52"/>
      <c r="C255" s="52"/>
      <c r="D255" s="52"/>
      <c r="E255" s="52" t="str">
        <f t="shared" si="10"/>
        <v>PROG</v>
      </c>
      <c r="F255" s="52"/>
      <c r="G255" s="52" t="str">
        <f t="shared" si="11"/>
        <v>P</v>
      </c>
      <c r="H255" s="52"/>
      <c r="I255" s="52"/>
      <c r="J255" s="52" t="str">
        <f t="shared" si="12"/>
        <v>ELEM</v>
      </c>
      <c r="K255" s="52"/>
      <c r="L255" s="87"/>
      <c r="M255" s="52" t="e">
        <v>#N/A</v>
      </c>
      <c r="N255" s="52"/>
      <c r="O255" s="52"/>
      <c r="P255" s="52"/>
      <c r="Q255" s="52"/>
      <c r="R255" s="52"/>
      <c r="S255" s="52"/>
      <c r="T255" s="52"/>
      <c r="U255" s="52"/>
      <c r="V255" s="52"/>
      <c r="W255" s="53"/>
      <c r="X255" s="23"/>
      <c r="Y255" s="52"/>
      <c r="Z255" s="52"/>
      <c r="AA255" s="52"/>
      <c r="AB255" s="52"/>
      <c r="AC255" s="52"/>
      <c r="AD255" s="52"/>
      <c r="AE255" s="52"/>
    </row>
    <row r="256" spans="2:31" x14ac:dyDescent="0.25">
      <c r="B256" s="52"/>
      <c r="C256" s="52"/>
      <c r="D256" s="52"/>
      <c r="E256" s="52" t="str">
        <f t="shared" si="10"/>
        <v>PROG</v>
      </c>
      <c r="F256" s="52"/>
      <c r="G256" s="52" t="str">
        <f t="shared" si="11"/>
        <v>P</v>
      </c>
      <c r="H256" s="52"/>
      <c r="I256" s="52"/>
      <c r="J256" s="52" t="str">
        <f t="shared" si="12"/>
        <v>ELEM</v>
      </c>
      <c r="K256" s="52"/>
      <c r="L256" s="87"/>
      <c r="M256" s="52" t="e">
        <v>#N/A</v>
      </c>
      <c r="N256" s="52"/>
      <c r="O256" s="52"/>
      <c r="P256" s="52"/>
      <c r="Q256" s="52"/>
      <c r="R256" s="52"/>
      <c r="S256" s="52"/>
      <c r="T256" s="52"/>
      <c r="U256" s="52"/>
      <c r="V256" s="52"/>
      <c r="W256" s="53"/>
      <c r="X256" s="23"/>
      <c r="Y256" s="52"/>
      <c r="Z256" s="52"/>
      <c r="AA256" s="52"/>
      <c r="AB256" s="52"/>
      <c r="AC256" s="52"/>
      <c r="AD256" s="52"/>
      <c r="AE256" s="52"/>
    </row>
    <row r="257" spans="2:31" x14ac:dyDescent="0.25">
      <c r="B257" s="52"/>
      <c r="C257" s="52"/>
      <c r="D257" s="52"/>
      <c r="E257" s="52" t="str">
        <f t="shared" si="10"/>
        <v>PROG</v>
      </c>
      <c r="F257" s="52"/>
      <c r="G257" s="52" t="str">
        <f t="shared" si="11"/>
        <v>P</v>
      </c>
      <c r="H257" s="52"/>
      <c r="I257" s="52"/>
      <c r="J257" s="52" t="str">
        <f t="shared" si="12"/>
        <v>ELEM</v>
      </c>
      <c r="K257" s="52"/>
      <c r="L257" s="87"/>
      <c r="M257" s="52" t="e">
        <v>#N/A</v>
      </c>
      <c r="N257" s="52"/>
      <c r="O257" s="52"/>
      <c r="P257" s="52"/>
      <c r="Q257" s="52"/>
      <c r="R257" s="52"/>
      <c r="S257" s="52"/>
      <c r="T257" s="52"/>
      <c r="U257" s="52"/>
      <c r="V257" s="52"/>
      <c r="W257" s="53"/>
      <c r="X257" s="23"/>
      <c r="Y257" s="52"/>
      <c r="Z257" s="52"/>
      <c r="AA257" s="52"/>
      <c r="AB257" s="52"/>
      <c r="AC257" s="52"/>
      <c r="AD257" s="52"/>
      <c r="AE257" s="52"/>
    </row>
    <row r="258" spans="2:31" x14ac:dyDescent="0.25">
      <c r="B258" s="52"/>
      <c r="C258" s="52"/>
      <c r="D258" s="52"/>
      <c r="E258" s="52" t="str">
        <f t="shared" si="10"/>
        <v>PROG</v>
      </c>
      <c r="F258" s="52"/>
      <c r="G258" s="52" t="str">
        <f t="shared" si="11"/>
        <v>P</v>
      </c>
      <c r="H258" s="52"/>
      <c r="I258" s="52"/>
      <c r="J258" s="52" t="str">
        <f t="shared" si="12"/>
        <v>ELEM</v>
      </c>
      <c r="K258" s="52"/>
      <c r="L258" s="87"/>
      <c r="M258" s="52" t="e">
        <v>#N/A</v>
      </c>
      <c r="N258" s="52"/>
      <c r="O258" s="52"/>
      <c r="P258" s="52"/>
      <c r="Q258" s="52"/>
      <c r="R258" s="52"/>
      <c r="S258" s="52"/>
      <c r="T258" s="52"/>
      <c r="U258" s="52"/>
      <c r="V258" s="52"/>
      <c r="W258" s="53"/>
      <c r="X258" s="23"/>
      <c r="Y258" s="52"/>
      <c r="Z258" s="52"/>
      <c r="AA258" s="52"/>
      <c r="AB258" s="52"/>
      <c r="AC258" s="52"/>
      <c r="AD258" s="52"/>
      <c r="AE258" s="52"/>
    </row>
    <row r="259" spans="2:31" x14ac:dyDescent="0.25">
      <c r="B259" s="52"/>
      <c r="C259" s="52"/>
      <c r="D259" s="52"/>
      <c r="E259" s="52" t="str">
        <f t="shared" ref="E259:E322" si="13">CONCATENATE(A259,"PROG")</f>
        <v>PROG</v>
      </c>
      <c r="F259" s="52"/>
      <c r="G259" s="52" t="str">
        <f t="shared" ref="G259:G322" si="14">CONCATENATE("P",(LEFT(F259,3)),A259)</f>
        <v>P</v>
      </c>
      <c r="H259" s="52"/>
      <c r="I259" s="52"/>
      <c r="J259" s="52" t="str">
        <f t="shared" ref="J259:J322" si="15">CONCATENATE("ELEM",LEFT(I259,2))</f>
        <v>ELEM</v>
      </c>
      <c r="K259" s="52"/>
      <c r="L259" s="87"/>
      <c r="M259" s="52" t="e">
        <v>#N/A</v>
      </c>
      <c r="N259" s="52"/>
      <c r="O259" s="52"/>
      <c r="P259" s="52"/>
      <c r="Q259" s="52"/>
      <c r="R259" s="52"/>
      <c r="S259" s="52"/>
      <c r="T259" s="52"/>
      <c r="U259" s="52"/>
      <c r="V259" s="52"/>
      <c r="W259" s="53"/>
      <c r="X259" s="23"/>
      <c r="Y259" s="52"/>
      <c r="Z259" s="52"/>
      <c r="AA259" s="52"/>
      <c r="AB259" s="52"/>
      <c r="AC259" s="52"/>
      <c r="AD259" s="52"/>
      <c r="AE259" s="52"/>
    </row>
    <row r="260" spans="2:31" x14ac:dyDescent="0.25">
      <c r="B260" s="52"/>
      <c r="C260" s="52"/>
      <c r="D260" s="52"/>
      <c r="E260" s="52" t="str">
        <f t="shared" si="13"/>
        <v>PROG</v>
      </c>
      <c r="F260" s="52"/>
      <c r="G260" s="52" t="str">
        <f t="shared" si="14"/>
        <v>P</v>
      </c>
      <c r="H260" s="52"/>
      <c r="I260" s="52"/>
      <c r="J260" s="52" t="str">
        <f t="shared" si="15"/>
        <v>ELEM</v>
      </c>
      <c r="K260" s="52"/>
      <c r="L260" s="87"/>
      <c r="M260" s="52" t="e">
        <v>#N/A</v>
      </c>
      <c r="N260" s="52"/>
      <c r="O260" s="52"/>
      <c r="P260" s="52"/>
      <c r="Q260" s="52"/>
      <c r="R260" s="52"/>
      <c r="S260" s="52"/>
      <c r="T260" s="52"/>
      <c r="U260" s="52"/>
      <c r="V260" s="52"/>
      <c r="W260" s="53"/>
      <c r="X260" s="23"/>
      <c r="Y260" s="52"/>
      <c r="Z260" s="52"/>
      <c r="AA260" s="52"/>
      <c r="AB260" s="52"/>
      <c r="AC260" s="52"/>
      <c r="AD260" s="52"/>
      <c r="AE260" s="52"/>
    </row>
    <row r="261" spans="2:31" x14ac:dyDescent="0.25">
      <c r="B261" s="52"/>
      <c r="C261" s="52"/>
      <c r="D261" s="52"/>
      <c r="E261" s="52" t="str">
        <f t="shared" si="13"/>
        <v>PROG</v>
      </c>
      <c r="F261" s="52"/>
      <c r="G261" s="52" t="str">
        <f t="shared" si="14"/>
        <v>P</v>
      </c>
      <c r="H261" s="52"/>
      <c r="I261" s="52"/>
      <c r="J261" s="52" t="str">
        <f t="shared" si="15"/>
        <v>ELEM</v>
      </c>
      <c r="K261" s="52"/>
      <c r="L261" s="87"/>
      <c r="M261" s="52" t="e">
        <v>#N/A</v>
      </c>
      <c r="N261" s="52"/>
      <c r="O261" s="52"/>
      <c r="P261" s="52"/>
      <c r="Q261" s="52"/>
      <c r="R261" s="52"/>
      <c r="S261" s="52"/>
      <c r="T261" s="52"/>
      <c r="U261" s="52"/>
      <c r="V261" s="52"/>
      <c r="W261" s="53"/>
      <c r="X261" s="23"/>
      <c r="Y261" s="52"/>
      <c r="Z261" s="52"/>
      <c r="AA261" s="52"/>
      <c r="AB261" s="52"/>
      <c r="AC261" s="52"/>
      <c r="AD261" s="52"/>
      <c r="AE261" s="52"/>
    </row>
    <row r="262" spans="2:31" x14ac:dyDescent="0.25">
      <c r="B262" s="52"/>
      <c r="C262" s="52"/>
      <c r="D262" s="52"/>
      <c r="E262" s="52" t="str">
        <f t="shared" si="13"/>
        <v>PROG</v>
      </c>
      <c r="F262" s="52"/>
      <c r="G262" s="52" t="str">
        <f t="shared" si="14"/>
        <v>P</v>
      </c>
      <c r="H262" s="52"/>
      <c r="I262" s="52"/>
      <c r="J262" s="52" t="str">
        <f t="shared" si="15"/>
        <v>ELEM</v>
      </c>
      <c r="K262" s="52"/>
      <c r="L262" s="87"/>
      <c r="M262" s="52" t="e">
        <v>#N/A</v>
      </c>
      <c r="N262" s="52"/>
      <c r="O262" s="52"/>
      <c r="P262" s="52"/>
      <c r="Q262" s="52"/>
      <c r="R262" s="52"/>
      <c r="S262" s="52"/>
      <c r="T262" s="52"/>
      <c r="U262" s="52"/>
      <c r="V262" s="52"/>
      <c r="W262" s="53"/>
      <c r="X262" s="23"/>
      <c r="Y262" s="52"/>
      <c r="Z262" s="52"/>
      <c r="AA262" s="52"/>
      <c r="AB262" s="52"/>
      <c r="AC262" s="52"/>
      <c r="AD262" s="52"/>
      <c r="AE262" s="52"/>
    </row>
    <row r="263" spans="2:31" x14ac:dyDescent="0.25">
      <c r="B263" s="52"/>
      <c r="C263" s="52"/>
      <c r="D263" s="52"/>
      <c r="E263" s="52" t="str">
        <f t="shared" si="13"/>
        <v>PROG</v>
      </c>
      <c r="F263" s="52"/>
      <c r="G263" s="52" t="str">
        <f t="shared" si="14"/>
        <v>P</v>
      </c>
      <c r="H263" s="52"/>
      <c r="I263" s="52"/>
      <c r="J263" s="52" t="str">
        <f t="shared" si="15"/>
        <v>ELEM</v>
      </c>
      <c r="K263" s="52"/>
      <c r="L263" s="87"/>
      <c r="M263" s="52" t="e">
        <v>#N/A</v>
      </c>
      <c r="N263" s="52"/>
      <c r="O263" s="52"/>
      <c r="P263" s="52"/>
      <c r="Q263" s="52"/>
      <c r="R263" s="52"/>
      <c r="S263" s="52"/>
      <c r="T263" s="52"/>
      <c r="U263" s="52"/>
      <c r="V263" s="52"/>
      <c r="W263" s="53"/>
      <c r="X263" s="23"/>
      <c r="Y263" s="52"/>
      <c r="Z263" s="52"/>
      <c r="AA263" s="52"/>
      <c r="AB263" s="52"/>
      <c r="AC263" s="52"/>
      <c r="AD263" s="52"/>
      <c r="AE263" s="52"/>
    </row>
    <row r="264" spans="2:31" x14ac:dyDescent="0.25">
      <c r="B264" s="52"/>
      <c r="C264" s="52"/>
      <c r="D264" s="52"/>
      <c r="E264" s="52" t="str">
        <f t="shared" si="13"/>
        <v>PROG</v>
      </c>
      <c r="F264" s="52"/>
      <c r="G264" s="52" t="str">
        <f t="shared" si="14"/>
        <v>P</v>
      </c>
      <c r="H264" s="52"/>
      <c r="I264" s="52"/>
      <c r="J264" s="52" t="str">
        <f t="shared" si="15"/>
        <v>ELEM</v>
      </c>
      <c r="K264" s="52"/>
      <c r="L264" s="87"/>
      <c r="M264" s="52" t="e">
        <v>#N/A</v>
      </c>
      <c r="N264" s="52"/>
      <c r="O264" s="52"/>
      <c r="P264" s="52"/>
      <c r="Q264" s="52"/>
      <c r="R264" s="52"/>
      <c r="S264" s="52"/>
      <c r="T264" s="52"/>
      <c r="U264" s="52"/>
      <c r="V264" s="52"/>
      <c r="W264" s="53"/>
      <c r="X264" s="23"/>
      <c r="Y264" s="52"/>
      <c r="Z264" s="52"/>
      <c r="AA264" s="52"/>
      <c r="AB264" s="52"/>
      <c r="AC264" s="52"/>
      <c r="AD264" s="52"/>
      <c r="AE264" s="52"/>
    </row>
    <row r="265" spans="2:31" x14ac:dyDescent="0.25">
      <c r="B265" s="52"/>
      <c r="C265" s="52"/>
      <c r="D265" s="52"/>
      <c r="E265" s="52" t="str">
        <f t="shared" si="13"/>
        <v>PROG</v>
      </c>
      <c r="F265" s="52"/>
      <c r="G265" s="52" t="str">
        <f t="shared" si="14"/>
        <v>P</v>
      </c>
      <c r="H265" s="52"/>
      <c r="I265" s="52"/>
      <c r="J265" s="52" t="str">
        <f t="shared" si="15"/>
        <v>ELEM</v>
      </c>
      <c r="K265" s="52"/>
      <c r="L265" s="87"/>
      <c r="M265" s="52" t="e">
        <v>#N/A</v>
      </c>
      <c r="N265" s="52"/>
      <c r="O265" s="52"/>
      <c r="P265" s="52"/>
      <c r="Q265" s="52"/>
      <c r="R265" s="52"/>
      <c r="S265" s="52"/>
      <c r="T265" s="52"/>
      <c r="U265" s="52"/>
      <c r="V265" s="52"/>
      <c r="W265" s="53"/>
      <c r="X265" s="23"/>
      <c r="Y265" s="52"/>
      <c r="Z265" s="52"/>
      <c r="AA265" s="52"/>
      <c r="AB265" s="52"/>
      <c r="AC265" s="52"/>
      <c r="AD265" s="52"/>
      <c r="AE265" s="52"/>
    </row>
    <row r="266" spans="2:31" x14ac:dyDescent="0.25">
      <c r="B266" s="52"/>
      <c r="C266" s="52"/>
      <c r="D266" s="52"/>
      <c r="E266" s="52" t="str">
        <f t="shared" si="13"/>
        <v>PROG</v>
      </c>
      <c r="F266" s="52"/>
      <c r="G266" s="52" t="str">
        <f t="shared" si="14"/>
        <v>P</v>
      </c>
      <c r="H266" s="52"/>
      <c r="I266" s="52"/>
      <c r="J266" s="52" t="str">
        <f t="shared" si="15"/>
        <v>ELEM</v>
      </c>
      <c r="K266" s="52"/>
      <c r="L266" s="87"/>
      <c r="M266" s="52" t="e">
        <v>#N/A</v>
      </c>
      <c r="N266" s="52"/>
      <c r="O266" s="52"/>
      <c r="P266" s="52"/>
      <c r="Q266" s="52"/>
      <c r="R266" s="52"/>
      <c r="S266" s="52"/>
      <c r="T266" s="52"/>
      <c r="U266" s="52"/>
      <c r="V266" s="52"/>
      <c r="W266" s="53"/>
      <c r="X266" s="23"/>
      <c r="Y266" s="52"/>
      <c r="Z266" s="52"/>
      <c r="AA266" s="52"/>
      <c r="AB266" s="52"/>
      <c r="AC266" s="52"/>
      <c r="AD266" s="52"/>
      <c r="AE266" s="52"/>
    </row>
    <row r="267" spans="2:31" x14ac:dyDescent="0.25">
      <c r="B267" s="52"/>
      <c r="C267" s="52"/>
      <c r="D267" s="52"/>
      <c r="E267" s="52" t="str">
        <f t="shared" si="13"/>
        <v>PROG</v>
      </c>
      <c r="F267" s="52"/>
      <c r="G267" s="52" t="str">
        <f t="shared" si="14"/>
        <v>P</v>
      </c>
      <c r="H267" s="52"/>
      <c r="I267" s="52"/>
      <c r="J267" s="52" t="str">
        <f t="shared" si="15"/>
        <v>ELEM</v>
      </c>
      <c r="K267" s="52"/>
      <c r="L267" s="87"/>
      <c r="M267" s="52" t="e">
        <v>#N/A</v>
      </c>
      <c r="N267" s="52"/>
      <c r="O267" s="52"/>
      <c r="P267" s="52"/>
      <c r="Q267" s="52"/>
      <c r="R267" s="52"/>
      <c r="S267" s="52"/>
      <c r="T267" s="52"/>
      <c r="U267" s="52"/>
      <c r="V267" s="52"/>
      <c r="W267" s="53"/>
      <c r="X267" s="23"/>
      <c r="Y267" s="52"/>
      <c r="Z267" s="52"/>
      <c r="AA267" s="52"/>
      <c r="AB267" s="52"/>
      <c r="AC267" s="52"/>
      <c r="AD267" s="52"/>
      <c r="AE267" s="52"/>
    </row>
    <row r="268" spans="2:31" x14ac:dyDescent="0.25">
      <c r="B268" s="52"/>
      <c r="C268" s="52"/>
      <c r="D268" s="52"/>
      <c r="E268" s="52" t="str">
        <f t="shared" si="13"/>
        <v>PROG</v>
      </c>
      <c r="F268" s="52"/>
      <c r="G268" s="52" t="str">
        <f t="shared" si="14"/>
        <v>P</v>
      </c>
      <c r="H268" s="52"/>
      <c r="I268" s="52"/>
      <c r="J268" s="52" t="str">
        <f t="shared" si="15"/>
        <v>ELEM</v>
      </c>
      <c r="K268" s="52"/>
      <c r="L268" s="87"/>
      <c r="M268" s="52" t="e">
        <v>#N/A</v>
      </c>
      <c r="N268" s="52"/>
      <c r="O268" s="52"/>
      <c r="P268" s="52"/>
      <c r="Q268" s="52"/>
      <c r="R268" s="52"/>
      <c r="S268" s="52"/>
      <c r="T268" s="52"/>
      <c r="U268" s="52"/>
      <c r="V268" s="52"/>
      <c r="W268" s="53"/>
      <c r="X268" s="23"/>
      <c r="Y268" s="52"/>
      <c r="Z268" s="52"/>
      <c r="AA268" s="52"/>
      <c r="AB268" s="52"/>
      <c r="AC268" s="52"/>
      <c r="AD268" s="52"/>
      <c r="AE268" s="52"/>
    </row>
    <row r="269" spans="2:31" x14ac:dyDescent="0.25">
      <c r="B269" s="52"/>
      <c r="C269" s="52"/>
      <c r="D269" s="52"/>
      <c r="E269" s="52" t="str">
        <f t="shared" si="13"/>
        <v>PROG</v>
      </c>
      <c r="F269" s="52"/>
      <c r="G269" s="52" t="str">
        <f t="shared" si="14"/>
        <v>P</v>
      </c>
      <c r="H269" s="52"/>
      <c r="I269" s="52"/>
      <c r="J269" s="52" t="str">
        <f t="shared" si="15"/>
        <v>ELEM</v>
      </c>
      <c r="K269" s="52"/>
      <c r="L269" s="87"/>
      <c r="M269" s="52" t="e">
        <v>#N/A</v>
      </c>
      <c r="N269" s="52"/>
      <c r="O269" s="52"/>
      <c r="P269" s="52"/>
      <c r="Q269" s="52"/>
      <c r="R269" s="52"/>
      <c r="S269" s="52"/>
      <c r="T269" s="52"/>
      <c r="U269" s="52"/>
      <c r="V269" s="52"/>
      <c r="W269" s="53"/>
      <c r="X269" s="23"/>
      <c r="Y269" s="52"/>
      <c r="Z269" s="52"/>
      <c r="AA269" s="52"/>
      <c r="AB269" s="52"/>
      <c r="AC269" s="52"/>
      <c r="AD269" s="52"/>
      <c r="AE269" s="52"/>
    </row>
    <row r="270" spans="2:31" x14ac:dyDescent="0.25">
      <c r="B270" s="52"/>
      <c r="C270" s="52"/>
      <c r="D270" s="52"/>
      <c r="E270" s="52" t="str">
        <f t="shared" si="13"/>
        <v>PROG</v>
      </c>
      <c r="F270" s="52"/>
      <c r="G270" s="52" t="str">
        <f t="shared" si="14"/>
        <v>P</v>
      </c>
      <c r="H270" s="52"/>
      <c r="I270" s="52"/>
      <c r="J270" s="52" t="str">
        <f t="shared" si="15"/>
        <v>ELEM</v>
      </c>
      <c r="K270" s="52"/>
      <c r="L270" s="87"/>
      <c r="M270" s="52" t="e">
        <v>#N/A</v>
      </c>
      <c r="N270" s="52"/>
      <c r="O270" s="52"/>
      <c r="P270" s="52"/>
      <c r="Q270" s="52"/>
      <c r="R270" s="52"/>
      <c r="S270" s="52"/>
      <c r="T270" s="52"/>
      <c r="U270" s="52"/>
      <c r="V270" s="52"/>
      <c r="W270" s="53"/>
      <c r="X270" s="23"/>
      <c r="Y270" s="52"/>
      <c r="Z270" s="52"/>
      <c r="AA270" s="52"/>
      <c r="AB270" s="52"/>
      <c r="AC270" s="52"/>
      <c r="AD270" s="52"/>
      <c r="AE270" s="52"/>
    </row>
    <row r="271" spans="2:31" x14ac:dyDescent="0.25">
      <c r="B271" s="52"/>
      <c r="C271" s="52"/>
      <c r="D271" s="52"/>
      <c r="E271" s="52" t="str">
        <f t="shared" si="13"/>
        <v>PROG</v>
      </c>
      <c r="F271" s="52"/>
      <c r="G271" s="52" t="str">
        <f t="shared" si="14"/>
        <v>P</v>
      </c>
      <c r="H271" s="52"/>
      <c r="I271" s="52"/>
      <c r="J271" s="52" t="str">
        <f t="shared" si="15"/>
        <v>ELEM</v>
      </c>
      <c r="K271" s="52"/>
      <c r="L271" s="87"/>
      <c r="M271" s="52" t="e">
        <v>#N/A</v>
      </c>
      <c r="N271" s="52"/>
      <c r="O271" s="52"/>
      <c r="P271" s="52"/>
      <c r="Q271" s="52"/>
      <c r="R271" s="52"/>
      <c r="S271" s="52"/>
      <c r="T271" s="52"/>
      <c r="U271" s="52"/>
      <c r="V271" s="52"/>
      <c r="W271" s="53"/>
      <c r="X271" s="23"/>
      <c r="Y271" s="52"/>
      <c r="Z271" s="52"/>
      <c r="AA271" s="52"/>
      <c r="AB271" s="52"/>
      <c r="AC271" s="52"/>
      <c r="AD271" s="52"/>
      <c r="AE271" s="52"/>
    </row>
    <row r="272" spans="2:31" x14ac:dyDescent="0.25">
      <c r="B272" s="52"/>
      <c r="C272" s="52"/>
      <c r="D272" s="52"/>
      <c r="E272" s="52" t="str">
        <f t="shared" si="13"/>
        <v>PROG</v>
      </c>
      <c r="F272" s="52"/>
      <c r="G272" s="52" t="str">
        <f t="shared" si="14"/>
        <v>P</v>
      </c>
      <c r="H272" s="52"/>
      <c r="I272" s="52"/>
      <c r="J272" s="52" t="str">
        <f t="shared" si="15"/>
        <v>ELEM</v>
      </c>
      <c r="K272" s="52"/>
      <c r="L272" s="87"/>
      <c r="M272" s="52" t="e">
        <v>#N/A</v>
      </c>
      <c r="N272" s="52"/>
      <c r="O272" s="52"/>
      <c r="P272" s="52"/>
      <c r="Q272" s="52"/>
      <c r="R272" s="52"/>
      <c r="S272" s="52"/>
      <c r="T272" s="52"/>
      <c r="U272" s="52"/>
      <c r="V272" s="52"/>
      <c r="W272" s="53"/>
      <c r="X272" s="23"/>
      <c r="Y272" s="52"/>
      <c r="Z272" s="52"/>
      <c r="AA272" s="52"/>
      <c r="AB272" s="52"/>
      <c r="AC272" s="52"/>
      <c r="AD272" s="52"/>
      <c r="AE272" s="52"/>
    </row>
    <row r="273" spans="2:31" x14ac:dyDescent="0.25">
      <c r="B273" s="52"/>
      <c r="C273" s="52"/>
      <c r="D273" s="52"/>
      <c r="E273" s="52" t="str">
        <f t="shared" si="13"/>
        <v>PROG</v>
      </c>
      <c r="F273" s="52"/>
      <c r="G273" s="52" t="str">
        <f t="shared" si="14"/>
        <v>P</v>
      </c>
      <c r="H273" s="52"/>
      <c r="I273" s="52"/>
      <c r="J273" s="52" t="str">
        <f t="shared" si="15"/>
        <v>ELEM</v>
      </c>
      <c r="K273" s="52"/>
      <c r="L273" s="87"/>
      <c r="M273" s="52" t="e">
        <v>#N/A</v>
      </c>
      <c r="N273" s="52"/>
      <c r="O273" s="52"/>
      <c r="P273" s="52"/>
      <c r="Q273" s="52"/>
      <c r="R273" s="52"/>
      <c r="S273" s="52"/>
      <c r="T273" s="52"/>
      <c r="U273" s="52"/>
      <c r="V273" s="52"/>
      <c r="W273" s="53"/>
      <c r="X273" s="23"/>
      <c r="Y273" s="52"/>
      <c r="Z273" s="52"/>
      <c r="AA273" s="52"/>
      <c r="AB273" s="52"/>
      <c r="AC273" s="52"/>
      <c r="AD273" s="52"/>
      <c r="AE273" s="52"/>
    </row>
    <row r="274" spans="2:31" x14ac:dyDescent="0.25">
      <c r="B274" s="52"/>
      <c r="C274" s="52"/>
      <c r="D274" s="52"/>
      <c r="E274" s="52" t="str">
        <f t="shared" si="13"/>
        <v>PROG</v>
      </c>
      <c r="F274" s="52"/>
      <c r="G274" s="52" t="str">
        <f t="shared" si="14"/>
        <v>P</v>
      </c>
      <c r="H274" s="52"/>
      <c r="I274" s="52"/>
      <c r="J274" s="52" t="str">
        <f t="shared" si="15"/>
        <v>ELEM</v>
      </c>
      <c r="K274" s="52"/>
      <c r="L274" s="87"/>
      <c r="M274" s="52" t="e">
        <v>#N/A</v>
      </c>
      <c r="N274" s="52"/>
      <c r="O274" s="52"/>
      <c r="P274" s="52"/>
      <c r="Q274" s="52"/>
      <c r="R274" s="52"/>
      <c r="S274" s="52"/>
      <c r="T274" s="52"/>
      <c r="U274" s="52"/>
      <c r="V274" s="52"/>
      <c r="W274" s="53"/>
      <c r="X274" s="23"/>
      <c r="Y274" s="52"/>
      <c r="Z274" s="52"/>
      <c r="AA274" s="52"/>
      <c r="AB274" s="52"/>
      <c r="AC274" s="52"/>
      <c r="AD274" s="52"/>
      <c r="AE274" s="52"/>
    </row>
    <row r="275" spans="2:31" x14ac:dyDescent="0.25">
      <c r="B275" s="52"/>
      <c r="C275" s="52"/>
      <c r="D275" s="52"/>
      <c r="E275" s="52" t="str">
        <f t="shared" si="13"/>
        <v>PROG</v>
      </c>
      <c r="F275" s="52"/>
      <c r="G275" s="52" t="str">
        <f t="shared" si="14"/>
        <v>P</v>
      </c>
      <c r="H275" s="52"/>
      <c r="I275" s="52"/>
      <c r="J275" s="52" t="str">
        <f t="shared" si="15"/>
        <v>ELEM</v>
      </c>
      <c r="K275" s="52"/>
      <c r="L275" s="87"/>
      <c r="M275" s="52" t="e">
        <v>#N/A</v>
      </c>
      <c r="N275" s="52"/>
      <c r="O275" s="52"/>
      <c r="P275" s="52"/>
      <c r="Q275" s="52"/>
      <c r="R275" s="52"/>
      <c r="S275" s="52"/>
      <c r="T275" s="52"/>
      <c r="U275" s="52"/>
      <c r="V275" s="52"/>
      <c r="W275" s="53"/>
      <c r="X275" s="23"/>
      <c r="Y275" s="52"/>
      <c r="Z275" s="52"/>
      <c r="AA275" s="52"/>
      <c r="AB275" s="52"/>
      <c r="AC275" s="52"/>
      <c r="AD275" s="52"/>
      <c r="AE275" s="52"/>
    </row>
    <row r="276" spans="2:31" x14ac:dyDescent="0.25">
      <c r="B276" s="52"/>
      <c r="C276" s="52"/>
      <c r="D276" s="52"/>
      <c r="E276" s="52" t="str">
        <f t="shared" si="13"/>
        <v>PROG</v>
      </c>
      <c r="F276" s="52"/>
      <c r="G276" s="52" t="str">
        <f t="shared" si="14"/>
        <v>P</v>
      </c>
      <c r="H276" s="52"/>
      <c r="I276" s="52"/>
      <c r="J276" s="52" t="str">
        <f t="shared" si="15"/>
        <v>ELEM</v>
      </c>
      <c r="K276" s="52"/>
      <c r="L276" s="87"/>
      <c r="M276" s="52" t="e">
        <v>#N/A</v>
      </c>
      <c r="N276" s="52"/>
      <c r="O276" s="52"/>
      <c r="P276" s="52"/>
      <c r="Q276" s="52"/>
      <c r="R276" s="52"/>
      <c r="S276" s="52"/>
      <c r="T276" s="52"/>
      <c r="U276" s="52"/>
      <c r="V276" s="52"/>
      <c r="W276" s="53"/>
      <c r="X276" s="23"/>
      <c r="Y276" s="52"/>
      <c r="Z276" s="52"/>
      <c r="AA276" s="52"/>
      <c r="AB276" s="52"/>
      <c r="AC276" s="52"/>
      <c r="AD276" s="52"/>
      <c r="AE276" s="52"/>
    </row>
    <row r="277" spans="2:31" x14ac:dyDescent="0.25">
      <c r="B277" s="52"/>
      <c r="C277" s="52"/>
      <c r="D277" s="52"/>
      <c r="E277" s="52" t="str">
        <f t="shared" si="13"/>
        <v>PROG</v>
      </c>
      <c r="F277" s="52"/>
      <c r="G277" s="52" t="str">
        <f t="shared" si="14"/>
        <v>P</v>
      </c>
      <c r="H277" s="52"/>
      <c r="I277" s="52"/>
      <c r="J277" s="52" t="str">
        <f t="shared" si="15"/>
        <v>ELEM</v>
      </c>
      <c r="K277" s="52"/>
      <c r="L277" s="87"/>
      <c r="M277" s="52" t="e">
        <v>#N/A</v>
      </c>
      <c r="N277" s="52"/>
      <c r="O277" s="52"/>
      <c r="P277" s="52"/>
      <c r="Q277" s="52"/>
      <c r="R277" s="52"/>
      <c r="S277" s="52"/>
      <c r="T277" s="52"/>
      <c r="U277" s="52"/>
      <c r="V277" s="52"/>
      <c r="W277" s="53"/>
      <c r="X277" s="23"/>
      <c r="Y277" s="52"/>
      <c r="Z277" s="52"/>
      <c r="AA277" s="52"/>
      <c r="AB277" s="52"/>
      <c r="AC277" s="52"/>
      <c r="AD277" s="52"/>
      <c r="AE277" s="52"/>
    </row>
    <row r="278" spans="2:31" x14ac:dyDescent="0.25">
      <c r="B278" s="52"/>
      <c r="C278" s="52"/>
      <c r="D278" s="52"/>
      <c r="E278" s="52" t="str">
        <f t="shared" si="13"/>
        <v>PROG</v>
      </c>
      <c r="F278" s="52"/>
      <c r="G278" s="52" t="str">
        <f t="shared" si="14"/>
        <v>P</v>
      </c>
      <c r="H278" s="52"/>
      <c r="I278" s="52"/>
      <c r="J278" s="52" t="str">
        <f t="shared" si="15"/>
        <v>ELEM</v>
      </c>
      <c r="K278" s="52"/>
      <c r="L278" s="87"/>
      <c r="M278" s="52" t="e">
        <v>#N/A</v>
      </c>
      <c r="N278" s="52"/>
      <c r="O278" s="52"/>
      <c r="P278" s="52"/>
      <c r="Q278" s="52"/>
      <c r="R278" s="52"/>
      <c r="S278" s="52"/>
      <c r="T278" s="52"/>
      <c r="U278" s="52"/>
      <c r="V278" s="52"/>
      <c r="W278" s="53"/>
      <c r="X278" s="23"/>
      <c r="Y278" s="52"/>
      <c r="Z278" s="52"/>
      <c r="AA278" s="52"/>
      <c r="AB278" s="52"/>
      <c r="AC278" s="52"/>
      <c r="AD278" s="52"/>
      <c r="AE278" s="52"/>
    </row>
    <row r="279" spans="2:31" x14ac:dyDescent="0.25">
      <c r="B279" s="52"/>
      <c r="C279" s="52"/>
      <c r="D279" s="52"/>
      <c r="E279" s="52" t="str">
        <f t="shared" si="13"/>
        <v>PROG</v>
      </c>
      <c r="F279" s="52"/>
      <c r="G279" s="52" t="str">
        <f t="shared" si="14"/>
        <v>P</v>
      </c>
      <c r="H279" s="52"/>
      <c r="I279" s="52"/>
      <c r="J279" s="52" t="str">
        <f t="shared" si="15"/>
        <v>ELEM</v>
      </c>
      <c r="K279" s="52"/>
      <c r="L279" s="87"/>
      <c r="M279" s="52" t="e">
        <v>#N/A</v>
      </c>
      <c r="N279" s="52"/>
      <c r="O279" s="52"/>
      <c r="P279" s="52"/>
      <c r="Q279" s="52"/>
      <c r="R279" s="52"/>
      <c r="S279" s="52"/>
      <c r="T279" s="52"/>
      <c r="U279" s="52"/>
      <c r="V279" s="52"/>
      <c r="W279" s="53"/>
      <c r="X279" s="23"/>
      <c r="Y279" s="52"/>
      <c r="Z279" s="52"/>
      <c r="AA279" s="52"/>
      <c r="AB279" s="52"/>
      <c r="AC279" s="52"/>
      <c r="AD279" s="52"/>
      <c r="AE279" s="52"/>
    </row>
    <row r="280" spans="2:31" x14ac:dyDescent="0.25">
      <c r="B280" s="52"/>
      <c r="C280" s="52"/>
      <c r="D280" s="52"/>
      <c r="E280" s="52" t="str">
        <f t="shared" si="13"/>
        <v>PROG</v>
      </c>
      <c r="F280" s="52"/>
      <c r="G280" s="52" t="str">
        <f t="shared" si="14"/>
        <v>P</v>
      </c>
      <c r="H280" s="52"/>
      <c r="I280" s="52"/>
      <c r="J280" s="52" t="str">
        <f t="shared" si="15"/>
        <v>ELEM</v>
      </c>
      <c r="K280" s="52"/>
      <c r="L280" s="87"/>
      <c r="M280" s="52" t="e">
        <v>#N/A</v>
      </c>
      <c r="N280" s="52"/>
      <c r="O280" s="52"/>
      <c r="P280" s="52"/>
      <c r="Q280" s="52"/>
      <c r="R280" s="52"/>
      <c r="S280" s="52"/>
      <c r="T280" s="52"/>
      <c r="U280" s="52"/>
      <c r="V280" s="52"/>
      <c r="W280" s="53"/>
      <c r="X280" s="23"/>
      <c r="Y280" s="52"/>
      <c r="Z280" s="52"/>
      <c r="AA280" s="52"/>
      <c r="AB280" s="52"/>
      <c r="AC280" s="52"/>
      <c r="AD280" s="52"/>
      <c r="AE280" s="52"/>
    </row>
    <row r="281" spans="2:31" x14ac:dyDescent="0.25">
      <c r="B281" s="52"/>
      <c r="C281" s="52"/>
      <c r="D281" s="52"/>
      <c r="E281" s="52" t="str">
        <f t="shared" si="13"/>
        <v>PROG</v>
      </c>
      <c r="F281" s="52"/>
      <c r="G281" s="52" t="str">
        <f t="shared" si="14"/>
        <v>P</v>
      </c>
      <c r="H281" s="52"/>
      <c r="I281" s="52"/>
      <c r="J281" s="52" t="str">
        <f t="shared" si="15"/>
        <v>ELEM</v>
      </c>
      <c r="K281" s="52"/>
      <c r="L281" s="87"/>
      <c r="M281" s="52" t="e">
        <v>#N/A</v>
      </c>
      <c r="N281" s="52"/>
      <c r="O281" s="52"/>
      <c r="P281" s="52"/>
      <c r="Q281" s="52"/>
      <c r="R281" s="52"/>
      <c r="S281" s="52"/>
      <c r="T281" s="52"/>
      <c r="U281" s="52"/>
      <c r="V281" s="52"/>
      <c r="W281" s="53"/>
      <c r="X281" s="23"/>
      <c r="Y281" s="52"/>
      <c r="Z281" s="52"/>
      <c r="AA281" s="52"/>
      <c r="AB281" s="52"/>
      <c r="AC281" s="52"/>
      <c r="AD281" s="52"/>
      <c r="AE281" s="52"/>
    </row>
    <row r="282" spans="2:31" x14ac:dyDescent="0.25">
      <c r="B282" s="52"/>
      <c r="C282" s="52"/>
      <c r="D282" s="52"/>
      <c r="E282" s="52" t="str">
        <f t="shared" si="13"/>
        <v>PROG</v>
      </c>
      <c r="F282" s="52"/>
      <c r="G282" s="52" t="str">
        <f t="shared" si="14"/>
        <v>P</v>
      </c>
      <c r="H282" s="52"/>
      <c r="I282" s="52"/>
      <c r="J282" s="52" t="str">
        <f t="shared" si="15"/>
        <v>ELEM</v>
      </c>
      <c r="K282" s="52"/>
      <c r="L282" s="87"/>
      <c r="M282" s="52" t="e">
        <v>#N/A</v>
      </c>
      <c r="N282" s="52"/>
      <c r="O282" s="52"/>
      <c r="P282" s="52"/>
      <c r="Q282" s="52"/>
      <c r="R282" s="52"/>
      <c r="S282" s="52"/>
      <c r="T282" s="52"/>
      <c r="U282" s="52"/>
      <c r="V282" s="52"/>
      <c r="W282" s="53"/>
      <c r="X282" s="23"/>
      <c r="Y282" s="52"/>
      <c r="Z282" s="52"/>
      <c r="AA282" s="52"/>
      <c r="AB282" s="52"/>
      <c r="AC282" s="52"/>
      <c r="AD282" s="52"/>
      <c r="AE282" s="52"/>
    </row>
    <row r="283" spans="2:31" x14ac:dyDescent="0.25">
      <c r="B283" s="52"/>
      <c r="C283" s="52"/>
      <c r="D283" s="52"/>
      <c r="E283" s="52" t="str">
        <f t="shared" si="13"/>
        <v>PROG</v>
      </c>
      <c r="F283" s="52"/>
      <c r="G283" s="52" t="str">
        <f t="shared" si="14"/>
        <v>P</v>
      </c>
      <c r="H283" s="52"/>
      <c r="I283" s="52"/>
      <c r="J283" s="52" t="str">
        <f t="shared" si="15"/>
        <v>ELEM</v>
      </c>
      <c r="K283" s="52"/>
      <c r="L283" s="87"/>
      <c r="M283" s="52" t="e">
        <v>#N/A</v>
      </c>
      <c r="N283" s="52"/>
      <c r="O283" s="52"/>
      <c r="P283" s="52"/>
      <c r="Q283" s="52"/>
      <c r="R283" s="52"/>
      <c r="S283" s="52"/>
      <c r="T283" s="52"/>
      <c r="U283" s="52"/>
      <c r="V283" s="52"/>
      <c r="W283" s="53"/>
      <c r="X283" s="23"/>
      <c r="Y283" s="52"/>
      <c r="Z283" s="52"/>
      <c r="AA283" s="52"/>
      <c r="AB283" s="52"/>
      <c r="AC283" s="52"/>
      <c r="AD283" s="52"/>
      <c r="AE283" s="52"/>
    </row>
    <row r="284" spans="2:31" x14ac:dyDescent="0.25">
      <c r="B284" s="52"/>
      <c r="C284" s="52"/>
      <c r="D284" s="52"/>
      <c r="E284" s="52" t="str">
        <f t="shared" si="13"/>
        <v>PROG</v>
      </c>
      <c r="F284" s="52"/>
      <c r="G284" s="52" t="str">
        <f t="shared" si="14"/>
        <v>P</v>
      </c>
      <c r="H284" s="52"/>
      <c r="I284" s="52"/>
      <c r="J284" s="52" t="str">
        <f t="shared" si="15"/>
        <v>ELEM</v>
      </c>
      <c r="K284" s="52"/>
      <c r="L284" s="87"/>
      <c r="M284" s="52" t="e">
        <v>#N/A</v>
      </c>
      <c r="N284" s="52"/>
      <c r="O284" s="52"/>
      <c r="P284" s="52"/>
      <c r="Q284" s="52"/>
      <c r="R284" s="52"/>
      <c r="S284" s="52"/>
      <c r="T284" s="52"/>
      <c r="U284" s="52"/>
      <c r="V284" s="52"/>
      <c r="W284" s="53"/>
      <c r="X284" s="23"/>
      <c r="Y284" s="52"/>
      <c r="Z284" s="52"/>
      <c r="AA284" s="52"/>
      <c r="AB284" s="52"/>
      <c r="AC284" s="52"/>
      <c r="AD284" s="52"/>
      <c r="AE284" s="52"/>
    </row>
    <row r="285" spans="2:31" x14ac:dyDescent="0.25">
      <c r="B285" s="52"/>
      <c r="C285" s="52"/>
      <c r="D285" s="52"/>
      <c r="E285" s="52" t="str">
        <f t="shared" si="13"/>
        <v>PROG</v>
      </c>
      <c r="F285" s="52"/>
      <c r="G285" s="52" t="str">
        <f t="shared" si="14"/>
        <v>P</v>
      </c>
      <c r="H285" s="52"/>
      <c r="I285" s="52"/>
      <c r="J285" s="52" t="str">
        <f t="shared" si="15"/>
        <v>ELEM</v>
      </c>
      <c r="K285" s="52"/>
      <c r="L285" s="87"/>
      <c r="M285" s="52" t="e">
        <v>#N/A</v>
      </c>
      <c r="N285" s="52"/>
      <c r="O285" s="52"/>
      <c r="P285" s="52"/>
      <c r="Q285" s="52"/>
      <c r="R285" s="52"/>
      <c r="S285" s="52"/>
      <c r="T285" s="52"/>
      <c r="U285" s="52"/>
      <c r="V285" s="52"/>
      <c r="W285" s="53"/>
      <c r="X285" s="23"/>
      <c r="Y285" s="52"/>
      <c r="Z285" s="52"/>
      <c r="AA285" s="52"/>
      <c r="AB285" s="52"/>
      <c r="AC285" s="52"/>
      <c r="AD285" s="52"/>
      <c r="AE285" s="52"/>
    </row>
    <row r="286" spans="2:31" x14ac:dyDescent="0.25">
      <c r="B286" s="52"/>
      <c r="C286" s="52"/>
      <c r="D286" s="52"/>
      <c r="E286" s="52" t="str">
        <f t="shared" si="13"/>
        <v>PROG</v>
      </c>
      <c r="F286" s="52"/>
      <c r="G286" s="52" t="str">
        <f t="shared" si="14"/>
        <v>P</v>
      </c>
      <c r="H286" s="52"/>
      <c r="I286" s="52"/>
      <c r="J286" s="52" t="str">
        <f t="shared" si="15"/>
        <v>ELEM</v>
      </c>
      <c r="K286" s="52"/>
      <c r="L286" s="87"/>
      <c r="M286" s="52" t="e">
        <v>#N/A</v>
      </c>
      <c r="N286" s="52"/>
      <c r="O286" s="52"/>
      <c r="P286" s="52"/>
      <c r="Q286" s="52"/>
      <c r="R286" s="52"/>
      <c r="S286" s="52"/>
      <c r="T286" s="52"/>
      <c r="U286" s="52"/>
      <c r="V286" s="52"/>
      <c r="W286" s="53"/>
      <c r="X286" s="23"/>
      <c r="Y286" s="52"/>
      <c r="Z286" s="52"/>
      <c r="AA286" s="52"/>
      <c r="AB286" s="52"/>
      <c r="AC286" s="52"/>
      <c r="AD286" s="52"/>
      <c r="AE286" s="52"/>
    </row>
    <row r="287" spans="2:31" x14ac:dyDescent="0.25">
      <c r="B287" s="52"/>
      <c r="C287" s="52"/>
      <c r="D287" s="52"/>
      <c r="E287" s="52" t="str">
        <f t="shared" si="13"/>
        <v>PROG</v>
      </c>
      <c r="F287" s="52"/>
      <c r="G287" s="52" t="str">
        <f t="shared" si="14"/>
        <v>P</v>
      </c>
      <c r="H287" s="52"/>
      <c r="I287" s="52"/>
      <c r="J287" s="52" t="str">
        <f t="shared" si="15"/>
        <v>ELEM</v>
      </c>
      <c r="K287" s="52"/>
      <c r="L287" s="87"/>
      <c r="M287" s="52" t="e">
        <v>#N/A</v>
      </c>
      <c r="N287" s="52"/>
      <c r="O287" s="52"/>
      <c r="P287" s="52"/>
      <c r="Q287" s="52"/>
      <c r="R287" s="52"/>
      <c r="S287" s="52"/>
      <c r="T287" s="52"/>
      <c r="U287" s="52"/>
      <c r="V287" s="52"/>
      <c r="W287" s="53"/>
      <c r="X287" s="23"/>
      <c r="Y287" s="52"/>
      <c r="Z287" s="52"/>
      <c r="AA287" s="52"/>
      <c r="AB287" s="52"/>
      <c r="AC287" s="52"/>
      <c r="AD287" s="52"/>
      <c r="AE287" s="52"/>
    </row>
    <row r="288" spans="2:31" x14ac:dyDescent="0.25">
      <c r="B288" s="52"/>
      <c r="C288" s="52"/>
      <c r="D288" s="52"/>
      <c r="E288" s="52" t="str">
        <f t="shared" si="13"/>
        <v>PROG</v>
      </c>
      <c r="F288" s="52"/>
      <c r="G288" s="52" t="str">
        <f t="shared" si="14"/>
        <v>P</v>
      </c>
      <c r="H288" s="52"/>
      <c r="I288" s="52"/>
      <c r="J288" s="52" t="str">
        <f t="shared" si="15"/>
        <v>ELEM</v>
      </c>
      <c r="K288" s="52"/>
      <c r="L288" s="87"/>
      <c r="M288" s="52" t="e">
        <v>#N/A</v>
      </c>
      <c r="N288" s="52"/>
      <c r="O288" s="52"/>
      <c r="P288" s="52"/>
      <c r="Q288" s="52"/>
      <c r="R288" s="52"/>
      <c r="S288" s="52"/>
      <c r="T288" s="52"/>
      <c r="U288" s="52"/>
      <c r="V288" s="52"/>
      <c r="W288" s="53"/>
      <c r="X288" s="23"/>
      <c r="Y288" s="52"/>
      <c r="Z288" s="52"/>
      <c r="AA288" s="52"/>
      <c r="AB288" s="52"/>
      <c r="AC288" s="52"/>
      <c r="AD288" s="52"/>
      <c r="AE288" s="52"/>
    </row>
    <row r="289" spans="2:31" x14ac:dyDescent="0.25">
      <c r="B289" s="52"/>
      <c r="C289" s="52"/>
      <c r="D289" s="52"/>
      <c r="E289" s="52" t="str">
        <f t="shared" si="13"/>
        <v>PROG</v>
      </c>
      <c r="F289" s="52"/>
      <c r="G289" s="52" t="str">
        <f t="shared" si="14"/>
        <v>P</v>
      </c>
      <c r="H289" s="52"/>
      <c r="I289" s="52"/>
      <c r="J289" s="52" t="str">
        <f t="shared" si="15"/>
        <v>ELEM</v>
      </c>
      <c r="K289" s="52"/>
      <c r="L289" s="87"/>
      <c r="M289" s="52" t="e">
        <v>#N/A</v>
      </c>
      <c r="N289" s="52"/>
      <c r="O289" s="52"/>
      <c r="P289" s="52"/>
      <c r="Q289" s="52"/>
      <c r="R289" s="52"/>
      <c r="S289" s="52"/>
      <c r="T289" s="52"/>
      <c r="U289" s="52"/>
      <c r="V289" s="52"/>
      <c r="W289" s="53"/>
      <c r="X289" s="23"/>
      <c r="Y289" s="52"/>
      <c r="Z289" s="52"/>
      <c r="AA289" s="52"/>
      <c r="AB289" s="52"/>
      <c r="AC289" s="52"/>
      <c r="AD289" s="52"/>
      <c r="AE289" s="52"/>
    </row>
    <row r="290" spans="2:31" x14ac:dyDescent="0.25">
      <c r="B290" s="52"/>
      <c r="C290" s="52"/>
      <c r="D290" s="52"/>
      <c r="E290" s="52" t="str">
        <f t="shared" si="13"/>
        <v>PROG</v>
      </c>
      <c r="F290" s="52"/>
      <c r="G290" s="52" t="str">
        <f t="shared" si="14"/>
        <v>P</v>
      </c>
      <c r="H290" s="52"/>
      <c r="I290" s="52"/>
      <c r="J290" s="52" t="str">
        <f t="shared" si="15"/>
        <v>ELEM</v>
      </c>
      <c r="K290" s="52"/>
      <c r="L290" s="87"/>
      <c r="M290" s="52" t="e">
        <v>#N/A</v>
      </c>
      <c r="N290" s="52"/>
      <c r="O290" s="52"/>
      <c r="P290" s="52"/>
      <c r="Q290" s="52"/>
      <c r="R290" s="52"/>
      <c r="S290" s="52"/>
      <c r="T290" s="52"/>
      <c r="U290" s="52"/>
      <c r="V290" s="52"/>
      <c r="W290" s="53"/>
      <c r="X290" s="23"/>
      <c r="Y290" s="52"/>
      <c r="Z290" s="52"/>
      <c r="AA290" s="52"/>
      <c r="AB290" s="52"/>
      <c r="AC290" s="52"/>
      <c r="AD290" s="52"/>
      <c r="AE290" s="52"/>
    </row>
    <row r="291" spans="2:31" x14ac:dyDescent="0.25">
      <c r="B291" s="52"/>
      <c r="C291" s="52"/>
      <c r="D291" s="52"/>
      <c r="E291" s="52" t="str">
        <f t="shared" si="13"/>
        <v>PROG</v>
      </c>
      <c r="F291" s="52"/>
      <c r="G291" s="52" t="str">
        <f t="shared" si="14"/>
        <v>P</v>
      </c>
      <c r="H291" s="52"/>
      <c r="I291" s="52"/>
      <c r="J291" s="52" t="str">
        <f t="shared" si="15"/>
        <v>ELEM</v>
      </c>
      <c r="K291" s="52"/>
      <c r="L291" s="87"/>
      <c r="M291" s="52" t="e">
        <v>#N/A</v>
      </c>
      <c r="N291" s="52"/>
      <c r="O291" s="52"/>
      <c r="P291" s="52"/>
      <c r="Q291" s="52"/>
      <c r="R291" s="52"/>
      <c r="S291" s="52"/>
      <c r="T291" s="52"/>
      <c r="U291" s="52"/>
      <c r="V291" s="52"/>
      <c r="W291" s="53"/>
      <c r="X291" s="23"/>
      <c r="Y291" s="52"/>
      <c r="Z291" s="52"/>
      <c r="AA291" s="52"/>
      <c r="AB291" s="52"/>
      <c r="AC291" s="52"/>
      <c r="AD291" s="52"/>
      <c r="AE291" s="52"/>
    </row>
    <row r="292" spans="2:31" x14ac:dyDescent="0.25">
      <c r="B292" s="52"/>
      <c r="C292" s="52"/>
      <c r="D292" s="52"/>
      <c r="E292" s="52" t="str">
        <f t="shared" si="13"/>
        <v>PROG</v>
      </c>
      <c r="F292" s="52"/>
      <c r="G292" s="52" t="str">
        <f t="shared" si="14"/>
        <v>P</v>
      </c>
      <c r="H292" s="52"/>
      <c r="I292" s="52"/>
      <c r="J292" s="52" t="str">
        <f t="shared" si="15"/>
        <v>ELEM</v>
      </c>
      <c r="K292" s="52"/>
      <c r="L292" s="87"/>
      <c r="M292" s="52" t="e">
        <v>#N/A</v>
      </c>
      <c r="N292" s="52"/>
      <c r="O292" s="52"/>
      <c r="P292" s="52"/>
      <c r="Q292" s="52"/>
      <c r="R292" s="52"/>
      <c r="S292" s="52"/>
      <c r="T292" s="52"/>
      <c r="U292" s="52"/>
      <c r="V292" s="52"/>
      <c r="W292" s="53"/>
      <c r="X292" s="23"/>
      <c r="Y292" s="52"/>
      <c r="Z292" s="52"/>
      <c r="AA292" s="52"/>
      <c r="AB292" s="52"/>
      <c r="AC292" s="52"/>
      <c r="AD292" s="52"/>
      <c r="AE292" s="52"/>
    </row>
    <row r="293" spans="2:31" x14ac:dyDescent="0.25">
      <c r="B293" s="52"/>
      <c r="C293" s="52"/>
      <c r="D293" s="52"/>
      <c r="E293" s="52" t="str">
        <f t="shared" si="13"/>
        <v>PROG</v>
      </c>
      <c r="F293" s="52"/>
      <c r="G293" s="52" t="str">
        <f t="shared" si="14"/>
        <v>P</v>
      </c>
      <c r="H293" s="52"/>
      <c r="I293" s="52"/>
      <c r="J293" s="52" t="str">
        <f t="shared" si="15"/>
        <v>ELEM</v>
      </c>
      <c r="K293" s="52"/>
      <c r="L293" s="87"/>
      <c r="M293" s="52" t="e">
        <v>#N/A</v>
      </c>
      <c r="N293" s="52"/>
      <c r="O293" s="52"/>
      <c r="P293" s="52"/>
      <c r="Q293" s="52"/>
      <c r="R293" s="52"/>
      <c r="S293" s="52"/>
      <c r="T293" s="52"/>
      <c r="U293" s="52"/>
      <c r="V293" s="52"/>
      <c r="W293" s="53"/>
      <c r="X293" s="23"/>
      <c r="Y293" s="52"/>
      <c r="Z293" s="52"/>
      <c r="AA293" s="52"/>
      <c r="AB293" s="52"/>
      <c r="AC293" s="52"/>
      <c r="AD293" s="52"/>
      <c r="AE293" s="52"/>
    </row>
    <row r="294" spans="2:31" x14ac:dyDescent="0.25">
      <c r="B294" s="52"/>
      <c r="C294" s="52"/>
      <c r="D294" s="52"/>
      <c r="E294" s="52" t="str">
        <f t="shared" si="13"/>
        <v>PROG</v>
      </c>
      <c r="F294" s="52"/>
      <c r="G294" s="52" t="str">
        <f t="shared" si="14"/>
        <v>P</v>
      </c>
      <c r="H294" s="52"/>
      <c r="I294" s="52"/>
      <c r="J294" s="52" t="str">
        <f t="shared" si="15"/>
        <v>ELEM</v>
      </c>
      <c r="K294" s="52"/>
      <c r="L294" s="87"/>
      <c r="M294" s="52" t="e">
        <v>#N/A</v>
      </c>
      <c r="N294" s="52"/>
      <c r="O294" s="52"/>
      <c r="P294" s="52"/>
      <c r="Q294" s="52"/>
      <c r="R294" s="52"/>
      <c r="S294" s="52"/>
      <c r="T294" s="52"/>
      <c r="U294" s="52"/>
      <c r="V294" s="52"/>
      <c r="W294" s="53"/>
      <c r="X294" s="23"/>
      <c r="Y294" s="52"/>
      <c r="Z294" s="52"/>
      <c r="AA294" s="52"/>
      <c r="AB294" s="52"/>
      <c r="AC294" s="52"/>
      <c r="AD294" s="52"/>
      <c r="AE294" s="52"/>
    </row>
    <row r="295" spans="2:31" x14ac:dyDescent="0.25">
      <c r="B295" s="52"/>
      <c r="C295" s="52"/>
      <c r="D295" s="52"/>
      <c r="E295" s="52" t="str">
        <f t="shared" si="13"/>
        <v>PROG</v>
      </c>
      <c r="F295" s="52"/>
      <c r="G295" s="52" t="str">
        <f t="shared" si="14"/>
        <v>P</v>
      </c>
      <c r="H295" s="52"/>
      <c r="I295" s="52"/>
      <c r="J295" s="52" t="str">
        <f t="shared" si="15"/>
        <v>ELEM</v>
      </c>
      <c r="K295" s="52"/>
      <c r="L295" s="87"/>
      <c r="M295" s="52" t="e">
        <v>#N/A</v>
      </c>
      <c r="N295" s="52"/>
      <c r="O295" s="52"/>
      <c r="P295" s="52"/>
      <c r="Q295" s="52"/>
      <c r="R295" s="52"/>
      <c r="S295" s="52"/>
      <c r="T295" s="52"/>
      <c r="U295" s="52"/>
      <c r="V295" s="52"/>
      <c r="W295" s="53"/>
      <c r="X295" s="23"/>
      <c r="Y295" s="52"/>
      <c r="Z295" s="52"/>
      <c r="AA295" s="52"/>
      <c r="AB295" s="52"/>
      <c r="AC295" s="52"/>
      <c r="AD295" s="52"/>
      <c r="AE295" s="52"/>
    </row>
    <row r="296" spans="2:31" x14ac:dyDescent="0.25">
      <c r="B296" s="52"/>
      <c r="C296" s="52"/>
      <c r="D296" s="52"/>
      <c r="E296" s="52" t="str">
        <f t="shared" si="13"/>
        <v>PROG</v>
      </c>
      <c r="F296" s="52"/>
      <c r="G296" s="52" t="str">
        <f t="shared" si="14"/>
        <v>P</v>
      </c>
      <c r="H296" s="52"/>
      <c r="I296" s="52"/>
      <c r="J296" s="52" t="str">
        <f t="shared" si="15"/>
        <v>ELEM</v>
      </c>
      <c r="K296" s="52"/>
      <c r="L296" s="87"/>
      <c r="M296" s="52" t="e">
        <v>#N/A</v>
      </c>
      <c r="N296" s="52"/>
      <c r="O296" s="52"/>
      <c r="P296" s="52"/>
      <c r="Q296" s="52"/>
      <c r="R296" s="52"/>
      <c r="S296" s="52"/>
      <c r="T296" s="52"/>
      <c r="U296" s="52"/>
      <c r="V296" s="52"/>
      <c r="W296" s="53"/>
      <c r="X296" s="23"/>
      <c r="Y296" s="52"/>
      <c r="Z296" s="52"/>
      <c r="AA296" s="52"/>
      <c r="AB296" s="52"/>
      <c r="AC296" s="52"/>
      <c r="AD296" s="52"/>
      <c r="AE296" s="52"/>
    </row>
    <row r="297" spans="2:31" x14ac:dyDescent="0.25">
      <c r="B297" s="52"/>
      <c r="C297" s="52"/>
      <c r="D297" s="52"/>
      <c r="E297" s="52" t="str">
        <f t="shared" si="13"/>
        <v>PROG</v>
      </c>
      <c r="F297" s="52"/>
      <c r="G297" s="52" t="str">
        <f t="shared" si="14"/>
        <v>P</v>
      </c>
      <c r="H297" s="52"/>
      <c r="I297" s="52"/>
      <c r="J297" s="52" t="str">
        <f t="shared" si="15"/>
        <v>ELEM</v>
      </c>
      <c r="K297" s="52"/>
      <c r="L297" s="87"/>
      <c r="M297" s="52" t="e">
        <v>#N/A</v>
      </c>
      <c r="N297" s="52"/>
      <c r="O297" s="52"/>
      <c r="P297" s="52"/>
      <c r="Q297" s="52"/>
      <c r="R297" s="52"/>
      <c r="S297" s="52"/>
      <c r="T297" s="52"/>
      <c r="U297" s="52"/>
      <c r="V297" s="52"/>
      <c r="W297" s="53"/>
      <c r="X297" s="23"/>
      <c r="Y297" s="52"/>
      <c r="Z297" s="52"/>
      <c r="AA297" s="52"/>
      <c r="AB297" s="52"/>
      <c r="AC297" s="52"/>
      <c r="AD297" s="52"/>
      <c r="AE297" s="52"/>
    </row>
    <row r="298" spans="2:31" x14ac:dyDescent="0.25">
      <c r="B298" s="52"/>
      <c r="C298" s="52"/>
      <c r="D298" s="52"/>
      <c r="E298" s="52" t="str">
        <f t="shared" si="13"/>
        <v>PROG</v>
      </c>
      <c r="F298" s="52"/>
      <c r="G298" s="52" t="str">
        <f t="shared" si="14"/>
        <v>P</v>
      </c>
      <c r="H298" s="52"/>
      <c r="I298" s="52"/>
      <c r="J298" s="52" t="str">
        <f t="shared" si="15"/>
        <v>ELEM</v>
      </c>
      <c r="K298" s="52"/>
      <c r="L298" s="87"/>
      <c r="M298" s="52" t="e">
        <v>#N/A</v>
      </c>
      <c r="N298" s="52"/>
      <c r="O298" s="52"/>
      <c r="P298" s="52"/>
      <c r="Q298" s="52"/>
      <c r="R298" s="52"/>
      <c r="S298" s="52"/>
      <c r="T298" s="52"/>
      <c r="U298" s="52"/>
      <c r="V298" s="52"/>
      <c r="W298" s="53"/>
      <c r="X298" s="23"/>
      <c r="Y298" s="52"/>
      <c r="Z298" s="52"/>
      <c r="AA298" s="52"/>
      <c r="AB298" s="52"/>
      <c r="AC298" s="52"/>
      <c r="AD298" s="52"/>
      <c r="AE298" s="52"/>
    </row>
    <row r="299" spans="2:31" x14ac:dyDescent="0.25">
      <c r="B299" s="52"/>
      <c r="C299" s="52"/>
      <c r="D299" s="52"/>
      <c r="E299" s="52" t="str">
        <f t="shared" si="13"/>
        <v>PROG</v>
      </c>
      <c r="F299" s="52"/>
      <c r="G299" s="52" t="str">
        <f t="shared" si="14"/>
        <v>P</v>
      </c>
      <c r="H299" s="52"/>
      <c r="I299" s="52"/>
      <c r="J299" s="52" t="str">
        <f t="shared" si="15"/>
        <v>ELEM</v>
      </c>
      <c r="K299" s="52"/>
      <c r="L299" s="87"/>
      <c r="M299" s="52" t="e">
        <v>#N/A</v>
      </c>
      <c r="N299" s="52"/>
      <c r="O299" s="52"/>
      <c r="P299" s="52"/>
      <c r="Q299" s="52"/>
      <c r="R299" s="52"/>
      <c r="S299" s="52"/>
      <c r="T299" s="52"/>
      <c r="U299" s="52"/>
      <c r="V299" s="52"/>
      <c r="W299" s="53"/>
      <c r="X299" s="23"/>
      <c r="Y299" s="52"/>
      <c r="Z299" s="52"/>
      <c r="AA299" s="52"/>
      <c r="AB299" s="52"/>
      <c r="AC299" s="52"/>
      <c r="AD299" s="52"/>
      <c r="AE299" s="52"/>
    </row>
    <row r="300" spans="2:31" x14ac:dyDescent="0.25">
      <c r="B300" s="52"/>
      <c r="C300" s="52"/>
      <c r="D300" s="52"/>
      <c r="E300" s="52" t="str">
        <f t="shared" si="13"/>
        <v>PROG</v>
      </c>
      <c r="F300" s="52"/>
      <c r="G300" s="52" t="str">
        <f t="shared" si="14"/>
        <v>P</v>
      </c>
      <c r="H300" s="52"/>
      <c r="I300" s="52"/>
      <c r="J300" s="52" t="str">
        <f t="shared" si="15"/>
        <v>ELEM</v>
      </c>
      <c r="K300" s="52"/>
      <c r="L300" s="87"/>
      <c r="M300" s="52" t="e">
        <v>#N/A</v>
      </c>
      <c r="N300" s="52"/>
      <c r="O300" s="52"/>
      <c r="P300" s="52"/>
      <c r="Q300" s="52"/>
      <c r="R300" s="52"/>
      <c r="S300" s="52"/>
      <c r="T300" s="52"/>
      <c r="U300" s="52"/>
      <c r="V300" s="52"/>
      <c r="W300" s="53"/>
      <c r="X300" s="23"/>
      <c r="Y300" s="52"/>
      <c r="Z300" s="52"/>
      <c r="AA300" s="52"/>
      <c r="AB300" s="52"/>
      <c r="AC300" s="52"/>
      <c r="AD300" s="52"/>
      <c r="AE300" s="52"/>
    </row>
    <row r="301" spans="2:31" x14ac:dyDescent="0.25">
      <c r="B301" s="52"/>
      <c r="C301" s="52"/>
      <c r="D301" s="52"/>
      <c r="E301" s="52" t="str">
        <f t="shared" si="13"/>
        <v>PROG</v>
      </c>
      <c r="F301" s="52"/>
      <c r="G301" s="52" t="str">
        <f t="shared" si="14"/>
        <v>P</v>
      </c>
      <c r="H301" s="52"/>
      <c r="I301" s="52"/>
      <c r="J301" s="52" t="str">
        <f t="shared" si="15"/>
        <v>ELEM</v>
      </c>
      <c r="K301" s="52"/>
      <c r="L301" s="87"/>
      <c r="M301" s="52" t="e">
        <v>#N/A</v>
      </c>
      <c r="N301" s="52"/>
      <c r="O301" s="52"/>
      <c r="P301" s="52"/>
      <c r="Q301" s="52"/>
      <c r="R301" s="52"/>
      <c r="S301" s="52"/>
      <c r="T301" s="52"/>
      <c r="U301" s="52"/>
      <c r="V301" s="52"/>
      <c r="W301" s="53"/>
      <c r="X301" s="23"/>
      <c r="Y301" s="52"/>
      <c r="Z301" s="52"/>
      <c r="AA301" s="52"/>
      <c r="AB301" s="52"/>
      <c r="AC301" s="52"/>
      <c r="AD301" s="52"/>
      <c r="AE301" s="52"/>
    </row>
    <row r="302" spans="2:31" x14ac:dyDescent="0.25">
      <c r="B302" s="52"/>
      <c r="C302" s="52"/>
      <c r="D302" s="52"/>
      <c r="E302" s="52" t="str">
        <f t="shared" si="13"/>
        <v>PROG</v>
      </c>
      <c r="F302" s="52"/>
      <c r="G302" s="52" t="str">
        <f t="shared" si="14"/>
        <v>P</v>
      </c>
      <c r="H302" s="52"/>
      <c r="I302" s="52"/>
      <c r="J302" s="52" t="str">
        <f t="shared" si="15"/>
        <v>ELEM</v>
      </c>
      <c r="K302" s="52"/>
      <c r="L302" s="87"/>
      <c r="M302" s="52" t="e">
        <v>#N/A</v>
      </c>
      <c r="N302" s="52"/>
      <c r="O302" s="52"/>
      <c r="P302" s="52"/>
      <c r="Q302" s="52"/>
      <c r="R302" s="52"/>
      <c r="S302" s="52"/>
      <c r="T302" s="52"/>
      <c r="U302" s="52"/>
      <c r="V302" s="52"/>
      <c r="W302" s="53"/>
      <c r="X302" s="23"/>
      <c r="Y302" s="52"/>
      <c r="Z302" s="52"/>
      <c r="AA302" s="52"/>
      <c r="AB302" s="52"/>
      <c r="AC302" s="52"/>
      <c r="AD302" s="52"/>
      <c r="AE302" s="52"/>
    </row>
    <row r="303" spans="2:31" x14ac:dyDescent="0.25">
      <c r="B303" s="52"/>
      <c r="C303" s="52"/>
      <c r="D303" s="52"/>
      <c r="E303" s="52" t="str">
        <f t="shared" si="13"/>
        <v>PROG</v>
      </c>
      <c r="F303" s="52"/>
      <c r="G303" s="52" t="str">
        <f t="shared" si="14"/>
        <v>P</v>
      </c>
      <c r="H303" s="52"/>
      <c r="I303" s="52"/>
      <c r="J303" s="52" t="str">
        <f t="shared" si="15"/>
        <v>ELEM</v>
      </c>
      <c r="K303" s="52"/>
      <c r="L303" s="87"/>
      <c r="M303" s="52" t="e">
        <v>#N/A</v>
      </c>
      <c r="N303" s="52"/>
      <c r="O303" s="52"/>
      <c r="P303" s="52"/>
      <c r="Q303" s="52"/>
      <c r="R303" s="52"/>
      <c r="S303" s="52"/>
      <c r="T303" s="52"/>
      <c r="U303" s="52"/>
      <c r="V303" s="52"/>
      <c r="W303" s="53"/>
      <c r="X303" s="23"/>
      <c r="Y303" s="52"/>
      <c r="Z303" s="52"/>
      <c r="AA303" s="52"/>
      <c r="AB303" s="52"/>
      <c r="AC303" s="52"/>
      <c r="AD303" s="52"/>
      <c r="AE303" s="52"/>
    </row>
    <row r="304" spans="2:31" x14ac:dyDescent="0.25">
      <c r="B304" s="52"/>
      <c r="C304" s="52"/>
      <c r="D304" s="52"/>
      <c r="E304" s="52" t="str">
        <f t="shared" si="13"/>
        <v>PROG</v>
      </c>
      <c r="F304" s="52"/>
      <c r="G304" s="52" t="str">
        <f t="shared" si="14"/>
        <v>P</v>
      </c>
      <c r="H304" s="52"/>
      <c r="I304" s="52"/>
      <c r="J304" s="52" t="str">
        <f t="shared" si="15"/>
        <v>ELEM</v>
      </c>
      <c r="K304" s="52"/>
      <c r="L304" s="87"/>
      <c r="M304" s="52" t="e">
        <v>#N/A</v>
      </c>
      <c r="N304" s="52"/>
      <c r="O304" s="52"/>
      <c r="P304" s="52"/>
      <c r="Q304" s="52"/>
      <c r="R304" s="52"/>
      <c r="S304" s="52"/>
      <c r="T304" s="52"/>
      <c r="U304" s="52"/>
      <c r="V304" s="52"/>
      <c r="W304" s="53"/>
      <c r="X304" s="23"/>
      <c r="Y304" s="52"/>
      <c r="Z304" s="52"/>
      <c r="AA304" s="52"/>
      <c r="AB304" s="52"/>
      <c r="AC304" s="52"/>
      <c r="AD304" s="52"/>
      <c r="AE304" s="52"/>
    </row>
    <row r="305" spans="2:31" x14ac:dyDescent="0.25">
      <c r="B305" s="52"/>
      <c r="C305" s="52"/>
      <c r="D305" s="52"/>
      <c r="E305" s="52" t="str">
        <f t="shared" si="13"/>
        <v>PROG</v>
      </c>
      <c r="F305" s="52"/>
      <c r="G305" s="52" t="str">
        <f t="shared" si="14"/>
        <v>P</v>
      </c>
      <c r="H305" s="52"/>
      <c r="I305" s="52"/>
      <c r="J305" s="52" t="str">
        <f t="shared" si="15"/>
        <v>ELEM</v>
      </c>
      <c r="K305" s="52"/>
      <c r="L305" s="87"/>
      <c r="M305" s="52" t="e">
        <v>#N/A</v>
      </c>
      <c r="N305" s="52"/>
      <c r="O305" s="52"/>
      <c r="P305" s="52"/>
      <c r="Q305" s="52"/>
      <c r="R305" s="52"/>
      <c r="S305" s="52"/>
      <c r="T305" s="52"/>
      <c r="U305" s="52"/>
      <c r="V305" s="52"/>
      <c r="W305" s="53"/>
      <c r="X305" s="23"/>
      <c r="Y305" s="52"/>
      <c r="Z305" s="52"/>
      <c r="AA305" s="52"/>
      <c r="AB305" s="52"/>
      <c r="AC305" s="52"/>
      <c r="AD305" s="52"/>
      <c r="AE305" s="52"/>
    </row>
    <row r="306" spans="2:31" x14ac:dyDescent="0.25">
      <c r="B306" s="52"/>
      <c r="C306" s="52"/>
      <c r="D306" s="52"/>
      <c r="E306" s="52" t="str">
        <f t="shared" si="13"/>
        <v>PROG</v>
      </c>
      <c r="F306" s="52"/>
      <c r="G306" s="52" t="str">
        <f t="shared" si="14"/>
        <v>P</v>
      </c>
      <c r="H306" s="52"/>
      <c r="I306" s="52"/>
      <c r="J306" s="52" t="str">
        <f t="shared" si="15"/>
        <v>ELEM</v>
      </c>
      <c r="K306" s="52"/>
      <c r="L306" s="87"/>
      <c r="M306" s="52" t="e">
        <v>#N/A</v>
      </c>
      <c r="N306" s="52"/>
      <c r="O306" s="52"/>
      <c r="P306" s="52"/>
      <c r="Q306" s="52"/>
      <c r="R306" s="52"/>
      <c r="S306" s="52"/>
      <c r="T306" s="52"/>
      <c r="U306" s="52"/>
      <c r="V306" s="52"/>
      <c r="W306" s="53"/>
      <c r="X306" s="23"/>
      <c r="Y306" s="52"/>
      <c r="Z306" s="52"/>
      <c r="AA306" s="52"/>
      <c r="AB306" s="52"/>
      <c r="AC306" s="52"/>
      <c r="AD306" s="52"/>
      <c r="AE306" s="52"/>
    </row>
    <row r="307" spans="2:31" x14ac:dyDescent="0.25">
      <c r="B307" s="52"/>
      <c r="C307" s="52"/>
      <c r="D307" s="52"/>
      <c r="E307" s="52" t="str">
        <f t="shared" si="13"/>
        <v>PROG</v>
      </c>
      <c r="F307" s="52"/>
      <c r="G307" s="52" t="str">
        <f t="shared" si="14"/>
        <v>P</v>
      </c>
      <c r="H307" s="52"/>
      <c r="I307" s="52"/>
      <c r="J307" s="52" t="str">
        <f t="shared" si="15"/>
        <v>ELEM</v>
      </c>
      <c r="K307" s="52"/>
      <c r="L307" s="87"/>
      <c r="M307" s="52" t="e">
        <v>#N/A</v>
      </c>
      <c r="N307" s="52"/>
      <c r="O307" s="52"/>
      <c r="P307" s="52"/>
      <c r="Q307" s="52"/>
      <c r="R307" s="52"/>
      <c r="S307" s="52"/>
      <c r="T307" s="52"/>
      <c r="U307" s="52"/>
      <c r="V307" s="52"/>
      <c r="W307" s="53"/>
      <c r="X307" s="23"/>
      <c r="Y307" s="52"/>
      <c r="Z307" s="52"/>
      <c r="AA307" s="52"/>
      <c r="AB307" s="52"/>
      <c r="AC307" s="52"/>
      <c r="AD307" s="52"/>
      <c r="AE307" s="52"/>
    </row>
    <row r="308" spans="2:31" x14ac:dyDescent="0.25">
      <c r="B308" s="52"/>
      <c r="C308" s="52"/>
      <c r="D308" s="52"/>
      <c r="E308" s="52" t="str">
        <f t="shared" si="13"/>
        <v>PROG</v>
      </c>
      <c r="F308" s="52"/>
      <c r="G308" s="52" t="str">
        <f t="shared" si="14"/>
        <v>P</v>
      </c>
      <c r="H308" s="52"/>
      <c r="I308" s="52"/>
      <c r="J308" s="52" t="str">
        <f t="shared" si="15"/>
        <v>ELEM</v>
      </c>
      <c r="K308" s="52"/>
      <c r="L308" s="87"/>
      <c r="M308" s="52" t="e">
        <v>#N/A</v>
      </c>
      <c r="N308" s="52"/>
      <c r="O308" s="52"/>
      <c r="P308" s="52"/>
      <c r="Q308" s="52"/>
      <c r="R308" s="52"/>
      <c r="S308" s="52"/>
      <c r="T308" s="52"/>
      <c r="U308" s="52"/>
      <c r="V308" s="52"/>
      <c r="W308" s="53"/>
      <c r="X308" s="23"/>
      <c r="Y308" s="52"/>
      <c r="Z308" s="52"/>
      <c r="AA308" s="52"/>
      <c r="AB308" s="52"/>
      <c r="AC308" s="52"/>
      <c r="AD308" s="52"/>
      <c r="AE308" s="52"/>
    </row>
    <row r="309" spans="2:31" x14ac:dyDescent="0.25">
      <c r="B309" s="52"/>
      <c r="C309" s="52"/>
      <c r="D309" s="52"/>
      <c r="E309" s="52" t="str">
        <f t="shared" si="13"/>
        <v>PROG</v>
      </c>
      <c r="F309" s="52"/>
      <c r="G309" s="52" t="str">
        <f t="shared" si="14"/>
        <v>P</v>
      </c>
      <c r="H309" s="52"/>
      <c r="I309" s="52"/>
      <c r="J309" s="52" t="str">
        <f t="shared" si="15"/>
        <v>ELEM</v>
      </c>
      <c r="K309" s="52"/>
      <c r="L309" s="87"/>
      <c r="M309" s="52" t="e">
        <v>#N/A</v>
      </c>
      <c r="N309" s="52"/>
      <c r="O309" s="52"/>
      <c r="P309" s="52"/>
      <c r="Q309" s="52"/>
      <c r="R309" s="52"/>
      <c r="S309" s="52"/>
      <c r="T309" s="52"/>
      <c r="U309" s="52"/>
      <c r="V309" s="52"/>
      <c r="W309" s="53"/>
      <c r="X309" s="23"/>
      <c r="Y309" s="52"/>
      <c r="Z309" s="52"/>
      <c r="AA309" s="52"/>
      <c r="AB309" s="52"/>
      <c r="AC309" s="52"/>
      <c r="AD309" s="52"/>
      <c r="AE309" s="52"/>
    </row>
    <row r="310" spans="2:31" x14ac:dyDescent="0.25">
      <c r="B310" s="52"/>
      <c r="C310" s="52"/>
      <c r="D310" s="52"/>
      <c r="E310" s="52" t="str">
        <f t="shared" si="13"/>
        <v>PROG</v>
      </c>
      <c r="F310" s="52"/>
      <c r="G310" s="52" t="str">
        <f t="shared" si="14"/>
        <v>P</v>
      </c>
      <c r="H310" s="52"/>
      <c r="I310" s="52"/>
      <c r="J310" s="52" t="str">
        <f t="shared" si="15"/>
        <v>ELEM</v>
      </c>
      <c r="K310" s="52"/>
      <c r="L310" s="87"/>
      <c r="M310" s="52" t="e">
        <v>#N/A</v>
      </c>
      <c r="N310" s="52"/>
      <c r="O310" s="52"/>
      <c r="P310" s="52"/>
      <c r="Q310" s="52"/>
      <c r="R310" s="52"/>
      <c r="S310" s="52"/>
      <c r="T310" s="52"/>
      <c r="U310" s="52"/>
      <c r="V310" s="52"/>
      <c r="W310" s="53"/>
      <c r="X310" s="23"/>
      <c r="Y310" s="52"/>
      <c r="Z310" s="52"/>
      <c r="AA310" s="52"/>
      <c r="AB310" s="52"/>
      <c r="AC310" s="52"/>
      <c r="AD310" s="52"/>
      <c r="AE310" s="52"/>
    </row>
    <row r="311" spans="2:31" x14ac:dyDescent="0.25">
      <c r="B311" s="52"/>
      <c r="C311" s="52"/>
      <c r="D311" s="52"/>
      <c r="E311" s="52" t="str">
        <f t="shared" si="13"/>
        <v>PROG</v>
      </c>
      <c r="F311" s="52"/>
      <c r="G311" s="52" t="str">
        <f t="shared" si="14"/>
        <v>P</v>
      </c>
      <c r="H311" s="52"/>
      <c r="I311" s="52"/>
      <c r="J311" s="52" t="str">
        <f t="shared" si="15"/>
        <v>ELEM</v>
      </c>
      <c r="K311" s="52"/>
      <c r="L311" s="87"/>
      <c r="M311" s="52" t="e">
        <v>#N/A</v>
      </c>
      <c r="N311" s="52"/>
      <c r="O311" s="52"/>
      <c r="P311" s="52"/>
      <c r="Q311" s="52"/>
      <c r="R311" s="52"/>
      <c r="S311" s="52"/>
      <c r="T311" s="52"/>
      <c r="U311" s="52"/>
      <c r="V311" s="52"/>
      <c r="W311" s="53"/>
      <c r="X311" s="23"/>
      <c r="Y311" s="52"/>
      <c r="Z311" s="52"/>
      <c r="AA311" s="52"/>
      <c r="AB311" s="52"/>
      <c r="AC311" s="52"/>
      <c r="AD311" s="52"/>
      <c r="AE311" s="52"/>
    </row>
    <row r="312" spans="2:31" x14ac:dyDescent="0.25">
      <c r="B312" s="52"/>
      <c r="C312" s="52"/>
      <c r="D312" s="52"/>
      <c r="E312" s="52" t="str">
        <f t="shared" si="13"/>
        <v>PROG</v>
      </c>
      <c r="F312" s="52"/>
      <c r="G312" s="52" t="str">
        <f t="shared" si="14"/>
        <v>P</v>
      </c>
      <c r="H312" s="52"/>
      <c r="I312" s="52"/>
      <c r="J312" s="52" t="str">
        <f t="shared" si="15"/>
        <v>ELEM</v>
      </c>
      <c r="K312" s="52"/>
      <c r="L312" s="87"/>
      <c r="M312" s="52" t="e">
        <v>#N/A</v>
      </c>
      <c r="N312" s="52"/>
      <c r="O312" s="52"/>
      <c r="P312" s="52"/>
      <c r="Q312" s="52"/>
      <c r="R312" s="52"/>
      <c r="S312" s="52"/>
      <c r="T312" s="52"/>
      <c r="U312" s="52"/>
      <c r="V312" s="52"/>
      <c r="W312" s="53"/>
      <c r="X312" s="23"/>
      <c r="Y312" s="52"/>
      <c r="Z312" s="52"/>
      <c r="AA312" s="52"/>
      <c r="AB312" s="52"/>
      <c r="AC312" s="52"/>
      <c r="AD312" s="52"/>
      <c r="AE312" s="52"/>
    </row>
    <row r="313" spans="2:31" x14ac:dyDescent="0.25">
      <c r="B313" s="52"/>
      <c r="C313" s="52"/>
      <c r="D313" s="52"/>
      <c r="E313" s="52" t="str">
        <f t="shared" si="13"/>
        <v>PROG</v>
      </c>
      <c r="F313" s="52"/>
      <c r="G313" s="52" t="str">
        <f t="shared" si="14"/>
        <v>P</v>
      </c>
      <c r="H313" s="52"/>
      <c r="I313" s="52"/>
      <c r="J313" s="52" t="str">
        <f t="shared" si="15"/>
        <v>ELEM</v>
      </c>
      <c r="K313" s="52"/>
      <c r="L313" s="87"/>
      <c r="M313" s="52" t="e">
        <v>#N/A</v>
      </c>
      <c r="N313" s="52"/>
      <c r="O313" s="52"/>
      <c r="P313" s="52"/>
      <c r="Q313" s="52"/>
      <c r="R313" s="52"/>
      <c r="S313" s="52"/>
      <c r="T313" s="52"/>
      <c r="U313" s="52"/>
      <c r="V313" s="52"/>
      <c r="W313" s="53"/>
      <c r="X313" s="23"/>
      <c r="Y313" s="52"/>
      <c r="Z313" s="52"/>
      <c r="AA313" s="52"/>
      <c r="AB313" s="52"/>
      <c r="AC313" s="52"/>
      <c r="AD313" s="52"/>
      <c r="AE313" s="52"/>
    </row>
    <row r="314" spans="2:31" x14ac:dyDescent="0.25">
      <c r="B314" s="52"/>
      <c r="C314" s="52"/>
      <c r="D314" s="52"/>
      <c r="E314" s="52" t="str">
        <f t="shared" si="13"/>
        <v>PROG</v>
      </c>
      <c r="F314" s="52"/>
      <c r="G314" s="52" t="str">
        <f t="shared" si="14"/>
        <v>P</v>
      </c>
      <c r="H314" s="52"/>
      <c r="I314" s="52"/>
      <c r="J314" s="52" t="str">
        <f t="shared" si="15"/>
        <v>ELEM</v>
      </c>
      <c r="K314" s="52"/>
      <c r="L314" s="87"/>
      <c r="M314" s="52" t="e">
        <v>#N/A</v>
      </c>
      <c r="N314" s="52"/>
      <c r="O314" s="52"/>
      <c r="P314" s="52"/>
      <c r="Q314" s="52"/>
      <c r="R314" s="52"/>
      <c r="S314" s="52"/>
      <c r="T314" s="52"/>
      <c r="U314" s="52"/>
      <c r="V314" s="52"/>
      <c r="W314" s="53"/>
      <c r="X314" s="23"/>
      <c r="Y314" s="52"/>
      <c r="Z314" s="52"/>
      <c r="AA314" s="52"/>
      <c r="AB314" s="52"/>
      <c r="AC314" s="52"/>
      <c r="AD314" s="52"/>
      <c r="AE314" s="52"/>
    </row>
    <row r="315" spans="2:31" x14ac:dyDescent="0.25">
      <c r="B315" s="52"/>
      <c r="C315" s="52"/>
      <c r="D315" s="52"/>
      <c r="E315" s="52" t="str">
        <f t="shared" si="13"/>
        <v>PROG</v>
      </c>
      <c r="F315" s="52"/>
      <c r="G315" s="52" t="str">
        <f t="shared" si="14"/>
        <v>P</v>
      </c>
      <c r="H315" s="52"/>
      <c r="I315" s="52"/>
      <c r="J315" s="52" t="str">
        <f t="shared" si="15"/>
        <v>ELEM</v>
      </c>
      <c r="K315" s="52"/>
      <c r="L315" s="87"/>
      <c r="M315" s="52" t="e">
        <v>#N/A</v>
      </c>
      <c r="N315" s="52"/>
      <c r="O315" s="52"/>
      <c r="P315" s="52"/>
      <c r="Q315" s="52"/>
      <c r="R315" s="52"/>
      <c r="S315" s="52"/>
      <c r="T315" s="52"/>
      <c r="U315" s="52"/>
      <c r="V315" s="52"/>
      <c r="W315" s="53"/>
      <c r="X315" s="23"/>
      <c r="Y315" s="52"/>
      <c r="Z315" s="52"/>
      <c r="AA315" s="52"/>
      <c r="AB315" s="52"/>
      <c r="AC315" s="52"/>
      <c r="AD315" s="52"/>
      <c r="AE315" s="52"/>
    </row>
    <row r="316" spans="2:31" x14ac:dyDescent="0.25">
      <c r="B316" s="52"/>
      <c r="C316" s="52"/>
      <c r="D316" s="52"/>
      <c r="E316" s="52" t="str">
        <f t="shared" si="13"/>
        <v>PROG</v>
      </c>
      <c r="F316" s="52"/>
      <c r="G316" s="52" t="str">
        <f t="shared" si="14"/>
        <v>P</v>
      </c>
      <c r="H316" s="52"/>
      <c r="I316" s="52"/>
      <c r="J316" s="52" t="str">
        <f t="shared" si="15"/>
        <v>ELEM</v>
      </c>
      <c r="K316" s="52"/>
      <c r="L316" s="87"/>
      <c r="M316" s="52" t="e">
        <v>#N/A</v>
      </c>
      <c r="N316" s="52"/>
      <c r="O316" s="52"/>
      <c r="P316" s="52"/>
      <c r="Q316" s="52"/>
      <c r="R316" s="52"/>
      <c r="S316" s="52"/>
      <c r="T316" s="52"/>
      <c r="U316" s="52"/>
      <c r="V316" s="52"/>
      <c r="W316" s="53"/>
      <c r="X316" s="23"/>
      <c r="Y316" s="52"/>
      <c r="Z316" s="52"/>
      <c r="AA316" s="52"/>
      <c r="AB316" s="52"/>
      <c r="AC316" s="52"/>
      <c r="AD316" s="52"/>
      <c r="AE316" s="52"/>
    </row>
    <row r="317" spans="2:31" x14ac:dyDescent="0.25">
      <c r="B317" s="52"/>
      <c r="C317" s="52"/>
      <c r="D317" s="52"/>
      <c r="E317" s="52" t="str">
        <f t="shared" si="13"/>
        <v>PROG</v>
      </c>
      <c r="F317" s="52"/>
      <c r="G317" s="52" t="str">
        <f t="shared" si="14"/>
        <v>P</v>
      </c>
      <c r="H317" s="52"/>
      <c r="I317" s="52"/>
      <c r="J317" s="52" t="str">
        <f t="shared" si="15"/>
        <v>ELEM</v>
      </c>
      <c r="K317" s="52"/>
      <c r="L317" s="87"/>
      <c r="M317" s="52" t="e">
        <v>#N/A</v>
      </c>
      <c r="N317" s="52"/>
      <c r="O317" s="52"/>
      <c r="P317" s="52"/>
      <c r="Q317" s="52"/>
      <c r="R317" s="52"/>
      <c r="S317" s="52"/>
      <c r="T317" s="52"/>
      <c r="U317" s="52"/>
      <c r="V317" s="52"/>
      <c r="W317" s="53"/>
      <c r="X317" s="23"/>
      <c r="Y317" s="52"/>
      <c r="Z317" s="52"/>
      <c r="AA317" s="52"/>
      <c r="AB317" s="52"/>
      <c r="AC317" s="52"/>
      <c r="AD317" s="52"/>
      <c r="AE317" s="52"/>
    </row>
    <row r="318" spans="2:31" x14ac:dyDescent="0.25">
      <c r="B318" s="52"/>
      <c r="C318" s="52"/>
      <c r="D318" s="52"/>
      <c r="E318" s="52" t="str">
        <f t="shared" si="13"/>
        <v>PROG</v>
      </c>
      <c r="F318" s="52"/>
      <c r="G318" s="52" t="str">
        <f t="shared" si="14"/>
        <v>P</v>
      </c>
      <c r="H318" s="52"/>
      <c r="I318" s="52"/>
      <c r="J318" s="52" t="str">
        <f t="shared" si="15"/>
        <v>ELEM</v>
      </c>
      <c r="K318" s="52"/>
      <c r="L318" s="87"/>
      <c r="M318" s="52" t="e">
        <v>#N/A</v>
      </c>
      <c r="N318" s="52"/>
      <c r="O318" s="52"/>
      <c r="P318" s="52"/>
      <c r="Q318" s="52"/>
      <c r="R318" s="52"/>
      <c r="S318" s="52"/>
      <c r="T318" s="52"/>
      <c r="U318" s="52"/>
      <c r="V318" s="52"/>
      <c r="W318" s="53"/>
      <c r="X318" s="23"/>
      <c r="Y318" s="52"/>
      <c r="Z318" s="52"/>
      <c r="AA318" s="52"/>
      <c r="AB318" s="52"/>
      <c r="AC318" s="52"/>
      <c r="AD318" s="52"/>
      <c r="AE318" s="52"/>
    </row>
    <row r="319" spans="2:31" x14ac:dyDescent="0.25">
      <c r="B319" s="52"/>
      <c r="C319" s="52"/>
      <c r="D319" s="52"/>
      <c r="E319" s="52" t="str">
        <f t="shared" si="13"/>
        <v>PROG</v>
      </c>
      <c r="F319" s="52"/>
      <c r="G319" s="52" t="str">
        <f t="shared" si="14"/>
        <v>P</v>
      </c>
      <c r="H319" s="52"/>
      <c r="I319" s="52"/>
      <c r="J319" s="52" t="str">
        <f t="shared" si="15"/>
        <v>ELEM</v>
      </c>
      <c r="K319" s="52"/>
      <c r="L319" s="87"/>
      <c r="M319" s="52" t="e">
        <v>#N/A</v>
      </c>
      <c r="N319" s="52"/>
      <c r="O319" s="52"/>
      <c r="P319" s="52"/>
      <c r="Q319" s="52"/>
      <c r="R319" s="52"/>
      <c r="S319" s="52"/>
      <c r="T319" s="52"/>
      <c r="U319" s="52"/>
      <c r="V319" s="52"/>
      <c r="W319" s="53"/>
      <c r="X319" s="23"/>
      <c r="Y319" s="52"/>
      <c r="Z319" s="52"/>
      <c r="AA319" s="52"/>
      <c r="AB319" s="52"/>
      <c r="AC319" s="52"/>
      <c r="AD319" s="52"/>
      <c r="AE319" s="52"/>
    </row>
    <row r="320" spans="2:31" x14ac:dyDescent="0.25">
      <c r="B320" s="52"/>
      <c r="C320" s="52"/>
      <c r="D320" s="52"/>
      <c r="E320" s="52" t="str">
        <f t="shared" si="13"/>
        <v>PROG</v>
      </c>
      <c r="F320" s="52"/>
      <c r="G320" s="52" t="str">
        <f t="shared" si="14"/>
        <v>P</v>
      </c>
      <c r="H320" s="52"/>
      <c r="I320" s="52"/>
      <c r="J320" s="52" t="str">
        <f t="shared" si="15"/>
        <v>ELEM</v>
      </c>
      <c r="K320" s="52"/>
      <c r="L320" s="87"/>
      <c r="M320" s="52" t="e">
        <v>#N/A</v>
      </c>
      <c r="N320" s="52"/>
      <c r="O320" s="52"/>
      <c r="P320" s="52"/>
      <c r="Q320" s="52"/>
      <c r="R320" s="52"/>
      <c r="S320" s="52"/>
      <c r="T320" s="52"/>
      <c r="U320" s="52"/>
      <c r="V320" s="52"/>
      <c r="W320" s="53"/>
      <c r="X320" s="23"/>
      <c r="Y320" s="52"/>
      <c r="Z320" s="52"/>
      <c r="AA320" s="52"/>
      <c r="AB320" s="52"/>
      <c r="AC320" s="52"/>
      <c r="AD320" s="52"/>
      <c r="AE320" s="52"/>
    </row>
    <row r="321" spans="2:31" x14ac:dyDescent="0.25">
      <c r="B321" s="52"/>
      <c r="C321" s="52"/>
      <c r="D321" s="52"/>
      <c r="E321" s="52" t="str">
        <f t="shared" si="13"/>
        <v>PROG</v>
      </c>
      <c r="F321" s="52"/>
      <c r="G321" s="52" t="str">
        <f t="shared" si="14"/>
        <v>P</v>
      </c>
      <c r="H321" s="52"/>
      <c r="I321" s="52"/>
      <c r="J321" s="52" t="str">
        <f t="shared" si="15"/>
        <v>ELEM</v>
      </c>
      <c r="K321" s="52"/>
      <c r="L321" s="87"/>
      <c r="M321" s="52" t="e">
        <v>#N/A</v>
      </c>
      <c r="N321" s="52"/>
      <c r="O321" s="52"/>
      <c r="P321" s="52"/>
      <c r="Q321" s="52"/>
      <c r="R321" s="52"/>
      <c r="S321" s="52"/>
      <c r="T321" s="52"/>
      <c r="U321" s="52"/>
      <c r="V321" s="52"/>
      <c r="W321" s="53"/>
      <c r="X321" s="23"/>
      <c r="Y321" s="52"/>
      <c r="Z321" s="52"/>
      <c r="AA321" s="52"/>
      <c r="AB321" s="52"/>
      <c r="AC321" s="52"/>
      <c r="AD321" s="52"/>
      <c r="AE321" s="52"/>
    </row>
    <row r="322" spans="2:31" x14ac:dyDescent="0.25">
      <c r="B322" s="52"/>
      <c r="C322" s="52"/>
      <c r="D322" s="52"/>
      <c r="E322" s="52" t="str">
        <f t="shared" si="13"/>
        <v>PROG</v>
      </c>
      <c r="F322" s="52"/>
      <c r="G322" s="52" t="str">
        <f t="shared" si="14"/>
        <v>P</v>
      </c>
      <c r="H322" s="52"/>
      <c r="I322" s="52"/>
      <c r="J322" s="52" t="str">
        <f t="shared" si="15"/>
        <v>ELEM</v>
      </c>
      <c r="K322" s="52"/>
      <c r="L322" s="87"/>
      <c r="M322" s="52" t="e">
        <v>#N/A</v>
      </c>
      <c r="N322" s="52"/>
      <c r="O322" s="52"/>
      <c r="P322" s="52"/>
      <c r="Q322" s="52"/>
      <c r="R322" s="52"/>
      <c r="S322" s="52"/>
      <c r="T322" s="52"/>
      <c r="U322" s="52"/>
      <c r="V322" s="52"/>
      <c r="W322" s="53"/>
      <c r="X322" s="23"/>
      <c r="Y322" s="52"/>
      <c r="Z322" s="52"/>
      <c r="AA322" s="52"/>
      <c r="AB322" s="52"/>
      <c r="AC322" s="52"/>
      <c r="AD322" s="52"/>
      <c r="AE322" s="52"/>
    </row>
    <row r="323" spans="2:31" x14ac:dyDescent="0.25">
      <c r="B323" s="52"/>
      <c r="C323" s="52"/>
      <c r="D323" s="52"/>
      <c r="E323" s="52" t="str">
        <f t="shared" ref="E323:E386" si="16">CONCATENATE(A323,"PROG")</f>
        <v>PROG</v>
      </c>
      <c r="F323" s="52"/>
      <c r="G323" s="52" t="str">
        <f t="shared" ref="G323:G386" si="17">CONCATENATE("P",(LEFT(F323,3)),A323)</f>
        <v>P</v>
      </c>
      <c r="H323" s="52"/>
      <c r="I323" s="52"/>
      <c r="J323" s="52" t="str">
        <f t="shared" ref="J323:J386" si="18">CONCATENATE("ELEM",LEFT(I323,2))</f>
        <v>ELEM</v>
      </c>
      <c r="K323" s="52"/>
      <c r="L323" s="87"/>
      <c r="M323" s="52" t="e">
        <v>#N/A</v>
      </c>
      <c r="N323" s="52"/>
      <c r="O323" s="52"/>
      <c r="P323" s="52"/>
      <c r="Q323" s="52"/>
      <c r="R323" s="52"/>
      <c r="S323" s="52"/>
      <c r="T323" s="52"/>
      <c r="U323" s="52"/>
      <c r="V323" s="52"/>
      <c r="W323" s="53"/>
      <c r="X323" s="23"/>
      <c r="Y323" s="52"/>
      <c r="Z323" s="52"/>
      <c r="AA323" s="52"/>
      <c r="AB323" s="52"/>
      <c r="AC323" s="52"/>
      <c r="AD323" s="52"/>
      <c r="AE323" s="52"/>
    </row>
    <row r="324" spans="2:31" x14ac:dyDescent="0.25">
      <c r="B324" s="52"/>
      <c r="C324" s="52"/>
      <c r="D324" s="52"/>
      <c r="E324" s="52" t="str">
        <f t="shared" si="16"/>
        <v>PROG</v>
      </c>
      <c r="F324" s="52"/>
      <c r="G324" s="52" t="str">
        <f t="shared" si="17"/>
        <v>P</v>
      </c>
      <c r="H324" s="52"/>
      <c r="I324" s="52"/>
      <c r="J324" s="52" t="str">
        <f t="shared" si="18"/>
        <v>ELEM</v>
      </c>
      <c r="K324" s="52"/>
      <c r="L324" s="87"/>
      <c r="M324" s="52" t="e">
        <v>#N/A</v>
      </c>
      <c r="N324" s="52"/>
      <c r="O324" s="52"/>
      <c r="P324" s="52"/>
      <c r="Q324" s="52"/>
      <c r="R324" s="52"/>
      <c r="S324" s="52"/>
      <c r="T324" s="52"/>
      <c r="U324" s="52"/>
      <c r="V324" s="52"/>
      <c r="W324" s="53"/>
      <c r="X324" s="23"/>
      <c r="Y324" s="52"/>
      <c r="Z324" s="52"/>
      <c r="AA324" s="52"/>
      <c r="AB324" s="52"/>
      <c r="AC324" s="52"/>
      <c r="AD324" s="52"/>
      <c r="AE324" s="52"/>
    </row>
    <row r="325" spans="2:31" x14ac:dyDescent="0.25">
      <c r="B325" s="52"/>
      <c r="C325" s="52"/>
      <c r="D325" s="52"/>
      <c r="E325" s="52" t="str">
        <f t="shared" si="16"/>
        <v>PROG</v>
      </c>
      <c r="F325" s="52"/>
      <c r="G325" s="52" t="str">
        <f t="shared" si="17"/>
        <v>P</v>
      </c>
      <c r="H325" s="52"/>
      <c r="I325" s="52"/>
      <c r="J325" s="52" t="str">
        <f t="shared" si="18"/>
        <v>ELEM</v>
      </c>
      <c r="K325" s="52"/>
      <c r="L325" s="87"/>
      <c r="M325" s="52" t="e">
        <v>#N/A</v>
      </c>
      <c r="N325" s="52"/>
      <c r="O325" s="52"/>
      <c r="P325" s="52"/>
      <c r="Q325" s="52"/>
      <c r="R325" s="52"/>
      <c r="S325" s="52"/>
      <c r="T325" s="52"/>
      <c r="U325" s="52"/>
      <c r="V325" s="52"/>
      <c r="W325" s="53"/>
      <c r="X325" s="23"/>
      <c r="Y325" s="52"/>
      <c r="Z325" s="52"/>
      <c r="AA325" s="52"/>
      <c r="AB325" s="52"/>
      <c r="AC325" s="52"/>
      <c r="AD325" s="52"/>
      <c r="AE325" s="52"/>
    </row>
    <row r="326" spans="2:31" x14ac:dyDescent="0.25">
      <c r="B326" s="52"/>
      <c r="C326" s="52"/>
      <c r="D326" s="52"/>
      <c r="E326" s="52" t="str">
        <f t="shared" si="16"/>
        <v>PROG</v>
      </c>
      <c r="F326" s="52"/>
      <c r="G326" s="52" t="str">
        <f t="shared" si="17"/>
        <v>P</v>
      </c>
      <c r="H326" s="52"/>
      <c r="I326" s="52"/>
      <c r="J326" s="52" t="str">
        <f t="shared" si="18"/>
        <v>ELEM</v>
      </c>
      <c r="K326" s="52"/>
      <c r="L326" s="87"/>
      <c r="M326" s="52" t="e">
        <v>#N/A</v>
      </c>
      <c r="N326" s="52"/>
      <c r="O326" s="52"/>
      <c r="P326" s="52"/>
      <c r="Q326" s="52"/>
      <c r="R326" s="52"/>
      <c r="S326" s="52"/>
      <c r="T326" s="52"/>
      <c r="U326" s="52"/>
      <c r="V326" s="52"/>
      <c r="W326" s="53"/>
      <c r="X326" s="23"/>
      <c r="Y326" s="52"/>
      <c r="Z326" s="52"/>
      <c r="AA326" s="52"/>
      <c r="AB326" s="52"/>
      <c r="AC326" s="52"/>
      <c r="AD326" s="52"/>
      <c r="AE326" s="52"/>
    </row>
    <row r="327" spans="2:31" x14ac:dyDescent="0.25">
      <c r="B327" s="52"/>
      <c r="C327" s="52"/>
      <c r="D327" s="52"/>
      <c r="E327" s="52" t="str">
        <f t="shared" si="16"/>
        <v>PROG</v>
      </c>
      <c r="F327" s="52"/>
      <c r="G327" s="52" t="str">
        <f t="shared" si="17"/>
        <v>P</v>
      </c>
      <c r="H327" s="52"/>
      <c r="I327" s="52"/>
      <c r="J327" s="52" t="str">
        <f t="shared" si="18"/>
        <v>ELEM</v>
      </c>
      <c r="K327" s="52"/>
      <c r="L327" s="87"/>
      <c r="M327" s="52" t="e">
        <v>#N/A</v>
      </c>
      <c r="N327" s="52"/>
      <c r="O327" s="52"/>
      <c r="P327" s="52"/>
      <c r="Q327" s="52"/>
      <c r="R327" s="52"/>
      <c r="S327" s="52"/>
      <c r="T327" s="52"/>
      <c r="U327" s="52"/>
      <c r="V327" s="52"/>
      <c r="W327" s="53"/>
      <c r="X327" s="23"/>
      <c r="Y327" s="52"/>
      <c r="Z327" s="52"/>
      <c r="AA327" s="52"/>
      <c r="AB327" s="52"/>
      <c r="AC327" s="52"/>
      <c r="AD327" s="52"/>
      <c r="AE327" s="52"/>
    </row>
    <row r="328" spans="2:31" x14ac:dyDescent="0.25">
      <c r="B328" s="52"/>
      <c r="C328" s="52"/>
      <c r="D328" s="52"/>
      <c r="E328" s="52" t="str">
        <f t="shared" si="16"/>
        <v>PROG</v>
      </c>
      <c r="F328" s="52"/>
      <c r="G328" s="52" t="str">
        <f t="shared" si="17"/>
        <v>P</v>
      </c>
      <c r="H328" s="52"/>
      <c r="I328" s="52"/>
      <c r="J328" s="52" t="str">
        <f t="shared" si="18"/>
        <v>ELEM</v>
      </c>
      <c r="K328" s="52"/>
      <c r="L328" s="87"/>
      <c r="M328" s="52" t="e">
        <v>#N/A</v>
      </c>
      <c r="N328" s="52"/>
      <c r="O328" s="52"/>
      <c r="P328" s="52"/>
      <c r="Q328" s="52"/>
      <c r="R328" s="52"/>
      <c r="S328" s="52"/>
      <c r="T328" s="52"/>
      <c r="U328" s="52"/>
      <c r="V328" s="52"/>
      <c r="W328" s="53"/>
      <c r="X328" s="23"/>
      <c r="Y328" s="52"/>
      <c r="Z328" s="52"/>
      <c r="AA328" s="52"/>
      <c r="AB328" s="52"/>
      <c r="AC328" s="52"/>
      <c r="AD328" s="52"/>
      <c r="AE328" s="52"/>
    </row>
    <row r="329" spans="2:31" x14ac:dyDescent="0.25">
      <c r="B329" s="52"/>
      <c r="C329" s="52"/>
      <c r="D329" s="52"/>
      <c r="E329" s="52" t="str">
        <f t="shared" si="16"/>
        <v>PROG</v>
      </c>
      <c r="F329" s="52"/>
      <c r="G329" s="52" t="str">
        <f t="shared" si="17"/>
        <v>P</v>
      </c>
      <c r="H329" s="52"/>
      <c r="I329" s="52"/>
      <c r="J329" s="52" t="str">
        <f t="shared" si="18"/>
        <v>ELEM</v>
      </c>
      <c r="K329" s="52"/>
      <c r="L329" s="87"/>
      <c r="M329" s="52" t="e">
        <v>#N/A</v>
      </c>
      <c r="N329" s="52"/>
      <c r="O329" s="52"/>
      <c r="P329" s="52"/>
      <c r="Q329" s="52"/>
      <c r="R329" s="52"/>
      <c r="S329" s="52"/>
      <c r="T329" s="52"/>
      <c r="U329" s="52"/>
      <c r="V329" s="52"/>
      <c r="W329" s="53"/>
      <c r="X329" s="23"/>
      <c r="Y329" s="52"/>
      <c r="Z329" s="52"/>
      <c r="AA329" s="52"/>
      <c r="AB329" s="52"/>
      <c r="AC329" s="52"/>
      <c r="AD329" s="52"/>
      <c r="AE329" s="52"/>
    </row>
    <row r="330" spans="2:31" x14ac:dyDescent="0.25">
      <c r="B330" s="52"/>
      <c r="C330" s="52"/>
      <c r="D330" s="52"/>
      <c r="E330" s="52" t="str">
        <f t="shared" si="16"/>
        <v>PROG</v>
      </c>
      <c r="F330" s="52"/>
      <c r="G330" s="52" t="str">
        <f t="shared" si="17"/>
        <v>P</v>
      </c>
      <c r="H330" s="52"/>
      <c r="I330" s="52"/>
      <c r="J330" s="52" t="str">
        <f t="shared" si="18"/>
        <v>ELEM</v>
      </c>
      <c r="K330" s="52"/>
      <c r="L330" s="87"/>
      <c r="M330" s="52" t="e">
        <v>#N/A</v>
      </c>
      <c r="N330" s="52"/>
      <c r="O330" s="52"/>
      <c r="P330" s="52"/>
      <c r="Q330" s="52"/>
      <c r="R330" s="52"/>
      <c r="S330" s="52"/>
      <c r="T330" s="52"/>
      <c r="U330" s="52"/>
      <c r="V330" s="52"/>
      <c r="W330" s="53"/>
      <c r="X330" s="23"/>
      <c r="Y330" s="52"/>
      <c r="Z330" s="52"/>
      <c r="AA330" s="52"/>
      <c r="AB330" s="52"/>
      <c r="AC330" s="52"/>
      <c r="AD330" s="52"/>
      <c r="AE330" s="52"/>
    </row>
    <row r="331" spans="2:31" x14ac:dyDescent="0.25">
      <c r="B331" s="52"/>
      <c r="C331" s="52"/>
      <c r="D331" s="52"/>
      <c r="E331" s="52" t="str">
        <f t="shared" si="16"/>
        <v>PROG</v>
      </c>
      <c r="F331" s="52"/>
      <c r="G331" s="52" t="str">
        <f t="shared" si="17"/>
        <v>P</v>
      </c>
      <c r="H331" s="52"/>
      <c r="I331" s="52"/>
      <c r="J331" s="52" t="str">
        <f t="shared" si="18"/>
        <v>ELEM</v>
      </c>
      <c r="K331" s="52"/>
      <c r="L331" s="87"/>
      <c r="M331" s="52" t="e">
        <v>#N/A</v>
      </c>
      <c r="N331" s="52"/>
      <c r="O331" s="52"/>
      <c r="P331" s="52"/>
      <c r="Q331" s="52"/>
      <c r="R331" s="52"/>
      <c r="S331" s="52"/>
      <c r="T331" s="52"/>
      <c r="U331" s="52"/>
      <c r="V331" s="52"/>
      <c r="W331" s="53"/>
      <c r="X331" s="23"/>
      <c r="Y331" s="52"/>
      <c r="Z331" s="52"/>
      <c r="AA331" s="52"/>
      <c r="AB331" s="52"/>
      <c r="AC331" s="52"/>
      <c r="AD331" s="52"/>
      <c r="AE331" s="52"/>
    </row>
    <row r="332" spans="2:31" x14ac:dyDescent="0.25">
      <c r="B332" s="52"/>
      <c r="C332" s="52"/>
      <c r="D332" s="52"/>
      <c r="E332" s="52" t="str">
        <f t="shared" si="16"/>
        <v>PROG</v>
      </c>
      <c r="F332" s="52"/>
      <c r="G332" s="52" t="str">
        <f t="shared" si="17"/>
        <v>P</v>
      </c>
      <c r="H332" s="52"/>
      <c r="I332" s="52"/>
      <c r="J332" s="52" t="str">
        <f t="shared" si="18"/>
        <v>ELEM</v>
      </c>
      <c r="K332" s="52"/>
      <c r="L332" s="87"/>
      <c r="M332" s="52" t="e">
        <v>#N/A</v>
      </c>
      <c r="N332" s="52"/>
      <c r="O332" s="52"/>
      <c r="P332" s="52"/>
      <c r="Q332" s="52"/>
      <c r="R332" s="52"/>
      <c r="S332" s="52"/>
      <c r="T332" s="52"/>
      <c r="U332" s="52"/>
      <c r="V332" s="52"/>
      <c r="W332" s="53"/>
      <c r="X332" s="23"/>
      <c r="Y332" s="52"/>
      <c r="Z332" s="52"/>
      <c r="AA332" s="52"/>
      <c r="AB332" s="52"/>
      <c r="AC332" s="52"/>
      <c r="AD332" s="52"/>
      <c r="AE332" s="52"/>
    </row>
    <row r="333" spans="2:31" x14ac:dyDescent="0.25">
      <c r="B333" s="52"/>
      <c r="C333" s="52"/>
      <c r="D333" s="52"/>
      <c r="E333" s="52" t="str">
        <f t="shared" si="16"/>
        <v>PROG</v>
      </c>
      <c r="F333" s="52"/>
      <c r="G333" s="52" t="str">
        <f t="shared" si="17"/>
        <v>P</v>
      </c>
      <c r="H333" s="52"/>
      <c r="I333" s="52"/>
      <c r="J333" s="52" t="str">
        <f t="shared" si="18"/>
        <v>ELEM</v>
      </c>
      <c r="K333" s="52"/>
      <c r="L333" s="87"/>
      <c r="M333" s="52" t="e">
        <v>#N/A</v>
      </c>
      <c r="N333" s="52"/>
      <c r="O333" s="52"/>
      <c r="P333" s="52"/>
      <c r="Q333" s="52"/>
      <c r="R333" s="52"/>
      <c r="S333" s="52"/>
      <c r="T333" s="52"/>
      <c r="U333" s="52"/>
      <c r="V333" s="52"/>
      <c r="W333" s="53"/>
      <c r="X333" s="23"/>
      <c r="Y333" s="52"/>
      <c r="Z333" s="52"/>
      <c r="AA333" s="52"/>
      <c r="AB333" s="52"/>
      <c r="AC333" s="52"/>
      <c r="AD333" s="52"/>
      <c r="AE333" s="52"/>
    </row>
    <row r="334" spans="2:31" x14ac:dyDescent="0.25">
      <c r="B334" s="52"/>
      <c r="C334" s="52"/>
      <c r="D334" s="52"/>
      <c r="E334" s="52" t="str">
        <f t="shared" si="16"/>
        <v>PROG</v>
      </c>
      <c r="F334" s="52"/>
      <c r="G334" s="52" t="str">
        <f t="shared" si="17"/>
        <v>P</v>
      </c>
      <c r="H334" s="52"/>
      <c r="I334" s="52"/>
      <c r="J334" s="52" t="str">
        <f t="shared" si="18"/>
        <v>ELEM</v>
      </c>
      <c r="K334" s="52"/>
      <c r="L334" s="87"/>
      <c r="M334" s="52" t="e">
        <v>#N/A</v>
      </c>
      <c r="N334" s="52"/>
      <c r="O334" s="52"/>
      <c r="P334" s="52"/>
      <c r="Q334" s="52"/>
      <c r="R334" s="52"/>
      <c r="S334" s="52"/>
      <c r="T334" s="52"/>
      <c r="U334" s="52"/>
      <c r="V334" s="52"/>
      <c r="W334" s="53"/>
      <c r="X334" s="23"/>
      <c r="Y334" s="52"/>
      <c r="Z334" s="52"/>
      <c r="AA334" s="52"/>
      <c r="AB334" s="52"/>
      <c r="AC334" s="52"/>
      <c r="AD334" s="52"/>
      <c r="AE334" s="52"/>
    </row>
    <row r="335" spans="2:31" x14ac:dyDescent="0.25">
      <c r="B335" s="52"/>
      <c r="C335" s="52"/>
      <c r="D335" s="52"/>
      <c r="E335" s="52" t="str">
        <f t="shared" si="16"/>
        <v>PROG</v>
      </c>
      <c r="F335" s="52"/>
      <c r="G335" s="52" t="str">
        <f t="shared" si="17"/>
        <v>P</v>
      </c>
      <c r="H335" s="52"/>
      <c r="I335" s="52"/>
      <c r="J335" s="52" t="str">
        <f t="shared" si="18"/>
        <v>ELEM</v>
      </c>
      <c r="K335" s="52"/>
      <c r="L335" s="87"/>
      <c r="M335" s="52" t="e">
        <v>#N/A</v>
      </c>
      <c r="N335" s="52"/>
      <c r="O335" s="52"/>
      <c r="P335" s="52"/>
      <c r="Q335" s="52"/>
      <c r="R335" s="52"/>
      <c r="S335" s="52"/>
      <c r="T335" s="52"/>
      <c r="U335" s="52"/>
      <c r="V335" s="52"/>
      <c r="W335" s="53"/>
      <c r="X335" s="23"/>
      <c r="Y335" s="52"/>
      <c r="Z335" s="52"/>
      <c r="AA335" s="52"/>
      <c r="AB335" s="52"/>
      <c r="AC335" s="52"/>
      <c r="AD335" s="52"/>
      <c r="AE335" s="52"/>
    </row>
    <row r="336" spans="2:31" x14ac:dyDescent="0.25">
      <c r="B336" s="52"/>
      <c r="C336" s="52"/>
      <c r="D336" s="52"/>
      <c r="E336" s="52" t="str">
        <f t="shared" si="16"/>
        <v>PROG</v>
      </c>
      <c r="F336" s="52"/>
      <c r="G336" s="52" t="str">
        <f t="shared" si="17"/>
        <v>P</v>
      </c>
      <c r="H336" s="52"/>
      <c r="I336" s="52"/>
      <c r="J336" s="52" t="str">
        <f t="shared" si="18"/>
        <v>ELEM</v>
      </c>
      <c r="K336" s="52"/>
      <c r="L336" s="87"/>
      <c r="M336" s="52" t="e">
        <v>#N/A</v>
      </c>
      <c r="N336" s="52"/>
      <c r="O336" s="52"/>
      <c r="P336" s="52"/>
      <c r="Q336" s="52"/>
      <c r="R336" s="52"/>
      <c r="S336" s="52"/>
      <c r="T336" s="52"/>
      <c r="U336" s="52"/>
      <c r="V336" s="52"/>
      <c r="W336" s="53"/>
      <c r="X336" s="23"/>
      <c r="Y336" s="52"/>
      <c r="Z336" s="52"/>
      <c r="AA336" s="52"/>
      <c r="AB336" s="52"/>
      <c r="AC336" s="52"/>
      <c r="AD336" s="52"/>
      <c r="AE336" s="52"/>
    </row>
    <row r="337" spans="2:31" x14ac:dyDescent="0.25">
      <c r="B337" s="52"/>
      <c r="C337" s="52"/>
      <c r="D337" s="52"/>
      <c r="E337" s="52" t="str">
        <f t="shared" si="16"/>
        <v>PROG</v>
      </c>
      <c r="F337" s="52"/>
      <c r="G337" s="52" t="str">
        <f t="shared" si="17"/>
        <v>P</v>
      </c>
      <c r="H337" s="52"/>
      <c r="I337" s="52"/>
      <c r="J337" s="52" t="str">
        <f t="shared" si="18"/>
        <v>ELEM</v>
      </c>
      <c r="K337" s="52"/>
      <c r="L337" s="87"/>
      <c r="M337" s="52" t="e">
        <v>#N/A</v>
      </c>
      <c r="N337" s="52"/>
      <c r="O337" s="52"/>
      <c r="P337" s="52"/>
      <c r="Q337" s="52"/>
      <c r="R337" s="52"/>
      <c r="S337" s="52"/>
      <c r="T337" s="52"/>
      <c r="U337" s="52"/>
      <c r="V337" s="52"/>
      <c r="W337" s="53"/>
      <c r="X337" s="23"/>
      <c r="Y337" s="52"/>
      <c r="Z337" s="52"/>
      <c r="AA337" s="52"/>
      <c r="AB337" s="52"/>
      <c r="AC337" s="52"/>
      <c r="AD337" s="52"/>
      <c r="AE337" s="52"/>
    </row>
    <row r="338" spans="2:31" x14ac:dyDescent="0.25">
      <c r="B338" s="52"/>
      <c r="C338" s="52"/>
      <c r="D338" s="52"/>
      <c r="E338" s="52" t="str">
        <f t="shared" si="16"/>
        <v>PROG</v>
      </c>
      <c r="F338" s="52"/>
      <c r="G338" s="52" t="str">
        <f t="shared" si="17"/>
        <v>P</v>
      </c>
      <c r="H338" s="52"/>
      <c r="I338" s="52"/>
      <c r="J338" s="52" t="str">
        <f t="shared" si="18"/>
        <v>ELEM</v>
      </c>
      <c r="K338" s="52"/>
      <c r="L338" s="87"/>
      <c r="M338" s="52" t="e">
        <v>#N/A</v>
      </c>
      <c r="N338" s="52"/>
      <c r="O338" s="52"/>
      <c r="P338" s="52"/>
      <c r="Q338" s="52"/>
      <c r="R338" s="52"/>
      <c r="S338" s="52"/>
      <c r="T338" s="52"/>
      <c r="U338" s="52"/>
      <c r="V338" s="52"/>
      <c r="W338" s="53"/>
      <c r="X338" s="23"/>
      <c r="Y338" s="52"/>
      <c r="Z338" s="52"/>
      <c r="AA338" s="52"/>
      <c r="AB338" s="52"/>
      <c r="AC338" s="52"/>
      <c r="AD338" s="52"/>
      <c r="AE338" s="52"/>
    </row>
    <row r="339" spans="2:31" x14ac:dyDescent="0.25">
      <c r="B339" s="52"/>
      <c r="C339" s="52"/>
      <c r="D339" s="52"/>
      <c r="E339" s="52" t="str">
        <f t="shared" si="16"/>
        <v>PROG</v>
      </c>
      <c r="F339" s="52"/>
      <c r="G339" s="52" t="str">
        <f t="shared" si="17"/>
        <v>P</v>
      </c>
      <c r="H339" s="52"/>
      <c r="I339" s="52"/>
      <c r="J339" s="52" t="str">
        <f t="shared" si="18"/>
        <v>ELEM</v>
      </c>
      <c r="K339" s="52"/>
      <c r="L339" s="87"/>
      <c r="M339" s="52" t="e">
        <v>#N/A</v>
      </c>
      <c r="N339" s="52"/>
      <c r="O339" s="52"/>
      <c r="P339" s="52"/>
      <c r="Q339" s="52"/>
      <c r="R339" s="52"/>
      <c r="S339" s="52"/>
      <c r="T339" s="52"/>
      <c r="U339" s="52"/>
      <c r="V339" s="52"/>
      <c r="W339" s="53"/>
      <c r="X339" s="23"/>
      <c r="Y339" s="52"/>
      <c r="Z339" s="52"/>
      <c r="AA339" s="52"/>
      <c r="AB339" s="52"/>
      <c r="AC339" s="52"/>
      <c r="AD339" s="52"/>
      <c r="AE339" s="52"/>
    </row>
    <row r="340" spans="2:31" x14ac:dyDescent="0.25">
      <c r="B340" s="52"/>
      <c r="C340" s="52"/>
      <c r="D340" s="52"/>
      <c r="E340" s="52" t="str">
        <f t="shared" si="16"/>
        <v>PROG</v>
      </c>
      <c r="F340" s="52"/>
      <c r="G340" s="52" t="str">
        <f t="shared" si="17"/>
        <v>P</v>
      </c>
      <c r="H340" s="52"/>
      <c r="I340" s="52"/>
      <c r="J340" s="52" t="str">
        <f t="shared" si="18"/>
        <v>ELEM</v>
      </c>
      <c r="K340" s="52"/>
      <c r="L340" s="87"/>
      <c r="M340" s="52" t="e">
        <v>#N/A</v>
      </c>
      <c r="N340" s="52"/>
      <c r="O340" s="52"/>
      <c r="P340" s="52"/>
      <c r="Q340" s="52"/>
      <c r="R340" s="52"/>
      <c r="S340" s="52"/>
      <c r="T340" s="52"/>
      <c r="U340" s="52"/>
      <c r="V340" s="52"/>
      <c r="W340" s="53"/>
      <c r="X340" s="23"/>
      <c r="Y340" s="52"/>
      <c r="Z340" s="52"/>
      <c r="AA340" s="52"/>
      <c r="AB340" s="52"/>
      <c r="AC340" s="52"/>
      <c r="AD340" s="52"/>
      <c r="AE340" s="52"/>
    </row>
    <row r="341" spans="2:31" x14ac:dyDescent="0.25">
      <c r="B341" s="52"/>
      <c r="C341" s="52"/>
      <c r="D341" s="52"/>
      <c r="E341" s="52" t="str">
        <f t="shared" si="16"/>
        <v>PROG</v>
      </c>
      <c r="F341" s="52"/>
      <c r="G341" s="52" t="str">
        <f t="shared" si="17"/>
        <v>P</v>
      </c>
      <c r="H341" s="52"/>
      <c r="I341" s="52"/>
      <c r="J341" s="52" t="str">
        <f t="shared" si="18"/>
        <v>ELEM</v>
      </c>
      <c r="K341" s="52"/>
      <c r="L341" s="87"/>
      <c r="M341" s="52" t="e">
        <v>#N/A</v>
      </c>
      <c r="N341" s="52"/>
      <c r="O341" s="52"/>
      <c r="P341" s="52"/>
      <c r="Q341" s="52"/>
      <c r="R341" s="52"/>
      <c r="S341" s="52"/>
      <c r="T341" s="52"/>
      <c r="U341" s="52"/>
      <c r="V341" s="52"/>
      <c r="W341" s="53"/>
      <c r="X341" s="23"/>
      <c r="Y341" s="52"/>
      <c r="Z341" s="52"/>
      <c r="AA341" s="52"/>
      <c r="AB341" s="52"/>
      <c r="AC341" s="52"/>
      <c r="AD341" s="52"/>
      <c r="AE341" s="52"/>
    </row>
    <row r="342" spans="2:31" x14ac:dyDescent="0.25">
      <c r="B342" s="52"/>
      <c r="C342" s="52"/>
      <c r="D342" s="52"/>
      <c r="E342" s="52" t="str">
        <f t="shared" si="16"/>
        <v>PROG</v>
      </c>
      <c r="F342" s="52"/>
      <c r="G342" s="52" t="str">
        <f t="shared" si="17"/>
        <v>P</v>
      </c>
      <c r="H342" s="52"/>
      <c r="I342" s="52"/>
      <c r="J342" s="52" t="str">
        <f t="shared" si="18"/>
        <v>ELEM</v>
      </c>
      <c r="K342" s="52"/>
      <c r="L342" s="87"/>
      <c r="M342" s="52" t="e">
        <v>#N/A</v>
      </c>
      <c r="N342" s="52"/>
      <c r="O342" s="52"/>
      <c r="P342" s="52"/>
      <c r="Q342" s="52"/>
      <c r="R342" s="52"/>
      <c r="S342" s="52"/>
      <c r="T342" s="52"/>
      <c r="U342" s="52"/>
      <c r="V342" s="52"/>
      <c r="W342" s="53"/>
      <c r="X342" s="23"/>
      <c r="Y342" s="52"/>
      <c r="Z342" s="52"/>
      <c r="AA342" s="52"/>
      <c r="AB342" s="52"/>
      <c r="AC342" s="52"/>
      <c r="AD342" s="52"/>
      <c r="AE342" s="52"/>
    </row>
    <row r="343" spans="2:31" x14ac:dyDescent="0.25">
      <c r="B343" s="52"/>
      <c r="C343" s="52"/>
      <c r="D343" s="52"/>
      <c r="E343" s="52" t="str">
        <f t="shared" si="16"/>
        <v>PROG</v>
      </c>
      <c r="F343" s="52"/>
      <c r="G343" s="52" t="str">
        <f t="shared" si="17"/>
        <v>P</v>
      </c>
      <c r="H343" s="52"/>
      <c r="I343" s="52"/>
      <c r="J343" s="52" t="str">
        <f t="shared" si="18"/>
        <v>ELEM</v>
      </c>
      <c r="K343" s="52"/>
      <c r="L343" s="87"/>
      <c r="M343" s="52" t="e">
        <v>#N/A</v>
      </c>
      <c r="N343" s="52"/>
      <c r="O343" s="52"/>
      <c r="P343" s="52"/>
      <c r="Q343" s="52"/>
      <c r="R343" s="52"/>
      <c r="S343" s="52"/>
      <c r="T343" s="52"/>
      <c r="U343" s="52"/>
      <c r="V343" s="52"/>
      <c r="W343" s="53"/>
      <c r="X343" s="23"/>
      <c r="Y343" s="52"/>
      <c r="Z343" s="52"/>
      <c r="AA343" s="52"/>
      <c r="AB343" s="52"/>
      <c r="AC343" s="52"/>
      <c r="AD343" s="52"/>
      <c r="AE343" s="52"/>
    </row>
    <row r="344" spans="2:31" x14ac:dyDescent="0.25">
      <c r="B344" s="52"/>
      <c r="C344" s="52"/>
      <c r="D344" s="52"/>
      <c r="E344" s="52" t="str">
        <f t="shared" si="16"/>
        <v>PROG</v>
      </c>
      <c r="F344" s="52"/>
      <c r="G344" s="52" t="str">
        <f t="shared" si="17"/>
        <v>P</v>
      </c>
      <c r="H344" s="52"/>
      <c r="I344" s="52"/>
      <c r="J344" s="52" t="str">
        <f t="shared" si="18"/>
        <v>ELEM</v>
      </c>
      <c r="K344" s="52"/>
      <c r="L344" s="87"/>
      <c r="M344" s="52" t="e">
        <v>#N/A</v>
      </c>
      <c r="N344" s="52"/>
      <c r="O344" s="52"/>
      <c r="P344" s="52"/>
      <c r="Q344" s="52"/>
      <c r="R344" s="52"/>
      <c r="S344" s="52"/>
      <c r="T344" s="52"/>
      <c r="U344" s="52"/>
      <c r="V344" s="52"/>
      <c r="W344" s="53"/>
      <c r="X344" s="23"/>
      <c r="Y344" s="52"/>
      <c r="Z344" s="52"/>
      <c r="AA344" s="52"/>
      <c r="AB344" s="52"/>
      <c r="AC344" s="52"/>
      <c r="AD344" s="52"/>
      <c r="AE344" s="52"/>
    </row>
    <row r="345" spans="2:31" x14ac:dyDescent="0.25">
      <c r="B345" s="52"/>
      <c r="C345" s="52"/>
      <c r="D345" s="52"/>
      <c r="E345" s="52" t="str">
        <f t="shared" si="16"/>
        <v>PROG</v>
      </c>
      <c r="F345" s="52"/>
      <c r="G345" s="52" t="str">
        <f t="shared" si="17"/>
        <v>P</v>
      </c>
      <c r="H345" s="52"/>
      <c r="I345" s="52"/>
      <c r="J345" s="52" t="str">
        <f t="shared" si="18"/>
        <v>ELEM</v>
      </c>
      <c r="K345" s="52"/>
      <c r="L345" s="87"/>
      <c r="M345" s="52" t="e">
        <v>#N/A</v>
      </c>
      <c r="N345" s="52"/>
      <c r="O345" s="52"/>
      <c r="P345" s="52"/>
      <c r="Q345" s="52"/>
      <c r="R345" s="52"/>
      <c r="S345" s="52"/>
      <c r="T345" s="52"/>
      <c r="U345" s="52"/>
      <c r="V345" s="52"/>
      <c r="W345" s="53"/>
      <c r="X345" s="23"/>
      <c r="Y345" s="52"/>
      <c r="Z345" s="52"/>
      <c r="AA345" s="52"/>
      <c r="AB345" s="52"/>
      <c r="AC345" s="52"/>
      <c r="AD345" s="52"/>
      <c r="AE345" s="52"/>
    </row>
    <row r="346" spans="2:31" x14ac:dyDescent="0.25">
      <c r="B346" s="52"/>
      <c r="C346" s="52"/>
      <c r="D346" s="52"/>
      <c r="E346" s="52" t="str">
        <f t="shared" si="16"/>
        <v>PROG</v>
      </c>
      <c r="F346" s="52"/>
      <c r="G346" s="52" t="str">
        <f t="shared" si="17"/>
        <v>P</v>
      </c>
      <c r="H346" s="52"/>
      <c r="I346" s="52"/>
      <c r="J346" s="52" t="str">
        <f t="shared" si="18"/>
        <v>ELEM</v>
      </c>
      <c r="K346" s="52"/>
      <c r="L346" s="87"/>
      <c r="M346" s="52" t="e">
        <v>#N/A</v>
      </c>
      <c r="N346" s="52"/>
      <c r="O346" s="52"/>
      <c r="P346" s="52"/>
      <c r="Q346" s="52"/>
      <c r="R346" s="52"/>
      <c r="S346" s="52"/>
      <c r="T346" s="52"/>
      <c r="U346" s="52"/>
      <c r="V346" s="52"/>
      <c r="W346" s="53"/>
      <c r="X346" s="23"/>
      <c r="Y346" s="52"/>
      <c r="Z346" s="52"/>
      <c r="AA346" s="52"/>
      <c r="AB346" s="52"/>
      <c r="AC346" s="52"/>
      <c r="AD346" s="52"/>
      <c r="AE346" s="52"/>
    </row>
    <row r="347" spans="2:31" x14ac:dyDescent="0.25">
      <c r="B347" s="52"/>
      <c r="C347" s="52"/>
      <c r="D347" s="52"/>
      <c r="E347" s="52" t="str">
        <f t="shared" si="16"/>
        <v>PROG</v>
      </c>
      <c r="F347" s="52"/>
      <c r="G347" s="52" t="str">
        <f t="shared" si="17"/>
        <v>P</v>
      </c>
      <c r="H347" s="52"/>
      <c r="I347" s="52"/>
      <c r="J347" s="52" t="str">
        <f t="shared" si="18"/>
        <v>ELEM</v>
      </c>
      <c r="K347" s="52"/>
      <c r="L347" s="87"/>
      <c r="M347" s="52" t="e">
        <v>#N/A</v>
      </c>
      <c r="N347" s="52"/>
      <c r="O347" s="52"/>
      <c r="P347" s="52"/>
      <c r="Q347" s="52"/>
      <c r="R347" s="52"/>
      <c r="S347" s="52"/>
      <c r="T347" s="52"/>
      <c r="U347" s="52"/>
      <c r="V347" s="52"/>
      <c r="W347" s="53"/>
      <c r="X347" s="23"/>
      <c r="Y347" s="52"/>
      <c r="Z347" s="52"/>
      <c r="AA347" s="52"/>
      <c r="AB347" s="52"/>
      <c r="AC347" s="52"/>
      <c r="AD347" s="52"/>
      <c r="AE347" s="52"/>
    </row>
    <row r="348" spans="2:31" x14ac:dyDescent="0.25">
      <c r="B348" s="52"/>
      <c r="C348" s="52"/>
      <c r="D348" s="52"/>
      <c r="E348" s="52" t="str">
        <f t="shared" si="16"/>
        <v>PROG</v>
      </c>
      <c r="F348" s="52"/>
      <c r="G348" s="52" t="str">
        <f t="shared" si="17"/>
        <v>P</v>
      </c>
      <c r="H348" s="52"/>
      <c r="I348" s="52"/>
      <c r="J348" s="52" t="str">
        <f t="shared" si="18"/>
        <v>ELEM</v>
      </c>
      <c r="K348" s="52"/>
      <c r="L348" s="87"/>
      <c r="M348" s="52" t="e">
        <v>#N/A</v>
      </c>
      <c r="N348" s="52"/>
      <c r="O348" s="52"/>
      <c r="P348" s="52"/>
      <c r="Q348" s="52"/>
      <c r="R348" s="52"/>
      <c r="S348" s="52"/>
      <c r="T348" s="52"/>
      <c r="U348" s="52"/>
      <c r="V348" s="52"/>
      <c r="W348" s="53"/>
      <c r="X348" s="23"/>
      <c r="Y348" s="52"/>
      <c r="Z348" s="52"/>
      <c r="AA348" s="52"/>
      <c r="AB348" s="52"/>
      <c r="AC348" s="52"/>
      <c r="AD348" s="52"/>
      <c r="AE348" s="52"/>
    </row>
    <row r="349" spans="2:31" x14ac:dyDescent="0.25">
      <c r="B349" s="52"/>
      <c r="C349" s="52"/>
      <c r="D349" s="52"/>
      <c r="E349" s="52" t="str">
        <f t="shared" si="16"/>
        <v>PROG</v>
      </c>
      <c r="F349" s="52"/>
      <c r="G349" s="52" t="str">
        <f t="shared" si="17"/>
        <v>P</v>
      </c>
      <c r="H349" s="52"/>
      <c r="I349" s="52"/>
      <c r="J349" s="52" t="str">
        <f t="shared" si="18"/>
        <v>ELEM</v>
      </c>
      <c r="K349" s="52"/>
      <c r="L349" s="87"/>
      <c r="M349" s="52" t="e">
        <v>#N/A</v>
      </c>
      <c r="N349" s="52"/>
      <c r="O349" s="52"/>
      <c r="P349" s="52"/>
      <c r="Q349" s="52"/>
      <c r="R349" s="52"/>
      <c r="S349" s="52"/>
      <c r="T349" s="52"/>
      <c r="U349" s="52"/>
      <c r="V349" s="52"/>
      <c r="W349" s="53"/>
      <c r="X349" s="23"/>
      <c r="Y349" s="52"/>
      <c r="Z349" s="52"/>
      <c r="AA349" s="52"/>
      <c r="AB349" s="52"/>
      <c r="AC349" s="52"/>
      <c r="AD349" s="52"/>
      <c r="AE349" s="52"/>
    </row>
    <row r="350" spans="2:31" x14ac:dyDescent="0.25">
      <c r="B350" s="52"/>
      <c r="C350" s="52"/>
      <c r="D350" s="52"/>
      <c r="E350" s="52" t="str">
        <f t="shared" si="16"/>
        <v>PROG</v>
      </c>
      <c r="F350" s="52"/>
      <c r="G350" s="52" t="str">
        <f t="shared" si="17"/>
        <v>P</v>
      </c>
      <c r="H350" s="52"/>
      <c r="I350" s="52"/>
      <c r="J350" s="52" t="str">
        <f t="shared" si="18"/>
        <v>ELEM</v>
      </c>
      <c r="K350" s="52"/>
      <c r="L350" s="87"/>
      <c r="M350" s="52" t="e">
        <v>#N/A</v>
      </c>
      <c r="N350" s="52"/>
      <c r="O350" s="52"/>
      <c r="P350" s="52"/>
      <c r="Q350" s="52"/>
      <c r="R350" s="52"/>
      <c r="S350" s="52"/>
      <c r="T350" s="52"/>
      <c r="U350" s="52"/>
      <c r="V350" s="52"/>
      <c r="W350" s="53"/>
      <c r="X350" s="23"/>
      <c r="Y350" s="52"/>
      <c r="Z350" s="52"/>
      <c r="AA350" s="52"/>
      <c r="AB350" s="52"/>
      <c r="AC350" s="52"/>
      <c r="AD350" s="52"/>
      <c r="AE350" s="52"/>
    </row>
    <row r="351" spans="2:31" x14ac:dyDescent="0.25">
      <c r="B351" s="52"/>
      <c r="C351" s="52"/>
      <c r="D351" s="52"/>
      <c r="E351" s="52" t="str">
        <f t="shared" si="16"/>
        <v>PROG</v>
      </c>
      <c r="F351" s="52"/>
      <c r="G351" s="52" t="str">
        <f t="shared" si="17"/>
        <v>P</v>
      </c>
      <c r="H351" s="52"/>
      <c r="I351" s="52"/>
      <c r="J351" s="52" t="str">
        <f t="shared" si="18"/>
        <v>ELEM</v>
      </c>
      <c r="K351" s="52"/>
      <c r="L351" s="87"/>
      <c r="M351" s="52" t="e">
        <v>#N/A</v>
      </c>
      <c r="N351" s="52"/>
      <c r="O351" s="52"/>
      <c r="P351" s="52"/>
      <c r="Q351" s="52"/>
      <c r="R351" s="52"/>
      <c r="S351" s="52"/>
      <c r="T351" s="52"/>
      <c r="U351" s="52"/>
      <c r="V351" s="52"/>
      <c r="W351" s="53"/>
      <c r="X351" s="23"/>
      <c r="Y351" s="52"/>
      <c r="Z351" s="52"/>
      <c r="AA351" s="52"/>
      <c r="AB351" s="52"/>
      <c r="AC351" s="52"/>
      <c r="AD351" s="52"/>
      <c r="AE351" s="52"/>
    </row>
    <row r="352" spans="2:31" x14ac:dyDescent="0.25">
      <c r="B352" s="52"/>
      <c r="C352" s="52"/>
      <c r="D352" s="52"/>
      <c r="E352" s="52" t="str">
        <f t="shared" si="16"/>
        <v>PROG</v>
      </c>
      <c r="F352" s="52"/>
      <c r="G352" s="52" t="str">
        <f t="shared" si="17"/>
        <v>P</v>
      </c>
      <c r="H352" s="52"/>
      <c r="I352" s="52"/>
      <c r="J352" s="52" t="str">
        <f t="shared" si="18"/>
        <v>ELEM</v>
      </c>
      <c r="K352" s="52"/>
      <c r="L352" s="87"/>
      <c r="M352" s="52" t="e">
        <v>#N/A</v>
      </c>
      <c r="N352" s="52"/>
      <c r="O352" s="52"/>
      <c r="P352" s="52"/>
      <c r="Q352" s="52"/>
      <c r="R352" s="52"/>
      <c r="S352" s="52"/>
      <c r="T352" s="52"/>
      <c r="U352" s="52"/>
      <c r="V352" s="52"/>
      <c r="W352" s="53"/>
      <c r="X352" s="23"/>
      <c r="Y352" s="52"/>
      <c r="Z352" s="52"/>
      <c r="AA352" s="52"/>
      <c r="AB352" s="52"/>
      <c r="AC352" s="52"/>
      <c r="AD352" s="52"/>
      <c r="AE352" s="52"/>
    </row>
    <row r="353" spans="2:31" x14ac:dyDescent="0.25">
      <c r="B353" s="52"/>
      <c r="C353" s="52"/>
      <c r="D353" s="52"/>
      <c r="E353" s="52" t="str">
        <f t="shared" si="16"/>
        <v>PROG</v>
      </c>
      <c r="F353" s="52"/>
      <c r="G353" s="52" t="str">
        <f t="shared" si="17"/>
        <v>P</v>
      </c>
      <c r="H353" s="52"/>
      <c r="I353" s="52"/>
      <c r="J353" s="52" t="str">
        <f t="shared" si="18"/>
        <v>ELEM</v>
      </c>
      <c r="K353" s="52"/>
      <c r="L353" s="87"/>
      <c r="M353" s="52" t="e">
        <v>#N/A</v>
      </c>
      <c r="N353" s="52"/>
      <c r="O353" s="52"/>
      <c r="P353" s="52"/>
      <c r="Q353" s="52"/>
      <c r="R353" s="52"/>
      <c r="S353" s="52"/>
      <c r="T353" s="52"/>
      <c r="U353" s="52"/>
      <c r="V353" s="52"/>
      <c r="W353" s="53"/>
      <c r="X353" s="23"/>
      <c r="Y353" s="52"/>
      <c r="Z353" s="52"/>
      <c r="AA353" s="52"/>
      <c r="AB353" s="52"/>
      <c r="AC353" s="52"/>
      <c r="AD353" s="52"/>
      <c r="AE353" s="52"/>
    </row>
    <row r="354" spans="2:31" x14ac:dyDescent="0.25">
      <c r="B354" s="52"/>
      <c r="C354" s="52"/>
      <c r="D354" s="52"/>
      <c r="E354" s="52" t="str">
        <f t="shared" si="16"/>
        <v>PROG</v>
      </c>
      <c r="F354" s="52"/>
      <c r="G354" s="52" t="str">
        <f t="shared" si="17"/>
        <v>P</v>
      </c>
      <c r="H354" s="52"/>
      <c r="I354" s="52"/>
      <c r="J354" s="52" t="str">
        <f t="shared" si="18"/>
        <v>ELEM</v>
      </c>
      <c r="K354" s="52"/>
      <c r="L354" s="87"/>
      <c r="M354" s="52" t="e">
        <v>#N/A</v>
      </c>
      <c r="N354" s="52"/>
      <c r="O354" s="52"/>
      <c r="P354" s="52"/>
      <c r="Q354" s="52"/>
      <c r="R354" s="52"/>
      <c r="S354" s="52"/>
      <c r="T354" s="52"/>
      <c r="U354" s="52"/>
      <c r="V354" s="52"/>
      <c r="W354" s="53"/>
      <c r="X354" s="23"/>
      <c r="Y354" s="52"/>
      <c r="Z354" s="52"/>
      <c r="AA354" s="52"/>
      <c r="AB354" s="52"/>
      <c r="AC354" s="52"/>
      <c r="AD354" s="52"/>
      <c r="AE354" s="52"/>
    </row>
    <row r="355" spans="2:31" x14ac:dyDescent="0.25">
      <c r="B355" s="52"/>
      <c r="C355" s="52"/>
      <c r="D355" s="52"/>
      <c r="E355" s="52" t="str">
        <f t="shared" si="16"/>
        <v>PROG</v>
      </c>
      <c r="F355" s="52"/>
      <c r="G355" s="52" t="str">
        <f t="shared" si="17"/>
        <v>P</v>
      </c>
      <c r="H355" s="52"/>
      <c r="I355" s="52"/>
      <c r="J355" s="52" t="str">
        <f t="shared" si="18"/>
        <v>ELEM</v>
      </c>
      <c r="K355" s="52"/>
      <c r="L355" s="87"/>
      <c r="M355" s="52" t="e">
        <v>#N/A</v>
      </c>
      <c r="N355" s="52"/>
      <c r="O355" s="52"/>
      <c r="P355" s="52"/>
      <c r="Q355" s="52"/>
      <c r="R355" s="52"/>
      <c r="S355" s="52"/>
      <c r="T355" s="52"/>
      <c r="U355" s="52"/>
      <c r="V355" s="52"/>
      <c r="W355" s="53"/>
      <c r="X355" s="23"/>
      <c r="Y355" s="52"/>
      <c r="Z355" s="52"/>
      <c r="AA355" s="52"/>
      <c r="AB355" s="52"/>
      <c r="AC355" s="52"/>
      <c r="AD355" s="52"/>
      <c r="AE355" s="52"/>
    </row>
    <row r="356" spans="2:31" x14ac:dyDescent="0.25">
      <c r="B356" s="52"/>
      <c r="C356" s="52"/>
      <c r="D356" s="52"/>
      <c r="E356" s="52" t="str">
        <f t="shared" si="16"/>
        <v>PROG</v>
      </c>
      <c r="F356" s="52"/>
      <c r="G356" s="52" t="str">
        <f t="shared" si="17"/>
        <v>P</v>
      </c>
      <c r="H356" s="52"/>
      <c r="I356" s="52"/>
      <c r="J356" s="52" t="str">
        <f t="shared" si="18"/>
        <v>ELEM</v>
      </c>
      <c r="K356" s="52"/>
      <c r="L356" s="87"/>
      <c r="M356" s="52" t="e">
        <v>#N/A</v>
      </c>
      <c r="N356" s="52"/>
      <c r="O356" s="52"/>
      <c r="P356" s="52"/>
      <c r="Q356" s="52"/>
      <c r="R356" s="52"/>
      <c r="S356" s="52"/>
      <c r="T356" s="52"/>
      <c r="U356" s="52"/>
      <c r="V356" s="52"/>
      <c r="W356" s="53"/>
      <c r="X356" s="23"/>
      <c r="Y356" s="52"/>
      <c r="Z356" s="52"/>
      <c r="AA356" s="52"/>
      <c r="AB356" s="52"/>
      <c r="AC356" s="52"/>
      <c r="AD356" s="52"/>
      <c r="AE356" s="52"/>
    </row>
    <row r="357" spans="2:31" x14ac:dyDescent="0.25">
      <c r="B357" s="52"/>
      <c r="C357" s="52"/>
      <c r="D357" s="52"/>
      <c r="E357" s="52" t="str">
        <f t="shared" si="16"/>
        <v>PROG</v>
      </c>
      <c r="F357" s="52"/>
      <c r="G357" s="52" t="str">
        <f t="shared" si="17"/>
        <v>P</v>
      </c>
      <c r="H357" s="52"/>
      <c r="I357" s="52"/>
      <c r="J357" s="52" t="str">
        <f t="shared" si="18"/>
        <v>ELEM</v>
      </c>
      <c r="K357" s="52"/>
      <c r="L357" s="87"/>
      <c r="M357" s="52" t="e">
        <v>#N/A</v>
      </c>
      <c r="N357" s="52"/>
      <c r="O357" s="52"/>
      <c r="P357" s="52"/>
      <c r="Q357" s="52"/>
      <c r="R357" s="52"/>
      <c r="S357" s="52"/>
      <c r="T357" s="52"/>
      <c r="U357" s="52"/>
      <c r="V357" s="52"/>
      <c r="W357" s="53"/>
      <c r="X357" s="23"/>
      <c r="Y357" s="52"/>
      <c r="Z357" s="52"/>
      <c r="AA357" s="52"/>
      <c r="AB357" s="52"/>
      <c r="AC357" s="52"/>
      <c r="AD357" s="52"/>
      <c r="AE357" s="52"/>
    </row>
    <row r="358" spans="2:31" x14ac:dyDescent="0.25">
      <c r="B358" s="52"/>
      <c r="C358" s="52"/>
      <c r="D358" s="52"/>
      <c r="E358" s="52" t="str">
        <f t="shared" si="16"/>
        <v>PROG</v>
      </c>
      <c r="F358" s="52"/>
      <c r="G358" s="52" t="str">
        <f t="shared" si="17"/>
        <v>P</v>
      </c>
      <c r="H358" s="52"/>
      <c r="I358" s="52"/>
      <c r="J358" s="52" t="str">
        <f t="shared" si="18"/>
        <v>ELEM</v>
      </c>
      <c r="K358" s="52"/>
      <c r="L358" s="87"/>
      <c r="M358" s="52" t="e">
        <v>#N/A</v>
      </c>
      <c r="N358" s="52"/>
      <c r="O358" s="52"/>
      <c r="P358" s="52"/>
      <c r="Q358" s="52"/>
      <c r="R358" s="52"/>
      <c r="S358" s="52"/>
      <c r="T358" s="52"/>
      <c r="U358" s="52"/>
      <c r="V358" s="52"/>
      <c r="W358" s="53"/>
      <c r="X358" s="23"/>
      <c r="Y358" s="52"/>
      <c r="Z358" s="52"/>
      <c r="AA358" s="52"/>
      <c r="AB358" s="52"/>
      <c r="AC358" s="52"/>
      <c r="AD358" s="52"/>
      <c r="AE358" s="52"/>
    </row>
    <row r="359" spans="2:31" x14ac:dyDescent="0.25">
      <c r="B359" s="52"/>
      <c r="C359" s="52"/>
      <c r="D359" s="52"/>
      <c r="E359" s="52" t="str">
        <f t="shared" si="16"/>
        <v>PROG</v>
      </c>
      <c r="F359" s="52"/>
      <c r="G359" s="52" t="str">
        <f t="shared" si="17"/>
        <v>P</v>
      </c>
      <c r="H359" s="52"/>
      <c r="I359" s="52"/>
      <c r="J359" s="52" t="str">
        <f t="shared" si="18"/>
        <v>ELEM</v>
      </c>
      <c r="K359" s="52"/>
      <c r="L359" s="87"/>
      <c r="M359" s="52" t="e">
        <v>#N/A</v>
      </c>
      <c r="N359" s="52"/>
      <c r="O359" s="52"/>
      <c r="P359" s="52"/>
      <c r="Q359" s="52"/>
      <c r="R359" s="52"/>
      <c r="S359" s="52"/>
      <c r="T359" s="52"/>
      <c r="U359" s="52"/>
      <c r="V359" s="52"/>
      <c r="W359" s="53"/>
      <c r="X359" s="23"/>
      <c r="Y359" s="52"/>
      <c r="Z359" s="52"/>
      <c r="AA359" s="52"/>
      <c r="AB359" s="52"/>
      <c r="AC359" s="52"/>
      <c r="AD359" s="52"/>
      <c r="AE359" s="52"/>
    </row>
    <row r="360" spans="2:31" x14ac:dyDescent="0.25">
      <c r="B360" s="52"/>
      <c r="C360" s="52"/>
      <c r="D360" s="52"/>
      <c r="E360" s="52" t="str">
        <f t="shared" si="16"/>
        <v>PROG</v>
      </c>
      <c r="F360" s="52"/>
      <c r="G360" s="52" t="str">
        <f t="shared" si="17"/>
        <v>P</v>
      </c>
      <c r="H360" s="52"/>
      <c r="I360" s="52"/>
      <c r="J360" s="52" t="str">
        <f t="shared" si="18"/>
        <v>ELEM</v>
      </c>
      <c r="K360" s="52"/>
      <c r="L360" s="87"/>
      <c r="M360" s="52" t="e">
        <v>#N/A</v>
      </c>
      <c r="N360" s="52"/>
      <c r="O360" s="52"/>
      <c r="P360" s="52"/>
      <c r="Q360" s="52"/>
      <c r="R360" s="52"/>
      <c r="S360" s="52"/>
      <c r="T360" s="52"/>
      <c r="U360" s="52"/>
      <c r="V360" s="52"/>
      <c r="W360" s="53"/>
      <c r="X360" s="23"/>
      <c r="Y360" s="52"/>
      <c r="Z360" s="52"/>
      <c r="AA360" s="52"/>
      <c r="AB360" s="52"/>
      <c r="AC360" s="52"/>
      <c r="AD360" s="52"/>
      <c r="AE360" s="52"/>
    </row>
    <row r="361" spans="2:31" x14ac:dyDescent="0.25">
      <c r="B361" s="52"/>
      <c r="C361" s="52"/>
      <c r="D361" s="52"/>
      <c r="E361" s="52" t="str">
        <f t="shared" si="16"/>
        <v>PROG</v>
      </c>
      <c r="F361" s="52"/>
      <c r="G361" s="52" t="str">
        <f t="shared" si="17"/>
        <v>P</v>
      </c>
      <c r="H361" s="52"/>
      <c r="I361" s="52"/>
      <c r="J361" s="52" t="str">
        <f t="shared" si="18"/>
        <v>ELEM</v>
      </c>
      <c r="K361" s="52"/>
      <c r="L361" s="87"/>
      <c r="M361" s="52" t="e">
        <v>#N/A</v>
      </c>
      <c r="N361" s="52"/>
      <c r="O361" s="52"/>
      <c r="P361" s="52"/>
      <c r="Q361" s="52"/>
      <c r="R361" s="52"/>
      <c r="S361" s="52"/>
      <c r="T361" s="52"/>
      <c r="U361" s="52"/>
      <c r="V361" s="52"/>
      <c r="W361" s="53"/>
      <c r="X361" s="23"/>
      <c r="Y361" s="52"/>
      <c r="Z361" s="52"/>
      <c r="AA361" s="52"/>
      <c r="AB361" s="52"/>
      <c r="AC361" s="52"/>
      <c r="AD361" s="52"/>
      <c r="AE361" s="52"/>
    </row>
    <row r="362" spans="2:31" x14ac:dyDescent="0.25">
      <c r="B362" s="52"/>
      <c r="C362" s="52"/>
      <c r="D362" s="52"/>
      <c r="E362" s="52" t="str">
        <f t="shared" si="16"/>
        <v>PROG</v>
      </c>
      <c r="F362" s="52"/>
      <c r="G362" s="52" t="str">
        <f t="shared" si="17"/>
        <v>P</v>
      </c>
      <c r="H362" s="52"/>
      <c r="I362" s="52"/>
      <c r="J362" s="52" t="str">
        <f t="shared" si="18"/>
        <v>ELEM</v>
      </c>
      <c r="K362" s="52"/>
      <c r="L362" s="87"/>
      <c r="M362" s="52" t="e">
        <v>#N/A</v>
      </c>
      <c r="N362" s="52"/>
      <c r="O362" s="52"/>
      <c r="P362" s="52"/>
      <c r="Q362" s="52"/>
      <c r="R362" s="52"/>
      <c r="S362" s="52"/>
      <c r="T362" s="52"/>
      <c r="U362" s="52"/>
      <c r="V362" s="52"/>
      <c r="W362" s="53"/>
      <c r="X362" s="23"/>
      <c r="Y362" s="52"/>
      <c r="Z362" s="52"/>
      <c r="AA362" s="52"/>
      <c r="AB362" s="52"/>
      <c r="AC362" s="52"/>
      <c r="AD362" s="52"/>
      <c r="AE362" s="52"/>
    </row>
    <row r="363" spans="2:31" x14ac:dyDescent="0.25">
      <c r="B363" s="52"/>
      <c r="C363" s="52"/>
      <c r="D363" s="52"/>
      <c r="E363" s="52" t="str">
        <f t="shared" si="16"/>
        <v>PROG</v>
      </c>
      <c r="F363" s="52"/>
      <c r="G363" s="52" t="str">
        <f t="shared" si="17"/>
        <v>P</v>
      </c>
      <c r="H363" s="52"/>
      <c r="I363" s="52"/>
      <c r="J363" s="52" t="str">
        <f t="shared" si="18"/>
        <v>ELEM</v>
      </c>
      <c r="K363" s="52"/>
      <c r="L363" s="87"/>
      <c r="M363" s="52" t="e">
        <v>#N/A</v>
      </c>
      <c r="N363" s="52"/>
      <c r="O363" s="52"/>
      <c r="P363" s="52"/>
      <c r="Q363" s="52"/>
      <c r="R363" s="52"/>
      <c r="S363" s="52"/>
      <c r="T363" s="52"/>
      <c r="U363" s="52"/>
      <c r="V363" s="52"/>
      <c r="W363" s="53"/>
      <c r="X363" s="23"/>
      <c r="Y363" s="52"/>
      <c r="Z363" s="52"/>
      <c r="AA363" s="52"/>
      <c r="AB363" s="52"/>
      <c r="AC363" s="52"/>
      <c r="AD363" s="52"/>
      <c r="AE363" s="52"/>
    </row>
    <row r="364" spans="2:31" x14ac:dyDescent="0.25">
      <c r="B364" s="52"/>
      <c r="C364" s="52"/>
      <c r="D364" s="52"/>
      <c r="E364" s="52" t="str">
        <f t="shared" si="16"/>
        <v>PROG</v>
      </c>
      <c r="F364" s="52"/>
      <c r="G364" s="52" t="str">
        <f t="shared" si="17"/>
        <v>P</v>
      </c>
      <c r="H364" s="52"/>
      <c r="I364" s="52"/>
      <c r="J364" s="52" t="str">
        <f t="shared" si="18"/>
        <v>ELEM</v>
      </c>
      <c r="K364" s="52"/>
      <c r="L364" s="87"/>
      <c r="M364" s="52" t="e">
        <v>#N/A</v>
      </c>
      <c r="N364" s="52"/>
      <c r="O364" s="52"/>
      <c r="P364" s="52"/>
      <c r="Q364" s="52"/>
      <c r="R364" s="52"/>
      <c r="S364" s="52"/>
      <c r="T364" s="52"/>
      <c r="U364" s="52"/>
      <c r="V364" s="52"/>
      <c r="W364" s="53"/>
      <c r="X364" s="23"/>
      <c r="Y364" s="52"/>
      <c r="Z364" s="52"/>
      <c r="AA364" s="52"/>
      <c r="AB364" s="52"/>
      <c r="AC364" s="52"/>
      <c r="AD364" s="52"/>
      <c r="AE364" s="52"/>
    </row>
    <row r="365" spans="2:31" x14ac:dyDescent="0.25">
      <c r="B365" s="52"/>
      <c r="C365" s="52"/>
      <c r="D365" s="52"/>
      <c r="E365" s="52" t="str">
        <f t="shared" si="16"/>
        <v>PROG</v>
      </c>
      <c r="F365" s="52"/>
      <c r="G365" s="52" t="str">
        <f t="shared" si="17"/>
        <v>P</v>
      </c>
      <c r="H365" s="52"/>
      <c r="I365" s="52"/>
      <c r="J365" s="52" t="str">
        <f t="shared" si="18"/>
        <v>ELEM</v>
      </c>
      <c r="K365" s="52"/>
      <c r="L365" s="87"/>
      <c r="M365" s="52" t="e">
        <v>#N/A</v>
      </c>
      <c r="N365" s="52"/>
      <c r="O365" s="52"/>
      <c r="P365" s="52"/>
      <c r="Q365" s="52"/>
      <c r="R365" s="52"/>
      <c r="S365" s="52"/>
      <c r="T365" s="52"/>
      <c r="U365" s="52"/>
      <c r="V365" s="52"/>
      <c r="W365" s="53"/>
      <c r="X365" s="23"/>
      <c r="Y365" s="52"/>
      <c r="Z365" s="52"/>
      <c r="AA365" s="52"/>
      <c r="AB365" s="52"/>
      <c r="AC365" s="52"/>
      <c r="AD365" s="52"/>
      <c r="AE365" s="52"/>
    </row>
    <row r="366" spans="2:31" x14ac:dyDescent="0.25">
      <c r="B366" s="52"/>
      <c r="C366" s="52"/>
      <c r="D366" s="52"/>
      <c r="E366" s="52" t="str">
        <f t="shared" si="16"/>
        <v>PROG</v>
      </c>
      <c r="F366" s="52"/>
      <c r="G366" s="52" t="str">
        <f t="shared" si="17"/>
        <v>P</v>
      </c>
      <c r="H366" s="52"/>
      <c r="I366" s="52"/>
      <c r="J366" s="52" t="str">
        <f t="shared" si="18"/>
        <v>ELEM</v>
      </c>
      <c r="K366" s="52"/>
      <c r="L366" s="87"/>
      <c r="M366" s="52" t="e">
        <v>#N/A</v>
      </c>
      <c r="N366" s="52"/>
      <c r="O366" s="52"/>
      <c r="P366" s="52"/>
      <c r="Q366" s="52"/>
      <c r="R366" s="52"/>
      <c r="S366" s="52"/>
      <c r="T366" s="52"/>
      <c r="U366" s="52"/>
      <c r="V366" s="52"/>
      <c r="W366" s="53"/>
      <c r="X366" s="23"/>
      <c r="Y366" s="52"/>
      <c r="Z366" s="52"/>
      <c r="AA366" s="52"/>
      <c r="AB366" s="52"/>
      <c r="AC366" s="52"/>
      <c r="AD366" s="52"/>
      <c r="AE366" s="52"/>
    </row>
    <row r="367" spans="2:31" x14ac:dyDescent="0.25">
      <c r="B367" s="52"/>
      <c r="C367" s="52"/>
      <c r="D367" s="52"/>
      <c r="E367" s="52" t="str">
        <f t="shared" si="16"/>
        <v>PROG</v>
      </c>
      <c r="F367" s="52"/>
      <c r="G367" s="52" t="str">
        <f t="shared" si="17"/>
        <v>P</v>
      </c>
      <c r="H367" s="52"/>
      <c r="I367" s="52"/>
      <c r="J367" s="52" t="str">
        <f t="shared" si="18"/>
        <v>ELEM</v>
      </c>
      <c r="K367" s="52"/>
      <c r="L367" s="87"/>
      <c r="M367" s="52" t="e">
        <v>#N/A</v>
      </c>
      <c r="N367" s="52"/>
      <c r="O367" s="52"/>
      <c r="P367" s="52"/>
      <c r="Q367" s="52"/>
      <c r="R367" s="52"/>
      <c r="S367" s="52"/>
      <c r="T367" s="52"/>
      <c r="U367" s="52"/>
      <c r="V367" s="52"/>
      <c r="W367" s="53"/>
      <c r="X367" s="23"/>
      <c r="Y367" s="52"/>
      <c r="Z367" s="52"/>
      <c r="AA367" s="52"/>
      <c r="AB367" s="52"/>
      <c r="AC367" s="52"/>
      <c r="AD367" s="52"/>
      <c r="AE367" s="52"/>
    </row>
    <row r="368" spans="2:31" x14ac:dyDescent="0.25">
      <c r="B368" s="52"/>
      <c r="C368" s="52"/>
      <c r="D368" s="52"/>
      <c r="E368" s="52" t="str">
        <f t="shared" si="16"/>
        <v>PROG</v>
      </c>
      <c r="F368" s="52"/>
      <c r="G368" s="52" t="str">
        <f t="shared" si="17"/>
        <v>P</v>
      </c>
      <c r="H368" s="52"/>
      <c r="I368" s="52"/>
      <c r="J368" s="52" t="str">
        <f t="shared" si="18"/>
        <v>ELEM</v>
      </c>
      <c r="K368" s="52"/>
      <c r="L368" s="87"/>
      <c r="M368" s="52" t="e">
        <v>#N/A</v>
      </c>
      <c r="N368" s="52"/>
      <c r="O368" s="52"/>
      <c r="P368" s="52"/>
      <c r="Q368" s="52"/>
      <c r="R368" s="52"/>
      <c r="S368" s="52"/>
      <c r="T368" s="52"/>
      <c r="U368" s="52"/>
      <c r="V368" s="52"/>
      <c r="W368" s="53"/>
      <c r="X368" s="23"/>
      <c r="Y368" s="52"/>
      <c r="Z368" s="52"/>
      <c r="AA368" s="52"/>
      <c r="AB368" s="52"/>
      <c r="AC368" s="52"/>
      <c r="AD368" s="52"/>
      <c r="AE368" s="52"/>
    </row>
    <row r="369" spans="2:31" x14ac:dyDescent="0.25">
      <c r="B369" s="52"/>
      <c r="C369" s="52"/>
      <c r="D369" s="52"/>
      <c r="E369" s="52" t="str">
        <f t="shared" si="16"/>
        <v>PROG</v>
      </c>
      <c r="F369" s="52"/>
      <c r="G369" s="52" t="str">
        <f t="shared" si="17"/>
        <v>P</v>
      </c>
      <c r="H369" s="52"/>
      <c r="I369" s="52"/>
      <c r="J369" s="52" t="str">
        <f t="shared" si="18"/>
        <v>ELEM</v>
      </c>
      <c r="K369" s="52"/>
      <c r="L369" s="87"/>
      <c r="M369" s="52" t="e">
        <v>#N/A</v>
      </c>
      <c r="N369" s="52"/>
      <c r="O369" s="52"/>
      <c r="P369" s="52"/>
      <c r="Q369" s="52"/>
      <c r="R369" s="52"/>
      <c r="S369" s="52"/>
      <c r="T369" s="52"/>
      <c r="U369" s="52"/>
      <c r="V369" s="52"/>
      <c r="W369" s="53"/>
      <c r="X369" s="23"/>
      <c r="Y369" s="52"/>
      <c r="Z369" s="52"/>
      <c r="AA369" s="52"/>
      <c r="AB369" s="52"/>
      <c r="AC369" s="52"/>
      <c r="AD369" s="52"/>
      <c r="AE369" s="52"/>
    </row>
    <row r="370" spans="2:31" x14ac:dyDescent="0.25">
      <c r="B370" s="52"/>
      <c r="C370" s="52"/>
      <c r="D370" s="52"/>
      <c r="E370" s="52" t="str">
        <f t="shared" si="16"/>
        <v>PROG</v>
      </c>
      <c r="F370" s="52"/>
      <c r="G370" s="52" t="str">
        <f t="shared" si="17"/>
        <v>P</v>
      </c>
      <c r="H370" s="52"/>
      <c r="I370" s="52"/>
      <c r="J370" s="52" t="str">
        <f t="shared" si="18"/>
        <v>ELEM</v>
      </c>
      <c r="K370" s="52"/>
      <c r="L370" s="87"/>
      <c r="M370" s="52" t="e">
        <v>#N/A</v>
      </c>
      <c r="N370" s="52"/>
      <c r="O370" s="52"/>
      <c r="P370" s="52"/>
      <c r="Q370" s="52"/>
      <c r="R370" s="52"/>
      <c r="S370" s="52"/>
      <c r="T370" s="52"/>
      <c r="U370" s="52"/>
      <c r="V370" s="52"/>
      <c r="W370" s="53"/>
      <c r="X370" s="23"/>
      <c r="Y370" s="52"/>
      <c r="Z370" s="52"/>
      <c r="AA370" s="52"/>
      <c r="AB370" s="52"/>
      <c r="AC370" s="52"/>
      <c r="AD370" s="52"/>
      <c r="AE370" s="52"/>
    </row>
    <row r="371" spans="2:31" x14ac:dyDescent="0.25">
      <c r="B371" s="52"/>
      <c r="C371" s="52"/>
      <c r="D371" s="52"/>
      <c r="E371" s="52" t="str">
        <f t="shared" si="16"/>
        <v>PROG</v>
      </c>
      <c r="F371" s="52"/>
      <c r="G371" s="52" t="str">
        <f t="shared" si="17"/>
        <v>P</v>
      </c>
      <c r="H371" s="52"/>
      <c r="I371" s="52"/>
      <c r="J371" s="52" t="str">
        <f t="shared" si="18"/>
        <v>ELEM</v>
      </c>
      <c r="K371" s="52"/>
      <c r="L371" s="87"/>
      <c r="M371" s="52" t="e">
        <v>#N/A</v>
      </c>
      <c r="N371" s="52"/>
      <c r="O371" s="52"/>
      <c r="P371" s="52"/>
      <c r="Q371" s="52"/>
      <c r="R371" s="52"/>
      <c r="S371" s="52"/>
      <c r="T371" s="52"/>
      <c r="U371" s="52"/>
      <c r="V371" s="52"/>
      <c r="W371" s="53"/>
      <c r="X371" s="23"/>
      <c r="Y371" s="52"/>
      <c r="Z371" s="52"/>
      <c r="AA371" s="52"/>
      <c r="AB371" s="52"/>
      <c r="AC371" s="52"/>
      <c r="AD371" s="52"/>
      <c r="AE371" s="52"/>
    </row>
    <row r="372" spans="2:31" x14ac:dyDescent="0.25">
      <c r="B372" s="52"/>
      <c r="C372" s="52"/>
      <c r="D372" s="52"/>
      <c r="E372" s="52" t="str">
        <f t="shared" si="16"/>
        <v>PROG</v>
      </c>
      <c r="F372" s="52"/>
      <c r="G372" s="52" t="str">
        <f t="shared" si="17"/>
        <v>P</v>
      </c>
      <c r="H372" s="52"/>
      <c r="I372" s="52"/>
      <c r="J372" s="52" t="str">
        <f t="shared" si="18"/>
        <v>ELEM</v>
      </c>
      <c r="K372" s="52"/>
      <c r="L372" s="87"/>
      <c r="M372" s="52" t="e">
        <v>#N/A</v>
      </c>
      <c r="N372" s="52"/>
      <c r="O372" s="52"/>
      <c r="P372" s="52"/>
      <c r="Q372" s="52"/>
      <c r="R372" s="52"/>
      <c r="S372" s="52"/>
      <c r="T372" s="52"/>
      <c r="U372" s="52"/>
      <c r="V372" s="52"/>
      <c r="W372" s="53"/>
      <c r="X372" s="23"/>
      <c r="Y372" s="52"/>
      <c r="Z372" s="52"/>
      <c r="AA372" s="52"/>
      <c r="AB372" s="52"/>
      <c r="AC372" s="52"/>
      <c r="AD372" s="52"/>
      <c r="AE372" s="52"/>
    </row>
    <row r="373" spans="2:31" x14ac:dyDescent="0.25">
      <c r="B373" s="52"/>
      <c r="C373" s="52"/>
      <c r="D373" s="52"/>
      <c r="E373" s="52" t="str">
        <f t="shared" si="16"/>
        <v>PROG</v>
      </c>
      <c r="F373" s="52"/>
      <c r="G373" s="52" t="str">
        <f t="shared" si="17"/>
        <v>P</v>
      </c>
      <c r="H373" s="52"/>
      <c r="I373" s="52"/>
      <c r="J373" s="52" t="str">
        <f t="shared" si="18"/>
        <v>ELEM</v>
      </c>
      <c r="K373" s="52"/>
      <c r="L373" s="87"/>
      <c r="M373" s="52" t="e">
        <v>#N/A</v>
      </c>
      <c r="N373" s="52"/>
      <c r="O373" s="52"/>
      <c r="P373" s="52"/>
      <c r="Q373" s="52"/>
      <c r="R373" s="52"/>
      <c r="S373" s="52"/>
      <c r="T373" s="52"/>
      <c r="U373" s="52"/>
      <c r="V373" s="52"/>
      <c r="W373" s="53"/>
      <c r="X373" s="23"/>
      <c r="Y373" s="52"/>
      <c r="Z373" s="52"/>
      <c r="AA373" s="52"/>
      <c r="AB373" s="52"/>
      <c r="AC373" s="52"/>
      <c r="AD373" s="52"/>
      <c r="AE373" s="52"/>
    </row>
    <row r="374" spans="2:31" x14ac:dyDescent="0.25">
      <c r="B374" s="52"/>
      <c r="C374" s="52"/>
      <c r="D374" s="52"/>
      <c r="E374" s="52" t="str">
        <f t="shared" si="16"/>
        <v>PROG</v>
      </c>
      <c r="F374" s="52"/>
      <c r="G374" s="52" t="str">
        <f t="shared" si="17"/>
        <v>P</v>
      </c>
      <c r="H374" s="52"/>
      <c r="I374" s="52"/>
      <c r="J374" s="52" t="str">
        <f t="shared" si="18"/>
        <v>ELEM</v>
      </c>
      <c r="K374" s="52"/>
      <c r="L374" s="87"/>
      <c r="M374" s="52" t="e">
        <v>#N/A</v>
      </c>
      <c r="N374" s="52"/>
      <c r="O374" s="52"/>
      <c r="P374" s="52"/>
      <c r="Q374" s="52"/>
      <c r="R374" s="52"/>
      <c r="S374" s="52"/>
      <c r="T374" s="52"/>
      <c r="U374" s="52"/>
      <c r="V374" s="52"/>
      <c r="W374" s="53"/>
      <c r="X374" s="23"/>
      <c r="Y374" s="52"/>
      <c r="Z374" s="52"/>
      <c r="AA374" s="52"/>
      <c r="AB374" s="52"/>
      <c r="AC374" s="52"/>
      <c r="AD374" s="52"/>
      <c r="AE374" s="52"/>
    </row>
    <row r="375" spans="2:31" x14ac:dyDescent="0.25">
      <c r="B375" s="52"/>
      <c r="C375" s="52"/>
      <c r="D375" s="52"/>
      <c r="E375" s="52" t="str">
        <f t="shared" si="16"/>
        <v>PROG</v>
      </c>
      <c r="F375" s="52"/>
      <c r="G375" s="52" t="str">
        <f t="shared" si="17"/>
        <v>P</v>
      </c>
      <c r="H375" s="52"/>
      <c r="I375" s="52"/>
      <c r="J375" s="52" t="str">
        <f t="shared" si="18"/>
        <v>ELEM</v>
      </c>
      <c r="K375" s="52"/>
      <c r="L375" s="87"/>
      <c r="M375" s="52" t="e">
        <v>#N/A</v>
      </c>
      <c r="N375" s="52"/>
      <c r="O375" s="52"/>
      <c r="P375" s="52"/>
      <c r="Q375" s="52"/>
      <c r="R375" s="52"/>
      <c r="S375" s="52"/>
      <c r="T375" s="52"/>
      <c r="U375" s="52"/>
      <c r="V375" s="52"/>
      <c r="W375" s="53"/>
      <c r="X375" s="23"/>
      <c r="Y375" s="52"/>
      <c r="Z375" s="52"/>
      <c r="AA375" s="52"/>
      <c r="AB375" s="52"/>
      <c r="AC375" s="52"/>
      <c r="AD375" s="52"/>
      <c r="AE375" s="52"/>
    </row>
    <row r="376" spans="2:31" x14ac:dyDescent="0.25">
      <c r="B376" s="52"/>
      <c r="C376" s="52"/>
      <c r="D376" s="52"/>
      <c r="E376" s="52" t="str">
        <f t="shared" si="16"/>
        <v>PROG</v>
      </c>
      <c r="F376" s="52"/>
      <c r="G376" s="52" t="str">
        <f t="shared" si="17"/>
        <v>P</v>
      </c>
      <c r="H376" s="52"/>
      <c r="I376" s="52"/>
      <c r="J376" s="52" t="str">
        <f t="shared" si="18"/>
        <v>ELEM</v>
      </c>
      <c r="K376" s="52"/>
      <c r="L376" s="87"/>
      <c r="M376" s="52" t="e">
        <v>#N/A</v>
      </c>
      <c r="N376" s="52"/>
      <c r="O376" s="52"/>
      <c r="P376" s="52"/>
      <c r="Q376" s="52"/>
      <c r="R376" s="52"/>
      <c r="S376" s="52"/>
      <c r="T376" s="52"/>
      <c r="U376" s="52"/>
      <c r="V376" s="52"/>
      <c r="W376" s="53"/>
      <c r="X376" s="23"/>
      <c r="Y376" s="52"/>
      <c r="Z376" s="52"/>
      <c r="AA376" s="52"/>
      <c r="AB376" s="52"/>
      <c r="AC376" s="52"/>
      <c r="AD376" s="52"/>
      <c r="AE376" s="52"/>
    </row>
    <row r="377" spans="2:31" x14ac:dyDescent="0.25">
      <c r="B377" s="52"/>
      <c r="C377" s="52"/>
      <c r="D377" s="52"/>
      <c r="E377" s="52" t="str">
        <f t="shared" si="16"/>
        <v>PROG</v>
      </c>
      <c r="F377" s="52"/>
      <c r="G377" s="52" t="str">
        <f t="shared" si="17"/>
        <v>P</v>
      </c>
      <c r="H377" s="52"/>
      <c r="I377" s="52"/>
      <c r="J377" s="52" t="str">
        <f t="shared" si="18"/>
        <v>ELEM</v>
      </c>
      <c r="K377" s="52"/>
      <c r="L377" s="87"/>
      <c r="M377" s="52" t="e">
        <v>#N/A</v>
      </c>
      <c r="N377" s="52"/>
      <c r="O377" s="52"/>
      <c r="P377" s="52"/>
      <c r="Q377" s="52"/>
      <c r="R377" s="52"/>
      <c r="S377" s="52"/>
      <c r="T377" s="52"/>
      <c r="U377" s="52"/>
      <c r="V377" s="52"/>
      <c r="W377" s="53"/>
      <c r="X377" s="23"/>
      <c r="Y377" s="52"/>
      <c r="Z377" s="52"/>
      <c r="AA377" s="52"/>
      <c r="AB377" s="52"/>
      <c r="AC377" s="52"/>
      <c r="AD377" s="52"/>
      <c r="AE377" s="52"/>
    </row>
    <row r="378" spans="2:31" x14ac:dyDescent="0.25">
      <c r="B378" s="52"/>
      <c r="C378" s="52"/>
      <c r="D378" s="52"/>
      <c r="E378" s="52" t="str">
        <f t="shared" si="16"/>
        <v>PROG</v>
      </c>
      <c r="F378" s="52"/>
      <c r="G378" s="52" t="str">
        <f t="shared" si="17"/>
        <v>P</v>
      </c>
      <c r="H378" s="52"/>
      <c r="I378" s="52"/>
      <c r="J378" s="52" t="str">
        <f t="shared" si="18"/>
        <v>ELEM</v>
      </c>
      <c r="K378" s="52"/>
      <c r="L378" s="87"/>
      <c r="M378" s="52" t="e">
        <v>#N/A</v>
      </c>
      <c r="N378" s="52"/>
      <c r="O378" s="52"/>
      <c r="P378" s="52"/>
      <c r="Q378" s="52"/>
      <c r="R378" s="52"/>
      <c r="S378" s="52"/>
      <c r="T378" s="52"/>
      <c r="U378" s="52"/>
      <c r="V378" s="52"/>
      <c r="W378" s="53"/>
      <c r="X378" s="23"/>
      <c r="Y378" s="52"/>
      <c r="Z378" s="52"/>
      <c r="AA378" s="52"/>
      <c r="AB378" s="52"/>
      <c r="AC378" s="52"/>
      <c r="AD378" s="52"/>
      <c r="AE378" s="52"/>
    </row>
    <row r="379" spans="2:31" x14ac:dyDescent="0.25">
      <c r="B379" s="52"/>
      <c r="C379" s="52"/>
      <c r="D379" s="52"/>
      <c r="E379" s="52" t="str">
        <f t="shared" si="16"/>
        <v>PROG</v>
      </c>
      <c r="F379" s="52"/>
      <c r="G379" s="52" t="str">
        <f t="shared" si="17"/>
        <v>P</v>
      </c>
      <c r="H379" s="52"/>
      <c r="I379" s="52"/>
      <c r="J379" s="52" t="str">
        <f t="shared" si="18"/>
        <v>ELEM</v>
      </c>
      <c r="K379" s="52"/>
      <c r="L379" s="87"/>
      <c r="M379" s="52" t="e">
        <v>#N/A</v>
      </c>
      <c r="N379" s="52"/>
      <c r="O379" s="52"/>
      <c r="P379" s="52"/>
      <c r="Q379" s="52"/>
      <c r="R379" s="52"/>
      <c r="S379" s="52"/>
      <c r="T379" s="52"/>
      <c r="U379" s="52"/>
      <c r="V379" s="52"/>
      <c r="W379" s="53"/>
      <c r="X379" s="23"/>
      <c r="Y379" s="52"/>
      <c r="Z379" s="52"/>
      <c r="AA379" s="52"/>
      <c r="AB379" s="52"/>
      <c r="AC379" s="52"/>
      <c r="AD379" s="52"/>
      <c r="AE379" s="52"/>
    </row>
    <row r="380" spans="2:31" x14ac:dyDescent="0.25">
      <c r="B380" s="52"/>
      <c r="C380" s="52"/>
      <c r="D380" s="52"/>
      <c r="E380" s="52" t="str">
        <f t="shared" si="16"/>
        <v>PROG</v>
      </c>
      <c r="F380" s="52"/>
      <c r="G380" s="52" t="str">
        <f t="shared" si="17"/>
        <v>P</v>
      </c>
      <c r="H380" s="52"/>
      <c r="I380" s="52"/>
      <c r="J380" s="52" t="str">
        <f t="shared" si="18"/>
        <v>ELEM</v>
      </c>
      <c r="K380" s="52"/>
      <c r="L380" s="87"/>
      <c r="M380" s="52" t="e">
        <v>#N/A</v>
      </c>
      <c r="N380" s="52"/>
      <c r="O380" s="52"/>
      <c r="P380" s="52"/>
      <c r="Q380" s="52"/>
      <c r="R380" s="52"/>
      <c r="S380" s="52"/>
      <c r="T380" s="52"/>
      <c r="U380" s="52"/>
      <c r="V380" s="52"/>
      <c r="W380" s="53"/>
      <c r="X380" s="23"/>
      <c r="Y380" s="52"/>
      <c r="Z380" s="52"/>
      <c r="AA380" s="52"/>
      <c r="AB380" s="52"/>
      <c r="AC380" s="52"/>
      <c r="AD380" s="52"/>
      <c r="AE380" s="52"/>
    </row>
    <row r="381" spans="2:31" x14ac:dyDescent="0.25">
      <c r="B381" s="52"/>
      <c r="C381" s="52"/>
      <c r="D381" s="52"/>
      <c r="E381" s="52" t="str">
        <f t="shared" si="16"/>
        <v>PROG</v>
      </c>
      <c r="F381" s="52"/>
      <c r="G381" s="52" t="str">
        <f t="shared" si="17"/>
        <v>P</v>
      </c>
      <c r="H381" s="52"/>
      <c r="I381" s="52"/>
      <c r="J381" s="52" t="str">
        <f t="shared" si="18"/>
        <v>ELEM</v>
      </c>
      <c r="K381" s="52"/>
      <c r="L381" s="87"/>
      <c r="M381" s="52" t="e">
        <v>#N/A</v>
      </c>
      <c r="N381" s="52"/>
      <c r="O381" s="52"/>
      <c r="P381" s="52"/>
      <c r="Q381" s="52"/>
      <c r="R381" s="52"/>
      <c r="S381" s="52"/>
      <c r="T381" s="52"/>
      <c r="U381" s="52"/>
      <c r="V381" s="52"/>
      <c r="W381" s="53"/>
      <c r="X381" s="23"/>
      <c r="Y381" s="52"/>
      <c r="Z381" s="52"/>
      <c r="AA381" s="52"/>
      <c r="AB381" s="52"/>
      <c r="AC381" s="52"/>
      <c r="AD381" s="52"/>
      <c r="AE381" s="52"/>
    </row>
    <row r="382" spans="2:31" x14ac:dyDescent="0.25">
      <c r="B382" s="52"/>
      <c r="C382" s="52"/>
      <c r="D382" s="52"/>
      <c r="E382" s="52" t="str">
        <f t="shared" si="16"/>
        <v>PROG</v>
      </c>
      <c r="F382" s="52"/>
      <c r="G382" s="52" t="str">
        <f t="shared" si="17"/>
        <v>P</v>
      </c>
      <c r="H382" s="52"/>
      <c r="I382" s="52"/>
      <c r="J382" s="52" t="str">
        <f t="shared" si="18"/>
        <v>ELEM</v>
      </c>
      <c r="K382" s="52"/>
      <c r="L382" s="87"/>
      <c r="M382" s="52" t="e">
        <v>#N/A</v>
      </c>
      <c r="N382" s="52"/>
      <c r="O382" s="52"/>
      <c r="P382" s="52"/>
      <c r="Q382" s="52"/>
      <c r="R382" s="52"/>
      <c r="S382" s="52"/>
      <c r="T382" s="52"/>
      <c r="U382" s="52"/>
      <c r="V382" s="52"/>
      <c r="W382" s="53"/>
      <c r="X382" s="23"/>
      <c r="Y382" s="52"/>
      <c r="Z382" s="52"/>
      <c r="AA382" s="52"/>
      <c r="AB382" s="52"/>
      <c r="AC382" s="52"/>
      <c r="AD382" s="52"/>
      <c r="AE382" s="52"/>
    </row>
    <row r="383" spans="2:31" x14ac:dyDescent="0.25">
      <c r="B383" s="52"/>
      <c r="C383" s="52"/>
      <c r="D383" s="52"/>
      <c r="E383" s="52" t="str">
        <f t="shared" si="16"/>
        <v>PROG</v>
      </c>
      <c r="F383" s="52"/>
      <c r="G383" s="52" t="str">
        <f t="shared" si="17"/>
        <v>P</v>
      </c>
      <c r="H383" s="52"/>
      <c r="I383" s="52"/>
      <c r="J383" s="52" t="str">
        <f t="shared" si="18"/>
        <v>ELEM</v>
      </c>
      <c r="K383" s="52"/>
      <c r="L383" s="87"/>
      <c r="M383" s="52" t="e">
        <v>#N/A</v>
      </c>
      <c r="N383" s="52"/>
      <c r="O383" s="52"/>
      <c r="P383" s="52"/>
      <c r="Q383" s="52"/>
      <c r="R383" s="52"/>
      <c r="S383" s="52"/>
      <c r="T383" s="52"/>
      <c r="U383" s="52"/>
      <c r="V383" s="52"/>
      <c r="W383" s="53"/>
      <c r="X383" s="23"/>
      <c r="Y383" s="52"/>
      <c r="Z383" s="52"/>
      <c r="AA383" s="52"/>
      <c r="AB383" s="52"/>
      <c r="AC383" s="52"/>
      <c r="AD383" s="52"/>
      <c r="AE383" s="52"/>
    </row>
    <row r="384" spans="2:31" x14ac:dyDescent="0.25">
      <c r="B384" s="52"/>
      <c r="C384" s="52"/>
      <c r="D384" s="52"/>
      <c r="E384" s="52" t="str">
        <f t="shared" si="16"/>
        <v>PROG</v>
      </c>
      <c r="F384" s="52"/>
      <c r="G384" s="52" t="str">
        <f t="shared" si="17"/>
        <v>P</v>
      </c>
      <c r="H384" s="52"/>
      <c r="I384" s="52"/>
      <c r="J384" s="52" t="str">
        <f t="shared" si="18"/>
        <v>ELEM</v>
      </c>
      <c r="K384" s="52"/>
      <c r="L384" s="87"/>
      <c r="M384" s="52" t="e">
        <v>#N/A</v>
      </c>
      <c r="N384" s="52"/>
      <c r="O384" s="52"/>
      <c r="P384" s="52"/>
      <c r="Q384" s="52"/>
      <c r="R384" s="52"/>
      <c r="S384" s="52"/>
      <c r="T384" s="52"/>
      <c r="U384" s="52"/>
      <c r="V384" s="52"/>
      <c r="W384" s="53"/>
      <c r="X384" s="23"/>
      <c r="Y384" s="52"/>
      <c r="Z384" s="52"/>
      <c r="AA384" s="52"/>
      <c r="AB384" s="52"/>
      <c r="AC384" s="52"/>
      <c r="AD384" s="52"/>
      <c r="AE384" s="52"/>
    </row>
    <row r="385" spans="2:31" x14ac:dyDescent="0.25">
      <c r="B385" s="52"/>
      <c r="C385" s="52"/>
      <c r="D385" s="52"/>
      <c r="E385" s="52" t="str">
        <f t="shared" si="16"/>
        <v>PROG</v>
      </c>
      <c r="F385" s="52"/>
      <c r="G385" s="52" t="str">
        <f t="shared" si="17"/>
        <v>P</v>
      </c>
      <c r="H385" s="52"/>
      <c r="I385" s="52"/>
      <c r="J385" s="52" t="str">
        <f t="shared" si="18"/>
        <v>ELEM</v>
      </c>
      <c r="K385" s="52"/>
      <c r="L385" s="87"/>
      <c r="M385" s="52" t="e">
        <v>#N/A</v>
      </c>
      <c r="N385" s="52"/>
      <c r="O385" s="52"/>
      <c r="P385" s="52"/>
      <c r="Q385" s="52"/>
      <c r="R385" s="52"/>
      <c r="S385" s="52"/>
      <c r="T385" s="52"/>
      <c r="U385" s="52"/>
      <c r="V385" s="52"/>
      <c r="W385" s="53"/>
      <c r="X385" s="23"/>
      <c r="Y385" s="52"/>
      <c r="Z385" s="52"/>
      <c r="AA385" s="52"/>
      <c r="AB385" s="52"/>
      <c r="AC385" s="52"/>
      <c r="AD385" s="52"/>
      <c r="AE385" s="52"/>
    </row>
    <row r="386" spans="2:31" x14ac:dyDescent="0.25">
      <c r="B386" s="52"/>
      <c r="C386" s="52"/>
      <c r="D386" s="52"/>
      <c r="E386" s="52" t="str">
        <f t="shared" si="16"/>
        <v>PROG</v>
      </c>
      <c r="F386" s="52"/>
      <c r="G386" s="52" t="str">
        <f t="shared" si="17"/>
        <v>P</v>
      </c>
      <c r="H386" s="52"/>
      <c r="I386" s="52"/>
      <c r="J386" s="52" t="str">
        <f t="shared" si="18"/>
        <v>ELEM</v>
      </c>
      <c r="K386" s="52"/>
      <c r="L386" s="87"/>
      <c r="M386" s="52" t="e">
        <v>#N/A</v>
      </c>
      <c r="N386" s="52"/>
      <c r="O386" s="52"/>
      <c r="P386" s="52"/>
      <c r="Q386" s="52"/>
      <c r="R386" s="52"/>
      <c r="S386" s="52"/>
      <c r="T386" s="52"/>
      <c r="U386" s="52"/>
      <c r="V386" s="52"/>
      <c r="W386" s="53"/>
      <c r="X386" s="23"/>
      <c r="Y386" s="52"/>
      <c r="Z386" s="52"/>
      <c r="AA386" s="52"/>
      <c r="AB386" s="52"/>
      <c r="AC386" s="52"/>
      <c r="AD386" s="52"/>
      <c r="AE386" s="52"/>
    </row>
    <row r="387" spans="2:31" x14ac:dyDescent="0.25">
      <c r="B387" s="52"/>
      <c r="C387" s="52"/>
      <c r="D387" s="52"/>
      <c r="E387" s="52" t="str">
        <f t="shared" ref="E387:E450" si="19">CONCATENATE(A387,"PROG")</f>
        <v>PROG</v>
      </c>
      <c r="F387" s="52"/>
      <c r="G387" s="52" t="str">
        <f t="shared" ref="G387:G450" si="20">CONCATENATE("P",(LEFT(F387,3)),A387)</f>
        <v>P</v>
      </c>
      <c r="H387" s="52"/>
      <c r="I387" s="52"/>
      <c r="J387" s="52" t="str">
        <f t="shared" ref="J387:J450" si="21">CONCATENATE("ELEM",LEFT(I387,2))</f>
        <v>ELEM</v>
      </c>
      <c r="K387" s="52"/>
      <c r="L387" s="87"/>
      <c r="M387" s="52" t="e">
        <v>#N/A</v>
      </c>
      <c r="N387" s="52"/>
      <c r="O387" s="52"/>
      <c r="P387" s="52"/>
      <c r="Q387" s="52"/>
      <c r="R387" s="52"/>
      <c r="S387" s="52"/>
      <c r="T387" s="52"/>
      <c r="U387" s="52"/>
      <c r="V387" s="52"/>
      <c r="W387" s="53"/>
      <c r="X387" s="23"/>
      <c r="Y387" s="52"/>
      <c r="Z387" s="52"/>
      <c r="AA387" s="52"/>
      <c r="AB387" s="52"/>
      <c r="AC387" s="52"/>
      <c r="AD387" s="52"/>
      <c r="AE387" s="52"/>
    </row>
    <row r="388" spans="2:31" x14ac:dyDescent="0.25">
      <c r="B388" s="52"/>
      <c r="C388" s="52"/>
      <c r="D388" s="52"/>
      <c r="E388" s="52" t="str">
        <f t="shared" si="19"/>
        <v>PROG</v>
      </c>
      <c r="F388" s="52"/>
      <c r="G388" s="52" t="str">
        <f t="shared" si="20"/>
        <v>P</v>
      </c>
      <c r="H388" s="52"/>
      <c r="I388" s="52"/>
      <c r="J388" s="52" t="str">
        <f t="shared" si="21"/>
        <v>ELEM</v>
      </c>
      <c r="K388" s="52"/>
      <c r="L388" s="87"/>
      <c r="M388" s="52" t="e">
        <v>#N/A</v>
      </c>
      <c r="N388" s="52"/>
      <c r="O388" s="52"/>
      <c r="P388" s="52"/>
      <c r="Q388" s="52"/>
      <c r="R388" s="52"/>
      <c r="S388" s="52"/>
      <c r="T388" s="52"/>
      <c r="U388" s="52"/>
      <c r="V388" s="52"/>
      <c r="W388" s="53"/>
      <c r="X388" s="23"/>
      <c r="Y388" s="52"/>
      <c r="Z388" s="52"/>
      <c r="AA388" s="52"/>
      <c r="AB388" s="52"/>
      <c r="AC388" s="52"/>
      <c r="AD388" s="52"/>
      <c r="AE388" s="52"/>
    </row>
    <row r="389" spans="2:31" x14ac:dyDescent="0.25">
      <c r="B389" s="52"/>
      <c r="C389" s="52"/>
      <c r="D389" s="52"/>
      <c r="E389" s="52" t="str">
        <f t="shared" si="19"/>
        <v>PROG</v>
      </c>
      <c r="F389" s="52"/>
      <c r="G389" s="52" t="str">
        <f t="shared" si="20"/>
        <v>P</v>
      </c>
      <c r="H389" s="52"/>
      <c r="I389" s="52"/>
      <c r="J389" s="52" t="str">
        <f t="shared" si="21"/>
        <v>ELEM</v>
      </c>
      <c r="K389" s="52"/>
      <c r="L389" s="87"/>
      <c r="M389" s="52" t="e">
        <v>#N/A</v>
      </c>
      <c r="N389" s="52"/>
      <c r="O389" s="52"/>
      <c r="P389" s="52"/>
      <c r="Q389" s="52"/>
      <c r="R389" s="52"/>
      <c r="S389" s="52"/>
      <c r="T389" s="52"/>
      <c r="U389" s="52"/>
      <c r="V389" s="52"/>
      <c r="W389" s="53"/>
      <c r="X389" s="23"/>
      <c r="Y389" s="52"/>
      <c r="Z389" s="52"/>
      <c r="AA389" s="52"/>
      <c r="AB389" s="52"/>
      <c r="AC389" s="52"/>
      <c r="AD389" s="52"/>
      <c r="AE389" s="52"/>
    </row>
    <row r="390" spans="2:31" x14ac:dyDescent="0.25">
      <c r="B390" s="52"/>
      <c r="C390" s="52"/>
      <c r="D390" s="52"/>
      <c r="E390" s="52" t="str">
        <f t="shared" si="19"/>
        <v>PROG</v>
      </c>
      <c r="F390" s="52"/>
      <c r="G390" s="52" t="str">
        <f t="shared" si="20"/>
        <v>P</v>
      </c>
      <c r="H390" s="52"/>
      <c r="I390" s="52"/>
      <c r="J390" s="52" t="str">
        <f t="shared" si="21"/>
        <v>ELEM</v>
      </c>
      <c r="K390" s="52"/>
      <c r="L390" s="87"/>
      <c r="M390" s="52" t="e">
        <v>#N/A</v>
      </c>
      <c r="N390" s="52"/>
      <c r="O390" s="52"/>
      <c r="P390" s="52"/>
      <c r="Q390" s="52"/>
      <c r="R390" s="52"/>
      <c r="S390" s="52"/>
      <c r="T390" s="52"/>
      <c r="U390" s="52"/>
      <c r="V390" s="52"/>
      <c r="W390" s="53"/>
      <c r="X390" s="23"/>
      <c r="Y390" s="52"/>
      <c r="Z390" s="52"/>
      <c r="AA390" s="52"/>
      <c r="AB390" s="52"/>
      <c r="AC390" s="52"/>
      <c r="AD390" s="52"/>
      <c r="AE390" s="52"/>
    </row>
    <row r="391" spans="2:31" x14ac:dyDescent="0.25">
      <c r="B391" s="52"/>
      <c r="C391" s="52"/>
      <c r="D391" s="52"/>
      <c r="E391" s="52" t="str">
        <f t="shared" si="19"/>
        <v>PROG</v>
      </c>
      <c r="F391" s="52"/>
      <c r="G391" s="52" t="str">
        <f t="shared" si="20"/>
        <v>P</v>
      </c>
      <c r="H391" s="52"/>
      <c r="I391" s="52"/>
      <c r="J391" s="52" t="str">
        <f t="shared" si="21"/>
        <v>ELEM</v>
      </c>
      <c r="K391" s="52"/>
      <c r="L391" s="87"/>
      <c r="M391" s="52" t="e">
        <v>#N/A</v>
      </c>
      <c r="N391" s="52"/>
      <c r="O391" s="52"/>
      <c r="P391" s="52"/>
      <c r="Q391" s="52"/>
      <c r="R391" s="52"/>
      <c r="S391" s="52"/>
      <c r="T391" s="52"/>
      <c r="U391" s="52"/>
      <c r="V391" s="52"/>
      <c r="W391" s="53"/>
      <c r="X391" s="23"/>
      <c r="Y391" s="52"/>
      <c r="Z391" s="52"/>
      <c r="AA391" s="52"/>
      <c r="AB391" s="52"/>
      <c r="AC391" s="52"/>
      <c r="AD391" s="52"/>
      <c r="AE391" s="52"/>
    </row>
    <row r="392" spans="2:31" x14ac:dyDescent="0.25">
      <c r="B392" s="52"/>
      <c r="C392" s="52"/>
      <c r="D392" s="52"/>
      <c r="E392" s="52" t="str">
        <f t="shared" si="19"/>
        <v>PROG</v>
      </c>
      <c r="F392" s="52"/>
      <c r="G392" s="52" t="str">
        <f t="shared" si="20"/>
        <v>P</v>
      </c>
      <c r="H392" s="52"/>
      <c r="I392" s="52"/>
      <c r="J392" s="52" t="str">
        <f t="shared" si="21"/>
        <v>ELEM</v>
      </c>
      <c r="K392" s="52"/>
      <c r="L392" s="87"/>
      <c r="M392" s="52" t="e">
        <v>#N/A</v>
      </c>
      <c r="N392" s="52"/>
      <c r="O392" s="52"/>
      <c r="P392" s="52"/>
      <c r="Q392" s="52"/>
      <c r="R392" s="52"/>
      <c r="S392" s="52"/>
      <c r="T392" s="52"/>
      <c r="U392" s="52"/>
      <c r="V392" s="52"/>
      <c r="W392" s="53"/>
      <c r="X392" s="23"/>
      <c r="Y392" s="52"/>
      <c r="Z392" s="52"/>
      <c r="AA392" s="52"/>
      <c r="AB392" s="52"/>
      <c r="AC392" s="52"/>
      <c r="AD392" s="52"/>
      <c r="AE392" s="52"/>
    </row>
    <row r="393" spans="2:31" x14ac:dyDescent="0.25">
      <c r="B393" s="52"/>
      <c r="C393" s="52"/>
      <c r="D393" s="52"/>
      <c r="E393" s="52" t="str">
        <f t="shared" si="19"/>
        <v>PROG</v>
      </c>
      <c r="F393" s="52"/>
      <c r="G393" s="52" t="str">
        <f t="shared" si="20"/>
        <v>P</v>
      </c>
      <c r="H393" s="52"/>
      <c r="I393" s="52"/>
      <c r="J393" s="52" t="str">
        <f t="shared" si="21"/>
        <v>ELEM</v>
      </c>
      <c r="K393" s="52"/>
      <c r="L393" s="87"/>
      <c r="M393" s="52" t="e">
        <v>#N/A</v>
      </c>
      <c r="N393" s="52"/>
      <c r="O393" s="52"/>
      <c r="P393" s="52"/>
      <c r="Q393" s="52"/>
      <c r="R393" s="52"/>
      <c r="S393" s="52"/>
      <c r="T393" s="52"/>
      <c r="U393" s="52"/>
      <c r="V393" s="52"/>
      <c r="W393" s="53"/>
      <c r="X393" s="23"/>
      <c r="Y393" s="52"/>
      <c r="Z393" s="52"/>
      <c r="AA393" s="52"/>
      <c r="AB393" s="52"/>
      <c r="AC393" s="52"/>
      <c r="AD393" s="52"/>
      <c r="AE393" s="52"/>
    </row>
    <row r="394" spans="2:31" x14ac:dyDescent="0.25">
      <c r="B394" s="52"/>
      <c r="C394" s="52"/>
      <c r="D394" s="52"/>
      <c r="E394" s="52" t="str">
        <f t="shared" si="19"/>
        <v>PROG</v>
      </c>
      <c r="F394" s="52"/>
      <c r="G394" s="52" t="str">
        <f t="shared" si="20"/>
        <v>P</v>
      </c>
      <c r="H394" s="52"/>
      <c r="I394" s="52"/>
      <c r="J394" s="52" t="str">
        <f t="shared" si="21"/>
        <v>ELEM</v>
      </c>
      <c r="K394" s="52"/>
      <c r="L394" s="87"/>
      <c r="M394" s="52" t="e">
        <v>#N/A</v>
      </c>
      <c r="N394" s="52"/>
      <c r="O394" s="52"/>
      <c r="P394" s="52"/>
      <c r="Q394" s="52"/>
      <c r="R394" s="52"/>
      <c r="S394" s="52"/>
      <c r="T394" s="52"/>
      <c r="U394" s="52"/>
      <c r="V394" s="52"/>
      <c r="W394" s="53"/>
      <c r="X394" s="23"/>
      <c r="Y394" s="52"/>
      <c r="Z394" s="52"/>
      <c r="AA394" s="52"/>
      <c r="AB394" s="52"/>
      <c r="AC394" s="52"/>
      <c r="AD394" s="52"/>
      <c r="AE394" s="52"/>
    </row>
    <row r="395" spans="2:31" x14ac:dyDescent="0.25">
      <c r="B395" s="52"/>
      <c r="C395" s="52"/>
      <c r="D395" s="52"/>
      <c r="E395" s="52" t="str">
        <f t="shared" si="19"/>
        <v>PROG</v>
      </c>
      <c r="F395" s="52"/>
      <c r="G395" s="52" t="str">
        <f t="shared" si="20"/>
        <v>P</v>
      </c>
      <c r="H395" s="52"/>
      <c r="I395" s="52"/>
      <c r="J395" s="52" t="str">
        <f t="shared" si="21"/>
        <v>ELEM</v>
      </c>
      <c r="K395" s="52"/>
      <c r="L395" s="87"/>
      <c r="M395" s="52" t="e">
        <v>#N/A</v>
      </c>
      <c r="N395" s="52"/>
      <c r="O395" s="52"/>
      <c r="P395" s="52"/>
      <c r="Q395" s="52"/>
      <c r="R395" s="52"/>
      <c r="S395" s="52"/>
      <c r="T395" s="52"/>
      <c r="U395" s="52"/>
      <c r="V395" s="52"/>
      <c r="W395" s="53"/>
      <c r="X395" s="23"/>
      <c r="Y395" s="52"/>
      <c r="Z395" s="52"/>
      <c r="AA395" s="52"/>
      <c r="AB395" s="52"/>
      <c r="AC395" s="52"/>
      <c r="AD395" s="52"/>
      <c r="AE395" s="52"/>
    </row>
    <row r="396" spans="2:31" x14ac:dyDescent="0.25">
      <c r="B396" s="52"/>
      <c r="C396" s="52"/>
      <c r="D396" s="52"/>
      <c r="E396" s="52" t="str">
        <f t="shared" si="19"/>
        <v>PROG</v>
      </c>
      <c r="F396" s="52"/>
      <c r="G396" s="52" t="str">
        <f t="shared" si="20"/>
        <v>P</v>
      </c>
      <c r="H396" s="52"/>
      <c r="I396" s="52"/>
      <c r="J396" s="52" t="str">
        <f t="shared" si="21"/>
        <v>ELEM</v>
      </c>
      <c r="K396" s="52"/>
      <c r="L396" s="87"/>
      <c r="M396" s="52" t="e">
        <v>#N/A</v>
      </c>
      <c r="N396" s="52"/>
      <c r="O396" s="52"/>
      <c r="P396" s="52"/>
      <c r="Q396" s="52"/>
      <c r="R396" s="52"/>
      <c r="S396" s="52"/>
      <c r="T396" s="52"/>
      <c r="U396" s="52"/>
      <c r="V396" s="52"/>
      <c r="W396" s="53"/>
      <c r="X396" s="23"/>
      <c r="Y396" s="52"/>
      <c r="Z396" s="52"/>
      <c r="AA396" s="52"/>
      <c r="AB396" s="52"/>
      <c r="AC396" s="52"/>
      <c r="AD396" s="52"/>
      <c r="AE396" s="52"/>
    </row>
    <row r="397" spans="2:31" x14ac:dyDescent="0.25">
      <c r="B397" s="52"/>
      <c r="C397" s="52"/>
      <c r="D397" s="52"/>
      <c r="E397" s="52" t="str">
        <f t="shared" si="19"/>
        <v>PROG</v>
      </c>
      <c r="F397" s="52"/>
      <c r="G397" s="52" t="str">
        <f t="shared" si="20"/>
        <v>P</v>
      </c>
      <c r="H397" s="52"/>
      <c r="I397" s="52"/>
      <c r="J397" s="52" t="str">
        <f t="shared" si="21"/>
        <v>ELEM</v>
      </c>
      <c r="K397" s="52"/>
      <c r="L397" s="87"/>
      <c r="M397" s="52" t="e">
        <v>#N/A</v>
      </c>
      <c r="N397" s="52"/>
      <c r="O397" s="52"/>
      <c r="P397" s="52"/>
      <c r="Q397" s="52"/>
      <c r="R397" s="52"/>
      <c r="S397" s="52"/>
      <c r="T397" s="52"/>
      <c r="U397" s="52"/>
      <c r="V397" s="52"/>
      <c r="W397" s="53"/>
      <c r="X397" s="23"/>
      <c r="Y397" s="52"/>
      <c r="Z397" s="52"/>
      <c r="AA397" s="52"/>
      <c r="AB397" s="52"/>
      <c r="AC397" s="52"/>
      <c r="AD397" s="52"/>
      <c r="AE397" s="52"/>
    </row>
    <row r="398" spans="2:31" x14ac:dyDescent="0.25">
      <c r="B398" s="52"/>
      <c r="C398" s="52"/>
      <c r="D398" s="52"/>
      <c r="E398" s="52" t="str">
        <f t="shared" si="19"/>
        <v>PROG</v>
      </c>
      <c r="F398" s="52"/>
      <c r="G398" s="52" t="str">
        <f t="shared" si="20"/>
        <v>P</v>
      </c>
      <c r="H398" s="52"/>
      <c r="I398" s="52"/>
      <c r="J398" s="52" t="str">
        <f t="shared" si="21"/>
        <v>ELEM</v>
      </c>
      <c r="K398" s="52"/>
      <c r="L398" s="87"/>
      <c r="M398" s="52" t="e">
        <v>#N/A</v>
      </c>
      <c r="N398" s="52"/>
      <c r="O398" s="52"/>
      <c r="P398" s="52"/>
      <c r="Q398" s="52"/>
      <c r="R398" s="52"/>
      <c r="S398" s="52"/>
      <c r="T398" s="52"/>
      <c r="U398" s="52"/>
      <c r="V398" s="52"/>
      <c r="W398" s="53"/>
      <c r="X398" s="23"/>
      <c r="Y398" s="52"/>
      <c r="Z398" s="52"/>
      <c r="AA398" s="52"/>
      <c r="AB398" s="52"/>
      <c r="AC398" s="52"/>
      <c r="AD398" s="52"/>
      <c r="AE398" s="52"/>
    </row>
    <row r="399" spans="2:31" x14ac:dyDescent="0.25">
      <c r="B399" s="52"/>
      <c r="C399" s="52"/>
      <c r="D399" s="52"/>
      <c r="E399" s="52" t="str">
        <f t="shared" si="19"/>
        <v>PROG</v>
      </c>
      <c r="F399" s="52"/>
      <c r="G399" s="52" t="str">
        <f t="shared" si="20"/>
        <v>P</v>
      </c>
      <c r="H399" s="52"/>
      <c r="I399" s="52"/>
      <c r="J399" s="52" t="str">
        <f t="shared" si="21"/>
        <v>ELEM</v>
      </c>
      <c r="K399" s="52"/>
      <c r="L399" s="87"/>
      <c r="M399" s="52" t="e">
        <v>#N/A</v>
      </c>
      <c r="N399" s="52"/>
      <c r="O399" s="52"/>
      <c r="P399" s="52"/>
      <c r="Q399" s="52"/>
      <c r="R399" s="52"/>
      <c r="S399" s="52"/>
      <c r="T399" s="52"/>
      <c r="U399" s="52"/>
      <c r="V399" s="52"/>
      <c r="W399" s="53"/>
      <c r="X399" s="23"/>
      <c r="Y399" s="52"/>
      <c r="Z399" s="52"/>
      <c r="AA399" s="52"/>
      <c r="AB399" s="52"/>
      <c r="AC399" s="52"/>
      <c r="AD399" s="52"/>
      <c r="AE399" s="52"/>
    </row>
    <row r="400" spans="2:31" x14ac:dyDescent="0.25">
      <c r="B400" s="52"/>
      <c r="C400" s="52"/>
      <c r="D400" s="52"/>
      <c r="E400" s="52" t="str">
        <f t="shared" si="19"/>
        <v>PROG</v>
      </c>
      <c r="F400" s="52"/>
      <c r="G400" s="52" t="str">
        <f t="shared" si="20"/>
        <v>P</v>
      </c>
      <c r="H400" s="52"/>
      <c r="I400" s="52"/>
      <c r="J400" s="52" t="str">
        <f t="shared" si="21"/>
        <v>ELEM</v>
      </c>
      <c r="K400" s="52"/>
      <c r="L400" s="87"/>
      <c r="M400" s="52" t="e">
        <v>#N/A</v>
      </c>
      <c r="N400" s="52"/>
      <c r="O400" s="52"/>
      <c r="P400" s="52"/>
      <c r="Q400" s="52"/>
      <c r="R400" s="52"/>
      <c r="S400" s="52"/>
      <c r="T400" s="52"/>
      <c r="U400" s="52"/>
      <c r="V400" s="52"/>
      <c r="W400" s="53"/>
      <c r="X400" s="23"/>
      <c r="Y400" s="52"/>
      <c r="Z400" s="52"/>
      <c r="AA400" s="52"/>
      <c r="AB400" s="52"/>
      <c r="AC400" s="52"/>
      <c r="AD400" s="52"/>
      <c r="AE400" s="52"/>
    </row>
    <row r="401" spans="2:31" x14ac:dyDescent="0.25">
      <c r="B401" s="52"/>
      <c r="C401" s="52"/>
      <c r="D401" s="52"/>
      <c r="E401" s="52" t="str">
        <f t="shared" si="19"/>
        <v>PROG</v>
      </c>
      <c r="F401" s="52"/>
      <c r="G401" s="52" t="str">
        <f t="shared" si="20"/>
        <v>P</v>
      </c>
      <c r="H401" s="52"/>
      <c r="I401" s="52"/>
      <c r="J401" s="52" t="str">
        <f t="shared" si="21"/>
        <v>ELEM</v>
      </c>
      <c r="K401" s="52"/>
      <c r="L401" s="87"/>
      <c r="M401" s="52" t="e">
        <v>#N/A</v>
      </c>
      <c r="N401" s="52"/>
      <c r="O401" s="52"/>
      <c r="P401" s="52"/>
      <c r="Q401" s="52"/>
      <c r="R401" s="52"/>
      <c r="S401" s="52"/>
      <c r="T401" s="52"/>
      <c r="U401" s="52"/>
      <c r="V401" s="52"/>
      <c r="W401" s="53"/>
      <c r="X401" s="23"/>
      <c r="Y401" s="52"/>
      <c r="Z401" s="52"/>
      <c r="AA401" s="52"/>
      <c r="AB401" s="52"/>
      <c r="AC401" s="52"/>
      <c r="AD401" s="52"/>
      <c r="AE401" s="52"/>
    </row>
    <row r="402" spans="2:31" x14ac:dyDescent="0.25">
      <c r="B402" s="52"/>
      <c r="C402" s="52"/>
      <c r="D402" s="52"/>
      <c r="E402" s="52" t="str">
        <f t="shared" si="19"/>
        <v>PROG</v>
      </c>
      <c r="F402" s="52"/>
      <c r="G402" s="52" t="str">
        <f t="shared" si="20"/>
        <v>P</v>
      </c>
      <c r="H402" s="52"/>
      <c r="I402" s="52"/>
      <c r="J402" s="52" t="str">
        <f t="shared" si="21"/>
        <v>ELEM</v>
      </c>
      <c r="K402" s="52"/>
      <c r="L402" s="87"/>
      <c r="M402" s="52" t="e">
        <v>#N/A</v>
      </c>
      <c r="N402" s="52"/>
      <c r="O402" s="52"/>
      <c r="P402" s="52"/>
      <c r="Q402" s="52"/>
      <c r="R402" s="52"/>
      <c r="S402" s="52"/>
      <c r="T402" s="52"/>
      <c r="U402" s="52"/>
      <c r="V402" s="52"/>
      <c r="W402" s="53"/>
      <c r="X402" s="23"/>
      <c r="Y402" s="52"/>
      <c r="Z402" s="52"/>
      <c r="AA402" s="52"/>
      <c r="AB402" s="52"/>
      <c r="AC402" s="52"/>
      <c r="AD402" s="52"/>
      <c r="AE402" s="52"/>
    </row>
    <row r="403" spans="2:31" x14ac:dyDescent="0.25">
      <c r="B403" s="52"/>
      <c r="C403" s="52"/>
      <c r="D403" s="52"/>
      <c r="E403" s="52" t="str">
        <f t="shared" si="19"/>
        <v>PROG</v>
      </c>
      <c r="F403" s="52"/>
      <c r="G403" s="52" t="str">
        <f t="shared" si="20"/>
        <v>P</v>
      </c>
      <c r="H403" s="52"/>
      <c r="I403" s="52"/>
      <c r="J403" s="52" t="str">
        <f t="shared" si="21"/>
        <v>ELEM</v>
      </c>
      <c r="K403" s="52"/>
      <c r="L403" s="87"/>
      <c r="M403" s="52" t="e">
        <v>#N/A</v>
      </c>
      <c r="N403" s="52"/>
      <c r="O403" s="52"/>
      <c r="P403" s="52"/>
      <c r="Q403" s="52"/>
      <c r="R403" s="52"/>
      <c r="S403" s="52"/>
      <c r="T403" s="52"/>
      <c r="U403" s="52"/>
      <c r="V403" s="52"/>
      <c r="W403" s="53"/>
      <c r="X403" s="23"/>
      <c r="Y403" s="52"/>
      <c r="Z403" s="52"/>
      <c r="AA403" s="52"/>
      <c r="AB403" s="52"/>
      <c r="AC403" s="52"/>
      <c r="AD403" s="52"/>
      <c r="AE403" s="52"/>
    </row>
    <row r="404" spans="2:31" x14ac:dyDescent="0.25">
      <c r="B404" s="52"/>
      <c r="C404" s="52"/>
      <c r="D404" s="52"/>
      <c r="E404" s="52" t="str">
        <f t="shared" si="19"/>
        <v>PROG</v>
      </c>
      <c r="F404" s="52"/>
      <c r="G404" s="52" t="str">
        <f t="shared" si="20"/>
        <v>P</v>
      </c>
      <c r="H404" s="52"/>
      <c r="I404" s="52"/>
      <c r="J404" s="52" t="str">
        <f t="shared" si="21"/>
        <v>ELEM</v>
      </c>
      <c r="K404" s="52"/>
      <c r="L404" s="87"/>
      <c r="M404" s="52" t="e">
        <v>#N/A</v>
      </c>
      <c r="N404" s="52"/>
      <c r="O404" s="52"/>
      <c r="P404" s="52"/>
      <c r="Q404" s="52"/>
      <c r="R404" s="52"/>
      <c r="S404" s="52"/>
      <c r="T404" s="52"/>
      <c r="U404" s="52"/>
      <c r="V404" s="52"/>
      <c r="W404" s="53"/>
      <c r="X404" s="23"/>
      <c r="Y404" s="52"/>
      <c r="Z404" s="52"/>
      <c r="AA404" s="52"/>
      <c r="AB404" s="52"/>
      <c r="AC404" s="52"/>
      <c r="AD404" s="52"/>
      <c r="AE404" s="52"/>
    </row>
    <row r="405" spans="2:31" x14ac:dyDescent="0.25">
      <c r="B405" s="52"/>
      <c r="C405" s="52"/>
      <c r="D405" s="52"/>
      <c r="E405" s="52" t="str">
        <f t="shared" si="19"/>
        <v>PROG</v>
      </c>
      <c r="F405" s="52"/>
      <c r="G405" s="52" t="str">
        <f t="shared" si="20"/>
        <v>P</v>
      </c>
      <c r="H405" s="52"/>
      <c r="I405" s="52"/>
      <c r="J405" s="52" t="str">
        <f t="shared" si="21"/>
        <v>ELEM</v>
      </c>
      <c r="K405" s="52"/>
      <c r="L405" s="87"/>
      <c r="M405" s="52" t="e">
        <v>#N/A</v>
      </c>
      <c r="N405" s="52"/>
      <c r="O405" s="52"/>
      <c r="P405" s="52"/>
      <c r="Q405" s="52"/>
      <c r="R405" s="52"/>
      <c r="S405" s="52"/>
      <c r="T405" s="52"/>
      <c r="U405" s="52"/>
      <c r="V405" s="52"/>
      <c r="W405" s="53"/>
      <c r="X405" s="23"/>
      <c r="Y405" s="52"/>
      <c r="Z405" s="52"/>
      <c r="AA405" s="52"/>
      <c r="AB405" s="52"/>
      <c r="AC405" s="52"/>
      <c r="AD405" s="52"/>
      <c r="AE405" s="52"/>
    </row>
    <row r="406" spans="2:31" x14ac:dyDescent="0.25">
      <c r="B406" s="52"/>
      <c r="C406" s="52"/>
      <c r="D406" s="52"/>
      <c r="E406" s="52" t="str">
        <f t="shared" si="19"/>
        <v>PROG</v>
      </c>
      <c r="F406" s="52"/>
      <c r="G406" s="52" t="str">
        <f t="shared" si="20"/>
        <v>P</v>
      </c>
      <c r="H406" s="52"/>
      <c r="I406" s="52"/>
      <c r="J406" s="52" t="str">
        <f t="shared" si="21"/>
        <v>ELEM</v>
      </c>
      <c r="K406" s="52"/>
      <c r="L406" s="87"/>
      <c r="M406" s="52" t="e">
        <v>#N/A</v>
      </c>
      <c r="N406" s="52"/>
      <c r="O406" s="52"/>
      <c r="P406" s="52"/>
      <c r="Q406" s="52"/>
      <c r="R406" s="52"/>
      <c r="S406" s="52"/>
      <c r="T406" s="52"/>
      <c r="U406" s="52"/>
      <c r="V406" s="52"/>
      <c r="W406" s="53"/>
      <c r="X406" s="23"/>
      <c r="Y406" s="52"/>
      <c r="Z406" s="52"/>
      <c r="AA406" s="52"/>
      <c r="AB406" s="52"/>
      <c r="AC406" s="52"/>
      <c r="AD406" s="52"/>
      <c r="AE406" s="52"/>
    </row>
    <row r="407" spans="2:31" x14ac:dyDescent="0.25">
      <c r="B407" s="52"/>
      <c r="C407" s="52"/>
      <c r="D407" s="52"/>
      <c r="E407" s="52" t="str">
        <f t="shared" si="19"/>
        <v>PROG</v>
      </c>
      <c r="F407" s="52"/>
      <c r="G407" s="52" t="str">
        <f t="shared" si="20"/>
        <v>P</v>
      </c>
      <c r="H407" s="52"/>
      <c r="I407" s="52"/>
      <c r="J407" s="52" t="str">
        <f t="shared" si="21"/>
        <v>ELEM</v>
      </c>
      <c r="K407" s="52"/>
      <c r="L407" s="87"/>
      <c r="M407" s="52" t="e">
        <v>#N/A</v>
      </c>
      <c r="N407" s="52"/>
      <c r="O407" s="52"/>
      <c r="P407" s="52"/>
      <c r="Q407" s="52"/>
      <c r="R407" s="52"/>
      <c r="S407" s="52"/>
      <c r="T407" s="52"/>
      <c r="U407" s="52"/>
      <c r="V407" s="52"/>
      <c r="W407" s="53"/>
      <c r="X407" s="23"/>
      <c r="Y407" s="52"/>
      <c r="Z407" s="52"/>
      <c r="AA407" s="52"/>
      <c r="AB407" s="52"/>
      <c r="AC407" s="52"/>
      <c r="AD407" s="52"/>
      <c r="AE407" s="52"/>
    </row>
    <row r="408" spans="2:31" x14ac:dyDescent="0.25">
      <c r="B408" s="52"/>
      <c r="C408" s="52"/>
      <c r="D408" s="52"/>
      <c r="E408" s="52" t="str">
        <f t="shared" si="19"/>
        <v>PROG</v>
      </c>
      <c r="F408" s="52"/>
      <c r="G408" s="52" t="str">
        <f t="shared" si="20"/>
        <v>P</v>
      </c>
      <c r="H408" s="52"/>
      <c r="I408" s="52"/>
      <c r="J408" s="52" t="str">
        <f t="shared" si="21"/>
        <v>ELEM</v>
      </c>
      <c r="K408" s="52"/>
      <c r="L408" s="87"/>
      <c r="M408" s="52" t="e">
        <v>#N/A</v>
      </c>
      <c r="N408" s="52"/>
      <c r="O408" s="52"/>
      <c r="P408" s="52"/>
      <c r="Q408" s="52"/>
      <c r="R408" s="52"/>
      <c r="S408" s="52"/>
      <c r="T408" s="52"/>
      <c r="U408" s="52"/>
      <c r="V408" s="52"/>
      <c r="W408" s="53"/>
      <c r="X408" s="23"/>
      <c r="Y408" s="52"/>
      <c r="Z408" s="52"/>
      <c r="AA408" s="52"/>
      <c r="AB408" s="52"/>
      <c r="AC408" s="52"/>
      <c r="AD408" s="52"/>
      <c r="AE408" s="52"/>
    </row>
    <row r="409" spans="2:31" x14ac:dyDescent="0.25">
      <c r="B409" s="52"/>
      <c r="C409" s="52"/>
      <c r="D409" s="52"/>
      <c r="E409" s="52" t="str">
        <f t="shared" si="19"/>
        <v>PROG</v>
      </c>
      <c r="F409" s="52"/>
      <c r="G409" s="52" t="str">
        <f t="shared" si="20"/>
        <v>P</v>
      </c>
      <c r="H409" s="52"/>
      <c r="I409" s="52"/>
      <c r="J409" s="52" t="str">
        <f t="shared" si="21"/>
        <v>ELEM</v>
      </c>
      <c r="K409" s="52"/>
      <c r="L409" s="87"/>
      <c r="M409" s="52" t="e">
        <v>#N/A</v>
      </c>
      <c r="N409" s="52"/>
      <c r="O409" s="52"/>
      <c r="P409" s="52"/>
      <c r="Q409" s="52"/>
      <c r="R409" s="52"/>
      <c r="S409" s="52"/>
      <c r="T409" s="52"/>
      <c r="U409" s="52"/>
      <c r="V409" s="52"/>
      <c r="W409" s="53"/>
      <c r="X409" s="23"/>
      <c r="Y409" s="52"/>
      <c r="Z409" s="52"/>
      <c r="AA409" s="52"/>
      <c r="AB409" s="52"/>
      <c r="AC409" s="52"/>
      <c r="AD409" s="52"/>
      <c r="AE409" s="52"/>
    </row>
    <row r="410" spans="2:31" x14ac:dyDescent="0.25">
      <c r="B410" s="52"/>
      <c r="C410" s="52"/>
      <c r="D410" s="52"/>
      <c r="E410" s="52" t="str">
        <f t="shared" si="19"/>
        <v>PROG</v>
      </c>
      <c r="F410" s="52"/>
      <c r="G410" s="52" t="str">
        <f t="shared" si="20"/>
        <v>P</v>
      </c>
      <c r="H410" s="52"/>
      <c r="I410" s="52"/>
      <c r="J410" s="52" t="str">
        <f t="shared" si="21"/>
        <v>ELEM</v>
      </c>
      <c r="K410" s="52"/>
      <c r="L410" s="87"/>
      <c r="M410" s="52" t="e">
        <v>#N/A</v>
      </c>
      <c r="N410" s="52"/>
      <c r="O410" s="52"/>
      <c r="P410" s="52"/>
      <c r="Q410" s="52"/>
      <c r="R410" s="52"/>
      <c r="S410" s="52"/>
      <c r="T410" s="52"/>
      <c r="U410" s="52"/>
      <c r="V410" s="52"/>
      <c r="W410" s="53"/>
      <c r="X410" s="23"/>
      <c r="Y410" s="52"/>
      <c r="Z410" s="52"/>
      <c r="AA410" s="52"/>
      <c r="AB410" s="52"/>
      <c r="AC410" s="52"/>
      <c r="AD410" s="52"/>
      <c r="AE410" s="52"/>
    </row>
    <row r="411" spans="2:31" x14ac:dyDescent="0.25">
      <c r="B411" s="52"/>
      <c r="C411" s="52"/>
      <c r="D411" s="52"/>
      <c r="E411" s="52" t="str">
        <f t="shared" si="19"/>
        <v>PROG</v>
      </c>
      <c r="F411" s="52"/>
      <c r="G411" s="52" t="str">
        <f t="shared" si="20"/>
        <v>P</v>
      </c>
      <c r="H411" s="52"/>
      <c r="I411" s="52"/>
      <c r="J411" s="52" t="str">
        <f t="shared" si="21"/>
        <v>ELEM</v>
      </c>
      <c r="K411" s="52"/>
      <c r="L411" s="87"/>
      <c r="M411" s="52" t="e">
        <v>#N/A</v>
      </c>
      <c r="N411" s="52"/>
      <c r="O411" s="52"/>
      <c r="P411" s="52"/>
      <c r="Q411" s="52"/>
      <c r="R411" s="52"/>
      <c r="S411" s="52"/>
      <c r="T411" s="52"/>
      <c r="U411" s="52"/>
      <c r="V411" s="52"/>
      <c r="W411" s="53"/>
      <c r="X411" s="23"/>
      <c r="Y411" s="52"/>
      <c r="Z411" s="52"/>
      <c r="AA411" s="52"/>
      <c r="AB411" s="52"/>
      <c r="AC411" s="52"/>
      <c r="AD411" s="52"/>
      <c r="AE411" s="52"/>
    </row>
    <row r="412" spans="2:31" x14ac:dyDescent="0.25">
      <c r="B412" s="52"/>
      <c r="C412" s="52"/>
      <c r="D412" s="52"/>
      <c r="E412" s="52" t="str">
        <f t="shared" si="19"/>
        <v>PROG</v>
      </c>
      <c r="F412" s="52"/>
      <c r="G412" s="52" t="str">
        <f t="shared" si="20"/>
        <v>P</v>
      </c>
      <c r="H412" s="52"/>
      <c r="I412" s="52"/>
      <c r="J412" s="52" t="str">
        <f t="shared" si="21"/>
        <v>ELEM</v>
      </c>
      <c r="K412" s="52"/>
      <c r="L412" s="87"/>
      <c r="M412" s="52" t="e">
        <v>#N/A</v>
      </c>
      <c r="N412" s="52"/>
      <c r="O412" s="52"/>
      <c r="P412" s="52"/>
      <c r="Q412" s="52"/>
      <c r="R412" s="52"/>
      <c r="S412" s="52"/>
      <c r="T412" s="52"/>
      <c r="U412" s="52"/>
      <c r="V412" s="52"/>
      <c r="W412" s="53"/>
      <c r="X412" s="23"/>
      <c r="Y412" s="52"/>
      <c r="Z412" s="52"/>
      <c r="AA412" s="52"/>
      <c r="AB412" s="52"/>
      <c r="AC412" s="52"/>
      <c r="AD412" s="52"/>
      <c r="AE412" s="52"/>
    </row>
    <row r="413" spans="2:31" x14ac:dyDescent="0.25">
      <c r="B413" s="52"/>
      <c r="C413" s="52"/>
      <c r="D413" s="52"/>
      <c r="E413" s="52" t="str">
        <f t="shared" si="19"/>
        <v>PROG</v>
      </c>
      <c r="F413" s="52"/>
      <c r="G413" s="52" t="str">
        <f t="shared" si="20"/>
        <v>P</v>
      </c>
      <c r="H413" s="52"/>
      <c r="I413" s="52"/>
      <c r="J413" s="52" t="str">
        <f t="shared" si="21"/>
        <v>ELEM</v>
      </c>
      <c r="K413" s="52"/>
      <c r="L413" s="87"/>
      <c r="M413" s="52" t="e">
        <v>#N/A</v>
      </c>
      <c r="N413" s="52"/>
      <c r="O413" s="52"/>
      <c r="P413" s="52"/>
      <c r="Q413" s="52"/>
      <c r="R413" s="52"/>
      <c r="S413" s="52"/>
      <c r="T413" s="52"/>
      <c r="U413" s="52"/>
      <c r="V413" s="52"/>
      <c r="W413" s="53"/>
      <c r="X413" s="23"/>
      <c r="Y413" s="52"/>
      <c r="Z413" s="52"/>
      <c r="AA413" s="52"/>
      <c r="AB413" s="52"/>
      <c r="AC413" s="52"/>
      <c r="AD413" s="52"/>
      <c r="AE413" s="52"/>
    </row>
    <row r="414" spans="2:31" x14ac:dyDescent="0.25">
      <c r="B414" s="52"/>
      <c r="C414" s="52"/>
      <c r="D414" s="52"/>
      <c r="E414" s="52" t="str">
        <f t="shared" si="19"/>
        <v>PROG</v>
      </c>
      <c r="F414" s="52"/>
      <c r="G414" s="52" t="str">
        <f t="shared" si="20"/>
        <v>P</v>
      </c>
      <c r="H414" s="52"/>
      <c r="I414" s="52"/>
      <c r="J414" s="52" t="str">
        <f t="shared" si="21"/>
        <v>ELEM</v>
      </c>
      <c r="K414" s="52"/>
      <c r="L414" s="87"/>
      <c r="M414" s="52" t="e">
        <v>#N/A</v>
      </c>
      <c r="N414" s="52"/>
      <c r="O414" s="52"/>
      <c r="P414" s="52"/>
      <c r="Q414" s="52"/>
      <c r="R414" s="52"/>
      <c r="S414" s="52"/>
      <c r="T414" s="52"/>
      <c r="U414" s="52"/>
      <c r="V414" s="52"/>
      <c r="W414" s="53"/>
      <c r="X414" s="23"/>
      <c r="Y414" s="52"/>
      <c r="Z414" s="52"/>
      <c r="AA414" s="52"/>
      <c r="AB414" s="52"/>
      <c r="AC414" s="52"/>
      <c r="AD414" s="52"/>
      <c r="AE414" s="52"/>
    </row>
    <row r="415" spans="2:31" x14ac:dyDescent="0.25">
      <c r="B415" s="52"/>
      <c r="C415" s="52"/>
      <c r="D415" s="52"/>
      <c r="E415" s="52" t="str">
        <f t="shared" si="19"/>
        <v>PROG</v>
      </c>
      <c r="F415" s="52"/>
      <c r="G415" s="52" t="str">
        <f t="shared" si="20"/>
        <v>P</v>
      </c>
      <c r="H415" s="52"/>
      <c r="I415" s="52"/>
      <c r="J415" s="52" t="str">
        <f t="shared" si="21"/>
        <v>ELEM</v>
      </c>
      <c r="K415" s="52"/>
      <c r="L415" s="87"/>
      <c r="M415" s="52" t="e">
        <v>#N/A</v>
      </c>
      <c r="N415" s="52"/>
      <c r="O415" s="52"/>
      <c r="P415" s="52"/>
      <c r="Q415" s="52"/>
      <c r="R415" s="52"/>
      <c r="S415" s="52"/>
      <c r="T415" s="52"/>
      <c r="U415" s="52"/>
      <c r="V415" s="52"/>
      <c r="W415" s="53"/>
      <c r="X415" s="23"/>
      <c r="Y415" s="52"/>
      <c r="Z415" s="52"/>
      <c r="AA415" s="52"/>
      <c r="AB415" s="52"/>
      <c r="AC415" s="52"/>
      <c r="AD415" s="52"/>
      <c r="AE415" s="52"/>
    </row>
    <row r="416" spans="2:31" x14ac:dyDescent="0.25">
      <c r="B416" s="52"/>
      <c r="C416" s="52"/>
      <c r="D416" s="52"/>
      <c r="E416" s="52" t="str">
        <f t="shared" si="19"/>
        <v>PROG</v>
      </c>
      <c r="F416" s="52"/>
      <c r="G416" s="52" t="str">
        <f t="shared" si="20"/>
        <v>P</v>
      </c>
      <c r="H416" s="52"/>
      <c r="I416" s="52"/>
      <c r="J416" s="52" t="str">
        <f t="shared" si="21"/>
        <v>ELEM</v>
      </c>
      <c r="K416" s="52"/>
      <c r="L416" s="87"/>
      <c r="M416" s="52" t="e">
        <v>#N/A</v>
      </c>
      <c r="N416" s="52"/>
      <c r="O416" s="52"/>
      <c r="P416" s="52"/>
      <c r="Q416" s="52"/>
      <c r="R416" s="52"/>
      <c r="S416" s="52"/>
      <c r="T416" s="52"/>
      <c r="U416" s="52"/>
      <c r="V416" s="52"/>
      <c r="W416" s="53"/>
      <c r="X416" s="23"/>
      <c r="Y416" s="52"/>
      <c r="Z416" s="52"/>
      <c r="AA416" s="52"/>
      <c r="AB416" s="52"/>
      <c r="AC416" s="52"/>
      <c r="AD416" s="52"/>
      <c r="AE416" s="52"/>
    </row>
    <row r="417" spans="2:31" x14ac:dyDescent="0.25">
      <c r="B417" s="52"/>
      <c r="C417" s="52"/>
      <c r="D417" s="52"/>
      <c r="E417" s="52" t="str">
        <f t="shared" si="19"/>
        <v>PROG</v>
      </c>
      <c r="F417" s="52"/>
      <c r="G417" s="52" t="str">
        <f t="shared" si="20"/>
        <v>P</v>
      </c>
      <c r="H417" s="52"/>
      <c r="I417" s="52"/>
      <c r="J417" s="52" t="str">
        <f t="shared" si="21"/>
        <v>ELEM</v>
      </c>
      <c r="K417" s="52"/>
      <c r="L417" s="87"/>
      <c r="M417" s="52" t="e">
        <v>#N/A</v>
      </c>
      <c r="N417" s="52"/>
      <c r="O417" s="52"/>
      <c r="P417" s="52"/>
      <c r="Q417" s="52"/>
      <c r="R417" s="52"/>
      <c r="S417" s="52"/>
      <c r="T417" s="52"/>
      <c r="U417" s="52"/>
      <c r="V417" s="52"/>
      <c r="W417" s="53"/>
      <c r="X417" s="23"/>
      <c r="Y417" s="52"/>
      <c r="Z417" s="52"/>
      <c r="AA417" s="52"/>
      <c r="AB417" s="52"/>
      <c r="AC417" s="52"/>
      <c r="AD417" s="52"/>
      <c r="AE417" s="52"/>
    </row>
    <row r="418" spans="2:31" x14ac:dyDescent="0.25">
      <c r="B418" s="52"/>
      <c r="C418" s="52"/>
      <c r="D418" s="52"/>
      <c r="E418" s="52" t="str">
        <f t="shared" si="19"/>
        <v>PROG</v>
      </c>
      <c r="F418" s="52"/>
      <c r="G418" s="52" t="str">
        <f t="shared" si="20"/>
        <v>P</v>
      </c>
      <c r="H418" s="52"/>
      <c r="I418" s="52"/>
      <c r="J418" s="52" t="str">
        <f t="shared" si="21"/>
        <v>ELEM</v>
      </c>
      <c r="K418" s="52"/>
      <c r="L418" s="87"/>
      <c r="M418" s="52" t="e">
        <v>#N/A</v>
      </c>
      <c r="N418" s="52"/>
      <c r="O418" s="52"/>
      <c r="P418" s="52"/>
      <c r="Q418" s="52"/>
      <c r="R418" s="52"/>
      <c r="S418" s="52"/>
      <c r="T418" s="52"/>
      <c r="U418" s="52"/>
      <c r="V418" s="52"/>
      <c r="W418" s="53"/>
      <c r="X418" s="23"/>
      <c r="Y418" s="52"/>
      <c r="Z418" s="52"/>
      <c r="AA418" s="52"/>
      <c r="AB418" s="52"/>
      <c r="AC418" s="52"/>
      <c r="AD418" s="52"/>
      <c r="AE418" s="52"/>
    </row>
    <row r="419" spans="2:31" x14ac:dyDescent="0.25">
      <c r="B419" s="52"/>
      <c r="C419" s="52"/>
      <c r="D419" s="52"/>
      <c r="E419" s="52" t="str">
        <f t="shared" si="19"/>
        <v>PROG</v>
      </c>
      <c r="F419" s="52"/>
      <c r="G419" s="52" t="str">
        <f t="shared" si="20"/>
        <v>P</v>
      </c>
      <c r="H419" s="52"/>
      <c r="I419" s="52"/>
      <c r="J419" s="52" t="str">
        <f t="shared" si="21"/>
        <v>ELEM</v>
      </c>
      <c r="K419" s="52"/>
      <c r="L419" s="87"/>
      <c r="M419" s="52" t="e">
        <v>#N/A</v>
      </c>
      <c r="N419" s="52"/>
      <c r="O419" s="52"/>
      <c r="P419" s="52"/>
      <c r="Q419" s="52"/>
      <c r="R419" s="52"/>
      <c r="S419" s="52"/>
      <c r="T419" s="52"/>
      <c r="U419" s="52"/>
      <c r="V419" s="52"/>
      <c r="W419" s="53"/>
      <c r="X419" s="23"/>
      <c r="Y419" s="52"/>
      <c r="Z419" s="52"/>
      <c r="AA419" s="52"/>
      <c r="AB419" s="52"/>
      <c r="AC419" s="52"/>
      <c r="AD419" s="52"/>
      <c r="AE419" s="52"/>
    </row>
    <row r="420" spans="2:31" x14ac:dyDescent="0.25">
      <c r="B420" s="52"/>
      <c r="C420" s="52"/>
      <c r="D420" s="52"/>
      <c r="E420" s="52" t="str">
        <f t="shared" si="19"/>
        <v>PROG</v>
      </c>
      <c r="F420" s="52"/>
      <c r="G420" s="52" t="str">
        <f t="shared" si="20"/>
        <v>P</v>
      </c>
      <c r="H420" s="52"/>
      <c r="I420" s="52"/>
      <c r="J420" s="52" t="str">
        <f t="shared" si="21"/>
        <v>ELEM</v>
      </c>
      <c r="K420" s="52"/>
      <c r="L420" s="87"/>
      <c r="M420" s="52" t="e">
        <v>#N/A</v>
      </c>
      <c r="N420" s="52"/>
      <c r="O420" s="52"/>
      <c r="P420" s="52"/>
      <c r="Q420" s="52"/>
      <c r="R420" s="52"/>
      <c r="S420" s="52"/>
      <c r="T420" s="52"/>
      <c r="U420" s="52"/>
      <c r="V420" s="52"/>
      <c r="W420" s="53"/>
      <c r="X420" s="23"/>
      <c r="Y420" s="52"/>
      <c r="Z420" s="52"/>
      <c r="AA420" s="52"/>
      <c r="AB420" s="52"/>
      <c r="AC420" s="52"/>
      <c r="AD420" s="52"/>
      <c r="AE420" s="52"/>
    </row>
    <row r="421" spans="2:31" x14ac:dyDescent="0.25">
      <c r="B421" s="52"/>
      <c r="C421" s="52"/>
      <c r="D421" s="52"/>
      <c r="E421" s="52" t="str">
        <f t="shared" si="19"/>
        <v>PROG</v>
      </c>
      <c r="F421" s="52"/>
      <c r="G421" s="52" t="str">
        <f t="shared" si="20"/>
        <v>P</v>
      </c>
      <c r="H421" s="52"/>
      <c r="I421" s="52"/>
      <c r="J421" s="52" t="str">
        <f t="shared" si="21"/>
        <v>ELEM</v>
      </c>
      <c r="K421" s="52"/>
      <c r="L421" s="87"/>
      <c r="M421" s="52" t="e">
        <v>#N/A</v>
      </c>
      <c r="N421" s="52"/>
      <c r="O421" s="52"/>
      <c r="P421" s="52"/>
      <c r="Q421" s="52"/>
      <c r="R421" s="52"/>
      <c r="S421" s="52"/>
      <c r="T421" s="52"/>
      <c r="U421" s="52"/>
      <c r="V421" s="52"/>
      <c r="W421" s="53"/>
      <c r="X421" s="23"/>
      <c r="Y421" s="52"/>
      <c r="Z421" s="52"/>
      <c r="AA421" s="52"/>
      <c r="AB421" s="52"/>
      <c r="AC421" s="52"/>
      <c r="AD421" s="52"/>
      <c r="AE421" s="52"/>
    </row>
    <row r="422" spans="2:31" x14ac:dyDescent="0.25">
      <c r="B422" s="52"/>
      <c r="C422" s="52"/>
      <c r="D422" s="52"/>
      <c r="E422" s="52" t="str">
        <f t="shared" si="19"/>
        <v>PROG</v>
      </c>
      <c r="F422" s="52"/>
      <c r="G422" s="52" t="str">
        <f t="shared" si="20"/>
        <v>P</v>
      </c>
      <c r="H422" s="52"/>
      <c r="I422" s="52"/>
      <c r="J422" s="52" t="str">
        <f t="shared" si="21"/>
        <v>ELEM</v>
      </c>
      <c r="K422" s="52"/>
      <c r="L422" s="87"/>
      <c r="M422" s="52" t="e">
        <v>#N/A</v>
      </c>
      <c r="N422" s="52"/>
      <c r="O422" s="52"/>
      <c r="P422" s="52"/>
      <c r="Q422" s="52"/>
      <c r="R422" s="52"/>
      <c r="S422" s="52"/>
      <c r="T422" s="52"/>
      <c r="U422" s="52"/>
      <c r="V422" s="52"/>
      <c r="W422" s="53"/>
      <c r="X422" s="23"/>
      <c r="Y422" s="52"/>
      <c r="Z422" s="52"/>
      <c r="AA422" s="52"/>
      <c r="AB422" s="52"/>
      <c r="AC422" s="52"/>
      <c r="AD422" s="52"/>
      <c r="AE422" s="52"/>
    </row>
    <row r="423" spans="2:31" x14ac:dyDescent="0.25">
      <c r="B423" s="52"/>
      <c r="C423" s="52"/>
      <c r="D423" s="52"/>
      <c r="E423" s="52" t="str">
        <f t="shared" si="19"/>
        <v>PROG</v>
      </c>
      <c r="F423" s="52"/>
      <c r="G423" s="52" t="str">
        <f t="shared" si="20"/>
        <v>P</v>
      </c>
      <c r="H423" s="52"/>
      <c r="I423" s="52"/>
      <c r="J423" s="52" t="str">
        <f t="shared" si="21"/>
        <v>ELEM</v>
      </c>
      <c r="K423" s="52"/>
      <c r="L423" s="87"/>
      <c r="M423" s="52" t="e">
        <v>#N/A</v>
      </c>
      <c r="N423" s="52"/>
      <c r="O423" s="52"/>
      <c r="P423" s="52"/>
      <c r="Q423" s="52"/>
      <c r="R423" s="52"/>
      <c r="S423" s="52"/>
      <c r="T423" s="52"/>
      <c r="U423" s="52"/>
      <c r="V423" s="52"/>
      <c r="W423" s="53"/>
      <c r="X423" s="23"/>
      <c r="Y423" s="52"/>
      <c r="Z423" s="52"/>
      <c r="AA423" s="52"/>
      <c r="AB423" s="52"/>
      <c r="AC423" s="52"/>
      <c r="AD423" s="52"/>
      <c r="AE423" s="52"/>
    </row>
    <row r="424" spans="2:31" x14ac:dyDescent="0.25">
      <c r="B424" s="52"/>
      <c r="C424" s="52"/>
      <c r="D424" s="52"/>
      <c r="E424" s="52" t="str">
        <f t="shared" si="19"/>
        <v>PROG</v>
      </c>
      <c r="F424" s="52"/>
      <c r="G424" s="52" t="str">
        <f t="shared" si="20"/>
        <v>P</v>
      </c>
      <c r="H424" s="52"/>
      <c r="I424" s="52"/>
      <c r="J424" s="52" t="str">
        <f t="shared" si="21"/>
        <v>ELEM</v>
      </c>
      <c r="K424" s="52"/>
      <c r="L424" s="87"/>
      <c r="M424" s="52" t="e">
        <v>#N/A</v>
      </c>
      <c r="N424" s="52"/>
      <c r="O424" s="52"/>
      <c r="P424" s="52"/>
      <c r="Q424" s="52"/>
      <c r="R424" s="52"/>
      <c r="S424" s="52"/>
      <c r="T424" s="52"/>
      <c r="U424" s="52"/>
      <c r="V424" s="52"/>
      <c r="W424" s="53"/>
      <c r="X424" s="23"/>
      <c r="Y424" s="52"/>
      <c r="Z424" s="52"/>
      <c r="AA424" s="52"/>
      <c r="AB424" s="52"/>
      <c r="AC424" s="52"/>
      <c r="AD424" s="52"/>
      <c r="AE424" s="52"/>
    </row>
    <row r="425" spans="2:31" x14ac:dyDescent="0.25">
      <c r="B425" s="52"/>
      <c r="C425" s="52"/>
      <c r="D425" s="52"/>
      <c r="E425" s="52" t="str">
        <f t="shared" si="19"/>
        <v>PROG</v>
      </c>
      <c r="F425" s="52"/>
      <c r="G425" s="52" t="str">
        <f t="shared" si="20"/>
        <v>P</v>
      </c>
      <c r="H425" s="52"/>
      <c r="I425" s="52"/>
      <c r="J425" s="52" t="str">
        <f t="shared" si="21"/>
        <v>ELEM</v>
      </c>
      <c r="K425" s="52"/>
      <c r="L425" s="87"/>
      <c r="M425" s="52" t="e">
        <v>#N/A</v>
      </c>
      <c r="N425" s="52"/>
      <c r="O425" s="52"/>
      <c r="P425" s="52"/>
      <c r="Q425" s="52"/>
      <c r="R425" s="52"/>
      <c r="S425" s="52"/>
      <c r="T425" s="52"/>
      <c r="U425" s="52"/>
      <c r="V425" s="52"/>
      <c r="W425" s="53"/>
      <c r="X425" s="23"/>
      <c r="Y425" s="52"/>
      <c r="Z425" s="52"/>
      <c r="AA425" s="52"/>
      <c r="AB425" s="52"/>
      <c r="AC425" s="52"/>
      <c r="AD425" s="52"/>
      <c r="AE425" s="52"/>
    </row>
    <row r="426" spans="2:31" x14ac:dyDescent="0.25">
      <c r="B426" s="52"/>
      <c r="C426" s="52"/>
      <c r="D426" s="52"/>
      <c r="E426" s="52" t="str">
        <f t="shared" si="19"/>
        <v>PROG</v>
      </c>
      <c r="F426" s="52"/>
      <c r="G426" s="52" t="str">
        <f t="shared" si="20"/>
        <v>P</v>
      </c>
      <c r="H426" s="52"/>
      <c r="I426" s="52"/>
      <c r="J426" s="52" t="str">
        <f t="shared" si="21"/>
        <v>ELEM</v>
      </c>
      <c r="K426" s="52"/>
      <c r="L426" s="87"/>
      <c r="M426" s="52" t="e">
        <v>#N/A</v>
      </c>
      <c r="N426" s="52"/>
      <c r="O426" s="52"/>
      <c r="P426" s="52"/>
      <c r="Q426" s="52"/>
      <c r="R426" s="52"/>
      <c r="S426" s="52"/>
      <c r="T426" s="52"/>
      <c r="U426" s="52"/>
      <c r="V426" s="52"/>
      <c r="W426" s="53"/>
      <c r="X426" s="23"/>
      <c r="Y426" s="52"/>
      <c r="Z426" s="52"/>
      <c r="AA426" s="52"/>
      <c r="AB426" s="52"/>
      <c r="AC426" s="52"/>
      <c r="AD426" s="52"/>
      <c r="AE426" s="52"/>
    </row>
    <row r="427" spans="2:31" x14ac:dyDescent="0.25">
      <c r="B427" s="52"/>
      <c r="C427" s="52"/>
      <c r="D427" s="52"/>
      <c r="E427" s="52" t="str">
        <f t="shared" si="19"/>
        <v>PROG</v>
      </c>
      <c r="F427" s="52"/>
      <c r="G427" s="52" t="str">
        <f t="shared" si="20"/>
        <v>P</v>
      </c>
      <c r="H427" s="52"/>
      <c r="I427" s="52"/>
      <c r="J427" s="52" t="str">
        <f t="shared" si="21"/>
        <v>ELEM</v>
      </c>
      <c r="K427" s="52"/>
      <c r="L427" s="87"/>
      <c r="M427" s="52" t="e">
        <v>#N/A</v>
      </c>
      <c r="N427" s="52"/>
      <c r="O427" s="52"/>
      <c r="P427" s="52"/>
      <c r="Q427" s="52"/>
      <c r="R427" s="52"/>
      <c r="S427" s="52"/>
      <c r="T427" s="52"/>
      <c r="U427" s="52"/>
      <c r="V427" s="52"/>
      <c r="W427" s="53"/>
      <c r="X427" s="23"/>
      <c r="Y427" s="52"/>
      <c r="Z427" s="52"/>
      <c r="AA427" s="52"/>
      <c r="AB427" s="52"/>
      <c r="AC427" s="52"/>
      <c r="AD427" s="52"/>
      <c r="AE427" s="52"/>
    </row>
    <row r="428" spans="2:31" x14ac:dyDescent="0.25">
      <c r="B428" s="52"/>
      <c r="C428" s="52"/>
      <c r="D428" s="52"/>
      <c r="E428" s="52" t="str">
        <f t="shared" si="19"/>
        <v>PROG</v>
      </c>
      <c r="F428" s="52"/>
      <c r="G428" s="52" t="str">
        <f t="shared" si="20"/>
        <v>P</v>
      </c>
      <c r="H428" s="52"/>
      <c r="I428" s="52"/>
      <c r="J428" s="52" t="str">
        <f t="shared" si="21"/>
        <v>ELEM</v>
      </c>
      <c r="K428" s="52"/>
      <c r="L428" s="87"/>
      <c r="M428" s="52" t="e">
        <v>#N/A</v>
      </c>
      <c r="N428" s="52"/>
      <c r="O428" s="52"/>
      <c r="P428" s="52"/>
      <c r="Q428" s="52"/>
      <c r="R428" s="52"/>
      <c r="S428" s="52"/>
      <c r="T428" s="52"/>
      <c r="U428" s="52"/>
      <c r="V428" s="52"/>
      <c r="W428" s="53"/>
      <c r="X428" s="23"/>
      <c r="Y428" s="52"/>
      <c r="Z428" s="52"/>
      <c r="AA428" s="52"/>
      <c r="AB428" s="52"/>
      <c r="AC428" s="52"/>
      <c r="AD428" s="52"/>
      <c r="AE428" s="52"/>
    </row>
    <row r="429" spans="2:31" x14ac:dyDescent="0.25">
      <c r="B429" s="52"/>
      <c r="C429" s="52"/>
      <c r="D429" s="52"/>
      <c r="E429" s="52" t="str">
        <f t="shared" si="19"/>
        <v>PROG</v>
      </c>
      <c r="F429" s="52"/>
      <c r="G429" s="52" t="str">
        <f t="shared" si="20"/>
        <v>P</v>
      </c>
      <c r="H429" s="52"/>
      <c r="I429" s="52"/>
      <c r="J429" s="52" t="str">
        <f t="shared" si="21"/>
        <v>ELEM</v>
      </c>
      <c r="K429" s="52"/>
      <c r="L429" s="87"/>
      <c r="M429" s="52" t="e">
        <v>#N/A</v>
      </c>
      <c r="N429" s="52"/>
      <c r="O429" s="52"/>
      <c r="P429" s="52"/>
      <c r="Q429" s="52"/>
      <c r="R429" s="52"/>
      <c r="S429" s="52"/>
      <c r="T429" s="52"/>
      <c r="U429" s="52"/>
      <c r="V429" s="52"/>
      <c r="W429" s="53"/>
      <c r="X429" s="23"/>
      <c r="Y429" s="52"/>
      <c r="Z429" s="52"/>
      <c r="AA429" s="52"/>
      <c r="AB429" s="52"/>
      <c r="AC429" s="52"/>
      <c r="AD429" s="52"/>
      <c r="AE429" s="52"/>
    </row>
    <row r="430" spans="2:31" x14ac:dyDescent="0.25">
      <c r="B430" s="52"/>
      <c r="C430" s="52"/>
      <c r="D430" s="52"/>
      <c r="E430" s="52" t="str">
        <f t="shared" si="19"/>
        <v>PROG</v>
      </c>
      <c r="F430" s="52"/>
      <c r="G430" s="52" t="str">
        <f t="shared" si="20"/>
        <v>P</v>
      </c>
      <c r="H430" s="52"/>
      <c r="I430" s="52"/>
      <c r="J430" s="52" t="str">
        <f t="shared" si="21"/>
        <v>ELEM</v>
      </c>
      <c r="K430" s="52"/>
      <c r="L430" s="87"/>
      <c r="M430" s="52" t="e">
        <v>#N/A</v>
      </c>
      <c r="N430" s="52"/>
      <c r="O430" s="52"/>
      <c r="P430" s="52"/>
      <c r="Q430" s="52"/>
      <c r="R430" s="52"/>
      <c r="S430" s="52"/>
      <c r="T430" s="52"/>
      <c r="U430" s="52"/>
      <c r="V430" s="52"/>
      <c r="W430" s="53"/>
      <c r="X430" s="23"/>
      <c r="Y430" s="52"/>
      <c r="Z430" s="52"/>
      <c r="AA430" s="52"/>
      <c r="AB430" s="52"/>
      <c r="AC430" s="52"/>
      <c r="AD430" s="52"/>
      <c r="AE430" s="52"/>
    </row>
    <row r="431" spans="2:31" x14ac:dyDescent="0.25">
      <c r="B431" s="52"/>
      <c r="C431" s="52"/>
      <c r="D431" s="52"/>
      <c r="E431" s="52" t="str">
        <f t="shared" si="19"/>
        <v>PROG</v>
      </c>
      <c r="F431" s="52"/>
      <c r="G431" s="52" t="str">
        <f t="shared" si="20"/>
        <v>P</v>
      </c>
      <c r="H431" s="52"/>
      <c r="I431" s="52"/>
      <c r="J431" s="52" t="str">
        <f t="shared" si="21"/>
        <v>ELEM</v>
      </c>
      <c r="K431" s="52"/>
      <c r="L431" s="87"/>
      <c r="M431" s="52" t="e">
        <v>#N/A</v>
      </c>
      <c r="N431" s="52"/>
      <c r="O431" s="52"/>
      <c r="P431" s="52"/>
      <c r="Q431" s="52"/>
      <c r="R431" s="52"/>
      <c r="S431" s="52"/>
      <c r="T431" s="52"/>
      <c r="U431" s="52"/>
      <c r="V431" s="52"/>
      <c r="W431" s="53"/>
      <c r="X431" s="23"/>
      <c r="Y431" s="52"/>
      <c r="Z431" s="52"/>
      <c r="AA431" s="52"/>
      <c r="AB431" s="52"/>
      <c r="AC431" s="52"/>
      <c r="AD431" s="52"/>
      <c r="AE431" s="52"/>
    </row>
    <row r="432" spans="2:31" x14ac:dyDescent="0.25">
      <c r="B432" s="52"/>
      <c r="C432" s="52"/>
      <c r="D432" s="52"/>
      <c r="E432" s="52" t="str">
        <f t="shared" si="19"/>
        <v>PROG</v>
      </c>
      <c r="F432" s="52"/>
      <c r="G432" s="52" t="str">
        <f t="shared" si="20"/>
        <v>P</v>
      </c>
      <c r="H432" s="52"/>
      <c r="I432" s="52"/>
      <c r="J432" s="52" t="str">
        <f t="shared" si="21"/>
        <v>ELEM</v>
      </c>
      <c r="K432" s="52"/>
      <c r="L432" s="87"/>
      <c r="M432" s="52" t="e">
        <v>#N/A</v>
      </c>
      <c r="N432" s="52"/>
      <c r="O432" s="52"/>
      <c r="P432" s="52"/>
      <c r="Q432" s="52"/>
      <c r="R432" s="52"/>
      <c r="S432" s="52"/>
      <c r="T432" s="52"/>
      <c r="U432" s="52"/>
      <c r="V432" s="52"/>
      <c r="W432" s="53"/>
      <c r="X432" s="23"/>
      <c r="Y432" s="52"/>
      <c r="Z432" s="52"/>
      <c r="AA432" s="52"/>
      <c r="AB432" s="52"/>
      <c r="AC432" s="52"/>
      <c r="AD432" s="52"/>
      <c r="AE432" s="52"/>
    </row>
    <row r="433" spans="2:31" x14ac:dyDescent="0.25">
      <c r="B433" s="52"/>
      <c r="C433" s="52"/>
      <c r="D433" s="52"/>
      <c r="E433" s="52" t="str">
        <f t="shared" si="19"/>
        <v>PROG</v>
      </c>
      <c r="F433" s="52"/>
      <c r="G433" s="52" t="str">
        <f t="shared" si="20"/>
        <v>P</v>
      </c>
      <c r="H433" s="52"/>
      <c r="I433" s="52"/>
      <c r="J433" s="52" t="str">
        <f t="shared" si="21"/>
        <v>ELEM</v>
      </c>
      <c r="K433" s="52"/>
      <c r="L433" s="87"/>
      <c r="M433" s="52" t="e">
        <v>#N/A</v>
      </c>
      <c r="N433" s="52"/>
      <c r="O433" s="52"/>
      <c r="P433" s="52"/>
      <c r="Q433" s="52"/>
      <c r="R433" s="52"/>
      <c r="S433" s="52"/>
      <c r="T433" s="52"/>
      <c r="U433" s="52"/>
      <c r="V433" s="52"/>
      <c r="W433" s="53"/>
      <c r="X433" s="23"/>
      <c r="Y433" s="52"/>
      <c r="Z433" s="52"/>
      <c r="AA433" s="52"/>
      <c r="AB433" s="52"/>
      <c r="AC433" s="52"/>
      <c r="AD433" s="52"/>
      <c r="AE433" s="52"/>
    </row>
    <row r="434" spans="2:31" x14ac:dyDescent="0.25">
      <c r="B434" s="52"/>
      <c r="C434" s="52"/>
      <c r="D434" s="52"/>
      <c r="E434" s="52" t="str">
        <f t="shared" si="19"/>
        <v>PROG</v>
      </c>
      <c r="F434" s="52"/>
      <c r="G434" s="52" t="str">
        <f t="shared" si="20"/>
        <v>P</v>
      </c>
      <c r="H434" s="52"/>
      <c r="I434" s="52"/>
      <c r="J434" s="52" t="str">
        <f t="shared" si="21"/>
        <v>ELEM</v>
      </c>
      <c r="K434" s="52"/>
      <c r="L434" s="87"/>
      <c r="M434" s="52" t="e">
        <v>#N/A</v>
      </c>
      <c r="N434" s="52"/>
      <c r="O434" s="52"/>
      <c r="P434" s="52"/>
      <c r="Q434" s="52"/>
      <c r="R434" s="52"/>
      <c r="S434" s="52"/>
      <c r="T434" s="52"/>
      <c r="U434" s="52"/>
      <c r="V434" s="52"/>
      <c r="W434" s="53"/>
      <c r="X434" s="23"/>
      <c r="Y434" s="52"/>
      <c r="Z434" s="52"/>
      <c r="AA434" s="52"/>
      <c r="AB434" s="52"/>
      <c r="AC434" s="52"/>
      <c r="AD434" s="52"/>
      <c r="AE434" s="52"/>
    </row>
    <row r="435" spans="2:31" x14ac:dyDescent="0.25">
      <c r="B435" s="52"/>
      <c r="C435" s="52"/>
      <c r="D435" s="52"/>
      <c r="E435" s="52" t="str">
        <f t="shared" si="19"/>
        <v>PROG</v>
      </c>
      <c r="F435" s="52"/>
      <c r="G435" s="52" t="str">
        <f t="shared" si="20"/>
        <v>P</v>
      </c>
      <c r="H435" s="52"/>
      <c r="I435" s="52"/>
      <c r="J435" s="52" t="str">
        <f t="shared" si="21"/>
        <v>ELEM</v>
      </c>
      <c r="K435" s="52"/>
      <c r="L435" s="87"/>
      <c r="M435" s="52" t="e">
        <v>#N/A</v>
      </c>
      <c r="N435" s="52"/>
      <c r="O435" s="52"/>
      <c r="P435" s="52"/>
      <c r="Q435" s="52"/>
      <c r="R435" s="52"/>
      <c r="S435" s="52"/>
      <c r="T435" s="52"/>
      <c r="U435" s="52"/>
      <c r="V435" s="52"/>
      <c r="W435" s="53"/>
      <c r="X435" s="23"/>
      <c r="Y435" s="52"/>
      <c r="Z435" s="52"/>
      <c r="AA435" s="52"/>
      <c r="AB435" s="52"/>
      <c r="AC435" s="52"/>
      <c r="AD435" s="52"/>
      <c r="AE435" s="52"/>
    </row>
    <row r="436" spans="2:31" x14ac:dyDescent="0.25">
      <c r="B436" s="52"/>
      <c r="C436" s="52"/>
      <c r="D436" s="52"/>
      <c r="E436" s="52" t="str">
        <f t="shared" si="19"/>
        <v>PROG</v>
      </c>
      <c r="F436" s="52"/>
      <c r="G436" s="52" t="str">
        <f t="shared" si="20"/>
        <v>P</v>
      </c>
      <c r="H436" s="52"/>
      <c r="I436" s="52"/>
      <c r="J436" s="52" t="str">
        <f t="shared" si="21"/>
        <v>ELEM</v>
      </c>
      <c r="K436" s="52"/>
      <c r="L436" s="87"/>
      <c r="M436" s="52" t="e">
        <v>#N/A</v>
      </c>
      <c r="N436" s="52"/>
      <c r="O436" s="52"/>
      <c r="P436" s="52"/>
      <c r="Q436" s="52"/>
      <c r="R436" s="52"/>
      <c r="S436" s="52"/>
      <c r="T436" s="52"/>
      <c r="U436" s="52"/>
      <c r="V436" s="52"/>
      <c r="W436" s="53"/>
      <c r="X436" s="23"/>
      <c r="Y436" s="52"/>
      <c r="Z436" s="52"/>
      <c r="AA436" s="52"/>
      <c r="AB436" s="52"/>
      <c r="AC436" s="52"/>
      <c r="AD436" s="52"/>
      <c r="AE436" s="52"/>
    </row>
    <row r="437" spans="2:31" x14ac:dyDescent="0.25">
      <c r="B437" s="52"/>
      <c r="C437" s="52"/>
      <c r="D437" s="52"/>
      <c r="E437" s="52" t="str">
        <f t="shared" si="19"/>
        <v>PROG</v>
      </c>
      <c r="F437" s="52"/>
      <c r="G437" s="52" t="str">
        <f t="shared" si="20"/>
        <v>P</v>
      </c>
      <c r="H437" s="52"/>
      <c r="I437" s="52"/>
      <c r="J437" s="52" t="str">
        <f t="shared" si="21"/>
        <v>ELEM</v>
      </c>
      <c r="K437" s="52"/>
      <c r="L437" s="87"/>
      <c r="M437" s="52" t="e">
        <v>#N/A</v>
      </c>
      <c r="N437" s="52"/>
      <c r="O437" s="52"/>
      <c r="P437" s="52"/>
      <c r="Q437" s="52"/>
      <c r="R437" s="52"/>
      <c r="S437" s="52"/>
      <c r="T437" s="52"/>
      <c r="U437" s="52"/>
      <c r="V437" s="52"/>
      <c r="W437" s="53"/>
      <c r="X437" s="23"/>
      <c r="Y437" s="52"/>
      <c r="Z437" s="52"/>
      <c r="AA437" s="52"/>
      <c r="AB437" s="52"/>
      <c r="AC437" s="52"/>
      <c r="AD437" s="52"/>
      <c r="AE437" s="52"/>
    </row>
    <row r="438" spans="2:31" x14ac:dyDescent="0.25">
      <c r="B438" s="52"/>
      <c r="C438" s="52"/>
      <c r="D438" s="52"/>
      <c r="E438" s="52" t="str">
        <f t="shared" si="19"/>
        <v>PROG</v>
      </c>
      <c r="F438" s="52"/>
      <c r="G438" s="52" t="str">
        <f t="shared" si="20"/>
        <v>P</v>
      </c>
      <c r="H438" s="52"/>
      <c r="I438" s="52"/>
      <c r="J438" s="52" t="str">
        <f t="shared" si="21"/>
        <v>ELEM</v>
      </c>
      <c r="K438" s="52"/>
      <c r="L438" s="87"/>
      <c r="M438" s="52" t="e">
        <v>#N/A</v>
      </c>
      <c r="N438" s="52"/>
      <c r="O438" s="52"/>
      <c r="P438" s="52"/>
      <c r="Q438" s="52"/>
      <c r="R438" s="52"/>
      <c r="S438" s="52"/>
      <c r="T438" s="52"/>
      <c r="U438" s="52"/>
      <c r="V438" s="52"/>
      <c r="W438" s="53"/>
      <c r="X438" s="23"/>
      <c r="Y438" s="52"/>
      <c r="Z438" s="52"/>
      <c r="AA438" s="52"/>
      <c r="AB438" s="52"/>
      <c r="AC438" s="52"/>
      <c r="AD438" s="52"/>
      <c r="AE438" s="52"/>
    </row>
    <row r="439" spans="2:31" x14ac:dyDescent="0.25">
      <c r="B439" s="52"/>
      <c r="C439" s="52"/>
      <c r="D439" s="52"/>
      <c r="E439" s="52" t="str">
        <f t="shared" si="19"/>
        <v>PROG</v>
      </c>
      <c r="F439" s="52"/>
      <c r="G439" s="52" t="str">
        <f t="shared" si="20"/>
        <v>P</v>
      </c>
      <c r="H439" s="52"/>
      <c r="I439" s="52"/>
      <c r="J439" s="52" t="str">
        <f t="shared" si="21"/>
        <v>ELEM</v>
      </c>
      <c r="K439" s="52"/>
      <c r="L439" s="87"/>
      <c r="M439" s="52" t="e">
        <v>#N/A</v>
      </c>
      <c r="N439" s="52"/>
      <c r="O439" s="52"/>
      <c r="P439" s="52"/>
      <c r="Q439" s="52"/>
      <c r="R439" s="52"/>
      <c r="S439" s="52"/>
      <c r="T439" s="52"/>
      <c r="U439" s="52"/>
      <c r="V439" s="52"/>
      <c r="W439" s="53"/>
      <c r="X439" s="23"/>
      <c r="Y439" s="52"/>
      <c r="Z439" s="52"/>
      <c r="AA439" s="52"/>
      <c r="AB439" s="52"/>
      <c r="AC439" s="52"/>
      <c r="AD439" s="52"/>
      <c r="AE439" s="52"/>
    </row>
    <row r="440" spans="2:31" x14ac:dyDescent="0.25">
      <c r="B440" s="52"/>
      <c r="C440" s="52"/>
      <c r="D440" s="52"/>
      <c r="E440" s="52" t="str">
        <f t="shared" si="19"/>
        <v>PROG</v>
      </c>
      <c r="F440" s="52"/>
      <c r="G440" s="52" t="str">
        <f t="shared" si="20"/>
        <v>P</v>
      </c>
      <c r="H440" s="52"/>
      <c r="I440" s="52"/>
      <c r="J440" s="52" t="str">
        <f t="shared" si="21"/>
        <v>ELEM</v>
      </c>
      <c r="K440" s="52"/>
      <c r="L440" s="87"/>
      <c r="M440" s="52" t="e">
        <v>#N/A</v>
      </c>
      <c r="N440" s="52"/>
      <c r="O440" s="52"/>
      <c r="P440" s="52"/>
      <c r="Q440" s="52"/>
      <c r="R440" s="52"/>
      <c r="S440" s="52"/>
      <c r="T440" s="52"/>
      <c r="U440" s="52"/>
      <c r="V440" s="52"/>
      <c r="W440" s="53"/>
      <c r="X440" s="23"/>
      <c r="Y440" s="52"/>
      <c r="Z440" s="52"/>
      <c r="AA440" s="52"/>
      <c r="AB440" s="52"/>
      <c r="AC440" s="52"/>
      <c r="AD440" s="52"/>
      <c r="AE440" s="52"/>
    </row>
    <row r="441" spans="2:31" x14ac:dyDescent="0.25">
      <c r="B441" s="52"/>
      <c r="C441" s="52"/>
      <c r="D441" s="52"/>
      <c r="E441" s="52" t="str">
        <f t="shared" si="19"/>
        <v>PROG</v>
      </c>
      <c r="F441" s="52"/>
      <c r="G441" s="52" t="str">
        <f t="shared" si="20"/>
        <v>P</v>
      </c>
      <c r="H441" s="52"/>
      <c r="I441" s="52"/>
      <c r="J441" s="52" t="str">
        <f t="shared" si="21"/>
        <v>ELEM</v>
      </c>
      <c r="K441" s="52"/>
      <c r="L441" s="87"/>
      <c r="M441" s="52" t="e">
        <v>#N/A</v>
      </c>
      <c r="N441" s="52"/>
      <c r="O441" s="52"/>
      <c r="P441" s="52"/>
      <c r="Q441" s="52"/>
      <c r="R441" s="52"/>
      <c r="S441" s="52"/>
      <c r="T441" s="52"/>
      <c r="U441" s="52"/>
      <c r="V441" s="52"/>
      <c r="W441" s="53"/>
      <c r="X441" s="23"/>
      <c r="Y441" s="52"/>
      <c r="Z441" s="52"/>
      <c r="AA441" s="52"/>
      <c r="AB441" s="52"/>
      <c r="AC441" s="52"/>
      <c r="AD441" s="52"/>
      <c r="AE441" s="52"/>
    </row>
    <row r="442" spans="2:31" x14ac:dyDescent="0.25">
      <c r="B442" s="52"/>
      <c r="C442" s="52"/>
      <c r="D442" s="52"/>
      <c r="E442" s="52" t="str">
        <f t="shared" si="19"/>
        <v>PROG</v>
      </c>
      <c r="F442" s="52"/>
      <c r="G442" s="52" t="str">
        <f t="shared" si="20"/>
        <v>P</v>
      </c>
      <c r="H442" s="52"/>
      <c r="I442" s="52"/>
      <c r="J442" s="52" t="str">
        <f t="shared" si="21"/>
        <v>ELEM</v>
      </c>
      <c r="K442" s="52"/>
      <c r="L442" s="87"/>
      <c r="M442" s="52" t="e">
        <v>#N/A</v>
      </c>
      <c r="N442" s="52"/>
      <c r="O442" s="52"/>
      <c r="P442" s="52"/>
      <c r="Q442" s="52"/>
      <c r="R442" s="52"/>
      <c r="S442" s="52"/>
      <c r="T442" s="52"/>
      <c r="U442" s="52"/>
      <c r="V442" s="52"/>
      <c r="W442" s="53"/>
      <c r="X442" s="23"/>
      <c r="Y442" s="52"/>
      <c r="Z442" s="52"/>
      <c r="AA442" s="52"/>
      <c r="AB442" s="52"/>
      <c r="AC442" s="52"/>
      <c r="AD442" s="52"/>
      <c r="AE442" s="52"/>
    </row>
    <row r="443" spans="2:31" x14ac:dyDescent="0.25">
      <c r="B443" s="52"/>
      <c r="C443" s="52"/>
      <c r="D443" s="52"/>
      <c r="E443" s="52" t="str">
        <f t="shared" si="19"/>
        <v>PROG</v>
      </c>
      <c r="F443" s="52"/>
      <c r="G443" s="52" t="str">
        <f t="shared" si="20"/>
        <v>P</v>
      </c>
      <c r="H443" s="52"/>
      <c r="I443" s="52"/>
      <c r="J443" s="52" t="str">
        <f t="shared" si="21"/>
        <v>ELEM</v>
      </c>
      <c r="K443" s="52"/>
      <c r="L443" s="87"/>
      <c r="M443" s="52" t="e">
        <v>#N/A</v>
      </c>
      <c r="N443" s="52"/>
      <c r="O443" s="52"/>
      <c r="P443" s="52"/>
      <c r="Q443" s="52"/>
      <c r="R443" s="52"/>
      <c r="S443" s="52"/>
      <c r="T443" s="52"/>
      <c r="U443" s="52"/>
      <c r="V443" s="52"/>
      <c r="W443" s="53"/>
      <c r="X443" s="23"/>
      <c r="Y443" s="52"/>
      <c r="Z443" s="52"/>
      <c r="AA443" s="52"/>
      <c r="AB443" s="52"/>
      <c r="AC443" s="52"/>
      <c r="AD443" s="52"/>
      <c r="AE443" s="52"/>
    </row>
    <row r="444" spans="2:31" x14ac:dyDescent="0.25">
      <c r="B444" s="52"/>
      <c r="C444" s="52"/>
      <c r="D444" s="52"/>
      <c r="E444" s="52" t="str">
        <f t="shared" si="19"/>
        <v>PROG</v>
      </c>
      <c r="F444" s="52"/>
      <c r="G444" s="52" t="str">
        <f t="shared" si="20"/>
        <v>P</v>
      </c>
      <c r="H444" s="52"/>
      <c r="I444" s="52"/>
      <c r="J444" s="52" t="str">
        <f t="shared" si="21"/>
        <v>ELEM</v>
      </c>
      <c r="K444" s="52"/>
      <c r="L444" s="87"/>
      <c r="M444" s="52" t="e">
        <v>#N/A</v>
      </c>
      <c r="N444" s="52"/>
      <c r="O444" s="52"/>
      <c r="P444" s="52"/>
      <c r="Q444" s="52"/>
      <c r="R444" s="52"/>
      <c r="S444" s="52"/>
      <c r="T444" s="52"/>
      <c r="U444" s="52"/>
      <c r="V444" s="52"/>
      <c r="W444" s="53"/>
      <c r="X444" s="23"/>
      <c r="Y444" s="52"/>
      <c r="Z444" s="52"/>
      <c r="AA444" s="52"/>
      <c r="AB444" s="52"/>
      <c r="AC444" s="52"/>
      <c r="AD444" s="52"/>
      <c r="AE444" s="52"/>
    </row>
    <row r="445" spans="2:31" x14ac:dyDescent="0.25">
      <c r="B445" s="52"/>
      <c r="C445" s="52"/>
      <c r="D445" s="52"/>
      <c r="E445" s="52" t="str">
        <f t="shared" si="19"/>
        <v>PROG</v>
      </c>
      <c r="F445" s="52"/>
      <c r="G445" s="52" t="str">
        <f t="shared" si="20"/>
        <v>P</v>
      </c>
      <c r="H445" s="52"/>
      <c r="I445" s="52"/>
      <c r="J445" s="52" t="str">
        <f t="shared" si="21"/>
        <v>ELEM</v>
      </c>
      <c r="K445" s="52"/>
      <c r="L445" s="87"/>
      <c r="M445" s="52" t="e">
        <v>#N/A</v>
      </c>
      <c r="N445" s="52"/>
      <c r="O445" s="52"/>
      <c r="P445" s="52"/>
      <c r="Q445" s="52"/>
      <c r="R445" s="52"/>
      <c r="S445" s="52"/>
      <c r="T445" s="52"/>
      <c r="U445" s="52"/>
      <c r="V445" s="52"/>
      <c r="W445" s="53"/>
      <c r="X445" s="23"/>
      <c r="Y445" s="52"/>
      <c r="Z445" s="52"/>
      <c r="AA445" s="52"/>
      <c r="AB445" s="52"/>
      <c r="AC445" s="52"/>
      <c r="AD445" s="52"/>
      <c r="AE445" s="52"/>
    </row>
    <row r="446" spans="2:31" x14ac:dyDescent="0.25">
      <c r="B446" s="52"/>
      <c r="C446" s="52"/>
      <c r="D446" s="52"/>
      <c r="E446" s="52" t="str">
        <f t="shared" si="19"/>
        <v>PROG</v>
      </c>
      <c r="F446" s="52"/>
      <c r="G446" s="52" t="str">
        <f t="shared" si="20"/>
        <v>P</v>
      </c>
      <c r="H446" s="52"/>
      <c r="I446" s="52"/>
      <c r="J446" s="52" t="str">
        <f t="shared" si="21"/>
        <v>ELEM</v>
      </c>
      <c r="K446" s="52"/>
      <c r="L446" s="87"/>
      <c r="M446" s="52" t="e">
        <v>#N/A</v>
      </c>
      <c r="N446" s="52"/>
      <c r="O446" s="52"/>
      <c r="P446" s="52"/>
      <c r="Q446" s="52"/>
      <c r="R446" s="52"/>
      <c r="S446" s="52"/>
      <c r="T446" s="52"/>
      <c r="U446" s="52"/>
      <c r="V446" s="52"/>
      <c r="W446" s="53"/>
      <c r="X446" s="23"/>
      <c r="Y446" s="52"/>
      <c r="Z446" s="52"/>
      <c r="AA446" s="52"/>
      <c r="AB446" s="52"/>
      <c r="AC446" s="52"/>
      <c r="AD446" s="52"/>
      <c r="AE446" s="52"/>
    </row>
    <row r="447" spans="2:31" x14ac:dyDescent="0.25">
      <c r="B447" s="52"/>
      <c r="C447" s="52"/>
      <c r="D447" s="52"/>
      <c r="E447" s="52" t="str">
        <f t="shared" si="19"/>
        <v>PROG</v>
      </c>
      <c r="F447" s="52"/>
      <c r="G447" s="52" t="str">
        <f t="shared" si="20"/>
        <v>P</v>
      </c>
      <c r="H447" s="52"/>
      <c r="I447" s="52"/>
      <c r="J447" s="52" t="str">
        <f t="shared" si="21"/>
        <v>ELEM</v>
      </c>
      <c r="K447" s="52"/>
      <c r="L447" s="87"/>
      <c r="M447" s="52" t="e">
        <v>#N/A</v>
      </c>
      <c r="N447" s="52"/>
      <c r="O447" s="52"/>
      <c r="P447" s="52"/>
      <c r="Q447" s="52"/>
      <c r="R447" s="52"/>
      <c r="S447" s="52"/>
      <c r="T447" s="52"/>
      <c r="U447" s="52"/>
      <c r="V447" s="52"/>
      <c r="W447" s="53"/>
      <c r="X447" s="23"/>
      <c r="Y447" s="52"/>
      <c r="Z447" s="52"/>
      <c r="AA447" s="52"/>
      <c r="AB447" s="52"/>
      <c r="AC447" s="52"/>
      <c r="AD447" s="52"/>
      <c r="AE447" s="52"/>
    </row>
    <row r="448" spans="2:31" x14ac:dyDescent="0.25">
      <c r="B448" s="52"/>
      <c r="C448" s="52"/>
      <c r="D448" s="52"/>
      <c r="E448" s="52" t="str">
        <f t="shared" si="19"/>
        <v>PROG</v>
      </c>
      <c r="F448" s="52"/>
      <c r="G448" s="52" t="str">
        <f t="shared" si="20"/>
        <v>P</v>
      </c>
      <c r="H448" s="52"/>
      <c r="I448" s="52"/>
      <c r="J448" s="52" t="str">
        <f t="shared" si="21"/>
        <v>ELEM</v>
      </c>
      <c r="K448" s="52"/>
      <c r="L448" s="87"/>
      <c r="M448" s="52" t="e">
        <v>#N/A</v>
      </c>
      <c r="N448" s="52"/>
      <c r="O448" s="52"/>
      <c r="P448" s="52"/>
      <c r="Q448" s="52"/>
      <c r="R448" s="52"/>
      <c r="S448" s="52"/>
      <c r="T448" s="52"/>
      <c r="U448" s="52"/>
      <c r="V448" s="52"/>
      <c r="W448" s="53"/>
      <c r="X448" s="23"/>
      <c r="Y448" s="52"/>
      <c r="Z448" s="52"/>
      <c r="AA448" s="52"/>
      <c r="AB448" s="52"/>
      <c r="AC448" s="52"/>
      <c r="AD448" s="52"/>
      <c r="AE448" s="52"/>
    </row>
    <row r="449" spans="2:31" x14ac:dyDescent="0.25">
      <c r="B449" s="52"/>
      <c r="C449" s="52"/>
      <c r="D449" s="52"/>
      <c r="E449" s="52" t="str">
        <f t="shared" si="19"/>
        <v>PROG</v>
      </c>
      <c r="F449" s="52"/>
      <c r="G449" s="52" t="str">
        <f t="shared" si="20"/>
        <v>P</v>
      </c>
      <c r="H449" s="52"/>
      <c r="I449" s="52"/>
      <c r="J449" s="52" t="str">
        <f t="shared" si="21"/>
        <v>ELEM</v>
      </c>
      <c r="K449" s="52"/>
      <c r="L449" s="87"/>
      <c r="M449" s="52" t="e">
        <v>#N/A</v>
      </c>
      <c r="N449" s="52"/>
      <c r="O449" s="52"/>
      <c r="P449" s="52"/>
      <c r="Q449" s="52"/>
      <c r="R449" s="52"/>
      <c r="S449" s="52"/>
      <c r="T449" s="52"/>
      <c r="U449" s="52"/>
      <c r="V449" s="52"/>
      <c r="W449" s="53"/>
      <c r="X449" s="23"/>
      <c r="Y449" s="52"/>
      <c r="Z449" s="52"/>
      <c r="AA449" s="52"/>
      <c r="AB449" s="52"/>
      <c r="AC449" s="52"/>
      <c r="AD449" s="52"/>
      <c r="AE449" s="52"/>
    </row>
    <row r="450" spans="2:31" x14ac:dyDescent="0.25">
      <c r="B450" s="52"/>
      <c r="C450" s="52"/>
      <c r="D450" s="52"/>
      <c r="E450" s="52" t="str">
        <f t="shared" si="19"/>
        <v>PROG</v>
      </c>
      <c r="F450" s="52"/>
      <c r="G450" s="52" t="str">
        <f t="shared" si="20"/>
        <v>P</v>
      </c>
      <c r="H450" s="52"/>
      <c r="I450" s="52"/>
      <c r="J450" s="52" t="str">
        <f t="shared" si="21"/>
        <v>ELEM</v>
      </c>
      <c r="K450" s="52"/>
      <c r="L450" s="87"/>
      <c r="M450" s="52" t="e">
        <v>#N/A</v>
      </c>
      <c r="N450" s="52"/>
      <c r="O450" s="52"/>
      <c r="P450" s="52"/>
      <c r="Q450" s="52"/>
      <c r="R450" s="52"/>
      <c r="S450" s="52"/>
      <c r="T450" s="52"/>
      <c r="U450" s="52"/>
      <c r="V450" s="52"/>
      <c r="W450" s="53"/>
      <c r="X450" s="23"/>
      <c r="Y450" s="52"/>
      <c r="Z450" s="52"/>
      <c r="AA450" s="52"/>
      <c r="AB450" s="52"/>
      <c r="AC450" s="52"/>
      <c r="AD450" s="52"/>
      <c r="AE450" s="52"/>
    </row>
    <row r="451" spans="2:31" x14ac:dyDescent="0.25">
      <c r="B451" s="52"/>
      <c r="C451" s="52"/>
      <c r="D451" s="52"/>
      <c r="E451" s="52" t="str">
        <f t="shared" ref="E451:E501" si="22">CONCATENATE(A451,"PROG")</f>
        <v>PROG</v>
      </c>
      <c r="F451" s="52"/>
      <c r="G451" s="52" t="str">
        <f t="shared" ref="G451:G501" si="23">CONCATENATE("P",(LEFT(F451,3)),A451)</f>
        <v>P</v>
      </c>
      <c r="H451" s="52"/>
      <c r="I451" s="52"/>
      <c r="J451" s="52" t="str">
        <f t="shared" ref="J451:J501" si="24">CONCATENATE("ELEM",LEFT(I451,2))</f>
        <v>ELEM</v>
      </c>
      <c r="K451" s="52"/>
      <c r="L451" s="87"/>
      <c r="M451" s="52" t="e">
        <v>#N/A</v>
      </c>
      <c r="N451" s="52"/>
      <c r="O451" s="52"/>
      <c r="P451" s="52"/>
      <c r="Q451" s="52"/>
      <c r="R451" s="52"/>
      <c r="S451" s="52"/>
      <c r="T451" s="52"/>
      <c r="U451" s="52"/>
      <c r="V451" s="52"/>
      <c r="W451" s="53"/>
      <c r="X451" s="23"/>
      <c r="Y451" s="52"/>
      <c r="Z451" s="52"/>
      <c r="AA451" s="52"/>
      <c r="AB451" s="52"/>
      <c r="AC451" s="52"/>
      <c r="AD451" s="52"/>
      <c r="AE451" s="52"/>
    </row>
    <row r="452" spans="2:31" x14ac:dyDescent="0.25">
      <c r="B452" s="52"/>
      <c r="C452" s="52"/>
      <c r="D452" s="52"/>
      <c r="E452" s="52" t="str">
        <f t="shared" si="22"/>
        <v>PROG</v>
      </c>
      <c r="F452" s="52"/>
      <c r="G452" s="52" t="str">
        <f t="shared" si="23"/>
        <v>P</v>
      </c>
      <c r="H452" s="52"/>
      <c r="I452" s="52"/>
      <c r="J452" s="52" t="str">
        <f t="shared" si="24"/>
        <v>ELEM</v>
      </c>
      <c r="K452" s="52"/>
      <c r="L452" s="87"/>
      <c r="M452" s="52" t="e">
        <v>#N/A</v>
      </c>
      <c r="N452" s="52"/>
      <c r="O452" s="52"/>
      <c r="P452" s="52"/>
      <c r="Q452" s="52"/>
      <c r="R452" s="52"/>
      <c r="S452" s="52"/>
      <c r="T452" s="52"/>
      <c r="U452" s="52"/>
      <c r="V452" s="52"/>
      <c r="W452" s="53"/>
      <c r="X452" s="23"/>
      <c r="Y452" s="52"/>
      <c r="Z452" s="52"/>
      <c r="AA452" s="52"/>
      <c r="AB452" s="52"/>
      <c r="AC452" s="52"/>
      <c r="AD452" s="52"/>
      <c r="AE452" s="52"/>
    </row>
    <row r="453" spans="2:31" x14ac:dyDescent="0.25">
      <c r="B453" s="52"/>
      <c r="C453" s="52"/>
      <c r="D453" s="52"/>
      <c r="E453" s="52" t="str">
        <f t="shared" si="22"/>
        <v>PROG</v>
      </c>
      <c r="F453" s="52"/>
      <c r="G453" s="52" t="str">
        <f t="shared" si="23"/>
        <v>P</v>
      </c>
      <c r="H453" s="52"/>
      <c r="I453" s="52"/>
      <c r="J453" s="52" t="str">
        <f t="shared" si="24"/>
        <v>ELEM</v>
      </c>
      <c r="K453" s="52"/>
      <c r="L453" s="87"/>
      <c r="M453" s="52" t="e">
        <v>#N/A</v>
      </c>
      <c r="N453" s="52"/>
      <c r="O453" s="52"/>
      <c r="P453" s="52"/>
      <c r="Q453" s="52"/>
      <c r="R453" s="52"/>
      <c r="S453" s="52"/>
      <c r="T453" s="52"/>
      <c r="U453" s="52"/>
      <c r="V453" s="52"/>
      <c r="W453" s="53"/>
      <c r="X453" s="23"/>
      <c r="Y453" s="52"/>
      <c r="Z453" s="52"/>
      <c r="AA453" s="52"/>
      <c r="AB453" s="52"/>
      <c r="AC453" s="52"/>
      <c r="AD453" s="52"/>
      <c r="AE453" s="52"/>
    </row>
    <row r="454" spans="2:31" x14ac:dyDescent="0.25">
      <c r="B454" s="52"/>
      <c r="C454" s="52"/>
      <c r="D454" s="52"/>
      <c r="E454" s="52" t="str">
        <f t="shared" si="22"/>
        <v>PROG</v>
      </c>
      <c r="F454" s="52"/>
      <c r="G454" s="52" t="str">
        <f t="shared" si="23"/>
        <v>P</v>
      </c>
      <c r="H454" s="52"/>
      <c r="I454" s="52"/>
      <c r="J454" s="52" t="str">
        <f t="shared" si="24"/>
        <v>ELEM</v>
      </c>
      <c r="K454" s="52"/>
      <c r="L454" s="87"/>
      <c r="M454" s="52" t="e">
        <v>#N/A</v>
      </c>
      <c r="N454" s="52"/>
      <c r="O454" s="52"/>
      <c r="P454" s="52"/>
      <c r="Q454" s="52"/>
      <c r="R454" s="52"/>
      <c r="S454" s="52"/>
      <c r="T454" s="52"/>
      <c r="U454" s="52"/>
      <c r="V454" s="52"/>
      <c r="W454" s="53"/>
      <c r="X454" s="23"/>
      <c r="Y454" s="52"/>
      <c r="Z454" s="52"/>
      <c r="AA454" s="52"/>
      <c r="AB454" s="52"/>
      <c r="AC454" s="52"/>
      <c r="AD454" s="52"/>
      <c r="AE454" s="52"/>
    </row>
    <row r="455" spans="2:31" x14ac:dyDescent="0.25">
      <c r="B455" s="52"/>
      <c r="C455" s="52"/>
      <c r="D455" s="52"/>
      <c r="E455" s="52" t="str">
        <f t="shared" si="22"/>
        <v>PROG</v>
      </c>
      <c r="F455" s="52"/>
      <c r="G455" s="52" t="str">
        <f t="shared" si="23"/>
        <v>P</v>
      </c>
      <c r="H455" s="52"/>
      <c r="I455" s="52"/>
      <c r="J455" s="52" t="str">
        <f t="shared" si="24"/>
        <v>ELEM</v>
      </c>
      <c r="K455" s="52"/>
      <c r="L455" s="87"/>
      <c r="M455" s="52" t="e">
        <v>#N/A</v>
      </c>
      <c r="N455" s="52"/>
      <c r="O455" s="52"/>
      <c r="P455" s="52"/>
      <c r="Q455" s="52"/>
      <c r="R455" s="52"/>
      <c r="S455" s="52"/>
      <c r="T455" s="52"/>
      <c r="U455" s="52"/>
      <c r="V455" s="52"/>
      <c r="W455" s="53"/>
      <c r="X455" s="23"/>
      <c r="Y455" s="52"/>
      <c r="Z455" s="52"/>
      <c r="AA455" s="52"/>
      <c r="AB455" s="52"/>
      <c r="AC455" s="52"/>
      <c r="AD455" s="52"/>
      <c r="AE455" s="52"/>
    </row>
    <row r="456" spans="2:31" x14ac:dyDescent="0.25">
      <c r="B456" s="52"/>
      <c r="C456" s="52"/>
      <c r="D456" s="52"/>
      <c r="E456" s="52" t="str">
        <f t="shared" si="22"/>
        <v>PROG</v>
      </c>
      <c r="F456" s="52"/>
      <c r="G456" s="52" t="str">
        <f t="shared" si="23"/>
        <v>P</v>
      </c>
      <c r="H456" s="52"/>
      <c r="I456" s="52"/>
      <c r="J456" s="52" t="str">
        <f t="shared" si="24"/>
        <v>ELEM</v>
      </c>
      <c r="K456" s="52"/>
      <c r="L456" s="87"/>
      <c r="M456" s="52" t="e">
        <v>#N/A</v>
      </c>
      <c r="N456" s="52"/>
      <c r="O456" s="52"/>
      <c r="P456" s="52"/>
      <c r="Q456" s="52"/>
      <c r="R456" s="52"/>
      <c r="S456" s="52"/>
      <c r="T456" s="52"/>
      <c r="U456" s="52"/>
      <c r="V456" s="52"/>
      <c r="W456" s="53"/>
      <c r="X456" s="23"/>
      <c r="Y456" s="52"/>
      <c r="Z456" s="52"/>
      <c r="AA456" s="52"/>
      <c r="AB456" s="52"/>
      <c r="AC456" s="52"/>
      <c r="AD456" s="52"/>
      <c r="AE456" s="52"/>
    </row>
    <row r="457" spans="2:31" x14ac:dyDescent="0.25">
      <c r="B457" s="52"/>
      <c r="C457" s="52"/>
      <c r="D457" s="52"/>
      <c r="E457" s="52" t="str">
        <f t="shared" si="22"/>
        <v>PROG</v>
      </c>
      <c r="F457" s="52"/>
      <c r="G457" s="52" t="str">
        <f t="shared" si="23"/>
        <v>P</v>
      </c>
      <c r="H457" s="52"/>
      <c r="I457" s="52"/>
      <c r="J457" s="52" t="str">
        <f t="shared" si="24"/>
        <v>ELEM</v>
      </c>
      <c r="K457" s="52"/>
      <c r="L457" s="87"/>
      <c r="M457" s="52" t="e">
        <v>#N/A</v>
      </c>
      <c r="N457" s="52"/>
      <c r="O457" s="52"/>
      <c r="P457" s="52"/>
      <c r="Q457" s="52"/>
      <c r="R457" s="52"/>
      <c r="S457" s="52"/>
      <c r="T457" s="52"/>
      <c r="U457" s="52"/>
      <c r="V457" s="52"/>
      <c r="W457" s="53"/>
      <c r="X457" s="23"/>
      <c r="Y457" s="52"/>
      <c r="Z457" s="52"/>
      <c r="AA457" s="52"/>
      <c r="AB457" s="52"/>
      <c r="AC457" s="52"/>
      <c r="AD457" s="52"/>
      <c r="AE457" s="52"/>
    </row>
    <row r="458" spans="2:31" x14ac:dyDescent="0.25">
      <c r="B458" s="52"/>
      <c r="C458" s="52"/>
      <c r="D458" s="52"/>
      <c r="E458" s="52" t="str">
        <f t="shared" si="22"/>
        <v>PROG</v>
      </c>
      <c r="F458" s="52"/>
      <c r="G458" s="52" t="str">
        <f t="shared" si="23"/>
        <v>P</v>
      </c>
      <c r="H458" s="52"/>
      <c r="I458" s="52"/>
      <c r="J458" s="52" t="str">
        <f t="shared" si="24"/>
        <v>ELEM</v>
      </c>
      <c r="K458" s="52"/>
      <c r="L458" s="87"/>
      <c r="M458" s="52" t="e">
        <v>#N/A</v>
      </c>
      <c r="N458" s="52"/>
      <c r="O458" s="52"/>
      <c r="P458" s="52"/>
      <c r="Q458" s="52"/>
      <c r="R458" s="52"/>
      <c r="S458" s="52"/>
      <c r="T458" s="52"/>
      <c r="U458" s="52"/>
      <c r="V458" s="52"/>
      <c r="W458" s="53"/>
      <c r="X458" s="23"/>
      <c r="Y458" s="52"/>
      <c r="Z458" s="52"/>
      <c r="AA458" s="52"/>
      <c r="AB458" s="52"/>
      <c r="AC458" s="52"/>
      <c r="AD458" s="52"/>
      <c r="AE458" s="52"/>
    </row>
    <row r="459" spans="2:31" x14ac:dyDescent="0.25">
      <c r="B459" s="52"/>
      <c r="C459" s="52"/>
      <c r="D459" s="52"/>
      <c r="E459" s="52" t="str">
        <f t="shared" si="22"/>
        <v>PROG</v>
      </c>
      <c r="F459" s="52"/>
      <c r="G459" s="52" t="str">
        <f t="shared" si="23"/>
        <v>P</v>
      </c>
      <c r="H459" s="52"/>
      <c r="I459" s="52"/>
      <c r="J459" s="52" t="str">
        <f t="shared" si="24"/>
        <v>ELEM</v>
      </c>
      <c r="K459" s="52"/>
      <c r="L459" s="87"/>
      <c r="M459" s="52" t="e">
        <v>#N/A</v>
      </c>
      <c r="N459" s="52"/>
      <c r="O459" s="52"/>
      <c r="P459" s="52"/>
      <c r="Q459" s="52"/>
      <c r="R459" s="52"/>
      <c r="S459" s="52"/>
      <c r="T459" s="52"/>
      <c r="U459" s="52"/>
      <c r="V459" s="52"/>
      <c r="W459" s="53"/>
      <c r="X459" s="23"/>
      <c r="Y459" s="52"/>
      <c r="Z459" s="52"/>
      <c r="AA459" s="52"/>
      <c r="AB459" s="52"/>
      <c r="AC459" s="52"/>
      <c r="AD459" s="52"/>
      <c r="AE459" s="52"/>
    </row>
    <row r="460" spans="2:31" x14ac:dyDescent="0.25">
      <c r="B460" s="52"/>
      <c r="C460" s="52"/>
      <c r="D460" s="52"/>
      <c r="E460" s="52" t="str">
        <f t="shared" si="22"/>
        <v>PROG</v>
      </c>
      <c r="F460" s="52"/>
      <c r="G460" s="52" t="str">
        <f t="shared" si="23"/>
        <v>P</v>
      </c>
      <c r="H460" s="52"/>
      <c r="I460" s="52"/>
      <c r="J460" s="52" t="str">
        <f t="shared" si="24"/>
        <v>ELEM</v>
      </c>
      <c r="K460" s="52"/>
      <c r="L460" s="87"/>
      <c r="M460" s="52" t="e">
        <v>#N/A</v>
      </c>
      <c r="N460" s="52"/>
      <c r="O460" s="52"/>
      <c r="P460" s="52"/>
      <c r="Q460" s="52"/>
      <c r="R460" s="52"/>
      <c r="S460" s="52"/>
      <c r="T460" s="52"/>
      <c r="U460" s="52"/>
      <c r="V460" s="52"/>
      <c r="W460" s="53"/>
      <c r="X460" s="23"/>
      <c r="Y460" s="52"/>
      <c r="Z460" s="52"/>
      <c r="AA460" s="52"/>
      <c r="AB460" s="52"/>
      <c r="AC460" s="52"/>
      <c r="AD460" s="52"/>
      <c r="AE460" s="52"/>
    </row>
    <row r="461" spans="2:31" x14ac:dyDescent="0.25">
      <c r="B461" s="52"/>
      <c r="C461" s="52"/>
      <c r="D461" s="52"/>
      <c r="E461" s="52" t="str">
        <f t="shared" si="22"/>
        <v>PROG</v>
      </c>
      <c r="F461" s="52"/>
      <c r="G461" s="52" t="str">
        <f t="shared" si="23"/>
        <v>P</v>
      </c>
      <c r="H461" s="52"/>
      <c r="I461" s="52"/>
      <c r="J461" s="52" t="str">
        <f t="shared" si="24"/>
        <v>ELEM</v>
      </c>
      <c r="K461" s="52"/>
      <c r="L461" s="87"/>
      <c r="M461" s="52" t="e">
        <v>#N/A</v>
      </c>
      <c r="N461" s="52"/>
      <c r="O461" s="52"/>
      <c r="P461" s="52"/>
      <c r="Q461" s="52"/>
      <c r="R461" s="52"/>
      <c r="S461" s="52"/>
      <c r="T461" s="52"/>
      <c r="U461" s="52"/>
      <c r="V461" s="52"/>
      <c r="W461" s="53"/>
      <c r="X461" s="23"/>
      <c r="Y461" s="52"/>
      <c r="Z461" s="52"/>
      <c r="AA461" s="52"/>
      <c r="AB461" s="52"/>
      <c r="AC461" s="52"/>
      <c r="AD461" s="52"/>
      <c r="AE461" s="52"/>
    </row>
    <row r="462" spans="2:31" x14ac:dyDescent="0.25">
      <c r="B462" s="52"/>
      <c r="C462" s="52"/>
      <c r="D462" s="52"/>
      <c r="E462" s="52" t="str">
        <f t="shared" si="22"/>
        <v>PROG</v>
      </c>
      <c r="F462" s="52"/>
      <c r="G462" s="52" t="str">
        <f t="shared" si="23"/>
        <v>P</v>
      </c>
      <c r="H462" s="52"/>
      <c r="I462" s="52"/>
      <c r="J462" s="52" t="str">
        <f t="shared" si="24"/>
        <v>ELEM</v>
      </c>
      <c r="K462" s="52"/>
      <c r="L462" s="87"/>
      <c r="M462" s="52" t="e">
        <v>#N/A</v>
      </c>
      <c r="N462" s="52"/>
      <c r="O462" s="52"/>
      <c r="P462" s="52"/>
      <c r="Q462" s="52"/>
      <c r="R462" s="52"/>
      <c r="S462" s="52"/>
      <c r="T462" s="52"/>
      <c r="U462" s="52"/>
      <c r="V462" s="52"/>
      <c r="W462" s="53"/>
      <c r="X462" s="23"/>
      <c r="Y462" s="52"/>
      <c r="Z462" s="52"/>
      <c r="AA462" s="52"/>
      <c r="AB462" s="52"/>
      <c r="AC462" s="52"/>
      <c r="AD462" s="52"/>
      <c r="AE462" s="52"/>
    </row>
    <row r="463" spans="2:31" x14ac:dyDescent="0.25">
      <c r="B463" s="52"/>
      <c r="C463" s="52"/>
      <c r="D463" s="52"/>
      <c r="E463" s="52" t="str">
        <f t="shared" si="22"/>
        <v>PROG</v>
      </c>
      <c r="F463" s="52"/>
      <c r="G463" s="52" t="str">
        <f t="shared" si="23"/>
        <v>P</v>
      </c>
      <c r="H463" s="52"/>
      <c r="I463" s="52"/>
      <c r="J463" s="52" t="str">
        <f t="shared" si="24"/>
        <v>ELEM</v>
      </c>
      <c r="K463" s="52"/>
      <c r="L463" s="87"/>
      <c r="M463" s="52" t="e">
        <v>#N/A</v>
      </c>
      <c r="N463" s="52"/>
      <c r="O463" s="52"/>
      <c r="P463" s="52"/>
      <c r="Q463" s="52"/>
      <c r="R463" s="52"/>
      <c r="S463" s="52"/>
      <c r="T463" s="52"/>
      <c r="U463" s="52"/>
      <c r="V463" s="52"/>
      <c r="W463" s="53"/>
      <c r="X463" s="23"/>
      <c r="Y463" s="52"/>
      <c r="Z463" s="52"/>
      <c r="AA463" s="52"/>
      <c r="AB463" s="52"/>
      <c r="AC463" s="52"/>
      <c r="AD463" s="52"/>
      <c r="AE463" s="52"/>
    </row>
    <row r="464" spans="2:31" x14ac:dyDescent="0.25">
      <c r="B464" s="52"/>
      <c r="C464" s="52"/>
      <c r="D464" s="52"/>
      <c r="E464" s="52" t="str">
        <f t="shared" si="22"/>
        <v>PROG</v>
      </c>
      <c r="F464" s="52"/>
      <c r="G464" s="52" t="str">
        <f t="shared" si="23"/>
        <v>P</v>
      </c>
      <c r="H464" s="52"/>
      <c r="I464" s="52"/>
      <c r="J464" s="52" t="str">
        <f t="shared" si="24"/>
        <v>ELEM</v>
      </c>
      <c r="K464" s="52"/>
      <c r="L464" s="87"/>
      <c r="M464" s="52" t="e">
        <v>#N/A</v>
      </c>
      <c r="N464" s="52"/>
      <c r="O464" s="52"/>
      <c r="P464" s="52"/>
      <c r="Q464" s="52"/>
      <c r="R464" s="52"/>
      <c r="S464" s="52"/>
      <c r="T464" s="52"/>
      <c r="U464" s="52"/>
      <c r="V464" s="52"/>
      <c r="W464" s="53"/>
      <c r="X464" s="23"/>
      <c r="Y464" s="52"/>
      <c r="Z464" s="52"/>
      <c r="AA464" s="52"/>
      <c r="AB464" s="52"/>
      <c r="AC464" s="52"/>
      <c r="AD464" s="52"/>
      <c r="AE464" s="52"/>
    </row>
    <row r="465" spans="2:31" x14ac:dyDescent="0.25">
      <c r="B465" s="52"/>
      <c r="C465" s="52"/>
      <c r="D465" s="52"/>
      <c r="E465" s="52" t="str">
        <f t="shared" si="22"/>
        <v>PROG</v>
      </c>
      <c r="F465" s="52"/>
      <c r="G465" s="52" t="str">
        <f t="shared" si="23"/>
        <v>P</v>
      </c>
      <c r="H465" s="52"/>
      <c r="I465" s="52"/>
      <c r="J465" s="52" t="str">
        <f t="shared" si="24"/>
        <v>ELEM</v>
      </c>
      <c r="K465" s="52"/>
      <c r="L465" s="87"/>
      <c r="M465" s="52" t="e">
        <v>#N/A</v>
      </c>
      <c r="N465" s="52"/>
      <c r="O465" s="52"/>
      <c r="P465" s="52"/>
      <c r="Q465" s="52"/>
      <c r="R465" s="52"/>
      <c r="S465" s="52"/>
      <c r="T465" s="52"/>
      <c r="U465" s="52"/>
      <c r="V465" s="52"/>
      <c r="W465" s="53"/>
      <c r="X465" s="23"/>
      <c r="Y465" s="52"/>
      <c r="Z465" s="52"/>
      <c r="AA465" s="52"/>
      <c r="AB465" s="52"/>
      <c r="AC465" s="52"/>
      <c r="AD465" s="52"/>
      <c r="AE465" s="52"/>
    </row>
    <row r="466" spans="2:31" x14ac:dyDescent="0.25">
      <c r="B466" s="52"/>
      <c r="C466" s="52"/>
      <c r="D466" s="52"/>
      <c r="E466" s="52" t="str">
        <f t="shared" si="22"/>
        <v>PROG</v>
      </c>
      <c r="F466" s="52"/>
      <c r="G466" s="52" t="str">
        <f t="shared" si="23"/>
        <v>P</v>
      </c>
      <c r="H466" s="52"/>
      <c r="I466" s="52"/>
      <c r="J466" s="52" t="str">
        <f t="shared" si="24"/>
        <v>ELEM</v>
      </c>
      <c r="K466" s="52"/>
      <c r="L466" s="87"/>
      <c r="M466" s="52" t="e">
        <v>#N/A</v>
      </c>
      <c r="N466" s="52"/>
      <c r="O466" s="52"/>
      <c r="P466" s="52"/>
      <c r="Q466" s="52"/>
      <c r="R466" s="52"/>
      <c r="S466" s="52"/>
      <c r="T466" s="52"/>
      <c r="U466" s="52"/>
      <c r="V466" s="52"/>
      <c r="W466" s="53"/>
      <c r="X466" s="23"/>
      <c r="Y466" s="52"/>
      <c r="Z466" s="52"/>
      <c r="AA466" s="52"/>
      <c r="AB466" s="52"/>
      <c r="AC466" s="52"/>
      <c r="AD466" s="52"/>
      <c r="AE466" s="52"/>
    </row>
    <row r="467" spans="2:31" x14ac:dyDescent="0.25">
      <c r="B467" s="52"/>
      <c r="C467" s="52"/>
      <c r="D467" s="52"/>
      <c r="E467" s="52" t="str">
        <f t="shared" si="22"/>
        <v>PROG</v>
      </c>
      <c r="F467" s="52"/>
      <c r="G467" s="52" t="str">
        <f t="shared" si="23"/>
        <v>P</v>
      </c>
      <c r="H467" s="52"/>
      <c r="I467" s="52"/>
      <c r="J467" s="52" t="str">
        <f t="shared" si="24"/>
        <v>ELEM</v>
      </c>
      <c r="K467" s="52"/>
      <c r="L467" s="87"/>
      <c r="M467" s="52" t="e">
        <v>#N/A</v>
      </c>
      <c r="N467" s="52"/>
      <c r="O467" s="52"/>
      <c r="P467" s="52"/>
      <c r="Q467" s="52"/>
      <c r="R467" s="52"/>
      <c r="S467" s="52"/>
      <c r="T467" s="52"/>
      <c r="U467" s="52"/>
      <c r="V467" s="52"/>
      <c r="W467" s="53"/>
      <c r="X467" s="23"/>
      <c r="Y467" s="52"/>
      <c r="Z467" s="52"/>
      <c r="AA467" s="52"/>
      <c r="AB467" s="52"/>
      <c r="AC467" s="52"/>
      <c r="AD467" s="52"/>
      <c r="AE467" s="52"/>
    </row>
    <row r="468" spans="2:31" x14ac:dyDescent="0.25">
      <c r="B468" s="52"/>
      <c r="C468" s="52"/>
      <c r="D468" s="52"/>
      <c r="E468" s="52" t="str">
        <f t="shared" si="22"/>
        <v>PROG</v>
      </c>
      <c r="F468" s="52"/>
      <c r="G468" s="52" t="str">
        <f t="shared" si="23"/>
        <v>P</v>
      </c>
      <c r="H468" s="52"/>
      <c r="I468" s="52"/>
      <c r="J468" s="52" t="str">
        <f t="shared" si="24"/>
        <v>ELEM</v>
      </c>
      <c r="K468" s="52"/>
      <c r="L468" s="87"/>
      <c r="M468" s="52" t="e">
        <v>#N/A</v>
      </c>
      <c r="N468" s="52"/>
      <c r="O468" s="52"/>
      <c r="P468" s="52"/>
      <c r="Q468" s="52"/>
      <c r="R468" s="52"/>
      <c r="S468" s="52"/>
      <c r="T468" s="52"/>
      <c r="U468" s="52"/>
      <c r="V468" s="52"/>
      <c r="W468" s="53"/>
      <c r="X468" s="23"/>
      <c r="Y468" s="52"/>
      <c r="Z468" s="52"/>
      <c r="AA468" s="52"/>
      <c r="AB468" s="52"/>
      <c r="AC468" s="52"/>
      <c r="AD468" s="52"/>
      <c r="AE468" s="52"/>
    </row>
    <row r="469" spans="2:31" x14ac:dyDescent="0.25">
      <c r="B469" s="52"/>
      <c r="C469" s="52"/>
      <c r="D469" s="52"/>
      <c r="E469" s="52" t="str">
        <f t="shared" si="22"/>
        <v>PROG</v>
      </c>
      <c r="F469" s="52"/>
      <c r="G469" s="52" t="str">
        <f t="shared" si="23"/>
        <v>P</v>
      </c>
      <c r="H469" s="52"/>
      <c r="I469" s="52"/>
      <c r="J469" s="52" t="str">
        <f t="shared" si="24"/>
        <v>ELEM</v>
      </c>
      <c r="K469" s="52"/>
      <c r="L469" s="87"/>
      <c r="M469" s="52" t="e">
        <v>#N/A</v>
      </c>
      <c r="N469" s="52"/>
      <c r="O469" s="52"/>
      <c r="P469" s="52"/>
      <c r="Q469" s="52"/>
      <c r="R469" s="52"/>
      <c r="S469" s="52"/>
      <c r="T469" s="52"/>
      <c r="U469" s="52"/>
      <c r="V469" s="52"/>
      <c r="W469" s="53"/>
      <c r="X469" s="23"/>
      <c r="Y469" s="52"/>
      <c r="Z469" s="52"/>
      <c r="AA469" s="52"/>
      <c r="AB469" s="52"/>
      <c r="AC469" s="52"/>
      <c r="AD469" s="52"/>
      <c r="AE469" s="52"/>
    </row>
    <row r="470" spans="2:31" x14ac:dyDescent="0.25">
      <c r="B470" s="52"/>
      <c r="C470" s="52"/>
      <c r="D470" s="52"/>
      <c r="E470" s="52" t="str">
        <f t="shared" si="22"/>
        <v>PROG</v>
      </c>
      <c r="F470" s="52"/>
      <c r="G470" s="52" t="str">
        <f t="shared" si="23"/>
        <v>P</v>
      </c>
      <c r="H470" s="52"/>
      <c r="I470" s="52"/>
      <c r="J470" s="52" t="str">
        <f t="shared" si="24"/>
        <v>ELEM</v>
      </c>
      <c r="K470" s="52"/>
      <c r="L470" s="87"/>
      <c r="M470" s="52" t="e">
        <v>#N/A</v>
      </c>
      <c r="N470" s="52"/>
      <c r="O470" s="52"/>
      <c r="P470" s="52"/>
      <c r="Q470" s="52"/>
      <c r="R470" s="52"/>
      <c r="S470" s="52"/>
      <c r="T470" s="52"/>
      <c r="U470" s="52"/>
      <c r="V470" s="52"/>
      <c r="W470" s="53"/>
      <c r="X470" s="23"/>
      <c r="Y470" s="52"/>
      <c r="Z470" s="52"/>
      <c r="AA470" s="52"/>
      <c r="AB470" s="52"/>
      <c r="AC470" s="52"/>
      <c r="AD470" s="52"/>
      <c r="AE470" s="52"/>
    </row>
    <row r="471" spans="2:31" x14ac:dyDescent="0.25">
      <c r="B471" s="52"/>
      <c r="C471" s="52"/>
      <c r="D471" s="52"/>
      <c r="E471" s="52" t="str">
        <f t="shared" si="22"/>
        <v>PROG</v>
      </c>
      <c r="F471" s="52"/>
      <c r="G471" s="52" t="str">
        <f t="shared" si="23"/>
        <v>P</v>
      </c>
      <c r="H471" s="52"/>
      <c r="I471" s="52"/>
      <c r="J471" s="52" t="str">
        <f t="shared" si="24"/>
        <v>ELEM</v>
      </c>
      <c r="K471" s="52"/>
      <c r="L471" s="87"/>
      <c r="M471" s="52" t="e">
        <v>#N/A</v>
      </c>
      <c r="N471" s="52"/>
      <c r="O471" s="52"/>
      <c r="P471" s="52"/>
      <c r="Q471" s="52"/>
      <c r="R471" s="52"/>
      <c r="S471" s="52"/>
      <c r="T471" s="52"/>
      <c r="U471" s="52"/>
      <c r="V471" s="52"/>
      <c r="W471" s="53"/>
      <c r="X471" s="23"/>
      <c r="Y471" s="52"/>
      <c r="Z471" s="52"/>
      <c r="AA471" s="52"/>
      <c r="AB471" s="52"/>
      <c r="AC471" s="52"/>
      <c r="AD471" s="52"/>
      <c r="AE471" s="52"/>
    </row>
    <row r="472" spans="2:31" x14ac:dyDescent="0.25">
      <c r="B472" s="52"/>
      <c r="C472" s="52"/>
      <c r="D472" s="52"/>
      <c r="E472" s="52" t="str">
        <f t="shared" si="22"/>
        <v>PROG</v>
      </c>
      <c r="F472" s="52"/>
      <c r="G472" s="52" t="str">
        <f t="shared" si="23"/>
        <v>P</v>
      </c>
      <c r="H472" s="52"/>
      <c r="I472" s="52"/>
      <c r="J472" s="52" t="str">
        <f t="shared" si="24"/>
        <v>ELEM</v>
      </c>
      <c r="K472" s="52"/>
      <c r="L472" s="87"/>
      <c r="M472" s="52" t="e">
        <v>#N/A</v>
      </c>
      <c r="N472" s="52"/>
      <c r="O472" s="52"/>
      <c r="P472" s="52"/>
      <c r="Q472" s="52"/>
      <c r="R472" s="52"/>
      <c r="S472" s="52"/>
      <c r="T472" s="52"/>
      <c r="U472" s="52"/>
      <c r="V472" s="52"/>
      <c r="W472" s="53"/>
      <c r="X472" s="23"/>
      <c r="Y472" s="52"/>
      <c r="Z472" s="52"/>
      <c r="AA472" s="52"/>
      <c r="AB472" s="52"/>
      <c r="AC472" s="52"/>
      <c r="AD472" s="52"/>
      <c r="AE472" s="52"/>
    </row>
    <row r="473" spans="2:31" x14ac:dyDescent="0.25">
      <c r="B473" s="52"/>
      <c r="C473" s="52"/>
      <c r="D473" s="52"/>
      <c r="E473" s="52" t="str">
        <f t="shared" si="22"/>
        <v>PROG</v>
      </c>
      <c r="F473" s="52"/>
      <c r="G473" s="52" t="str">
        <f t="shared" si="23"/>
        <v>P</v>
      </c>
      <c r="H473" s="52"/>
      <c r="I473" s="52"/>
      <c r="J473" s="52" t="str">
        <f t="shared" si="24"/>
        <v>ELEM</v>
      </c>
      <c r="K473" s="52"/>
      <c r="L473" s="87"/>
      <c r="M473" s="52" t="e">
        <v>#N/A</v>
      </c>
      <c r="N473" s="52"/>
      <c r="O473" s="52"/>
      <c r="P473" s="52"/>
      <c r="Q473" s="52"/>
      <c r="R473" s="52"/>
      <c r="S473" s="52"/>
      <c r="T473" s="52"/>
      <c r="U473" s="52"/>
      <c r="V473" s="52"/>
      <c r="W473" s="53"/>
      <c r="X473" s="23"/>
      <c r="Y473" s="52"/>
      <c r="Z473" s="52"/>
      <c r="AA473" s="52"/>
      <c r="AB473" s="52"/>
      <c r="AC473" s="52"/>
      <c r="AD473" s="52"/>
      <c r="AE473" s="52"/>
    </row>
    <row r="474" spans="2:31" x14ac:dyDescent="0.25">
      <c r="B474" s="52"/>
      <c r="C474" s="52"/>
      <c r="D474" s="52"/>
      <c r="E474" s="52" t="str">
        <f t="shared" si="22"/>
        <v>PROG</v>
      </c>
      <c r="F474" s="52"/>
      <c r="G474" s="52" t="str">
        <f t="shared" si="23"/>
        <v>P</v>
      </c>
      <c r="H474" s="52"/>
      <c r="I474" s="52"/>
      <c r="J474" s="52" t="str">
        <f t="shared" si="24"/>
        <v>ELEM</v>
      </c>
      <c r="K474" s="52"/>
      <c r="L474" s="87"/>
      <c r="M474" s="52" t="e">
        <v>#N/A</v>
      </c>
      <c r="N474" s="52"/>
      <c r="O474" s="52"/>
      <c r="P474" s="52"/>
      <c r="Q474" s="52"/>
      <c r="R474" s="52"/>
      <c r="S474" s="52"/>
      <c r="T474" s="52"/>
      <c r="U474" s="52"/>
      <c r="V474" s="52"/>
      <c r="W474" s="53"/>
      <c r="X474" s="23"/>
      <c r="Y474" s="52"/>
      <c r="Z474" s="52"/>
      <c r="AA474" s="52"/>
      <c r="AB474" s="52"/>
      <c r="AC474" s="52"/>
      <c r="AD474" s="52"/>
      <c r="AE474" s="52"/>
    </row>
    <row r="475" spans="2:31" x14ac:dyDescent="0.25">
      <c r="B475" s="52"/>
      <c r="C475" s="52"/>
      <c r="D475" s="52"/>
      <c r="E475" s="52" t="str">
        <f t="shared" si="22"/>
        <v>PROG</v>
      </c>
      <c r="F475" s="52"/>
      <c r="G475" s="52" t="str">
        <f t="shared" si="23"/>
        <v>P</v>
      </c>
      <c r="H475" s="52"/>
      <c r="I475" s="52"/>
      <c r="J475" s="52" t="str">
        <f t="shared" si="24"/>
        <v>ELEM</v>
      </c>
      <c r="K475" s="52"/>
      <c r="L475" s="87"/>
      <c r="M475" s="52" t="e">
        <v>#N/A</v>
      </c>
      <c r="N475" s="52"/>
      <c r="O475" s="52"/>
      <c r="P475" s="52"/>
      <c r="Q475" s="52"/>
      <c r="R475" s="52"/>
      <c r="S475" s="52"/>
      <c r="T475" s="52"/>
      <c r="U475" s="52"/>
      <c r="V475" s="52"/>
      <c r="W475" s="53"/>
      <c r="X475" s="23"/>
      <c r="Y475" s="52"/>
      <c r="Z475" s="52"/>
      <c r="AA475" s="52"/>
      <c r="AB475" s="52"/>
      <c r="AC475" s="52"/>
      <c r="AD475" s="52"/>
      <c r="AE475" s="52"/>
    </row>
    <row r="476" spans="2:31" x14ac:dyDescent="0.25">
      <c r="B476" s="52"/>
      <c r="C476" s="52"/>
      <c r="D476" s="52"/>
      <c r="E476" s="52" t="str">
        <f t="shared" si="22"/>
        <v>PROG</v>
      </c>
      <c r="F476" s="52"/>
      <c r="G476" s="52" t="str">
        <f t="shared" si="23"/>
        <v>P</v>
      </c>
      <c r="H476" s="52"/>
      <c r="I476" s="52"/>
      <c r="J476" s="52" t="str">
        <f t="shared" si="24"/>
        <v>ELEM</v>
      </c>
      <c r="K476" s="52"/>
      <c r="L476" s="87"/>
      <c r="M476" s="52" t="e">
        <v>#N/A</v>
      </c>
      <c r="N476" s="52"/>
      <c r="O476" s="52"/>
      <c r="P476" s="52"/>
      <c r="Q476" s="52"/>
      <c r="R476" s="52"/>
      <c r="S476" s="52"/>
      <c r="T476" s="52"/>
      <c r="U476" s="52"/>
      <c r="V476" s="52"/>
      <c r="W476" s="53"/>
      <c r="X476" s="23"/>
      <c r="Y476" s="52"/>
      <c r="Z476" s="52"/>
      <c r="AA476" s="52"/>
      <c r="AB476" s="52"/>
      <c r="AC476" s="52"/>
      <c r="AD476" s="52"/>
      <c r="AE476" s="52"/>
    </row>
    <row r="477" spans="2:31" x14ac:dyDescent="0.25">
      <c r="B477" s="52"/>
      <c r="C477" s="52"/>
      <c r="D477" s="52"/>
      <c r="E477" s="52" t="str">
        <f t="shared" si="22"/>
        <v>PROG</v>
      </c>
      <c r="F477" s="52"/>
      <c r="G477" s="52" t="str">
        <f t="shared" si="23"/>
        <v>P</v>
      </c>
      <c r="H477" s="52"/>
      <c r="I477" s="52"/>
      <c r="J477" s="52" t="str">
        <f t="shared" si="24"/>
        <v>ELEM</v>
      </c>
      <c r="K477" s="52"/>
      <c r="L477" s="87"/>
      <c r="M477" s="52" t="e">
        <v>#N/A</v>
      </c>
      <c r="N477" s="52"/>
      <c r="O477" s="52"/>
      <c r="P477" s="52"/>
      <c r="Q477" s="52"/>
      <c r="R477" s="52"/>
      <c r="S477" s="52"/>
      <c r="T477" s="52"/>
      <c r="U477" s="52"/>
      <c r="V477" s="52"/>
      <c r="W477" s="53"/>
      <c r="X477" s="23"/>
      <c r="Y477" s="52"/>
      <c r="Z477" s="52"/>
      <c r="AA477" s="52"/>
      <c r="AB477" s="52"/>
      <c r="AC477" s="52"/>
      <c r="AD477" s="52"/>
      <c r="AE477" s="52"/>
    </row>
    <row r="478" spans="2:31" x14ac:dyDescent="0.25">
      <c r="B478" s="52"/>
      <c r="C478" s="52"/>
      <c r="D478" s="52"/>
      <c r="E478" s="52" t="str">
        <f t="shared" si="22"/>
        <v>PROG</v>
      </c>
      <c r="F478" s="52"/>
      <c r="G478" s="52" t="str">
        <f t="shared" si="23"/>
        <v>P</v>
      </c>
      <c r="H478" s="52"/>
      <c r="I478" s="52"/>
      <c r="J478" s="52" t="str">
        <f t="shared" si="24"/>
        <v>ELEM</v>
      </c>
      <c r="K478" s="52"/>
      <c r="L478" s="87"/>
      <c r="M478" s="52" t="e">
        <v>#N/A</v>
      </c>
      <c r="N478" s="52"/>
      <c r="O478" s="52"/>
      <c r="P478" s="52"/>
      <c r="Q478" s="52"/>
      <c r="R478" s="52"/>
      <c r="S478" s="52"/>
      <c r="T478" s="52"/>
      <c r="U478" s="52"/>
      <c r="V478" s="52"/>
      <c r="W478" s="53"/>
      <c r="X478" s="23"/>
      <c r="Y478" s="52"/>
      <c r="Z478" s="52"/>
      <c r="AA478" s="52"/>
      <c r="AB478" s="52"/>
      <c r="AC478" s="52"/>
      <c r="AD478" s="52"/>
      <c r="AE478" s="52"/>
    </row>
    <row r="479" spans="2:31" x14ac:dyDescent="0.25">
      <c r="B479" s="52"/>
      <c r="C479" s="52"/>
      <c r="D479" s="52"/>
      <c r="E479" s="52" t="str">
        <f t="shared" si="22"/>
        <v>PROG</v>
      </c>
      <c r="F479" s="52"/>
      <c r="G479" s="52" t="str">
        <f t="shared" si="23"/>
        <v>P</v>
      </c>
      <c r="H479" s="52"/>
      <c r="I479" s="52"/>
      <c r="J479" s="52" t="str">
        <f t="shared" si="24"/>
        <v>ELEM</v>
      </c>
      <c r="K479" s="52"/>
      <c r="L479" s="87"/>
      <c r="M479" s="52" t="e">
        <v>#N/A</v>
      </c>
      <c r="N479" s="52"/>
      <c r="O479" s="52"/>
      <c r="P479" s="52"/>
      <c r="Q479" s="52"/>
      <c r="R479" s="52"/>
      <c r="S479" s="52"/>
      <c r="T479" s="52"/>
      <c r="U479" s="52"/>
      <c r="V479" s="52"/>
      <c r="W479" s="53"/>
      <c r="X479" s="23"/>
      <c r="Y479" s="52"/>
      <c r="Z479" s="52"/>
      <c r="AA479" s="52"/>
      <c r="AB479" s="52"/>
      <c r="AC479" s="52"/>
      <c r="AD479" s="52"/>
      <c r="AE479" s="52"/>
    </row>
    <row r="480" spans="2:31" x14ac:dyDescent="0.25">
      <c r="B480" s="52"/>
      <c r="C480" s="52"/>
      <c r="D480" s="52"/>
      <c r="E480" s="52" t="str">
        <f t="shared" si="22"/>
        <v>PROG</v>
      </c>
      <c r="F480" s="52"/>
      <c r="G480" s="52" t="str">
        <f t="shared" si="23"/>
        <v>P</v>
      </c>
      <c r="H480" s="52"/>
      <c r="I480" s="52"/>
      <c r="J480" s="52" t="str">
        <f t="shared" si="24"/>
        <v>ELEM</v>
      </c>
      <c r="K480" s="52"/>
      <c r="L480" s="87"/>
      <c r="M480" s="52" t="e">
        <v>#N/A</v>
      </c>
      <c r="N480" s="52"/>
      <c r="O480" s="52"/>
      <c r="P480" s="52"/>
      <c r="Q480" s="52"/>
      <c r="R480" s="52"/>
      <c r="S480" s="52"/>
      <c r="T480" s="52"/>
      <c r="U480" s="52"/>
      <c r="V480" s="52"/>
      <c r="W480" s="53"/>
      <c r="X480" s="23"/>
      <c r="Y480" s="52"/>
      <c r="Z480" s="52"/>
      <c r="AA480" s="52"/>
      <c r="AB480" s="52"/>
      <c r="AC480" s="52"/>
      <c r="AD480" s="52"/>
      <c r="AE480" s="52"/>
    </row>
    <row r="481" spans="2:31" x14ac:dyDescent="0.25">
      <c r="B481" s="52"/>
      <c r="C481" s="52"/>
      <c r="D481" s="52"/>
      <c r="E481" s="52" t="str">
        <f t="shared" si="22"/>
        <v>PROG</v>
      </c>
      <c r="F481" s="52"/>
      <c r="G481" s="52" t="str">
        <f t="shared" si="23"/>
        <v>P</v>
      </c>
      <c r="H481" s="52"/>
      <c r="I481" s="52"/>
      <c r="J481" s="52" t="str">
        <f t="shared" si="24"/>
        <v>ELEM</v>
      </c>
      <c r="K481" s="52"/>
      <c r="L481" s="87"/>
      <c r="M481" s="52" t="e">
        <v>#N/A</v>
      </c>
      <c r="N481" s="52"/>
      <c r="O481" s="52"/>
      <c r="P481" s="52"/>
      <c r="Q481" s="52"/>
      <c r="R481" s="52"/>
      <c r="S481" s="52"/>
      <c r="T481" s="52"/>
      <c r="U481" s="52"/>
      <c r="V481" s="52"/>
      <c r="W481" s="53"/>
      <c r="X481" s="23"/>
      <c r="Y481" s="52"/>
      <c r="Z481" s="52"/>
      <c r="AA481" s="52"/>
      <c r="AB481" s="52"/>
      <c r="AC481" s="52"/>
      <c r="AD481" s="52"/>
      <c r="AE481" s="52"/>
    </row>
    <row r="482" spans="2:31" x14ac:dyDescent="0.25">
      <c r="B482" s="52"/>
      <c r="C482" s="52"/>
      <c r="D482" s="52"/>
      <c r="E482" s="52" t="str">
        <f t="shared" si="22"/>
        <v>PROG</v>
      </c>
      <c r="F482" s="52"/>
      <c r="G482" s="52" t="str">
        <f t="shared" si="23"/>
        <v>P</v>
      </c>
      <c r="H482" s="52"/>
      <c r="I482" s="52"/>
      <c r="J482" s="52" t="str">
        <f t="shared" si="24"/>
        <v>ELEM</v>
      </c>
      <c r="K482" s="52"/>
      <c r="L482" s="87"/>
      <c r="M482" s="52" t="e">
        <v>#N/A</v>
      </c>
      <c r="N482" s="52"/>
      <c r="O482" s="52"/>
      <c r="P482" s="52"/>
      <c r="Q482" s="52"/>
      <c r="R482" s="52"/>
      <c r="S482" s="52"/>
      <c r="T482" s="52"/>
      <c r="U482" s="52"/>
      <c r="V482" s="52"/>
      <c r="W482" s="53"/>
      <c r="X482" s="23"/>
      <c r="Y482" s="52"/>
      <c r="Z482" s="52"/>
      <c r="AA482" s="52"/>
      <c r="AB482" s="52"/>
      <c r="AC482" s="52"/>
      <c r="AD482" s="52"/>
      <c r="AE482" s="52"/>
    </row>
    <row r="483" spans="2:31" x14ac:dyDescent="0.25">
      <c r="B483" s="52"/>
      <c r="C483" s="52"/>
      <c r="D483" s="52"/>
      <c r="E483" s="52" t="str">
        <f t="shared" si="22"/>
        <v>PROG</v>
      </c>
      <c r="F483" s="52"/>
      <c r="G483" s="52" t="str">
        <f t="shared" si="23"/>
        <v>P</v>
      </c>
      <c r="H483" s="52"/>
      <c r="I483" s="52"/>
      <c r="J483" s="52" t="str">
        <f t="shared" si="24"/>
        <v>ELEM</v>
      </c>
      <c r="K483" s="52"/>
      <c r="L483" s="87"/>
      <c r="M483" s="52" t="e">
        <v>#N/A</v>
      </c>
      <c r="N483" s="52"/>
      <c r="O483" s="52"/>
      <c r="P483" s="52"/>
      <c r="Q483" s="52"/>
      <c r="R483" s="52"/>
      <c r="S483" s="52"/>
      <c r="T483" s="52"/>
      <c r="U483" s="52"/>
      <c r="V483" s="52"/>
      <c r="W483" s="53"/>
      <c r="X483" s="23"/>
      <c r="Y483" s="52"/>
      <c r="Z483" s="52"/>
      <c r="AA483" s="52"/>
      <c r="AB483" s="52"/>
      <c r="AC483" s="52"/>
      <c r="AD483" s="52"/>
      <c r="AE483" s="52"/>
    </row>
    <row r="484" spans="2:31" x14ac:dyDescent="0.25">
      <c r="B484" s="52"/>
      <c r="C484" s="52"/>
      <c r="D484" s="52"/>
      <c r="E484" s="52" t="str">
        <f t="shared" si="22"/>
        <v>PROG</v>
      </c>
      <c r="F484" s="52"/>
      <c r="G484" s="52" t="str">
        <f t="shared" si="23"/>
        <v>P</v>
      </c>
      <c r="H484" s="52"/>
      <c r="I484" s="52"/>
      <c r="J484" s="52" t="str">
        <f t="shared" si="24"/>
        <v>ELEM</v>
      </c>
      <c r="K484" s="52"/>
      <c r="L484" s="87"/>
      <c r="M484" s="52" t="e">
        <v>#N/A</v>
      </c>
      <c r="N484" s="52"/>
      <c r="O484" s="52"/>
      <c r="P484" s="52"/>
      <c r="Q484" s="52"/>
      <c r="R484" s="52"/>
      <c r="S484" s="52"/>
      <c r="T484" s="52"/>
      <c r="U484" s="52"/>
      <c r="V484" s="52"/>
      <c r="W484" s="53"/>
      <c r="X484" s="23"/>
      <c r="Y484" s="52"/>
      <c r="Z484" s="52"/>
      <c r="AA484" s="52"/>
      <c r="AB484" s="52"/>
      <c r="AC484" s="52"/>
      <c r="AD484" s="52"/>
      <c r="AE484" s="52"/>
    </row>
    <row r="485" spans="2:31" x14ac:dyDescent="0.25">
      <c r="B485" s="52"/>
      <c r="C485" s="52"/>
      <c r="D485" s="52"/>
      <c r="E485" s="52" t="str">
        <f t="shared" si="22"/>
        <v>PROG</v>
      </c>
      <c r="F485" s="52"/>
      <c r="G485" s="52" t="str">
        <f t="shared" si="23"/>
        <v>P</v>
      </c>
      <c r="H485" s="52"/>
      <c r="I485" s="52"/>
      <c r="J485" s="52" t="str">
        <f t="shared" si="24"/>
        <v>ELEM</v>
      </c>
      <c r="K485" s="52"/>
      <c r="L485" s="87"/>
      <c r="M485" s="52" t="e">
        <v>#N/A</v>
      </c>
      <c r="N485" s="52"/>
      <c r="O485" s="52"/>
      <c r="P485" s="52"/>
      <c r="Q485" s="52"/>
      <c r="R485" s="52"/>
      <c r="S485" s="52"/>
      <c r="T485" s="52"/>
      <c r="U485" s="52"/>
      <c r="V485" s="52"/>
      <c r="W485" s="53"/>
      <c r="X485" s="23"/>
      <c r="Y485" s="52"/>
      <c r="Z485" s="52"/>
      <c r="AA485" s="52"/>
      <c r="AB485" s="52"/>
      <c r="AC485" s="52"/>
      <c r="AD485" s="52"/>
      <c r="AE485" s="52"/>
    </row>
    <row r="486" spans="2:31" x14ac:dyDescent="0.25">
      <c r="B486" s="52"/>
      <c r="C486" s="52"/>
      <c r="D486" s="52"/>
      <c r="E486" s="52" t="str">
        <f t="shared" si="22"/>
        <v>PROG</v>
      </c>
      <c r="F486" s="52"/>
      <c r="G486" s="52" t="str">
        <f t="shared" si="23"/>
        <v>P</v>
      </c>
      <c r="H486" s="52"/>
      <c r="I486" s="52"/>
      <c r="J486" s="52" t="str">
        <f t="shared" si="24"/>
        <v>ELEM</v>
      </c>
      <c r="K486" s="52"/>
      <c r="L486" s="87"/>
      <c r="M486" s="52" t="e">
        <v>#N/A</v>
      </c>
      <c r="N486" s="52"/>
      <c r="O486" s="52"/>
      <c r="P486" s="52"/>
      <c r="Q486" s="52"/>
      <c r="R486" s="52"/>
      <c r="S486" s="52"/>
      <c r="T486" s="52"/>
      <c r="U486" s="52"/>
      <c r="V486" s="52"/>
      <c r="W486" s="53"/>
      <c r="X486" s="23"/>
      <c r="Y486" s="52"/>
      <c r="Z486" s="52"/>
      <c r="AA486" s="52"/>
      <c r="AB486" s="52"/>
      <c r="AC486" s="52"/>
      <c r="AD486" s="52"/>
      <c r="AE486" s="52"/>
    </row>
    <row r="487" spans="2:31" x14ac:dyDescent="0.25">
      <c r="B487" s="52"/>
      <c r="C487" s="52"/>
      <c r="D487" s="52"/>
      <c r="E487" s="52" t="str">
        <f t="shared" si="22"/>
        <v>PROG</v>
      </c>
      <c r="F487" s="52"/>
      <c r="G487" s="52" t="str">
        <f t="shared" si="23"/>
        <v>P</v>
      </c>
      <c r="H487" s="52"/>
      <c r="I487" s="52"/>
      <c r="J487" s="52" t="str">
        <f t="shared" si="24"/>
        <v>ELEM</v>
      </c>
      <c r="K487" s="52"/>
      <c r="L487" s="87"/>
      <c r="M487" s="52" t="e">
        <v>#N/A</v>
      </c>
      <c r="N487" s="52"/>
      <c r="O487" s="52"/>
      <c r="P487" s="52"/>
      <c r="Q487" s="52"/>
      <c r="R487" s="52"/>
      <c r="S487" s="52"/>
      <c r="T487" s="52"/>
      <c r="U487" s="52"/>
      <c r="V487" s="52"/>
      <c r="W487" s="53"/>
      <c r="X487" s="23"/>
      <c r="Y487" s="52"/>
      <c r="Z487" s="52"/>
      <c r="AA487" s="52"/>
      <c r="AB487" s="52"/>
      <c r="AC487" s="52"/>
      <c r="AD487" s="52"/>
      <c r="AE487" s="52"/>
    </row>
    <row r="488" spans="2:31" x14ac:dyDescent="0.25">
      <c r="B488" s="52"/>
      <c r="C488" s="52"/>
      <c r="D488" s="52"/>
      <c r="E488" s="52" t="str">
        <f t="shared" si="22"/>
        <v>PROG</v>
      </c>
      <c r="F488" s="52"/>
      <c r="G488" s="52" t="str">
        <f t="shared" si="23"/>
        <v>P</v>
      </c>
      <c r="H488" s="52"/>
      <c r="I488" s="52"/>
      <c r="J488" s="52" t="str">
        <f t="shared" si="24"/>
        <v>ELEM</v>
      </c>
      <c r="K488" s="52"/>
      <c r="L488" s="87"/>
      <c r="M488" s="52" t="e">
        <v>#N/A</v>
      </c>
      <c r="N488" s="52"/>
      <c r="O488" s="52"/>
      <c r="P488" s="52"/>
      <c r="Q488" s="52"/>
      <c r="R488" s="52"/>
      <c r="S488" s="52"/>
      <c r="T488" s="52"/>
      <c r="U488" s="52"/>
      <c r="V488" s="52"/>
      <c r="W488" s="53"/>
      <c r="X488" s="23"/>
      <c r="Y488" s="52"/>
      <c r="Z488" s="52"/>
      <c r="AA488" s="52"/>
      <c r="AB488" s="52"/>
      <c r="AC488" s="52"/>
      <c r="AD488" s="52"/>
      <c r="AE488" s="52"/>
    </row>
    <row r="489" spans="2:31" x14ac:dyDescent="0.25">
      <c r="B489" s="52"/>
      <c r="C489" s="52"/>
      <c r="D489" s="52"/>
      <c r="E489" s="52" t="str">
        <f t="shared" si="22"/>
        <v>PROG</v>
      </c>
      <c r="F489" s="52"/>
      <c r="G489" s="52" t="str">
        <f t="shared" si="23"/>
        <v>P</v>
      </c>
      <c r="H489" s="52"/>
      <c r="I489" s="52"/>
      <c r="J489" s="52" t="str">
        <f t="shared" si="24"/>
        <v>ELEM</v>
      </c>
      <c r="K489" s="52"/>
      <c r="L489" s="87"/>
      <c r="M489" s="52" t="e">
        <v>#N/A</v>
      </c>
      <c r="N489" s="52"/>
      <c r="O489" s="52"/>
      <c r="P489" s="52"/>
      <c r="Q489" s="52"/>
      <c r="R489" s="52"/>
      <c r="S489" s="52"/>
      <c r="T489" s="52"/>
      <c r="U489" s="52"/>
      <c r="V489" s="52"/>
      <c r="W489" s="53"/>
      <c r="X489" s="23"/>
      <c r="Y489" s="52"/>
      <c r="Z489" s="52"/>
      <c r="AA489" s="52"/>
      <c r="AB489" s="52"/>
      <c r="AC489" s="52"/>
      <c r="AD489" s="52"/>
      <c r="AE489" s="52"/>
    </row>
    <row r="490" spans="2:31" x14ac:dyDescent="0.25">
      <c r="B490" s="52"/>
      <c r="C490" s="52"/>
      <c r="D490" s="52"/>
      <c r="E490" s="52" t="str">
        <f t="shared" si="22"/>
        <v>PROG</v>
      </c>
      <c r="F490" s="52"/>
      <c r="G490" s="52" t="str">
        <f t="shared" si="23"/>
        <v>P</v>
      </c>
      <c r="H490" s="52"/>
      <c r="I490" s="52"/>
      <c r="J490" s="52" t="str">
        <f t="shared" si="24"/>
        <v>ELEM</v>
      </c>
      <c r="K490" s="52"/>
      <c r="L490" s="87"/>
      <c r="M490" s="52" t="e">
        <v>#N/A</v>
      </c>
      <c r="N490" s="52"/>
      <c r="O490" s="52"/>
      <c r="P490" s="52"/>
      <c r="Q490" s="52"/>
      <c r="R490" s="52"/>
      <c r="S490" s="52"/>
      <c r="T490" s="52"/>
      <c r="U490" s="52"/>
      <c r="V490" s="52"/>
      <c r="W490" s="53"/>
      <c r="X490" s="23"/>
      <c r="Y490" s="52"/>
      <c r="Z490" s="52"/>
      <c r="AA490" s="52"/>
      <c r="AB490" s="52"/>
      <c r="AC490" s="52"/>
      <c r="AD490" s="52"/>
      <c r="AE490" s="52"/>
    </row>
    <row r="491" spans="2:31" x14ac:dyDescent="0.25">
      <c r="B491" s="52"/>
      <c r="C491" s="52"/>
      <c r="D491" s="52"/>
      <c r="E491" s="52" t="str">
        <f t="shared" si="22"/>
        <v>PROG</v>
      </c>
      <c r="F491" s="52"/>
      <c r="G491" s="52" t="str">
        <f t="shared" si="23"/>
        <v>P</v>
      </c>
      <c r="H491" s="52"/>
      <c r="I491" s="52"/>
      <c r="J491" s="52" t="str">
        <f t="shared" si="24"/>
        <v>ELEM</v>
      </c>
      <c r="K491" s="52"/>
      <c r="L491" s="87"/>
      <c r="M491" s="52" t="e">
        <v>#N/A</v>
      </c>
      <c r="N491" s="52"/>
      <c r="O491" s="52"/>
      <c r="P491" s="52"/>
      <c r="Q491" s="52"/>
      <c r="R491" s="52"/>
      <c r="S491" s="52"/>
      <c r="T491" s="52"/>
      <c r="U491" s="52"/>
      <c r="V491" s="52"/>
      <c r="W491" s="53"/>
      <c r="X491" s="23"/>
      <c r="Y491" s="52"/>
      <c r="Z491" s="52"/>
      <c r="AA491" s="52"/>
      <c r="AB491" s="52"/>
      <c r="AC491" s="52"/>
      <c r="AD491" s="52"/>
      <c r="AE491" s="52"/>
    </row>
    <row r="492" spans="2:31" x14ac:dyDescent="0.25">
      <c r="B492" s="52"/>
      <c r="C492" s="52"/>
      <c r="D492" s="52"/>
      <c r="E492" s="52" t="str">
        <f t="shared" si="22"/>
        <v>PROG</v>
      </c>
      <c r="F492" s="52"/>
      <c r="G492" s="52" t="str">
        <f t="shared" si="23"/>
        <v>P</v>
      </c>
      <c r="H492" s="52"/>
      <c r="I492" s="52"/>
      <c r="J492" s="52" t="str">
        <f t="shared" si="24"/>
        <v>ELEM</v>
      </c>
      <c r="K492" s="52"/>
      <c r="L492" s="87"/>
      <c r="M492" s="52" t="e">
        <v>#N/A</v>
      </c>
      <c r="N492" s="52"/>
      <c r="O492" s="52"/>
      <c r="P492" s="52"/>
      <c r="Q492" s="52"/>
      <c r="R492" s="52"/>
      <c r="S492" s="52"/>
      <c r="T492" s="52"/>
      <c r="U492" s="52"/>
      <c r="V492" s="52"/>
      <c r="W492" s="53"/>
      <c r="X492" s="23"/>
      <c r="Y492" s="52"/>
      <c r="Z492" s="52"/>
      <c r="AA492" s="52"/>
      <c r="AB492" s="52"/>
      <c r="AC492" s="52"/>
      <c r="AD492" s="52"/>
      <c r="AE492" s="52"/>
    </row>
    <row r="493" spans="2:31" x14ac:dyDescent="0.25">
      <c r="B493" s="52"/>
      <c r="C493" s="52"/>
      <c r="D493" s="52"/>
      <c r="E493" s="52" t="str">
        <f t="shared" si="22"/>
        <v>PROG</v>
      </c>
      <c r="F493" s="52"/>
      <c r="G493" s="52" t="str">
        <f t="shared" si="23"/>
        <v>P</v>
      </c>
      <c r="H493" s="52"/>
      <c r="I493" s="52"/>
      <c r="J493" s="52" t="str">
        <f t="shared" si="24"/>
        <v>ELEM</v>
      </c>
      <c r="K493" s="52"/>
      <c r="L493" s="87"/>
      <c r="M493" s="52" t="e">
        <v>#N/A</v>
      </c>
      <c r="N493" s="52"/>
      <c r="O493" s="52"/>
      <c r="P493" s="52"/>
      <c r="Q493" s="52"/>
      <c r="R493" s="52"/>
      <c r="S493" s="52"/>
      <c r="T493" s="52"/>
      <c r="U493" s="52"/>
      <c r="V493" s="52"/>
      <c r="W493" s="53"/>
      <c r="X493" s="23"/>
      <c r="Y493" s="52"/>
      <c r="Z493" s="52"/>
      <c r="AA493" s="52"/>
      <c r="AB493" s="52"/>
      <c r="AC493" s="52"/>
      <c r="AD493" s="52"/>
      <c r="AE493" s="52"/>
    </row>
    <row r="494" spans="2:31" x14ac:dyDescent="0.25">
      <c r="B494" s="52"/>
      <c r="C494" s="52"/>
      <c r="D494" s="52"/>
      <c r="E494" s="52" t="str">
        <f t="shared" si="22"/>
        <v>PROG</v>
      </c>
      <c r="F494" s="52"/>
      <c r="G494" s="52" t="str">
        <f t="shared" si="23"/>
        <v>P</v>
      </c>
      <c r="H494" s="52"/>
      <c r="I494" s="52"/>
      <c r="J494" s="52" t="str">
        <f t="shared" si="24"/>
        <v>ELEM</v>
      </c>
      <c r="K494" s="52"/>
      <c r="L494" s="87"/>
      <c r="M494" s="52" t="e">
        <v>#N/A</v>
      </c>
      <c r="N494" s="52"/>
      <c r="O494" s="52"/>
      <c r="P494" s="52"/>
      <c r="Q494" s="52"/>
      <c r="R494" s="52"/>
      <c r="S494" s="52"/>
      <c r="T494" s="52"/>
      <c r="U494" s="52"/>
      <c r="V494" s="52"/>
      <c r="W494" s="53"/>
      <c r="X494" s="23"/>
      <c r="Y494" s="52"/>
      <c r="Z494" s="52"/>
      <c r="AA494" s="52"/>
      <c r="AB494" s="52"/>
      <c r="AC494" s="52"/>
      <c r="AD494" s="52"/>
      <c r="AE494" s="52"/>
    </row>
    <row r="495" spans="2:31" x14ac:dyDescent="0.25">
      <c r="B495" s="52"/>
      <c r="C495" s="52"/>
      <c r="D495" s="52"/>
      <c r="E495" s="52" t="str">
        <f t="shared" si="22"/>
        <v>PROG</v>
      </c>
      <c r="F495" s="52"/>
      <c r="G495" s="52" t="str">
        <f t="shared" si="23"/>
        <v>P</v>
      </c>
      <c r="H495" s="52"/>
      <c r="I495" s="52"/>
      <c r="J495" s="52" t="str">
        <f t="shared" si="24"/>
        <v>ELEM</v>
      </c>
      <c r="K495" s="52"/>
      <c r="L495" s="87"/>
      <c r="M495" s="52" t="e">
        <v>#N/A</v>
      </c>
      <c r="N495" s="52"/>
      <c r="O495" s="52"/>
      <c r="P495" s="52"/>
      <c r="Q495" s="52"/>
      <c r="R495" s="52"/>
      <c r="S495" s="52"/>
      <c r="T495" s="52"/>
      <c r="U495" s="52"/>
      <c r="V495" s="52"/>
      <c r="W495" s="53"/>
      <c r="X495" s="23"/>
      <c r="Y495" s="52"/>
      <c r="Z495" s="52"/>
      <c r="AA495" s="52"/>
      <c r="AB495" s="52"/>
      <c r="AC495" s="52"/>
      <c r="AD495" s="52"/>
      <c r="AE495" s="52"/>
    </row>
    <row r="496" spans="2:31" x14ac:dyDescent="0.25">
      <c r="B496" s="52"/>
      <c r="C496" s="52"/>
      <c r="D496" s="52"/>
      <c r="E496" s="52" t="str">
        <f t="shared" si="22"/>
        <v>PROG</v>
      </c>
      <c r="F496" s="52"/>
      <c r="G496" s="52" t="str">
        <f t="shared" si="23"/>
        <v>P</v>
      </c>
      <c r="H496" s="52"/>
      <c r="I496" s="52"/>
      <c r="J496" s="52" t="str">
        <f t="shared" si="24"/>
        <v>ELEM</v>
      </c>
      <c r="K496" s="52"/>
      <c r="L496" s="87"/>
      <c r="M496" s="52" t="e">
        <v>#N/A</v>
      </c>
      <c r="N496" s="52"/>
      <c r="O496" s="52"/>
      <c r="P496" s="52"/>
      <c r="Q496" s="52"/>
      <c r="R496" s="52"/>
      <c r="S496" s="52"/>
      <c r="T496" s="52"/>
      <c r="U496" s="52"/>
      <c r="V496" s="52"/>
      <c r="W496" s="53"/>
      <c r="X496" s="23"/>
      <c r="Y496" s="52"/>
      <c r="Z496" s="52"/>
      <c r="AA496" s="52"/>
      <c r="AB496" s="52"/>
      <c r="AC496" s="52"/>
      <c r="AD496" s="52"/>
      <c r="AE496" s="52"/>
    </row>
    <row r="497" spans="2:31" x14ac:dyDescent="0.25">
      <c r="B497" s="52"/>
      <c r="C497" s="52"/>
      <c r="D497" s="52"/>
      <c r="E497" s="52" t="str">
        <f t="shared" si="22"/>
        <v>PROG</v>
      </c>
      <c r="F497" s="52"/>
      <c r="G497" s="52" t="str">
        <f t="shared" si="23"/>
        <v>P</v>
      </c>
      <c r="H497" s="52"/>
      <c r="I497" s="52"/>
      <c r="J497" s="52" t="str">
        <f t="shared" si="24"/>
        <v>ELEM</v>
      </c>
      <c r="K497" s="52"/>
      <c r="L497" s="87"/>
      <c r="M497" s="52" t="e">
        <v>#N/A</v>
      </c>
      <c r="N497" s="52"/>
      <c r="O497" s="52"/>
      <c r="P497" s="52"/>
      <c r="Q497" s="52"/>
      <c r="R497" s="52"/>
      <c r="S497" s="52"/>
      <c r="T497" s="52"/>
      <c r="U497" s="52"/>
      <c r="V497" s="52"/>
      <c r="W497" s="53"/>
      <c r="X497" s="23"/>
      <c r="Y497" s="52"/>
      <c r="Z497" s="52"/>
      <c r="AA497" s="52"/>
      <c r="AB497" s="52"/>
      <c r="AC497" s="52"/>
      <c r="AD497" s="52"/>
      <c r="AE497" s="52"/>
    </row>
    <row r="498" spans="2:31" x14ac:dyDescent="0.25">
      <c r="B498" s="52"/>
      <c r="C498" s="52"/>
      <c r="D498" s="52"/>
      <c r="E498" s="52" t="str">
        <f t="shared" si="22"/>
        <v>PROG</v>
      </c>
      <c r="F498" s="52"/>
      <c r="G498" s="52" t="str">
        <f t="shared" si="23"/>
        <v>P</v>
      </c>
      <c r="H498" s="52"/>
      <c r="I498" s="52"/>
      <c r="J498" s="52" t="str">
        <f t="shared" si="24"/>
        <v>ELEM</v>
      </c>
      <c r="K498" s="52"/>
      <c r="L498" s="87"/>
      <c r="M498" s="52" t="e">
        <v>#N/A</v>
      </c>
      <c r="N498" s="52"/>
      <c r="O498" s="52"/>
      <c r="P498" s="52"/>
      <c r="Q498" s="52"/>
      <c r="R498" s="52"/>
      <c r="S498" s="52"/>
      <c r="T498" s="52"/>
      <c r="U498" s="52"/>
      <c r="V498" s="52"/>
      <c r="W498" s="53"/>
      <c r="X498" s="23"/>
      <c r="Y498" s="52"/>
      <c r="Z498" s="52"/>
      <c r="AA498" s="52"/>
      <c r="AB498" s="52"/>
      <c r="AC498" s="52"/>
      <c r="AD498" s="52"/>
      <c r="AE498" s="52"/>
    </row>
    <row r="499" spans="2:31" x14ac:dyDescent="0.25">
      <c r="B499" s="52"/>
      <c r="C499" s="52"/>
      <c r="D499" s="52"/>
      <c r="E499" s="52" t="str">
        <f t="shared" si="22"/>
        <v>PROG</v>
      </c>
      <c r="F499" s="52"/>
      <c r="G499" s="52" t="str">
        <f t="shared" si="23"/>
        <v>P</v>
      </c>
      <c r="H499" s="52"/>
      <c r="I499" s="52"/>
      <c r="J499" s="52" t="str">
        <f t="shared" si="24"/>
        <v>ELEM</v>
      </c>
      <c r="K499" s="52"/>
      <c r="L499" s="87"/>
      <c r="M499" s="52" t="e">
        <v>#N/A</v>
      </c>
      <c r="N499" s="52"/>
      <c r="O499" s="52"/>
      <c r="P499" s="52"/>
      <c r="Q499" s="52"/>
      <c r="R499" s="52"/>
      <c r="S499" s="52"/>
      <c r="T499" s="52"/>
      <c r="U499" s="52"/>
      <c r="V499" s="52"/>
      <c r="W499" s="53"/>
      <c r="X499" s="23"/>
      <c r="Y499" s="52"/>
      <c r="Z499" s="52"/>
      <c r="AA499" s="52"/>
      <c r="AB499" s="52"/>
      <c r="AC499" s="52"/>
      <c r="AD499" s="52"/>
      <c r="AE499" s="52"/>
    </row>
    <row r="500" spans="2:31" x14ac:dyDescent="0.25">
      <c r="B500" s="52"/>
      <c r="C500" s="52"/>
      <c r="D500" s="52"/>
      <c r="E500" s="52" t="str">
        <f t="shared" si="22"/>
        <v>PROG</v>
      </c>
      <c r="F500" s="52"/>
      <c r="G500" s="52" t="str">
        <f t="shared" si="23"/>
        <v>P</v>
      </c>
      <c r="H500" s="52"/>
      <c r="I500" s="52"/>
      <c r="J500" s="52" t="str">
        <f t="shared" si="24"/>
        <v>ELEM</v>
      </c>
      <c r="K500" s="52"/>
      <c r="L500" s="87"/>
      <c r="M500" s="52" t="e">
        <v>#N/A</v>
      </c>
      <c r="N500" s="52"/>
      <c r="O500" s="52"/>
      <c r="P500" s="52"/>
      <c r="Q500" s="52"/>
      <c r="R500" s="52"/>
      <c r="S500" s="52"/>
      <c r="T500" s="52"/>
      <c r="U500" s="52"/>
      <c r="V500" s="52"/>
      <c r="W500" s="53"/>
      <c r="X500" s="23"/>
      <c r="Y500" s="52"/>
      <c r="Z500" s="52"/>
      <c r="AA500" s="52"/>
      <c r="AB500" s="52"/>
      <c r="AC500" s="52"/>
      <c r="AD500" s="52"/>
      <c r="AE500" s="52"/>
    </row>
    <row r="501" spans="2:31" x14ac:dyDescent="0.25">
      <c r="B501" s="52"/>
      <c r="C501" s="52"/>
      <c r="D501" s="52"/>
      <c r="E501" s="52" t="str">
        <f t="shared" si="22"/>
        <v>PROG</v>
      </c>
      <c r="F501" s="52"/>
      <c r="G501" s="52" t="str">
        <f t="shared" si="23"/>
        <v>P</v>
      </c>
      <c r="H501" s="52"/>
      <c r="I501" s="52"/>
      <c r="J501" s="52" t="str">
        <f t="shared" si="24"/>
        <v>ELEM</v>
      </c>
      <c r="K501" s="52"/>
      <c r="L501" s="87"/>
      <c r="M501" s="52" t="e">
        <v>#N/A</v>
      </c>
      <c r="N501" s="52"/>
      <c r="O501" s="52"/>
      <c r="P501" s="52"/>
      <c r="Q501" s="52"/>
      <c r="R501" s="52"/>
      <c r="S501" s="52"/>
      <c r="T501" s="52"/>
      <c r="U501" s="52"/>
      <c r="V501" s="52"/>
      <c r="W501" s="53"/>
      <c r="X501" s="23"/>
      <c r="Y501" s="52"/>
      <c r="Z501" s="52"/>
      <c r="AA501" s="52"/>
      <c r="AB501" s="52"/>
      <c r="AC501" s="52"/>
      <c r="AD501" s="52"/>
      <c r="AE501" s="52"/>
    </row>
  </sheetData>
  <mergeCells count="1">
    <mergeCell ref="H1:I1"/>
  </mergeCells>
  <dataValidations count="15">
    <dataValidation allowBlank="1" showInputMessage="1" showErrorMessage="1" errorTitle="Erro de seleção" error="Selecione apenas as fontes disponiveis!" sqref="P3:P1048576 N3:N15"/>
    <dataValidation type="list" allowBlank="1" error="Favor selecionar uma opção disponível na lista. Nela aparecem somente os programas vinculados à UO escolhida na coluna A. " sqref="F21">
      <formula1>INDIRECT(E21)</formula1>
    </dataValidation>
    <dataValidation type="decimal" allowBlank="1" showInputMessage="1" showErrorMessage="1" errorTitle="Preço Unitário" error="Esse campo deve ser preenchido com valores núméricos (números inteiros e decimais)." sqref="V16:V501">
      <formula1>0</formula1>
      <formula2>1E+35</formula2>
    </dataValidation>
    <dataValidation type="decimal" allowBlank="1" showInputMessage="1" showErrorMessage="1" errorTitle="Volume" error="Esse campo deve ser preenchido com valores núméricos (números inteiros e decimais)." sqref="T16:T501">
      <formula1>0</formula1>
      <formula2>1E+32</formula2>
    </dataValidation>
    <dataValidation type="whole" allowBlank="1" showInputMessage="1" showErrorMessage="1" errorTitle="Frequência de Pagamento" error="Esse campo deve ser preenchido com números inteiros, de acordo com o número de vezes que o pagamento da despesa é feita ao longo do ano." sqref="W16:W501">
      <formula1>1</formula1>
      <formula2>300</formula2>
    </dataValidation>
    <dataValidation type="whole" errorStyle="warning" allowBlank="1" showInputMessage="1" showErrorMessage="1" error="Esse campo deve ser preenchido em escala numérica (números inteiros). " promptTitle="Priorização" prompt="A priorização deve ser feita em escala númerica (números inteiros), sendo &quot;1&quot; aquilo considerado como o mais importante, ou seja, mais próximo do limiar. " sqref="AC17:AE501">
      <formula1>0</formula1>
      <formula2>10000</formula2>
    </dataValidation>
    <dataValidation type="list" allowBlank="1" showInputMessage="1" showErrorMessage="1" error="Favor selecionar uma opção disponível na lista. Nela aparecem somente os ações vinculadas ao programa escolhido na coluna F. " sqref="H3:H501">
      <formula1>INDIRECT(G3)</formula1>
    </dataValidation>
    <dataValidation type="list" allowBlank="1" showInputMessage="1" showErrorMessage="1" error="Favor selecionar uma opção disponível na lista. Nela aparecem somente os programas vinculados à UO escolhida na coluna A. " sqref="F22:F501 F3:F20">
      <formula1>INDIRECT(E3)</formula1>
    </dataValidation>
    <dataValidation type="list" allowBlank="1" showInputMessage="1" showErrorMessage="1" sqref="C16:C501">
      <formula1>INDIRECT($A$3)</formula1>
    </dataValidation>
    <dataValidation allowBlank="1" showInputMessage="1" showErrorMessage="1" error="Favor selecionar uma opção disponível na lista. " sqref="A3:A15"/>
    <dataValidation type="whole" allowBlank="1" showInputMessage="1" showErrorMessage="1" sqref="AC3:AC16">
      <formula1>0</formula1>
      <formula2>1000000000000000</formula2>
    </dataValidation>
    <dataValidation type="whole" allowBlank="1" showInputMessage="1" showErrorMessage="1" sqref="AD3:AE15">
      <formula1>1</formula1>
      <formula2>200</formula2>
    </dataValidation>
    <dataValidation type="whole" errorStyle="warning" allowBlank="1" showInputMessage="1" showErrorMessage="1" error="Esse campo deve ser preenchido em escala numérica (números inteiros). " promptTitle="Priorização" prompt="A priorização deve ser feita em escala númerica (números inteiros), sendo &quot;1&quot; aquilo considerado como o mais importante, ou seja, mais próximo do limiar. " sqref="AD16:AE16">
      <formula1>1</formula1>
      <formula2>10000</formula2>
    </dataValidation>
    <dataValidation type="list" allowBlank="1" showInputMessage="1" showErrorMessage="1" sqref="K16:K501">
      <formula1>INDIRECT(J16)</formula1>
    </dataValidation>
    <dataValidation type="list" allowBlank="1" showInputMessage="1" showErrorMessage="1" sqref="I3:I15">
      <formula1>INDIRECT(J3)</formula1>
    </dataValidation>
  </dataValidations>
  <hyperlinks>
    <hyperlink ref="F1" location="INDICE!A1" display="INDICE"/>
  </hyperlinks>
  <pageMargins left="0.7" right="0.7" top="0.75" bottom="0.75" header="0.3" footer="0.3"/>
  <legacyDrawing r:id="rId1"/>
  <extLst>
    <ext xmlns:x14="http://schemas.microsoft.com/office/spreadsheetml/2009/9/main" uri="{CCE6A557-97BC-4b89-ADB6-D9C93CAAB3DF}">
      <x14:dataValidations xmlns:xm="http://schemas.microsoft.com/office/excel/2006/main" count="6">
        <x14:dataValidation type="list" allowBlank="1" showInputMessage="1" showErrorMessage="1">
          <x14:formula1>
            <xm:f>ELEMENTO!$A$1:$AK$1</xm:f>
          </x14:formula1>
          <xm:sqref>I3:I501</xm:sqref>
        </x14:dataValidation>
        <x14:dataValidation type="list" allowBlank="1" showInputMessage="1" showErrorMessage="1">
          <x14:formula1>
            <xm:f>CENÁRIO!$A$8:$A$9</xm:f>
          </x14:formula1>
          <xm:sqref>N16:N1048576</xm:sqref>
        </x14:dataValidation>
        <x14:dataValidation type="list" allowBlank="1" showInputMessage="1" showErrorMessage="1">
          <x14:formula1>
            <xm:f>CENÁRIO!$A$2:$A$3</xm:f>
          </x14:formula1>
          <xm:sqref>Y16:Y1048576</xm:sqref>
        </x14:dataValidation>
        <x14:dataValidation type="list" allowBlank="1" showInputMessage="1" showErrorMessage="1">
          <x14:formula1>
            <xm:f>CENÁRIO!$C$2:$C$3</xm:f>
          </x14:formula1>
          <xm:sqref>R3:R1048576</xm:sqref>
        </x14:dataValidation>
        <x14:dataValidation type="list" allowBlank="1" showInputMessage="1" showErrorMessage="1">
          <x14:formula1>
            <xm:f>CENÁRIO!$A$2:$A$4</xm:f>
          </x14:formula1>
          <xm:sqref>Y3:Y15</xm:sqref>
        </x14:dataValidation>
        <x14:dataValidation type="list" allowBlank="1" showInputMessage="1" showErrorMessage="1" error="Favor selecionar uma opção disponível na lista. ">
          <x14:formula1>
            <xm:f>ORGANOGRAMA!$A$1:$L$1</xm:f>
          </x14:formula1>
          <xm:sqref>A16:A1048576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3"/>
  </sheetPr>
  <dimension ref="A1:AD215"/>
  <sheetViews>
    <sheetView topLeftCell="L1" workbookViewId="0">
      <selection activeCell="U2" sqref="U2"/>
    </sheetView>
  </sheetViews>
  <sheetFormatPr defaultColWidth="8.85546875" defaultRowHeight="15" x14ac:dyDescent="0.25"/>
  <cols>
    <col min="1" max="1" width="32.140625" style="6" bestFit="1" customWidth="1"/>
    <col min="2" max="2" width="23.28515625" style="6" bestFit="1" customWidth="1"/>
    <col min="3" max="3" width="23.28515625" style="6" customWidth="1"/>
    <col min="4" max="4" width="26.5703125" style="6" customWidth="1"/>
    <col min="5" max="5" width="26.85546875" style="6" customWidth="1"/>
    <col min="6" max="6" width="31.28515625" style="6" bestFit="1" customWidth="1"/>
    <col min="7" max="7" width="11.140625" style="6" hidden="1" customWidth="1"/>
    <col min="8" max="8" width="31.85546875" style="6" customWidth="1"/>
    <col min="9" max="9" width="30.85546875" style="6" customWidth="1"/>
    <col min="10" max="10" width="40.28515625" style="6" customWidth="1"/>
    <col min="11" max="11" width="25.28515625" style="6" hidden="1" customWidth="1"/>
    <col min="12" max="12" width="55" style="6" customWidth="1"/>
    <col min="13" max="13" width="26.42578125" style="6" bestFit="1" customWidth="1"/>
    <col min="14" max="14" width="22.85546875" style="6" hidden="1" customWidth="1"/>
    <col min="15" max="15" width="26.28515625" style="6" bestFit="1" customWidth="1"/>
    <col min="16" max="16" width="26.28515625" style="6" customWidth="1"/>
    <col min="17" max="17" width="7.140625" style="6" bestFit="1" customWidth="1"/>
    <col min="18" max="18" width="18" style="6" bestFit="1" customWidth="1"/>
    <col min="19" max="19" width="8.5703125" style="6" bestFit="1" customWidth="1"/>
    <col min="20" max="20" width="18.7109375" style="6" bestFit="1" customWidth="1"/>
    <col min="21" max="21" width="15.7109375" style="6" bestFit="1" customWidth="1"/>
    <col min="22" max="22" width="23.85546875" style="6" bestFit="1" customWidth="1"/>
    <col min="23" max="23" width="17.7109375" style="6" bestFit="1" customWidth="1"/>
    <col min="24" max="24" width="22.7109375" style="6" bestFit="1" customWidth="1"/>
    <col min="25" max="25" width="22.140625" style="6" customWidth="1"/>
    <col min="26" max="26" width="19" style="6" bestFit="1" customWidth="1"/>
    <col min="27" max="27" width="18.7109375" style="6" bestFit="1" customWidth="1"/>
    <col min="28" max="30" width="14.28515625" style="6" bestFit="1" customWidth="1"/>
    <col min="31" max="16384" width="8.85546875" style="6"/>
  </cols>
  <sheetData>
    <row r="1" spans="1:30" s="15" customFormat="1" ht="60" x14ac:dyDescent="0.25">
      <c r="A1" s="11" t="s">
        <v>127</v>
      </c>
      <c r="B1" s="11" t="s">
        <v>128</v>
      </c>
      <c r="C1" s="11" t="s">
        <v>11</v>
      </c>
      <c r="D1" s="11" t="s">
        <v>129</v>
      </c>
      <c r="E1" s="11" t="s">
        <v>13</v>
      </c>
      <c r="F1" s="7" t="s">
        <v>14</v>
      </c>
      <c r="G1" s="7" t="s">
        <v>15</v>
      </c>
      <c r="H1" s="7" t="s">
        <v>16</v>
      </c>
      <c r="I1" s="7" t="s">
        <v>130</v>
      </c>
      <c r="J1" s="7" t="s">
        <v>17</v>
      </c>
      <c r="K1" s="7" t="s">
        <v>131</v>
      </c>
      <c r="L1" s="7" t="s">
        <v>132</v>
      </c>
      <c r="M1" s="7" t="s">
        <v>20</v>
      </c>
      <c r="N1" s="7" t="s">
        <v>21</v>
      </c>
      <c r="O1" s="7" t="s">
        <v>133</v>
      </c>
      <c r="P1" s="7" t="s">
        <v>134</v>
      </c>
      <c r="Q1" s="7" t="s">
        <v>24</v>
      </c>
      <c r="R1" s="12" t="s">
        <v>25</v>
      </c>
      <c r="S1" s="12" t="s">
        <v>26</v>
      </c>
      <c r="T1" s="12" t="s">
        <v>27</v>
      </c>
      <c r="U1" s="12" t="s">
        <v>28</v>
      </c>
      <c r="V1" s="12" t="s">
        <v>29</v>
      </c>
      <c r="W1" s="12" t="s">
        <v>30</v>
      </c>
      <c r="X1" s="13" t="s">
        <v>31</v>
      </c>
      <c r="Y1" s="35" t="s">
        <v>135</v>
      </c>
      <c r="Z1" s="13" t="s">
        <v>33</v>
      </c>
      <c r="AA1" s="13" t="s">
        <v>34</v>
      </c>
      <c r="AB1" s="14" t="s">
        <v>35</v>
      </c>
      <c r="AC1" s="14" t="s">
        <v>36</v>
      </c>
      <c r="AD1" s="14" t="s">
        <v>37</v>
      </c>
    </row>
    <row r="2" spans="1:30" s="21" customFormat="1" ht="90" x14ac:dyDescent="0.25">
      <c r="A2" s="30" t="s">
        <v>38</v>
      </c>
      <c r="B2" s="30"/>
      <c r="C2" s="30"/>
      <c r="D2" s="30"/>
      <c r="E2" s="30" t="str">
        <f t="shared" ref="E2:E9" si="0">CONCATENATE(A2,"PROG")</f>
        <v>FAOPPROG</v>
      </c>
      <c r="F2" s="30" t="s">
        <v>41</v>
      </c>
      <c r="G2" s="30" t="str">
        <f>CONCATENATE("P",(LEFT(F2,3)),A2)</f>
        <v>P060FAOP</v>
      </c>
      <c r="H2" s="30" t="s">
        <v>42</v>
      </c>
      <c r="I2" s="30" t="s">
        <v>136</v>
      </c>
      <c r="J2" s="30" t="s">
        <v>137</v>
      </c>
      <c r="K2" s="30" t="str">
        <f t="shared" ref="K2:K9" si="1">CONCATENATE("ELEM",LEFT(J2,2))</f>
        <v>ELEM30</v>
      </c>
      <c r="L2" s="30" t="s">
        <v>138</v>
      </c>
      <c r="M2" s="30" t="s">
        <v>45</v>
      </c>
      <c r="N2" s="30" t="str">
        <f>CONCATENATE("FONTE",A2)</f>
        <v>FONTEFAOP</v>
      </c>
      <c r="O2" s="30">
        <v>45</v>
      </c>
      <c r="P2" s="30"/>
      <c r="Q2" s="30" t="s">
        <v>47</v>
      </c>
      <c r="R2" s="30" t="s">
        <v>48</v>
      </c>
      <c r="S2" s="30">
        <v>2</v>
      </c>
      <c r="T2" s="30" t="s">
        <v>139</v>
      </c>
      <c r="U2" s="31">
        <v>200</v>
      </c>
      <c r="V2" s="32">
        <v>1</v>
      </c>
      <c r="W2" s="33">
        <f t="shared" ref="W2:W9" si="2">S2*U2*V2</f>
        <v>400</v>
      </c>
      <c r="X2" s="30" t="s">
        <v>50</v>
      </c>
      <c r="Y2" s="30" t="s">
        <v>140</v>
      </c>
      <c r="Z2" s="34" t="s">
        <v>141</v>
      </c>
      <c r="AA2" s="34" t="s">
        <v>142</v>
      </c>
      <c r="AB2" s="30"/>
      <c r="AC2" s="30"/>
      <c r="AD2" s="30"/>
    </row>
    <row r="3" spans="1:30" s="21" customFormat="1" ht="60" x14ac:dyDescent="0.25">
      <c r="A3" s="30" t="s">
        <v>38</v>
      </c>
      <c r="B3" s="30"/>
      <c r="C3" s="30"/>
      <c r="D3" s="30"/>
      <c r="E3" s="30" t="str">
        <f t="shared" si="0"/>
        <v>FAOPPROG</v>
      </c>
      <c r="F3" s="30" t="s">
        <v>41</v>
      </c>
      <c r="G3" s="30" t="str">
        <f>CONCATENATE("P",(LEFT(F3,3)),A3)</f>
        <v>P060FAOP</v>
      </c>
      <c r="H3" s="30" t="s">
        <v>42</v>
      </c>
      <c r="I3" s="30" t="s">
        <v>136</v>
      </c>
      <c r="J3" s="30" t="s">
        <v>143</v>
      </c>
      <c r="K3" s="30" t="str">
        <f t="shared" si="1"/>
        <v>ELEM33</v>
      </c>
      <c r="L3" s="30" t="s">
        <v>54</v>
      </c>
      <c r="M3" s="30" t="s">
        <v>45</v>
      </c>
      <c r="N3" s="30" t="str">
        <f>CONCATENATE("FONTE",A3)</f>
        <v>FONTEFAOP</v>
      </c>
      <c r="O3" s="30">
        <v>45</v>
      </c>
      <c r="P3" s="30"/>
      <c r="Q3" s="30" t="s">
        <v>47</v>
      </c>
      <c r="R3" s="30" t="s">
        <v>144</v>
      </c>
      <c r="S3" s="30">
        <v>1</v>
      </c>
      <c r="T3" s="30" t="s">
        <v>57</v>
      </c>
      <c r="U3" s="31">
        <v>45</v>
      </c>
      <c r="V3" s="32">
        <v>1</v>
      </c>
      <c r="W3" s="33">
        <f t="shared" si="2"/>
        <v>45</v>
      </c>
      <c r="X3" s="30" t="s">
        <v>50</v>
      </c>
      <c r="Y3" s="30" t="s">
        <v>140</v>
      </c>
      <c r="Z3" s="34" t="s">
        <v>141</v>
      </c>
      <c r="AA3" s="34" t="s">
        <v>142</v>
      </c>
      <c r="AB3" s="30"/>
      <c r="AC3" s="30"/>
      <c r="AD3" s="30"/>
    </row>
    <row r="4" spans="1:30" s="21" customFormat="1" ht="105" x14ac:dyDescent="0.25">
      <c r="A4" s="30" t="s">
        <v>38</v>
      </c>
      <c r="B4" s="30"/>
      <c r="C4" s="30"/>
      <c r="D4" s="30"/>
      <c r="E4" s="30" t="str">
        <f t="shared" si="0"/>
        <v>FAOPPROG</v>
      </c>
      <c r="F4" s="30" t="s">
        <v>41</v>
      </c>
      <c r="G4" s="30" t="str">
        <f>CONCATENATE("P",(LEFT(F4,3)),A4)</f>
        <v>P060FAOP</v>
      </c>
      <c r="H4" s="30" t="s">
        <v>42</v>
      </c>
      <c r="I4" s="30" t="s">
        <v>136</v>
      </c>
      <c r="J4" s="30" t="s">
        <v>145</v>
      </c>
      <c r="K4" s="30" t="str">
        <f t="shared" si="1"/>
        <v>ELEM14</v>
      </c>
      <c r="L4" s="30" t="s">
        <v>43</v>
      </c>
      <c r="M4" s="30" t="s">
        <v>45</v>
      </c>
      <c r="N4" s="30" t="str">
        <f>CONCATENATE("FONTE",A4)</f>
        <v>FONTEFAOP</v>
      </c>
      <c r="O4" s="30">
        <v>45</v>
      </c>
      <c r="P4" s="30"/>
      <c r="Q4" s="30" t="s">
        <v>47</v>
      </c>
      <c r="R4" s="30" t="s">
        <v>48</v>
      </c>
      <c r="S4" s="30">
        <v>2</v>
      </c>
      <c r="T4" s="30" t="s">
        <v>139</v>
      </c>
      <c r="U4" s="31">
        <v>200</v>
      </c>
      <c r="V4" s="32">
        <v>1</v>
      </c>
      <c r="W4" s="33">
        <f t="shared" si="2"/>
        <v>400</v>
      </c>
      <c r="X4" s="30" t="s">
        <v>69</v>
      </c>
      <c r="Y4" s="30" t="s">
        <v>146</v>
      </c>
      <c r="Z4" s="30" t="s">
        <v>147</v>
      </c>
      <c r="AA4" s="30">
        <v>1</v>
      </c>
      <c r="AB4" s="30">
        <v>1</v>
      </c>
      <c r="AC4" s="30"/>
      <c r="AD4" s="30"/>
    </row>
    <row r="5" spans="1:30" s="21" customFormat="1" ht="105" x14ac:dyDescent="0.25">
      <c r="A5" s="30" t="s">
        <v>38</v>
      </c>
      <c r="B5" s="30"/>
      <c r="C5" s="30"/>
      <c r="D5" s="30"/>
      <c r="E5" s="30" t="str">
        <f t="shared" si="0"/>
        <v>FAOPPROG</v>
      </c>
      <c r="F5" s="30" t="s">
        <v>41</v>
      </c>
      <c r="G5" s="30" t="str">
        <f t="shared" ref="G5:G80" si="3">CONCATENATE("P",(LEFT(F5,3)),A5)</f>
        <v>P060FAOP</v>
      </c>
      <c r="H5" s="30" t="s">
        <v>42</v>
      </c>
      <c r="I5" s="30" t="s">
        <v>148</v>
      </c>
      <c r="J5" s="30" t="s">
        <v>143</v>
      </c>
      <c r="K5" s="30" t="str">
        <f t="shared" si="1"/>
        <v>ELEM33</v>
      </c>
      <c r="L5" s="30" t="s">
        <v>54</v>
      </c>
      <c r="M5" s="30" t="s">
        <v>45</v>
      </c>
      <c r="N5" s="30" t="str">
        <f t="shared" ref="N5:N79" si="4">CONCATENATE("FONTE",A5)</f>
        <v>FONTEFAOP</v>
      </c>
      <c r="O5" s="30">
        <v>45</v>
      </c>
      <c r="P5" s="30"/>
      <c r="Q5" s="30" t="s">
        <v>47</v>
      </c>
      <c r="R5" s="30" t="s">
        <v>144</v>
      </c>
      <c r="S5" s="30">
        <v>1</v>
      </c>
      <c r="T5" s="30" t="s">
        <v>57</v>
      </c>
      <c r="U5" s="31">
        <v>45</v>
      </c>
      <c r="V5" s="32">
        <v>1</v>
      </c>
      <c r="W5" s="33">
        <f t="shared" si="2"/>
        <v>45</v>
      </c>
      <c r="X5" s="30" t="s">
        <v>69</v>
      </c>
      <c r="Y5" s="30" t="s">
        <v>146</v>
      </c>
      <c r="Z5" s="30" t="s">
        <v>147</v>
      </c>
      <c r="AA5" s="30" t="s">
        <v>62</v>
      </c>
      <c r="AB5" s="30">
        <v>1</v>
      </c>
      <c r="AC5" s="30"/>
      <c r="AD5" s="30"/>
    </row>
    <row r="6" spans="1:30" s="21" customFormat="1" ht="120" x14ac:dyDescent="0.25">
      <c r="A6" s="30" t="s">
        <v>38</v>
      </c>
      <c r="B6" s="30"/>
      <c r="C6" s="30"/>
      <c r="D6" s="30"/>
      <c r="E6" s="30" t="str">
        <f t="shared" si="0"/>
        <v>FAOPPROG</v>
      </c>
      <c r="F6" s="30" t="s">
        <v>41</v>
      </c>
      <c r="G6" s="30" t="str">
        <f>CONCATENATE("P",(LEFT(F6,3)),A6)</f>
        <v>P060FAOP</v>
      </c>
      <c r="H6" s="30" t="s">
        <v>42</v>
      </c>
      <c r="I6" s="30" t="s">
        <v>148</v>
      </c>
      <c r="J6" s="30" t="s">
        <v>137</v>
      </c>
      <c r="K6" s="30" t="str">
        <f t="shared" si="1"/>
        <v>ELEM30</v>
      </c>
      <c r="L6" s="30" t="s">
        <v>149</v>
      </c>
      <c r="M6" s="30" t="s">
        <v>45</v>
      </c>
      <c r="N6" s="30" t="str">
        <f>CONCATENATE("FONTE",A6)</f>
        <v>FONTEFAOP</v>
      </c>
      <c r="O6" s="30">
        <v>45</v>
      </c>
      <c r="P6" s="30" t="s">
        <v>150</v>
      </c>
      <c r="Q6" s="30" t="s">
        <v>47</v>
      </c>
      <c r="R6" s="30" t="s">
        <v>151</v>
      </c>
      <c r="S6" s="30">
        <v>300</v>
      </c>
      <c r="T6" s="30" t="s">
        <v>152</v>
      </c>
      <c r="U6" s="31">
        <v>0.3</v>
      </c>
      <c r="V6" s="32">
        <v>1</v>
      </c>
      <c r="W6" s="33">
        <f t="shared" si="2"/>
        <v>90</v>
      </c>
      <c r="X6" s="30" t="s">
        <v>69</v>
      </c>
      <c r="Y6" s="30" t="s">
        <v>140</v>
      </c>
      <c r="Z6" s="30" t="s">
        <v>153</v>
      </c>
      <c r="AA6" s="30" t="s">
        <v>154</v>
      </c>
      <c r="AB6" s="30">
        <v>1</v>
      </c>
      <c r="AC6" s="30"/>
      <c r="AD6" s="30"/>
    </row>
    <row r="7" spans="1:30" s="21" customFormat="1" ht="90" x14ac:dyDescent="0.25">
      <c r="A7" s="30" t="s">
        <v>38</v>
      </c>
      <c r="B7" s="30"/>
      <c r="C7" s="30"/>
      <c r="D7" s="30"/>
      <c r="E7" s="30" t="str">
        <f t="shared" si="0"/>
        <v>FAOPPROG</v>
      </c>
      <c r="F7" s="30" t="s">
        <v>41</v>
      </c>
      <c r="G7" s="30" t="str">
        <f>CONCATENATE("P",(LEFT(F7,3)),A7)</f>
        <v>P060FAOP</v>
      </c>
      <c r="H7" s="30" t="s">
        <v>42</v>
      </c>
      <c r="I7" s="30" t="s">
        <v>148</v>
      </c>
      <c r="J7" s="30" t="s">
        <v>137</v>
      </c>
      <c r="K7" s="30" t="str">
        <f t="shared" si="1"/>
        <v>ELEM30</v>
      </c>
      <c r="L7" s="30" t="s">
        <v>149</v>
      </c>
      <c r="M7" s="30" t="s">
        <v>45</v>
      </c>
      <c r="N7" s="30" t="str">
        <f>CONCATENATE("FONTE",A7)</f>
        <v>FONTEFAOP</v>
      </c>
      <c r="O7" s="30">
        <v>45</v>
      </c>
      <c r="P7" s="30" t="s">
        <v>150</v>
      </c>
      <c r="Q7" s="30" t="s">
        <v>59</v>
      </c>
      <c r="R7" s="30" t="s">
        <v>151</v>
      </c>
      <c r="S7" s="30">
        <v>200</v>
      </c>
      <c r="T7" s="30" t="s">
        <v>152</v>
      </c>
      <c r="U7" s="31">
        <v>0.3</v>
      </c>
      <c r="V7" s="32">
        <v>1</v>
      </c>
      <c r="W7" s="33">
        <f t="shared" si="2"/>
        <v>60</v>
      </c>
      <c r="X7" s="30" t="s">
        <v>69</v>
      </c>
      <c r="Y7" s="30" t="s">
        <v>155</v>
      </c>
      <c r="Z7" s="30" t="s">
        <v>156</v>
      </c>
      <c r="AA7" s="30" t="s">
        <v>154</v>
      </c>
      <c r="AB7" s="30">
        <v>2</v>
      </c>
      <c r="AC7" s="30"/>
      <c r="AD7" s="30"/>
    </row>
    <row r="8" spans="1:30" s="21" customFormat="1" ht="60" x14ac:dyDescent="0.25">
      <c r="A8" s="30" t="s">
        <v>38</v>
      </c>
      <c r="B8" s="30"/>
      <c r="C8" s="30"/>
      <c r="D8" s="30"/>
      <c r="E8" s="30" t="str">
        <f>CONCATENATE(A8,"PROG")</f>
        <v>FAOPPROG</v>
      </c>
      <c r="F8" s="30" t="s">
        <v>41</v>
      </c>
      <c r="G8" s="30" t="str">
        <f>CONCATENATE("P",(LEFT(F8,3)),A8)</f>
        <v>P060FAOP</v>
      </c>
      <c r="H8" s="30" t="s">
        <v>42</v>
      </c>
      <c r="I8" s="30" t="s">
        <v>148</v>
      </c>
      <c r="J8" s="30" t="s">
        <v>137</v>
      </c>
      <c r="K8" s="30" t="str">
        <f t="shared" si="1"/>
        <v>ELEM30</v>
      </c>
      <c r="L8" s="30" t="s">
        <v>73</v>
      </c>
      <c r="M8" s="30" t="s">
        <v>45</v>
      </c>
      <c r="N8" s="30" t="str">
        <f>CONCATENATE("FONTE",A8)</f>
        <v>FONTEFAOP</v>
      </c>
      <c r="O8" s="30">
        <v>45</v>
      </c>
      <c r="P8" s="30" t="s">
        <v>157</v>
      </c>
      <c r="Q8" s="30" t="s">
        <v>47</v>
      </c>
      <c r="R8" s="30" t="s">
        <v>76</v>
      </c>
      <c r="S8" s="30">
        <v>1</v>
      </c>
      <c r="T8" s="30" t="s">
        <v>77</v>
      </c>
      <c r="U8" s="31">
        <v>25</v>
      </c>
      <c r="V8" s="32">
        <v>1</v>
      </c>
      <c r="W8" s="33">
        <f>S8*U8*V8</f>
        <v>25</v>
      </c>
      <c r="X8" s="30" t="s">
        <v>50</v>
      </c>
      <c r="Y8" s="30" t="s">
        <v>155</v>
      </c>
      <c r="Z8" s="30"/>
      <c r="AA8" s="30"/>
      <c r="AB8" s="30"/>
      <c r="AC8" s="30"/>
      <c r="AD8" s="30"/>
    </row>
    <row r="9" spans="1:30" s="21" customFormat="1" ht="60" x14ac:dyDescent="0.25">
      <c r="A9" s="30" t="s">
        <v>38</v>
      </c>
      <c r="B9" s="30"/>
      <c r="C9" s="30"/>
      <c r="D9" s="30"/>
      <c r="E9" s="30" t="str">
        <f t="shared" si="0"/>
        <v>FAOPPROG</v>
      </c>
      <c r="F9" s="30" t="s">
        <v>41</v>
      </c>
      <c r="G9" s="30" t="str">
        <f>CONCATENATE("P",(LEFT(F9,3)),A9)</f>
        <v>P060FAOP</v>
      </c>
      <c r="H9" s="30" t="s">
        <v>42</v>
      </c>
      <c r="I9" s="30" t="s">
        <v>148</v>
      </c>
      <c r="J9" s="30" t="s">
        <v>137</v>
      </c>
      <c r="K9" s="30" t="str">
        <f t="shared" si="1"/>
        <v>ELEM30</v>
      </c>
      <c r="L9" s="30" t="s">
        <v>73</v>
      </c>
      <c r="M9" s="30" t="s">
        <v>45</v>
      </c>
      <c r="N9" s="30" t="str">
        <f>CONCATENATE("FONTE",A9)</f>
        <v>FONTEFAOP</v>
      </c>
      <c r="O9" s="30">
        <v>45</v>
      </c>
      <c r="P9" s="30" t="s">
        <v>157</v>
      </c>
      <c r="Q9" s="30" t="s">
        <v>47</v>
      </c>
      <c r="R9" s="30" t="s">
        <v>76</v>
      </c>
      <c r="S9" s="30">
        <v>1</v>
      </c>
      <c r="T9" s="30" t="s">
        <v>77</v>
      </c>
      <c r="U9" s="31">
        <v>25</v>
      </c>
      <c r="V9" s="32">
        <v>1</v>
      </c>
      <c r="W9" s="33">
        <f t="shared" si="2"/>
        <v>25</v>
      </c>
      <c r="X9" s="30" t="s">
        <v>50</v>
      </c>
      <c r="Y9" s="30" t="s">
        <v>140</v>
      </c>
      <c r="Z9" s="30"/>
      <c r="AA9" s="30"/>
      <c r="AB9" s="30"/>
      <c r="AC9" s="30"/>
      <c r="AD9" s="30"/>
    </row>
    <row r="10" spans="1:30" s="21" customFormat="1" x14ac:dyDescent="0.25">
      <c r="A10" s="30"/>
      <c r="B10" s="30"/>
      <c r="C10" s="30"/>
      <c r="D10" s="30"/>
      <c r="E10" s="30"/>
      <c r="F10" s="30"/>
      <c r="G10" s="30"/>
      <c r="H10" s="30"/>
      <c r="I10" s="30"/>
      <c r="J10" s="30"/>
      <c r="K10" s="30"/>
      <c r="L10" s="30"/>
      <c r="M10" s="30"/>
      <c r="N10" s="30"/>
      <c r="O10" s="30"/>
      <c r="P10" s="30"/>
      <c r="Q10" s="30"/>
      <c r="R10" s="30"/>
      <c r="S10" s="30"/>
      <c r="T10" s="30"/>
      <c r="U10" s="31"/>
      <c r="V10" s="32"/>
      <c r="W10" s="33"/>
      <c r="X10" s="30" t="s">
        <v>69</v>
      </c>
      <c r="Y10" s="30" t="s">
        <v>158</v>
      </c>
      <c r="Z10" s="30"/>
      <c r="AA10" s="30"/>
      <c r="AB10" s="30"/>
      <c r="AC10" s="30"/>
      <c r="AD10" s="30"/>
    </row>
    <row r="11" spans="1:30" s="21" customFormat="1" x14ac:dyDescent="0.25">
      <c r="A11" s="30"/>
      <c r="B11" s="30"/>
      <c r="C11" s="30"/>
      <c r="D11" s="30"/>
      <c r="E11" s="30"/>
      <c r="F11" s="30"/>
      <c r="G11" s="30"/>
      <c r="H11" s="30"/>
      <c r="I11" s="30"/>
      <c r="J11" s="30"/>
      <c r="K11" s="30"/>
      <c r="L11" s="30"/>
      <c r="M11" s="30"/>
      <c r="N11" s="30"/>
      <c r="O11" s="30"/>
      <c r="P11" s="30"/>
      <c r="Q11" s="30"/>
      <c r="R11" s="30"/>
      <c r="S11" s="30"/>
      <c r="T11" s="30"/>
      <c r="U11" s="31"/>
      <c r="V11" s="32"/>
      <c r="W11" s="33"/>
      <c r="X11" s="30" t="s">
        <v>69</v>
      </c>
      <c r="Y11" s="30" t="s">
        <v>158</v>
      </c>
      <c r="Z11" s="30"/>
      <c r="AA11" s="30"/>
      <c r="AB11" s="30"/>
      <c r="AC11" s="30"/>
      <c r="AD11" s="30"/>
    </row>
    <row r="12" spans="1:30" s="21" customFormat="1" ht="75" x14ac:dyDescent="0.25">
      <c r="A12" s="30" t="s">
        <v>38</v>
      </c>
      <c r="B12" s="30"/>
      <c r="C12" s="30"/>
      <c r="D12" s="30"/>
      <c r="E12" s="30" t="str">
        <f>CONCATENATE(A12,"PROG")</f>
        <v>FAOPPROG</v>
      </c>
      <c r="F12" s="30" t="s">
        <v>41</v>
      </c>
      <c r="G12" s="30" t="str">
        <f>CONCATENATE("P",(LEFT(F12,3)),A12)</f>
        <v>P060FAOP</v>
      </c>
      <c r="H12" s="30" t="s">
        <v>42</v>
      </c>
      <c r="I12" s="30" t="s">
        <v>159</v>
      </c>
      <c r="J12" s="30" t="s">
        <v>160</v>
      </c>
      <c r="K12" s="30" t="str">
        <f>CONCATENATE("ELEM",LEFT(J12,2))</f>
        <v>ELEM37</v>
      </c>
      <c r="L12" s="30" t="s">
        <v>116</v>
      </c>
      <c r="M12" s="30" t="s">
        <v>45</v>
      </c>
      <c r="N12" s="30" t="str">
        <f>CONCATENATE("FONTE",A12)</f>
        <v>FONTEFAOP</v>
      </c>
      <c r="O12" s="30"/>
      <c r="P12" s="30"/>
      <c r="Q12" s="30" t="s">
        <v>47</v>
      </c>
      <c r="R12" s="30" t="s">
        <v>161</v>
      </c>
      <c r="S12" s="30">
        <v>2</v>
      </c>
      <c r="T12" s="30" t="s">
        <v>120</v>
      </c>
      <c r="U12" s="31">
        <v>2000</v>
      </c>
      <c r="V12" s="32">
        <v>12</v>
      </c>
      <c r="W12" s="33">
        <f>S12*U12*V12</f>
        <v>48000</v>
      </c>
      <c r="X12" s="30" t="s">
        <v>50</v>
      </c>
      <c r="Y12" s="30"/>
      <c r="Z12" s="30"/>
      <c r="AA12" s="30"/>
      <c r="AB12" s="30"/>
      <c r="AC12" s="30"/>
      <c r="AD12" s="30"/>
    </row>
    <row r="13" spans="1:30" s="21" customFormat="1" ht="75" x14ac:dyDescent="0.25">
      <c r="A13" s="30" t="s">
        <v>38</v>
      </c>
      <c r="B13" s="30"/>
      <c r="C13" s="30"/>
      <c r="D13" s="30"/>
      <c r="E13" s="30" t="str">
        <f t="shared" ref="E13:E80" si="5">CONCATENATE(A13,"PROG")</f>
        <v>FAOPPROG</v>
      </c>
      <c r="F13" s="30" t="s">
        <v>41</v>
      </c>
      <c r="G13" s="30" t="str">
        <f t="shared" si="3"/>
        <v>P060FAOP</v>
      </c>
      <c r="H13" s="30" t="s">
        <v>42</v>
      </c>
      <c r="I13" s="30" t="s">
        <v>159</v>
      </c>
      <c r="J13" s="30" t="s">
        <v>160</v>
      </c>
      <c r="K13" s="30" t="str">
        <f t="shared" ref="K13:K80" si="6">CONCATENATE("ELEM",LEFT(J13,2))</f>
        <v>ELEM37</v>
      </c>
      <c r="L13" s="30" t="s">
        <v>116</v>
      </c>
      <c r="M13" s="30" t="s">
        <v>45</v>
      </c>
      <c r="N13" s="30" t="str">
        <f t="shared" si="4"/>
        <v>FONTEFAOP</v>
      </c>
      <c r="O13" s="30"/>
      <c r="P13" s="30"/>
      <c r="Q13" s="30" t="s">
        <v>59</v>
      </c>
      <c r="R13" s="30" t="s">
        <v>162</v>
      </c>
      <c r="S13" s="30">
        <v>2</v>
      </c>
      <c r="T13" s="30" t="s">
        <v>120</v>
      </c>
      <c r="U13" s="31">
        <v>2000</v>
      </c>
      <c r="V13" s="32">
        <v>12</v>
      </c>
      <c r="W13" s="33">
        <f t="shared" ref="W13:W80" si="7">S13*U13*V13</f>
        <v>48000</v>
      </c>
      <c r="X13" s="30" t="s">
        <v>69</v>
      </c>
      <c r="Y13" s="30"/>
      <c r="Z13" s="30"/>
      <c r="AA13" s="30"/>
      <c r="AB13" s="30"/>
      <c r="AC13" s="30"/>
      <c r="AD13" s="30"/>
    </row>
    <row r="14" spans="1:30" s="21" customFormat="1" ht="75" x14ac:dyDescent="0.25">
      <c r="A14" s="30" t="s">
        <v>38</v>
      </c>
      <c r="B14" s="30"/>
      <c r="C14" s="30"/>
      <c r="D14" s="30"/>
      <c r="E14" s="30" t="str">
        <f>CONCATENATE(A14,"PROG")</f>
        <v>FAOPPROG</v>
      </c>
      <c r="F14" s="30" t="s">
        <v>41</v>
      </c>
      <c r="G14" s="30" t="str">
        <f>CONCATENATE("P",(LEFT(F14,3)),A14)</f>
        <v>P060FAOP</v>
      </c>
      <c r="H14" s="30" t="s">
        <v>42</v>
      </c>
      <c r="I14" s="30" t="s">
        <v>159</v>
      </c>
      <c r="J14" s="30" t="s">
        <v>160</v>
      </c>
      <c r="K14" s="30" t="str">
        <f>CONCATENATE("ELEM",LEFT(J14,2))</f>
        <v>ELEM37</v>
      </c>
      <c r="L14" s="30" t="s">
        <v>116</v>
      </c>
      <c r="M14" s="30" t="s">
        <v>45</v>
      </c>
      <c r="N14" s="30" t="str">
        <f>CONCATENATE("FONTE",A14)</f>
        <v>FONTEFAOP</v>
      </c>
      <c r="O14" s="30"/>
      <c r="P14" s="30"/>
      <c r="Q14" s="30" t="s">
        <v>47</v>
      </c>
      <c r="R14" s="30" t="s">
        <v>163</v>
      </c>
      <c r="S14" s="30">
        <v>1</v>
      </c>
      <c r="T14" s="30" t="s">
        <v>120</v>
      </c>
      <c r="U14" s="31">
        <v>1500</v>
      </c>
      <c r="V14" s="32">
        <v>12</v>
      </c>
      <c r="W14" s="33">
        <f>S14*U14*V14</f>
        <v>18000</v>
      </c>
      <c r="X14" s="30" t="s">
        <v>50</v>
      </c>
      <c r="Y14" s="30" t="s">
        <v>164</v>
      </c>
      <c r="Z14" s="30"/>
      <c r="AA14" s="30"/>
      <c r="AB14" s="30">
        <v>1</v>
      </c>
      <c r="AC14" s="30"/>
      <c r="AD14" s="30"/>
    </row>
    <row r="15" spans="1:30" s="39" customFormat="1" ht="75" x14ac:dyDescent="0.25">
      <c r="A15" s="34" t="s">
        <v>38</v>
      </c>
      <c r="B15" s="34"/>
      <c r="C15" s="34"/>
      <c r="D15" s="34"/>
      <c r="E15" s="34" t="str">
        <f>CONCATENATE(A15,"PROG")</f>
        <v>FAOPPROG</v>
      </c>
      <c r="F15" s="34" t="s">
        <v>41</v>
      </c>
      <c r="G15" s="34" t="str">
        <f>CONCATENATE("P",(LEFT(F15,3)),A15)</f>
        <v>P060FAOP</v>
      </c>
      <c r="H15" s="34" t="s">
        <v>42</v>
      </c>
      <c r="I15" s="34" t="s">
        <v>159</v>
      </c>
      <c r="J15" s="34" t="s">
        <v>165</v>
      </c>
      <c r="K15" s="34" t="str">
        <f>CONCATENATE("ELEM",LEFT(J15,2))</f>
        <v>ELEM39</v>
      </c>
      <c r="L15" s="34" t="s">
        <v>166</v>
      </c>
      <c r="M15" s="34" t="s">
        <v>45</v>
      </c>
      <c r="N15" s="34" t="str">
        <f>CONCATENATE("FONTE",A15)</f>
        <v>FONTEFAOP</v>
      </c>
      <c r="O15" s="34"/>
      <c r="P15" s="34"/>
      <c r="Q15" s="34" t="s">
        <v>47</v>
      </c>
      <c r="R15" s="34" t="s">
        <v>167</v>
      </c>
      <c r="S15" s="34">
        <v>1</v>
      </c>
      <c r="T15" s="34" t="s">
        <v>120</v>
      </c>
      <c r="U15" s="36">
        <v>1500</v>
      </c>
      <c r="V15" s="37">
        <v>12</v>
      </c>
      <c r="W15" s="38">
        <f>S15*U15*V15</f>
        <v>18000</v>
      </c>
      <c r="X15" s="34" t="s">
        <v>50</v>
      </c>
      <c r="Y15" s="34"/>
      <c r="Z15" s="34"/>
      <c r="AA15" s="34"/>
      <c r="AB15" s="34"/>
      <c r="AC15" s="34"/>
      <c r="AD15" s="34"/>
    </row>
    <row r="16" spans="1:30" s="21" customFormat="1" ht="30" x14ac:dyDescent="0.25">
      <c r="A16" s="22"/>
      <c r="B16" s="22"/>
      <c r="C16" s="22"/>
      <c r="D16" s="22"/>
      <c r="E16" s="22"/>
      <c r="F16" s="22"/>
      <c r="G16" s="22"/>
      <c r="H16" s="22"/>
      <c r="I16" s="22"/>
      <c r="J16" s="22" t="s">
        <v>165</v>
      </c>
      <c r="K16" s="22"/>
      <c r="L16" s="22"/>
      <c r="M16" s="22"/>
      <c r="N16" s="22"/>
      <c r="O16" s="22"/>
      <c r="P16" s="22"/>
      <c r="Q16" s="22"/>
      <c r="R16" s="22"/>
      <c r="S16" s="22"/>
      <c r="T16" s="22"/>
      <c r="U16" s="25"/>
      <c r="V16" s="24"/>
      <c r="W16" s="23"/>
      <c r="X16" s="22"/>
      <c r="Y16" s="22"/>
      <c r="Z16" s="22"/>
      <c r="AA16" s="22"/>
      <c r="AB16" s="22"/>
      <c r="AC16" s="22"/>
      <c r="AD16" s="22"/>
    </row>
    <row r="17" spans="1:30" s="21" customFormat="1" x14ac:dyDescent="0.25">
      <c r="A17" s="22"/>
      <c r="B17" s="22"/>
      <c r="C17" s="22"/>
      <c r="D17" s="22"/>
      <c r="E17" s="22"/>
      <c r="F17" s="22"/>
      <c r="G17" s="22"/>
      <c r="H17" s="22"/>
      <c r="I17" s="22"/>
      <c r="J17" s="22"/>
      <c r="K17" s="22"/>
      <c r="L17" s="22"/>
      <c r="M17" s="22"/>
      <c r="N17" s="22"/>
      <c r="O17" s="22"/>
      <c r="P17" s="22"/>
      <c r="Q17" s="22"/>
      <c r="R17" s="22"/>
      <c r="S17" s="22"/>
      <c r="T17" s="22"/>
      <c r="U17" s="25"/>
      <c r="V17" s="24"/>
      <c r="W17" s="23"/>
      <c r="X17" s="22"/>
      <c r="Y17" s="22"/>
      <c r="Z17" s="22"/>
      <c r="AA17" s="22"/>
      <c r="AB17" s="22"/>
      <c r="AC17" s="22"/>
      <c r="AD17" s="22"/>
    </row>
    <row r="18" spans="1:30" s="21" customFormat="1" ht="45" x14ac:dyDescent="0.25">
      <c r="A18" s="26" t="s">
        <v>168</v>
      </c>
      <c r="B18" s="26"/>
      <c r="C18" s="26"/>
      <c r="D18" s="26"/>
      <c r="E18" s="26" t="str">
        <f t="shared" si="5"/>
        <v>DERPROG</v>
      </c>
      <c r="F18" s="26" t="s">
        <v>169</v>
      </c>
      <c r="G18" s="26" t="str">
        <f t="shared" si="3"/>
        <v>P081DER</v>
      </c>
      <c r="H18" s="26" t="s">
        <v>170</v>
      </c>
      <c r="I18" s="26" t="s">
        <v>171</v>
      </c>
      <c r="J18" s="26" t="s">
        <v>172</v>
      </c>
      <c r="K18" s="26" t="str">
        <f t="shared" si="6"/>
        <v>ELEM51</v>
      </c>
      <c r="L18" s="26" t="s">
        <v>173</v>
      </c>
      <c r="M18" s="26" t="s">
        <v>95</v>
      </c>
      <c r="N18" s="26" t="str">
        <f t="shared" si="4"/>
        <v>FONTEDER</v>
      </c>
      <c r="O18" s="26"/>
      <c r="P18" s="26"/>
      <c r="Q18" s="26" t="s">
        <v>47</v>
      </c>
      <c r="R18" s="26" t="s">
        <v>174</v>
      </c>
      <c r="S18" s="26">
        <v>500</v>
      </c>
      <c r="T18" s="26" t="s">
        <v>175</v>
      </c>
      <c r="U18" s="27">
        <v>50000</v>
      </c>
      <c r="V18" s="28">
        <v>1</v>
      </c>
      <c r="W18" s="29">
        <f t="shared" si="7"/>
        <v>25000000</v>
      </c>
      <c r="X18" s="26"/>
      <c r="Y18" s="26"/>
      <c r="Z18" s="26"/>
      <c r="AA18" s="26"/>
      <c r="AB18" s="26"/>
      <c r="AC18" s="26"/>
      <c r="AD18" s="26"/>
    </row>
    <row r="19" spans="1:30" s="21" customFormat="1" ht="60" x14ac:dyDescent="0.25">
      <c r="A19" s="26" t="s">
        <v>168</v>
      </c>
      <c r="B19" s="26"/>
      <c r="C19" s="26"/>
      <c r="D19" s="26"/>
      <c r="E19" s="26" t="str">
        <f>CONCATENATE(A19,"PROG")</f>
        <v>DERPROG</v>
      </c>
      <c r="F19" s="26" t="s">
        <v>169</v>
      </c>
      <c r="G19" s="26" t="str">
        <f>CONCATENATE("P",(LEFT(F19,3)),A19)</f>
        <v>P081DER</v>
      </c>
      <c r="H19" s="26" t="s">
        <v>170</v>
      </c>
      <c r="I19" s="26" t="s">
        <v>171</v>
      </c>
      <c r="J19" s="26" t="s">
        <v>176</v>
      </c>
      <c r="K19" s="26" t="str">
        <f t="shared" si="6"/>
        <v>ELEM35</v>
      </c>
      <c r="L19" s="26" t="s">
        <v>177</v>
      </c>
      <c r="M19" s="26" t="s">
        <v>45</v>
      </c>
      <c r="N19" s="26" t="str">
        <f t="shared" si="4"/>
        <v>FONTEDER</v>
      </c>
      <c r="O19" s="26"/>
      <c r="P19" s="26" t="s">
        <v>178</v>
      </c>
      <c r="Q19" s="26" t="s">
        <v>59</v>
      </c>
      <c r="R19" s="26" t="s">
        <v>89</v>
      </c>
      <c r="S19" s="26">
        <v>1</v>
      </c>
      <c r="T19" s="26" t="s">
        <v>179</v>
      </c>
      <c r="U19" s="27">
        <v>25000</v>
      </c>
      <c r="V19" s="28">
        <v>1</v>
      </c>
      <c r="W19" s="29">
        <f t="shared" si="7"/>
        <v>25000</v>
      </c>
      <c r="X19" s="26"/>
      <c r="Y19" s="26"/>
      <c r="Z19" s="26"/>
      <c r="AA19" s="26"/>
      <c r="AB19" s="26"/>
      <c r="AC19" s="26"/>
      <c r="AD19" s="26"/>
    </row>
    <row r="20" spans="1:30" s="21" customFormat="1" x14ac:dyDescent="0.25">
      <c r="A20" s="22"/>
      <c r="B20" s="22"/>
      <c r="C20" s="22"/>
      <c r="D20" s="22"/>
      <c r="E20" s="22" t="str">
        <f t="shared" si="5"/>
        <v>PROG</v>
      </c>
      <c r="F20" s="22"/>
      <c r="G20" s="22" t="str">
        <f t="shared" si="3"/>
        <v>P</v>
      </c>
      <c r="H20" s="22"/>
      <c r="I20" s="22"/>
      <c r="J20" s="22"/>
      <c r="K20" s="22" t="str">
        <f t="shared" si="6"/>
        <v>ELEM</v>
      </c>
      <c r="L20" s="22"/>
      <c r="M20" s="22"/>
      <c r="N20" s="22" t="str">
        <f t="shared" si="4"/>
        <v>FONTE</v>
      </c>
      <c r="O20" s="22"/>
      <c r="P20" s="22"/>
      <c r="Q20" s="22"/>
      <c r="R20" s="22"/>
      <c r="S20" s="22"/>
      <c r="T20" s="22"/>
      <c r="U20" s="25"/>
      <c r="V20" s="24"/>
      <c r="W20" s="23">
        <f t="shared" si="7"/>
        <v>0</v>
      </c>
      <c r="X20" s="22"/>
      <c r="Y20" s="22"/>
      <c r="Z20" s="22"/>
      <c r="AA20" s="22"/>
      <c r="AB20" s="22"/>
      <c r="AC20" s="22"/>
      <c r="AD20" s="22"/>
    </row>
    <row r="21" spans="1:30" s="21" customFormat="1" x14ac:dyDescent="0.25">
      <c r="A21" s="22"/>
      <c r="B21" s="22"/>
      <c r="C21" s="22"/>
      <c r="D21" s="22"/>
      <c r="E21" s="22" t="str">
        <f t="shared" si="5"/>
        <v>PROG</v>
      </c>
      <c r="F21" s="22"/>
      <c r="G21" s="22" t="str">
        <f t="shared" si="3"/>
        <v>P</v>
      </c>
      <c r="H21" s="22"/>
      <c r="I21" s="22"/>
      <c r="J21" s="22"/>
      <c r="K21" s="22" t="str">
        <f t="shared" si="6"/>
        <v>ELEM</v>
      </c>
      <c r="L21" s="22"/>
      <c r="M21" s="22"/>
      <c r="N21" s="22" t="str">
        <f t="shared" si="4"/>
        <v>FONTE</v>
      </c>
      <c r="O21" s="22"/>
      <c r="P21" s="22"/>
      <c r="Q21" s="22"/>
      <c r="R21" s="22"/>
      <c r="S21" s="22"/>
      <c r="T21" s="22"/>
      <c r="U21" s="25"/>
      <c r="V21" s="24"/>
      <c r="W21" s="23">
        <f t="shared" si="7"/>
        <v>0</v>
      </c>
      <c r="X21" s="22"/>
      <c r="Y21" s="22"/>
      <c r="Z21" s="22"/>
      <c r="AA21" s="22"/>
      <c r="AB21" s="22"/>
      <c r="AC21" s="22"/>
      <c r="AD21" s="22"/>
    </row>
    <row r="22" spans="1:30" s="21" customFormat="1" x14ac:dyDescent="0.25">
      <c r="A22" s="22"/>
      <c r="B22" s="22"/>
      <c r="C22" s="22"/>
      <c r="D22" s="22"/>
      <c r="E22" s="22" t="str">
        <f t="shared" si="5"/>
        <v>PROG</v>
      </c>
      <c r="F22" s="22"/>
      <c r="G22" s="22" t="str">
        <f t="shared" si="3"/>
        <v>P</v>
      </c>
      <c r="H22" s="22"/>
      <c r="I22" s="22"/>
      <c r="J22" s="22"/>
      <c r="K22" s="22" t="str">
        <f t="shared" si="6"/>
        <v>ELEM</v>
      </c>
      <c r="L22" s="22"/>
      <c r="M22" s="22"/>
      <c r="N22" s="22" t="str">
        <f t="shared" si="4"/>
        <v>FONTE</v>
      </c>
      <c r="O22" s="22"/>
      <c r="P22" s="22"/>
      <c r="Q22" s="22"/>
      <c r="R22" s="22"/>
      <c r="S22" s="22"/>
      <c r="T22" s="22"/>
      <c r="U22" s="25"/>
      <c r="V22" s="24"/>
      <c r="W22" s="23">
        <f t="shared" si="7"/>
        <v>0</v>
      </c>
      <c r="X22" s="22"/>
      <c r="Y22" s="22"/>
      <c r="Z22" s="22"/>
      <c r="AA22" s="22"/>
      <c r="AB22" s="22"/>
      <c r="AC22" s="22"/>
      <c r="AD22" s="22"/>
    </row>
    <row r="23" spans="1:30" s="21" customFormat="1" x14ac:dyDescent="0.25">
      <c r="A23" s="22"/>
      <c r="B23" s="22"/>
      <c r="C23" s="22"/>
      <c r="D23" s="22"/>
      <c r="E23" s="22" t="str">
        <f t="shared" si="5"/>
        <v>PROG</v>
      </c>
      <c r="F23" s="22"/>
      <c r="G23" s="22" t="str">
        <f t="shared" si="3"/>
        <v>P</v>
      </c>
      <c r="H23" s="22"/>
      <c r="I23" s="22"/>
      <c r="J23" s="22"/>
      <c r="K23" s="22" t="str">
        <f t="shared" si="6"/>
        <v>ELEM</v>
      </c>
      <c r="L23" s="22"/>
      <c r="M23" s="22"/>
      <c r="N23" s="22" t="str">
        <f t="shared" si="4"/>
        <v>FONTE</v>
      </c>
      <c r="O23" s="22"/>
      <c r="P23" s="22"/>
      <c r="Q23" s="22"/>
      <c r="R23" s="22"/>
      <c r="S23" s="22"/>
      <c r="T23" s="22"/>
      <c r="U23" s="25"/>
      <c r="V23" s="24"/>
      <c r="W23" s="23">
        <f t="shared" si="7"/>
        <v>0</v>
      </c>
      <c r="X23" s="22"/>
      <c r="Y23" s="22"/>
      <c r="Z23" s="22"/>
      <c r="AA23" s="22"/>
      <c r="AB23" s="22"/>
      <c r="AC23" s="22"/>
      <c r="AD23" s="22"/>
    </row>
    <row r="24" spans="1:30" s="21" customFormat="1" x14ac:dyDescent="0.25">
      <c r="A24" s="22"/>
      <c r="B24" s="22"/>
      <c r="C24" s="22"/>
      <c r="D24" s="22"/>
      <c r="E24" s="22" t="str">
        <f t="shared" si="5"/>
        <v>PROG</v>
      </c>
      <c r="F24" s="22"/>
      <c r="G24" s="22" t="str">
        <f t="shared" si="3"/>
        <v>P</v>
      </c>
      <c r="H24" s="22"/>
      <c r="I24" s="22"/>
      <c r="J24" s="22"/>
      <c r="K24" s="22" t="str">
        <f t="shared" si="6"/>
        <v>ELEM</v>
      </c>
      <c r="L24" s="22"/>
      <c r="M24" s="22"/>
      <c r="N24" s="22" t="str">
        <f t="shared" si="4"/>
        <v>FONTE</v>
      </c>
      <c r="O24" s="22"/>
      <c r="P24" s="22"/>
      <c r="Q24" s="22"/>
      <c r="R24" s="22"/>
      <c r="S24" s="22"/>
      <c r="T24" s="22"/>
      <c r="U24" s="25"/>
      <c r="V24" s="24"/>
      <c r="W24" s="23">
        <f t="shared" si="7"/>
        <v>0</v>
      </c>
      <c r="X24" s="22"/>
      <c r="Y24" s="22"/>
      <c r="Z24" s="22"/>
      <c r="AA24" s="22"/>
      <c r="AB24" s="22"/>
      <c r="AC24" s="22"/>
      <c r="AD24" s="22"/>
    </row>
    <row r="25" spans="1:30" s="21" customFormat="1" x14ac:dyDescent="0.25">
      <c r="A25" s="22"/>
      <c r="B25" s="22"/>
      <c r="C25" s="22"/>
      <c r="D25" s="22"/>
      <c r="E25" s="22" t="str">
        <f t="shared" si="5"/>
        <v>PROG</v>
      </c>
      <c r="F25" s="22"/>
      <c r="G25" s="22" t="str">
        <f t="shared" si="3"/>
        <v>P</v>
      </c>
      <c r="H25" s="22"/>
      <c r="I25" s="22"/>
      <c r="J25" s="22"/>
      <c r="K25" s="22" t="str">
        <f t="shared" si="6"/>
        <v>ELEM</v>
      </c>
      <c r="L25" s="22"/>
      <c r="M25" s="22"/>
      <c r="N25" s="22" t="str">
        <f t="shared" si="4"/>
        <v>FONTE</v>
      </c>
      <c r="O25" s="22"/>
      <c r="P25" s="22"/>
      <c r="Q25" s="22"/>
      <c r="R25" s="22"/>
      <c r="S25" s="22"/>
      <c r="T25" s="22"/>
      <c r="U25" s="25"/>
      <c r="V25" s="24"/>
      <c r="W25" s="23">
        <f t="shared" si="7"/>
        <v>0</v>
      </c>
      <c r="X25" s="22"/>
      <c r="Y25" s="22"/>
      <c r="Z25" s="22"/>
      <c r="AA25" s="22"/>
      <c r="AB25" s="22"/>
      <c r="AC25" s="22"/>
      <c r="AD25" s="22"/>
    </row>
    <row r="26" spans="1:30" s="21" customFormat="1" x14ac:dyDescent="0.25">
      <c r="A26" s="22"/>
      <c r="B26" s="22"/>
      <c r="C26" s="22"/>
      <c r="D26" s="22"/>
      <c r="E26" s="22" t="str">
        <f t="shared" si="5"/>
        <v>PROG</v>
      </c>
      <c r="F26" s="22"/>
      <c r="G26" s="22" t="str">
        <f t="shared" si="3"/>
        <v>P</v>
      </c>
      <c r="H26" s="22"/>
      <c r="I26" s="22"/>
      <c r="J26" s="22"/>
      <c r="K26" s="22" t="str">
        <f t="shared" si="6"/>
        <v>ELEM</v>
      </c>
      <c r="L26" s="22"/>
      <c r="M26" s="22"/>
      <c r="N26" s="22" t="str">
        <f t="shared" si="4"/>
        <v>FONTE</v>
      </c>
      <c r="O26" s="22"/>
      <c r="P26" s="22"/>
      <c r="Q26" s="22"/>
      <c r="R26" s="22"/>
      <c r="S26" s="22"/>
      <c r="T26" s="22"/>
      <c r="U26" s="25"/>
      <c r="V26" s="24"/>
      <c r="W26" s="23">
        <f t="shared" si="7"/>
        <v>0</v>
      </c>
      <c r="X26" s="22"/>
      <c r="Y26" s="22"/>
      <c r="Z26" s="22"/>
      <c r="AA26" s="22"/>
      <c r="AB26" s="22"/>
      <c r="AC26" s="22"/>
      <c r="AD26" s="22"/>
    </row>
    <row r="27" spans="1:30" s="21" customFormat="1" x14ac:dyDescent="0.25">
      <c r="A27" s="22"/>
      <c r="B27" s="22"/>
      <c r="C27" s="22"/>
      <c r="D27" s="22"/>
      <c r="E27" s="22" t="str">
        <f t="shared" si="5"/>
        <v>PROG</v>
      </c>
      <c r="F27" s="22"/>
      <c r="G27" s="22" t="str">
        <f t="shared" si="3"/>
        <v>P</v>
      </c>
      <c r="H27" s="22"/>
      <c r="I27" s="22"/>
      <c r="J27" s="22"/>
      <c r="K27" s="22" t="str">
        <f t="shared" si="6"/>
        <v>ELEM</v>
      </c>
      <c r="L27" s="22"/>
      <c r="M27" s="22"/>
      <c r="N27" s="22" t="str">
        <f t="shared" si="4"/>
        <v>FONTE</v>
      </c>
      <c r="O27" s="22"/>
      <c r="P27" s="22"/>
      <c r="Q27" s="22"/>
      <c r="R27" s="22"/>
      <c r="S27" s="22"/>
      <c r="T27" s="22"/>
      <c r="U27" s="25"/>
      <c r="V27" s="24"/>
      <c r="W27" s="23">
        <f t="shared" si="7"/>
        <v>0</v>
      </c>
      <c r="X27" s="22"/>
      <c r="Y27" s="22"/>
      <c r="Z27" s="22"/>
      <c r="AA27" s="22"/>
      <c r="AB27" s="22"/>
      <c r="AC27" s="22"/>
      <c r="AD27" s="22"/>
    </row>
    <row r="28" spans="1:30" s="21" customFormat="1" x14ac:dyDescent="0.25">
      <c r="A28" s="22"/>
      <c r="B28" s="22"/>
      <c r="C28" s="22"/>
      <c r="D28" s="22"/>
      <c r="E28" s="22" t="str">
        <f t="shared" si="5"/>
        <v>PROG</v>
      </c>
      <c r="F28" s="22"/>
      <c r="G28" s="22" t="str">
        <f t="shared" si="3"/>
        <v>P</v>
      </c>
      <c r="H28" s="22"/>
      <c r="I28" s="22"/>
      <c r="J28" s="22"/>
      <c r="K28" s="22" t="str">
        <f t="shared" si="6"/>
        <v>ELEM</v>
      </c>
      <c r="L28" s="22"/>
      <c r="M28" s="22"/>
      <c r="N28" s="22" t="str">
        <f t="shared" si="4"/>
        <v>FONTE</v>
      </c>
      <c r="O28" s="22"/>
      <c r="P28" s="22"/>
      <c r="Q28" s="22"/>
      <c r="R28" s="22"/>
      <c r="S28" s="22"/>
      <c r="T28" s="22"/>
      <c r="U28" s="25"/>
      <c r="V28" s="24"/>
      <c r="W28" s="23">
        <f t="shared" si="7"/>
        <v>0</v>
      </c>
      <c r="X28" s="22"/>
      <c r="Y28" s="22"/>
      <c r="Z28" s="22"/>
      <c r="AA28" s="22"/>
      <c r="AB28" s="22"/>
      <c r="AC28" s="22"/>
      <c r="AD28" s="22"/>
    </row>
    <row r="29" spans="1:30" s="21" customFormat="1" x14ac:dyDescent="0.25">
      <c r="A29" s="22"/>
      <c r="B29" s="22"/>
      <c r="C29" s="22"/>
      <c r="D29" s="22"/>
      <c r="E29" s="22" t="str">
        <f t="shared" si="5"/>
        <v>PROG</v>
      </c>
      <c r="F29" s="22"/>
      <c r="G29" s="22" t="str">
        <f t="shared" si="3"/>
        <v>P</v>
      </c>
      <c r="H29" s="22"/>
      <c r="I29" s="22"/>
      <c r="J29" s="22"/>
      <c r="K29" s="22" t="str">
        <f t="shared" si="6"/>
        <v>ELEM</v>
      </c>
      <c r="L29" s="22"/>
      <c r="M29" s="22"/>
      <c r="N29" s="22" t="str">
        <f t="shared" si="4"/>
        <v>FONTE</v>
      </c>
      <c r="O29" s="22"/>
      <c r="P29" s="22"/>
      <c r="Q29" s="22"/>
      <c r="R29" s="22"/>
      <c r="S29" s="22"/>
      <c r="T29" s="22"/>
      <c r="U29" s="25"/>
      <c r="V29" s="24"/>
      <c r="W29" s="23">
        <f t="shared" si="7"/>
        <v>0</v>
      </c>
      <c r="X29" s="22"/>
      <c r="Y29" s="22"/>
      <c r="Z29" s="22"/>
      <c r="AA29" s="22"/>
      <c r="AB29" s="22"/>
      <c r="AC29" s="22"/>
      <c r="AD29" s="22"/>
    </row>
    <row r="30" spans="1:30" s="21" customFormat="1" x14ac:dyDescent="0.25">
      <c r="A30" s="22"/>
      <c r="B30" s="22"/>
      <c r="C30" s="22"/>
      <c r="D30" s="22"/>
      <c r="E30" s="22" t="str">
        <f t="shared" si="5"/>
        <v>PROG</v>
      </c>
      <c r="F30" s="22"/>
      <c r="G30" s="22" t="str">
        <f t="shared" si="3"/>
        <v>P</v>
      </c>
      <c r="H30" s="22"/>
      <c r="I30" s="22"/>
      <c r="J30" s="22"/>
      <c r="K30" s="22" t="str">
        <f t="shared" si="6"/>
        <v>ELEM</v>
      </c>
      <c r="L30" s="22"/>
      <c r="M30" s="22"/>
      <c r="N30" s="22" t="str">
        <f t="shared" si="4"/>
        <v>FONTE</v>
      </c>
      <c r="O30" s="22"/>
      <c r="P30" s="22"/>
      <c r="Q30" s="22"/>
      <c r="R30" s="22"/>
      <c r="S30" s="22"/>
      <c r="T30" s="22"/>
      <c r="U30" s="25"/>
      <c r="V30" s="24"/>
      <c r="W30" s="23">
        <f t="shared" si="7"/>
        <v>0</v>
      </c>
      <c r="X30" s="22"/>
      <c r="Y30" s="22"/>
      <c r="Z30" s="22"/>
      <c r="AA30" s="22"/>
      <c r="AB30" s="22"/>
      <c r="AC30" s="22"/>
      <c r="AD30" s="22"/>
    </row>
    <row r="31" spans="1:30" s="21" customFormat="1" x14ac:dyDescent="0.25">
      <c r="A31" s="22"/>
      <c r="B31" s="22"/>
      <c r="C31" s="22"/>
      <c r="D31" s="22"/>
      <c r="E31" s="22" t="str">
        <f t="shared" si="5"/>
        <v>PROG</v>
      </c>
      <c r="F31" s="22"/>
      <c r="G31" s="22" t="str">
        <f t="shared" si="3"/>
        <v>P</v>
      </c>
      <c r="H31" s="22"/>
      <c r="I31" s="22"/>
      <c r="J31" s="22"/>
      <c r="K31" s="22" t="str">
        <f t="shared" si="6"/>
        <v>ELEM</v>
      </c>
      <c r="L31" s="22"/>
      <c r="M31" s="22"/>
      <c r="N31" s="22" t="str">
        <f t="shared" si="4"/>
        <v>FONTE</v>
      </c>
      <c r="O31" s="22"/>
      <c r="P31" s="22"/>
      <c r="Q31" s="22"/>
      <c r="R31" s="22"/>
      <c r="S31" s="22"/>
      <c r="T31" s="22"/>
      <c r="U31" s="25"/>
      <c r="V31" s="24"/>
      <c r="W31" s="23">
        <f t="shared" si="7"/>
        <v>0</v>
      </c>
      <c r="X31" s="22"/>
      <c r="Y31" s="22"/>
      <c r="Z31" s="22"/>
      <c r="AA31" s="22"/>
      <c r="AB31" s="22"/>
      <c r="AC31" s="22"/>
      <c r="AD31" s="22"/>
    </row>
    <row r="32" spans="1:30" s="21" customFormat="1" x14ac:dyDescent="0.25">
      <c r="A32" s="22"/>
      <c r="B32" s="22"/>
      <c r="C32" s="22"/>
      <c r="D32" s="22"/>
      <c r="E32" s="22" t="str">
        <f t="shared" si="5"/>
        <v>PROG</v>
      </c>
      <c r="F32" s="22"/>
      <c r="G32" s="22" t="str">
        <f t="shared" si="3"/>
        <v>P</v>
      </c>
      <c r="H32" s="22"/>
      <c r="I32" s="22"/>
      <c r="J32" s="22"/>
      <c r="K32" s="22" t="str">
        <f t="shared" si="6"/>
        <v>ELEM</v>
      </c>
      <c r="L32" s="22"/>
      <c r="M32" s="22"/>
      <c r="N32" s="22" t="str">
        <f t="shared" si="4"/>
        <v>FONTE</v>
      </c>
      <c r="O32" s="22"/>
      <c r="P32" s="22"/>
      <c r="Q32" s="22"/>
      <c r="R32" s="22"/>
      <c r="S32" s="22"/>
      <c r="T32" s="22"/>
      <c r="U32" s="25"/>
      <c r="V32" s="24"/>
      <c r="W32" s="23">
        <f t="shared" si="7"/>
        <v>0</v>
      </c>
      <c r="X32" s="22"/>
      <c r="Y32" s="22"/>
      <c r="Z32" s="22"/>
      <c r="AA32" s="22"/>
      <c r="AB32" s="22"/>
      <c r="AC32" s="22"/>
      <c r="AD32" s="22"/>
    </row>
    <row r="33" spans="1:30" s="21" customFormat="1" x14ac:dyDescent="0.25">
      <c r="A33" s="22"/>
      <c r="B33" s="22"/>
      <c r="C33" s="22"/>
      <c r="D33" s="22"/>
      <c r="E33" s="22" t="str">
        <f t="shared" si="5"/>
        <v>PROG</v>
      </c>
      <c r="F33" s="22"/>
      <c r="G33" s="22" t="str">
        <f t="shared" si="3"/>
        <v>P</v>
      </c>
      <c r="H33" s="22"/>
      <c r="I33" s="22"/>
      <c r="J33" s="22"/>
      <c r="K33" s="22" t="str">
        <f t="shared" si="6"/>
        <v>ELEM</v>
      </c>
      <c r="L33" s="22"/>
      <c r="M33" s="22"/>
      <c r="N33" s="22" t="str">
        <f t="shared" si="4"/>
        <v>FONTE</v>
      </c>
      <c r="O33" s="22"/>
      <c r="P33" s="22"/>
      <c r="Q33" s="22"/>
      <c r="R33" s="22"/>
      <c r="S33" s="22"/>
      <c r="T33" s="22"/>
      <c r="U33" s="25"/>
      <c r="V33" s="24"/>
      <c r="W33" s="23">
        <f t="shared" si="7"/>
        <v>0</v>
      </c>
      <c r="X33" s="22"/>
      <c r="Y33" s="22"/>
      <c r="Z33" s="22"/>
      <c r="AA33" s="22"/>
      <c r="AB33" s="22"/>
      <c r="AC33" s="22"/>
      <c r="AD33" s="22"/>
    </row>
    <row r="34" spans="1:30" s="21" customFormat="1" x14ac:dyDescent="0.25">
      <c r="A34" s="22"/>
      <c r="B34" s="22"/>
      <c r="C34" s="22"/>
      <c r="D34" s="22"/>
      <c r="E34" s="22" t="str">
        <f t="shared" si="5"/>
        <v>PROG</v>
      </c>
      <c r="F34" s="22"/>
      <c r="G34" s="22" t="str">
        <f t="shared" si="3"/>
        <v>P</v>
      </c>
      <c r="H34" s="22"/>
      <c r="I34" s="22"/>
      <c r="J34" s="22"/>
      <c r="K34" s="22" t="str">
        <f t="shared" si="6"/>
        <v>ELEM</v>
      </c>
      <c r="L34" s="22"/>
      <c r="M34" s="22"/>
      <c r="N34" s="22" t="str">
        <f t="shared" si="4"/>
        <v>FONTE</v>
      </c>
      <c r="O34" s="22"/>
      <c r="P34" s="22"/>
      <c r="Q34" s="22"/>
      <c r="R34" s="22"/>
      <c r="S34" s="22"/>
      <c r="T34" s="22"/>
      <c r="U34" s="25"/>
      <c r="V34" s="24"/>
      <c r="W34" s="23">
        <f t="shared" si="7"/>
        <v>0</v>
      </c>
      <c r="X34" s="22"/>
      <c r="Y34" s="22"/>
      <c r="Z34" s="22"/>
      <c r="AA34" s="22"/>
      <c r="AB34" s="22"/>
      <c r="AC34" s="22"/>
      <c r="AD34" s="22"/>
    </row>
    <row r="35" spans="1:30" s="21" customFormat="1" x14ac:dyDescent="0.25">
      <c r="A35" s="22"/>
      <c r="B35" s="22"/>
      <c r="C35" s="22"/>
      <c r="D35" s="22"/>
      <c r="E35" s="22" t="str">
        <f t="shared" si="5"/>
        <v>PROG</v>
      </c>
      <c r="F35" s="22"/>
      <c r="G35" s="22" t="str">
        <f t="shared" si="3"/>
        <v>P</v>
      </c>
      <c r="H35" s="22"/>
      <c r="I35" s="22"/>
      <c r="J35" s="22"/>
      <c r="K35" s="22" t="str">
        <f t="shared" si="6"/>
        <v>ELEM</v>
      </c>
      <c r="L35" s="22"/>
      <c r="M35" s="22"/>
      <c r="N35" s="22" t="str">
        <f t="shared" si="4"/>
        <v>FONTE</v>
      </c>
      <c r="O35" s="22"/>
      <c r="P35" s="22"/>
      <c r="Q35" s="22"/>
      <c r="R35" s="22"/>
      <c r="S35" s="22"/>
      <c r="T35" s="22"/>
      <c r="U35" s="25"/>
      <c r="V35" s="24"/>
      <c r="W35" s="23">
        <f t="shared" si="7"/>
        <v>0</v>
      </c>
      <c r="X35" s="22"/>
      <c r="Y35" s="22"/>
      <c r="Z35" s="22"/>
      <c r="AA35" s="22"/>
      <c r="AB35" s="22"/>
      <c r="AC35" s="22"/>
      <c r="AD35" s="22"/>
    </row>
    <row r="36" spans="1:30" s="21" customFormat="1" x14ac:dyDescent="0.25">
      <c r="A36" s="22"/>
      <c r="B36" s="22"/>
      <c r="C36" s="22"/>
      <c r="D36" s="22"/>
      <c r="E36" s="22" t="str">
        <f t="shared" si="5"/>
        <v>PROG</v>
      </c>
      <c r="F36" s="22"/>
      <c r="G36" s="22" t="str">
        <f t="shared" si="3"/>
        <v>P</v>
      </c>
      <c r="H36" s="22"/>
      <c r="I36" s="22"/>
      <c r="J36" s="22"/>
      <c r="K36" s="22" t="str">
        <f t="shared" si="6"/>
        <v>ELEM</v>
      </c>
      <c r="L36" s="22"/>
      <c r="M36" s="22"/>
      <c r="N36" s="22" t="str">
        <f t="shared" si="4"/>
        <v>FONTE</v>
      </c>
      <c r="O36" s="22"/>
      <c r="P36" s="22"/>
      <c r="Q36" s="22"/>
      <c r="R36" s="22"/>
      <c r="S36" s="22"/>
      <c r="T36" s="22"/>
      <c r="U36" s="25"/>
      <c r="V36" s="24"/>
      <c r="W36" s="23">
        <f t="shared" si="7"/>
        <v>0</v>
      </c>
      <c r="X36" s="22"/>
      <c r="Y36" s="22"/>
      <c r="Z36" s="22"/>
      <c r="AA36" s="22"/>
      <c r="AB36" s="22"/>
      <c r="AC36" s="22"/>
      <c r="AD36" s="22"/>
    </row>
    <row r="37" spans="1:30" s="21" customFormat="1" x14ac:dyDescent="0.25">
      <c r="A37" s="22"/>
      <c r="B37" s="22"/>
      <c r="C37" s="22"/>
      <c r="D37" s="22"/>
      <c r="E37" s="22" t="str">
        <f t="shared" si="5"/>
        <v>PROG</v>
      </c>
      <c r="F37" s="22"/>
      <c r="G37" s="22" t="str">
        <f t="shared" si="3"/>
        <v>P</v>
      </c>
      <c r="H37" s="22"/>
      <c r="I37" s="22"/>
      <c r="J37" s="22"/>
      <c r="K37" s="22" t="str">
        <f t="shared" si="6"/>
        <v>ELEM</v>
      </c>
      <c r="L37" s="22"/>
      <c r="M37" s="22"/>
      <c r="N37" s="22" t="str">
        <f t="shared" si="4"/>
        <v>FONTE</v>
      </c>
      <c r="O37" s="22"/>
      <c r="P37" s="22"/>
      <c r="Q37" s="22"/>
      <c r="R37" s="22"/>
      <c r="S37" s="22"/>
      <c r="T37" s="22"/>
      <c r="U37" s="25"/>
      <c r="V37" s="24"/>
      <c r="W37" s="23">
        <f t="shared" si="7"/>
        <v>0</v>
      </c>
      <c r="X37" s="22"/>
      <c r="Y37" s="22"/>
      <c r="Z37" s="22"/>
      <c r="AA37" s="22"/>
      <c r="AB37" s="22"/>
      <c r="AC37" s="22"/>
      <c r="AD37" s="22"/>
    </row>
    <row r="38" spans="1:30" s="21" customFormat="1" x14ac:dyDescent="0.25">
      <c r="A38" s="22"/>
      <c r="B38" s="22"/>
      <c r="C38" s="22"/>
      <c r="D38" s="22"/>
      <c r="E38" s="22" t="str">
        <f t="shared" si="5"/>
        <v>PROG</v>
      </c>
      <c r="F38" s="22"/>
      <c r="G38" s="22" t="str">
        <f t="shared" si="3"/>
        <v>P</v>
      </c>
      <c r="H38" s="22"/>
      <c r="I38" s="22"/>
      <c r="J38" s="22"/>
      <c r="K38" s="22" t="str">
        <f t="shared" si="6"/>
        <v>ELEM</v>
      </c>
      <c r="L38" s="22"/>
      <c r="M38" s="22"/>
      <c r="N38" s="22" t="str">
        <f t="shared" si="4"/>
        <v>FONTE</v>
      </c>
      <c r="O38" s="22"/>
      <c r="P38" s="22"/>
      <c r="Q38" s="22"/>
      <c r="R38" s="22"/>
      <c r="S38" s="22"/>
      <c r="T38" s="22"/>
      <c r="U38" s="25"/>
      <c r="V38" s="24"/>
      <c r="W38" s="23">
        <f t="shared" si="7"/>
        <v>0</v>
      </c>
      <c r="X38" s="22"/>
      <c r="Y38" s="22"/>
      <c r="Z38" s="22"/>
      <c r="AA38" s="22"/>
      <c r="AB38" s="22"/>
      <c r="AC38" s="22"/>
      <c r="AD38" s="22"/>
    </row>
    <row r="39" spans="1:30" s="21" customFormat="1" x14ac:dyDescent="0.25">
      <c r="A39" s="22"/>
      <c r="B39" s="22"/>
      <c r="C39" s="22"/>
      <c r="D39" s="22"/>
      <c r="E39" s="22" t="str">
        <f t="shared" si="5"/>
        <v>PROG</v>
      </c>
      <c r="F39" s="22"/>
      <c r="G39" s="22" t="str">
        <f t="shared" si="3"/>
        <v>P</v>
      </c>
      <c r="H39" s="22"/>
      <c r="I39" s="22"/>
      <c r="J39" s="22"/>
      <c r="K39" s="22" t="str">
        <f t="shared" si="6"/>
        <v>ELEM</v>
      </c>
      <c r="L39" s="22"/>
      <c r="M39" s="22"/>
      <c r="N39" s="22" t="str">
        <f t="shared" si="4"/>
        <v>FONTE</v>
      </c>
      <c r="O39" s="22"/>
      <c r="P39" s="22"/>
      <c r="Q39" s="22"/>
      <c r="R39" s="22"/>
      <c r="S39" s="22"/>
      <c r="T39" s="22"/>
      <c r="U39" s="25"/>
      <c r="V39" s="24"/>
      <c r="W39" s="23">
        <f t="shared" si="7"/>
        <v>0</v>
      </c>
      <c r="X39" s="22"/>
      <c r="Y39" s="22"/>
      <c r="Z39" s="22"/>
      <c r="AA39" s="22"/>
      <c r="AB39" s="22"/>
      <c r="AC39" s="22"/>
      <c r="AD39" s="22"/>
    </row>
    <row r="40" spans="1:30" s="21" customFormat="1" x14ac:dyDescent="0.25">
      <c r="A40" s="22"/>
      <c r="B40" s="22"/>
      <c r="C40" s="22"/>
      <c r="D40" s="22"/>
      <c r="E40" s="22" t="str">
        <f t="shared" si="5"/>
        <v>PROG</v>
      </c>
      <c r="F40" s="22"/>
      <c r="G40" s="22" t="str">
        <f t="shared" si="3"/>
        <v>P</v>
      </c>
      <c r="H40" s="22"/>
      <c r="I40" s="22"/>
      <c r="J40" s="22"/>
      <c r="K40" s="22" t="str">
        <f t="shared" si="6"/>
        <v>ELEM</v>
      </c>
      <c r="L40" s="22"/>
      <c r="M40" s="22"/>
      <c r="N40" s="22" t="str">
        <f t="shared" si="4"/>
        <v>FONTE</v>
      </c>
      <c r="O40" s="22"/>
      <c r="P40" s="22"/>
      <c r="Q40" s="22"/>
      <c r="R40" s="22"/>
      <c r="S40" s="22"/>
      <c r="T40" s="22"/>
      <c r="U40" s="25"/>
      <c r="V40" s="24"/>
      <c r="W40" s="23">
        <f t="shared" si="7"/>
        <v>0</v>
      </c>
      <c r="X40" s="22"/>
      <c r="Y40" s="22"/>
      <c r="Z40" s="22"/>
      <c r="AA40" s="22"/>
      <c r="AB40" s="22"/>
      <c r="AC40" s="22"/>
      <c r="AD40" s="22"/>
    </row>
    <row r="41" spans="1:30" s="21" customFormat="1" x14ac:dyDescent="0.25">
      <c r="A41" s="22"/>
      <c r="B41" s="22"/>
      <c r="C41" s="22"/>
      <c r="D41" s="22"/>
      <c r="E41" s="22" t="str">
        <f t="shared" si="5"/>
        <v>PROG</v>
      </c>
      <c r="F41" s="22"/>
      <c r="G41" s="22" t="str">
        <f t="shared" si="3"/>
        <v>P</v>
      </c>
      <c r="H41" s="22"/>
      <c r="I41" s="22"/>
      <c r="J41" s="22"/>
      <c r="K41" s="22" t="str">
        <f t="shared" si="6"/>
        <v>ELEM</v>
      </c>
      <c r="L41" s="22"/>
      <c r="M41" s="22"/>
      <c r="N41" s="22" t="str">
        <f t="shared" si="4"/>
        <v>FONTE</v>
      </c>
      <c r="O41" s="22"/>
      <c r="P41" s="22"/>
      <c r="Q41" s="22"/>
      <c r="R41" s="22"/>
      <c r="S41" s="22"/>
      <c r="T41" s="22"/>
      <c r="U41" s="25"/>
      <c r="V41" s="24"/>
      <c r="W41" s="23">
        <f t="shared" si="7"/>
        <v>0</v>
      </c>
      <c r="X41" s="22"/>
      <c r="Y41" s="22"/>
      <c r="Z41" s="22"/>
      <c r="AA41" s="22"/>
      <c r="AB41" s="22"/>
      <c r="AC41" s="22"/>
      <c r="AD41" s="22"/>
    </row>
    <row r="42" spans="1:30" s="21" customFormat="1" x14ac:dyDescent="0.25">
      <c r="A42" s="22"/>
      <c r="B42" s="22"/>
      <c r="C42" s="22"/>
      <c r="D42" s="22"/>
      <c r="E42" s="22" t="str">
        <f t="shared" si="5"/>
        <v>PROG</v>
      </c>
      <c r="F42" s="22"/>
      <c r="G42" s="22" t="str">
        <f t="shared" si="3"/>
        <v>P</v>
      </c>
      <c r="H42" s="22"/>
      <c r="I42" s="22"/>
      <c r="J42" s="22"/>
      <c r="K42" s="22" t="str">
        <f t="shared" si="6"/>
        <v>ELEM</v>
      </c>
      <c r="L42" s="22"/>
      <c r="M42" s="22"/>
      <c r="N42" s="22" t="str">
        <f t="shared" si="4"/>
        <v>FONTE</v>
      </c>
      <c r="O42" s="22"/>
      <c r="P42" s="22"/>
      <c r="Q42" s="22"/>
      <c r="R42" s="22"/>
      <c r="S42" s="22"/>
      <c r="T42" s="22"/>
      <c r="U42" s="25"/>
      <c r="V42" s="24"/>
      <c r="W42" s="23">
        <f t="shared" si="7"/>
        <v>0</v>
      </c>
      <c r="X42" s="22"/>
      <c r="Y42" s="22"/>
      <c r="Z42" s="22"/>
      <c r="AA42" s="22"/>
      <c r="AB42" s="22"/>
      <c r="AC42" s="22"/>
      <c r="AD42" s="22"/>
    </row>
    <row r="43" spans="1:30" s="21" customFormat="1" x14ac:dyDescent="0.25">
      <c r="A43" s="22"/>
      <c r="B43" s="22"/>
      <c r="C43" s="22"/>
      <c r="D43" s="22"/>
      <c r="E43" s="22" t="str">
        <f t="shared" si="5"/>
        <v>PROG</v>
      </c>
      <c r="F43" s="22"/>
      <c r="G43" s="22" t="str">
        <f t="shared" si="3"/>
        <v>P</v>
      </c>
      <c r="H43" s="22"/>
      <c r="I43" s="22"/>
      <c r="J43" s="22"/>
      <c r="K43" s="22" t="str">
        <f t="shared" si="6"/>
        <v>ELEM</v>
      </c>
      <c r="L43" s="22"/>
      <c r="M43" s="22"/>
      <c r="N43" s="22" t="str">
        <f t="shared" si="4"/>
        <v>FONTE</v>
      </c>
      <c r="O43" s="22"/>
      <c r="P43" s="22"/>
      <c r="Q43" s="22"/>
      <c r="R43" s="22"/>
      <c r="S43" s="22"/>
      <c r="T43" s="22"/>
      <c r="U43" s="25"/>
      <c r="V43" s="24"/>
      <c r="W43" s="23">
        <f t="shared" si="7"/>
        <v>0</v>
      </c>
      <c r="X43" s="22"/>
      <c r="Y43" s="22"/>
      <c r="Z43" s="22"/>
      <c r="AA43" s="22"/>
      <c r="AB43" s="22"/>
      <c r="AC43" s="22"/>
      <c r="AD43" s="22"/>
    </row>
    <row r="44" spans="1:30" s="21" customFormat="1" x14ac:dyDescent="0.25">
      <c r="A44" s="22"/>
      <c r="B44" s="22"/>
      <c r="C44" s="22"/>
      <c r="D44" s="22"/>
      <c r="E44" s="22" t="str">
        <f t="shared" si="5"/>
        <v>PROG</v>
      </c>
      <c r="F44" s="22"/>
      <c r="G44" s="22" t="str">
        <f t="shared" si="3"/>
        <v>P</v>
      </c>
      <c r="H44" s="22"/>
      <c r="I44" s="22"/>
      <c r="J44" s="22"/>
      <c r="K44" s="22" t="str">
        <f t="shared" si="6"/>
        <v>ELEM</v>
      </c>
      <c r="L44" s="22"/>
      <c r="M44" s="22"/>
      <c r="N44" s="22" t="str">
        <f t="shared" si="4"/>
        <v>FONTE</v>
      </c>
      <c r="O44" s="22"/>
      <c r="P44" s="22"/>
      <c r="Q44" s="22"/>
      <c r="R44" s="22"/>
      <c r="S44" s="22"/>
      <c r="T44" s="22"/>
      <c r="U44" s="25"/>
      <c r="V44" s="24"/>
      <c r="W44" s="23">
        <f t="shared" si="7"/>
        <v>0</v>
      </c>
      <c r="X44" s="22"/>
      <c r="Y44" s="22"/>
      <c r="Z44" s="22"/>
      <c r="AA44" s="22"/>
      <c r="AB44" s="22"/>
      <c r="AC44" s="22"/>
      <c r="AD44" s="22"/>
    </row>
    <row r="45" spans="1:30" s="21" customFormat="1" x14ac:dyDescent="0.25">
      <c r="A45" s="22"/>
      <c r="B45" s="22"/>
      <c r="C45" s="22"/>
      <c r="D45" s="22"/>
      <c r="E45" s="22" t="str">
        <f t="shared" si="5"/>
        <v>PROG</v>
      </c>
      <c r="F45" s="22"/>
      <c r="G45" s="22" t="str">
        <f t="shared" si="3"/>
        <v>P</v>
      </c>
      <c r="H45" s="22"/>
      <c r="I45" s="22"/>
      <c r="J45" s="22"/>
      <c r="K45" s="22" t="str">
        <f t="shared" si="6"/>
        <v>ELEM</v>
      </c>
      <c r="L45" s="22"/>
      <c r="M45" s="22"/>
      <c r="N45" s="22" t="str">
        <f t="shared" si="4"/>
        <v>FONTE</v>
      </c>
      <c r="O45" s="22"/>
      <c r="P45" s="22"/>
      <c r="Q45" s="22"/>
      <c r="R45" s="22"/>
      <c r="S45" s="22"/>
      <c r="T45" s="22"/>
      <c r="U45" s="25"/>
      <c r="V45" s="24"/>
      <c r="W45" s="23">
        <f t="shared" si="7"/>
        <v>0</v>
      </c>
      <c r="X45" s="22"/>
      <c r="Y45" s="22"/>
      <c r="Z45" s="22"/>
      <c r="AA45" s="22"/>
      <c r="AB45" s="22"/>
      <c r="AC45" s="22"/>
      <c r="AD45" s="22"/>
    </row>
    <row r="46" spans="1:30" s="21" customFormat="1" x14ac:dyDescent="0.25">
      <c r="A46" s="22"/>
      <c r="B46" s="22"/>
      <c r="C46" s="22"/>
      <c r="D46" s="22"/>
      <c r="E46" s="22" t="str">
        <f t="shared" si="5"/>
        <v>PROG</v>
      </c>
      <c r="F46" s="22"/>
      <c r="G46" s="22" t="str">
        <f t="shared" si="3"/>
        <v>P</v>
      </c>
      <c r="H46" s="22"/>
      <c r="I46" s="22"/>
      <c r="J46" s="22"/>
      <c r="K46" s="22" t="str">
        <f t="shared" si="6"/>
        <v>ELEM</v>
      </c>
      <c r="L46" s="22"/>
      <c r="M46" s="22"/>
      <c r="N46" s="22" t="str">
        <f t="shared" si="4"/>
        <v>FONTE</v>
      </c>
      <c r="O46" s="22"/>
      <c r="P46" s="22"/>
      <c r="Q46" s="22"/>
      <c r="R46" s="22"/>
      <c r="S46" s="22"/>
      <c r="T46" s="22"/>
      <c r="U46" s="25"/>
      <c r="V46" s="24"/>
      <c r="W46" s="23">
        <f t="shared" si="7"/>
        <v>0</v>
      </c>
      <c r="X46" s="22"/>
      <c r="Y46" s="22"/>
      <c r="Z46" s="22"/>
      <c r="AA46" s="22"/>
      <c r="AB46" s="22"/>
      <c r="AC46" s="22"/>
      <c r="AD46" s="22"/>
    </row>
    <row r="47" spans="1:30" s="21" customFormat="1" x14ac:dyDescent="0.25">
      <c r="A47" s="22"/>
      <c r="B47" s="22"/>
      <c r="C47" s="22"/>
      <c r="D47" s="22"/>
      <c r="E47" s="22" t="str">
        <f t="shared" si="5"/>
        <v>PROG</v>
      </c>
      <c r="F47" s="22"/>
      <c r="G47" s="22" t="str">
        <f t="shared" si="3"/>
        <v>P</v>
      </c>
      <c r="H47" s="22"/>
      <c r="I47" s="22"/>
      <c r="J47" s="22"/>
      <c r="K47" s="22" t="str">
        <f t="shared" si="6"/>
        <v>ELEM</v>
      </c>
      <c r="L47" s="22"/>
      <c r="M47" s="22"/>
      <c r="N47" s="22" t="str">
        <f t="shared" si="4"/>
        <v>FONTE</v>
      </c>
      <c r="O47" s="22"/>
      <c r="P47" s="22"/>
      <c r="Q47" s="22"/>
      <c r="R47" s="22"/>
      <c r="S47" s="22"/>
      <c r="T47" s="22"/>
      <c r="U47" s="25"/>
      <c r="V47" s="24"/>
      <c r="W47" s="23">
        <f t="shared" si="7"/>
        <v>0</v>
      </c>
      <c r="X47" s="22"/>
      <c r="Y47" s="22"/>
      <c r="Z47" s="22"/>
      <c r="AA47" s="22"/>
      <c r="AB47" s="22"/>
      <c r="AC47" s="22"/>
      <c r="AD47" s="22"/>
    </row>
    <row r="48" spans="1:30" s="21" customFormat="1" x14ac:dyDescent="0.25">
      <c r="A48" s="22"/>
      <c r="B48" s="22"/>
      <c r="C48" s="22"/>
      <c r="D48" s="22"/>
      <c r="E48" s="22" t="str">
        <f t="shared" si="5"/>
        <v>PROG</v>
      </c>
      <c r="F48" s="22"/>
      <c r="G48" s="22" t="str">
        <f t="shared" si="3"/>
        <v>P</v>
      </c>
      <c r="H48" s="22"/>
      <c r="I48" s="22"/>
      <c r="J48" s="22"/>
      <c r="K48" s="22" t="str">
        <f t="shared" si="6"/>
        <v>ELEM</v>
      </c>
      <c r="L48" s="22"/>
      <c r="M48" s="22"/>
      <c r="N48" s="22" t="str">
        <f t="shared" si="4"/>
        <v>FONTE</v>
      </c>
      <c r="O48" s="22"/>
      <c r="P48" s="22"/>
      <c r="Q48" s="22"/>
      <c r="R48" s="22"/>
      <c r="S48" s="22"/>
      <c r="T48" s="22"/>
      <c r="U48" s="25"/>
      <c r="V48" s="24"/>
      <c r="W48" s="23">
        <f t="shared" si="7"/>
        <v>0</v>
      </c>
      <c r="X48" s="22"/>
      <c r="Y48" s="22"/>
      <c r="Z48" s="22"/>
      <c r="AA48" s="22"/>
      <c r="AB48" s="22"/>
      <c r="AC48" s="22"/>
      <c r="AD48" s="22"/>
    </row>
    <row r="49" spans="1:30" s="21" customFormat="1" x14ac:dyDescent="0.25">
      <c r="A49" s="22"/>
      <c r="B49" s="22"/>
      <c r="C49" s="22"/>
      <c r="D49" s="22"/>
      <c r="E49" s="22" t="str">
        <f t="shared" si="5"/>
        <v>PROG</v>
      </c>
      <c r="F49" s="22"/>
      <c r="G49" s="22" t="str">
        <f t="shared" si="3"/>
        <v>P</v>
      </c>
      <c r="H49" s="22"/>
      <c r="I49" s="22"/>
      <c r="J49" s="22"/>
      <c r="K49" s="22" t="str">
        <f t="shared" si="6"/>
        <v>ELEM</v>
      </c>
      <c r="L49" s="22"/>
      <c r="M49" s="22"/>
      <c r="N49" s="22" t="str">
        <f t="shared" si="4"/>
        <v>FONTE</v>
      </c>
      <c r="O49" s="22"/>
      <c r="P49" s="22"/>
      <c r="Q49" s="22"/>
      <c r="R49" s="22"/>
      <c r="S49" s="22"/>
      <c r="T49" s="22"/>
      <c r="U49" s="25"/>
      <c r="V49" s="24"/>
      <c r="W49" s="23">
        <f t="shared" si="7"/>
        <v>0</v>
      </c>
      <c r="X49" s="22"/>
      <c r="Y49" s="22"/>
      <c r="Z49" s="22"/>
      <c r="AA49" s="22"/>
      <c r="AB49" s="22"/>
      <c r="AC49" s="22"/>
      <c r="AD49" s="22"/>
    </row>
    <row r="50" spans="1:30" s="21" customFormat="1" x14ac:dyDescent="0.25">
      <c r="A50" s="22"/>
      <c r="B50" s="22"/>
      <c r="C50" s="22"/>
      <c r="D50" s="22"/>
      <c r="E50" s="22" t="str">
        <f t="shared" si="5"/>
        <v>PROG</v>
      </c>
      <c r="F50" s="22"/>
      <c r="G50" s="22" t="str">
        <f t="shared" si="3"/>
        <v>P</v>
      </c>
      <c r="H50" s="22"/>
      <c r="I50" s="22"/>
      <c r="J50" s="22"/>
      <c r="K50" s="22" t="str">
        <f t="shared" si="6"/>
        <v>ELEM</v>
      </c>
      <c r="L50" s="22"/>
      <c r="M50" s="22"/>
      <c r="N50" s="22" t="str">
        <f t="shared" si="4"/>
        <v>FONTE</v>
      </c>
      <c r="O50" s="22"/>
      <c r="P50" s="22"/>
      <c r="Q50" s="22"/>
      <c r="R50" s="22"/>
      <c r="S50" s="22"/>
      <c r="T50" s="22"/>
      <c r="U50" s="25"/>
      <c r="V50" s="24"/>
      <c r="W50" s="23">
        <f t="shared" si="7"/>
        <v>0</v>
      </c>
      <c r="X50" s="22"/>
      <c r="Y50" s="22"/>
      <c r="Z50" s="22"/>
      <c r="AA50" s="22"/>
      <c r="AB50" s="22"/>
      <c r="AC50" s="22"/>
      <c r="AD50" s="22"/>
    </row>
    <row r="51" spans="1:30" s="21" customFormat="1" x14ac:dyDescent="0.25">
      <c r="A51" s="22"/>
      <c r="B51" s="22"/>
      <c r="C51" s="22"/>
      <c r="D51" s="22"/>
      <c r="E51" s="22" t="str">
        <f t="shared" si="5"/>
        <v>PROG</v>
      </c>
      <c r="F51" s="22"/>
      <c r="G51" s="22" t="str">
        <f t="shared" si="3"/>
        <v>P</v>
      </c>
      <c r="H51" s="22"/>
      <c r="I51" s="22"/>
      <c r="J51" s="22"/>
      <c r="K51" s="22" t="str">
        <f t="shared" si="6"/>
        <v>ELEM</v>
      </c>
      <c r="L51" s="22"/>
      <c r="M51" s="22"/>
      <c r="N51" s="22" t="str">
        <f t="shared" si="4"/>
        <v>FONTE</v>
      </c>
      <c r="O51" s="22"/>
      <c r="P51" s="22"/>
      <c r="Q51" s="22"/>
      <c r="R51" s="22"/>
      <c r="S51" s="22"/>
      <c r="T51" s="22"/>
      <c r="U51" s="25"/>
      <c r="V51" s="24"/>
      <c r="W51" s="23">
        <f t="shared" si="7"/>
        <v>0</v>
      </c>
      <c r="X51" s="22"/>
      <c r="Y51" s="22"/>
      <c r="Z51" s="22"/>
      <c r="AA51" s="22"/>
      <c r="AB51" s="22"/>
      <c r="AC51" s="22"/>
      <c r="AD51" s="22"/>
    </row>
    <row r="52" spans="1:30" s="21" customFormat="1" x14ac:dyDescent="0.25">
      <c r="A52" s="22"/>
      <c r="B52" s="22"/>
      <c r="C52" s="22"/>
      <c r="D52" s="22"/>
      <c r="E52" s="22" t="str">
        <f t="shared" si="5"/>
        <v>PROG</v>
      </c>
      <c r="F52" s="22"/>
      <c r="G52" s="22" t="str">
        <f t="shared" si="3"/>
        <v>P</v>
      </c>
      <c r="H52" s="22"/>
      <c r="I52" s="22"/>
      <c r="J52" s="22"/>
      <c r="K52" s="22" t="str">
        <f t="shared" si="6"/>
        <v>ELEM</v>
      </c>
      <c r="L52" s="22"/>
      <c r="M52" s="22"/>
      <c r="N52" s="22" t="str">
        <f t="shared" si="4"/>
        <v>FONTE</v>
      </c>
      <c r="O52" s="22"/>
      <c r="P52" s="22"/>
      <c r="Q52" s="22"/>
      <c r="R52" s="22"/>
      <c r="S52" s="22"/>
      <c r="T52" s="22"/>
      <c r="U52" s="25"/>
      <c r="V52" s="24"/>
      <c r="W52" s="23">
        <f t="shared" si="7"/>
        <v>0</v>
      </c>
      <c r="X52" s="22"/>
      <c r="Y52" s="22"/>
      <c r="Z52" s="22"/>
      <c r="AA52" s="22"/>
      <c r="AB52" s="22"/>
      <c r="AC52" s="22"/>
      <c r="AD52" s="22"/>
    </row>
    <row r="53" spans="1:30" s="21" customFormat="1" x14ac:dyDescent="0.25">
      <c r="A53" s="22"/>
      <c r="B53" s="22"/>
      <c r="C53" s="22"/>
      <c r="D53" s="22"/>
      <c r="E53" s="22" t="str">
        <f t="shared" si="5"/>
        <v>PROG</v>
      </c>
      <c r="F53" s="22"/>
      <c r="G53" s="22" t="str">
        <f t="shared" si="3"/>
        <v>P</v>
      </c>
      <c r="H53" s="22"/>
      <c r="I53" s="22"/>
      <c r="J53" s="22"/>
      <c r="K53" s="22" t="str">
        <f t="shared" si="6"/>
        <v>ELEM</v>
      </c>
      <c r="L53" s="22"/>
      <c r="M53" s="22"/>
      <c r="N53" s="22" t="str">
        <f t="shared" si="4"/>
        <v>FONTE</v>
      </c>
      <c r="O53" s="22"/>
      <c r="P53" s="22"/>
      <c r="Q53" s="22"/>
      <c r="R53" s="22"/>
      <c r="S53" s="22"/>
      <c r="T53" s="22"/>
      <c r="U53" s="25"/>
      <c r="V53" s="24"/>
      <c r="W53" s="23">
        <f t="shared" si="7"/>
        <v>0</v>
      </c>
      <c r="X53" s="22"/>
      <c r="Y53" s="22"/>
      <c r="Z53" s="22"/>
      <c r="AA53" s="22"/>
      <c r="AB53" s="22"/>
      <c r="AC53" s="22"/>
      <c r="AD53" s="22"/>
    </row>
    <row r="54" spans="1:30" s="21" customFormat="1" x14ac:dyDescent="0.25">
      <c r="A54" s="22"/>
      <c r="B54" s="22"/>
      <c r="C54" s="22"/>
      <c r="D54" s="22"/>
      <c r="E54" s="22" t="str">
        <f t="shared" si="5"/>
        <v>PROG</v>
      </c>
      <c r="F54" s="22"/>
      <c r="G54" s="22" t="str">
        <f t="shared" si="3"/>
        <v>P</v>
      </c>
      <c r="H54" s="22"/>
      <c r="I54" s="22"/>
      <c r="J54" s="22"/>
      <c r="K54" s="22" t="str">
        <f t="shared" si="6"/>
        <v>ELEM</v>
      </c>
      <c r="L54" s="22"/>
      <c r="M54" s="22"/>
      <c r="N54" s="22" t="str">
        <f t="shared" si="4"/>
        <v>FONTE</v>
      </c>
      <c r="O54" s="22"/>
      <c r="P54" s="22"/>
      <c r="Q54" s="22"/>
      <c r="R54" s="22"/>
      <c r="S54" s="22"/>
      <c r="T54" s="22"/>
      <c r="U54" s="25"/>
      <c r="V54" s="24"/>
      <c r="W54" s="23">
        <f t="shared" si="7"/>
        <v>0</v>
      </c>
      <c r="X54" s="22"/>
      <c r="Y54" s="22"/>
      <c r="Z54" s="22"/>
      <c r="AA54" s="22"/>
      <c r="AB54" s="22"/>
      <c r="AC54" s="22"/>
      <c r="AD54" s="22"/>
    </row>
    <row r="55" spans="1:30" s="21" customFormat="1" x14ac:dyDescent="0.25">
      <c r="A55" s="22"/>
      <c r="B55" s="22"/>
      <c r="C55" s="22"/>
      <c r="D55" s="22"/>
      <c r="E55" s="22" t="str">
        <f t="shared" si="5"/>
        <v>PROG</v>
      </c>
      <c r="F55" s="22"/>
      <c r="G55" s="22" t="str">
        <f t="shared" si="3"/>
        <v>P</v>
      </c>
      <c r="H55" s="22"/>
      <c r="I55" s="22"/>
      <c r="J55" s="22"/>
      <c r="K55" s="22" t="str">
        <f t="shared" si="6"/>
        <v>ELEM</v>
      </c>
      <c r="L55" s="22"/>
      <c r="M55" s="22"/>
      <c r="N55" s="22" t="str">
        <f t="shared" si="4"/>
        <v>FONTE</v>
      </c>
      <c r="O55" s="22"/>
      <c r="P55" s="22"/>
      <c r="Q55" s="22"/>
      <c r="R55" s="22"/>
      <c r="S55" s="22"/>
      <c r="T55" s="22"/>
      <c r="U55" s="25"/>
      <c r="V55" s="24"/>
      <c r="W55" s="23">
        <f t="shared" si="7"/>
        <v>0</v>
      </c>
      <c r="X55" s="22"/>
      <c r="Y55" s="22"/>
      <c r="Z55" s="22"/>
      <c r="AA55" s="22"/>
      <c r="AB55" s="22"/>
      <c r="AC55" s="22"/>
      <c r="AD55" s="22"/>
    </row>
    <row r="56" spans="1:30" s="21" customFormat="1" x14ac:dyDescent="0.25">
      <c r="A56" s="22"/>
      <c r="B56" s="22"/>
      <c r="C56" s="22"/>
      <c r="D56" s="22"/>
      <c r="E56" s="22" t="str">
        <f t="shared" si="5"/>
        <v>PROG</v>
      </c>
      <c r="F56" s="22"/>
      <c r="G56" s="22" t="str">
        <f t="shared" si="3"/>
        <v>P</v>
      </c>
      <c r="H56" s="22"/>
      <c r="I56" s="22"/>
      <c r="J56" s="22"/>
      <c r="K56" s="22" t="str">
        <f t="shared" si="6"/>
        <v>ELEM</v>
      </c>
      <c r="L56" s="22"/>
      <c r="M56" s="22"/>
      <c r="N56" s="22" t="str">
        <f t="shared" si="4"/>
        <v>FONTE</v>
      </c>
      <c r="O56" s="22"/>
      <c r="P56" s="22"/>
      <c r="Q56" s="22"/>
      <c r="R56" s="22"/>
      <c r="S56" s="22"/>
      <c r="T56" s="22"/>
      <c r="U56" s="25"/>
      <c r="V56" s="24"/>
      <c r="W56" s="23">
        <f t="shared" si="7"/>
        <v>0</v>
      </c>
      <c r="X56" s="22"/>
      <c r="Y56" s="22"/>
      <c r="Z56" s="22"/>
      <c r="AA56" s="22"/>
      <c r="AB56" s="22"/>
      <c r="AC56" s="22"/>
      <c r="AD56" s="22"/>
    </row>
    <row r="57" spans="1:30" s="21" customFormat="1" x14ac:dyDescent="0.25">
      <c r="A57" s="22"/>
      <c r="B57" s="22"/>
      <c r="C57" s="22"/>
      <c r="D57" s="22"/>
      <c r="E57" s="22" t="str">
        <f t="shared" si="5"/>
        <v>PROG</v>
      </c>
      <c r="F57" s="22"/>
      <c r="G57" s="22" t="str">
        <f t="shared" si="3"/>
        <v>P</v>
      </c>
      <c r="H57" s="22"/>
      <c r="I57" s="22"/>
      <c r="J57" s="22"/>
      <c r="K57" s="22" t="str">
        <f t="shared" si="6"/>
        <v>ELEM</v>
      </c>
      <c r="L57" s="22"/>
      <c r="M57" s="22"/>
      <c r="N57" s="22" t="str">
        <f t="shared" si="4"/>
        <v>FONTE</v>
      </c>
      <c r="O57" s="22"/>
      <c r="P57" s="22"/>
      <c r="Q57" s="22"/>
      <c r="R57" s="22"/>
      <c r="S57" s="22"/>
      <c r="T57" s="22"/>
      <c r="U57" s="25"/>
      <c r="V57" s="24"/>
      <c r="W57" s="23">
        <f t="shared" si="7"/>
        <v>0</v>
      </c>
      <c r="X57" s="22"/>
      <c r="Y57" s="22"/>
      <c r="Z57" s="22"/>
      <c r="AA57" s="22"/>
      <c r="AB57" s="22"/>
      <c r="AC57" s="22"/>
      <c r="AD57" s="22"/>
    </row>
    <row r="58" spans="1:30" s="21" customFormat="1" x14ac:dyDescent="0.25">
      <c r="A58" s="22"/>
      <c r="B58" s="22"/>
      <c r="C58" s="22"/>
      <c r="D58" s="22"/>
      <c r="E58" s="22" t="str">
        <f t="shared" si="5"/>
        <v>PROG</v>
      </c>
      <c r="F58" s="22"/>
      <c r="G58" s="22" t="str">
        <f t="shared" si="3"/>
        <v>P</v>
      </c>
      <c r="H58" s="22"/>
      <c r="I58" s="22"/>
      <c r="J58" s="22"/>
      <c r="K58" s="22" t="str">
        <f t="shared" si="6"/>
        <v>ELEM</v>
      </c>
      <c r="L58" s="22"/>
      <c r="M58" s="22"/>
      <c r="N58" s="22" t="str">
        <f t="shared" si="4"/>
        <v>FONTE</v>
      </c>
      <c r="O58" s="22"/>
      <c r="P58" s="22"/>
      <c r="Q58" s="22"/>
      <c r="R58" s="22"/>
      <c r="S58" s="22"/>
      <c r="T58" s="22"/>
      <c r="U58" s="25"/>
      <c r="V58" s="24"/>
      <c r="W58" s="23">
        <f t="shared" si="7"/>
        <v>0</v>
      </c>
      <c r="X58" s="22"/>
      <c r="Y58" s="22"/>
      <c r="Z58" s="22"/>
      <c r="AA58" s="22"/>
      <c r="AB58" s="22"/>
      <c r="AC58" s="22"/>
      <c r="AD58" s="22"/>
    </row>
    <row r="59" spans="1:30" s="21" customFormat="1" x14ac:dyDescent="0.25">
      <c r="A59" s="22"/>
      <c r="B59" s="22"/>
      <c r="C59" s="22"/>
      <c r="D59" s="22"/>
      <c r="E59" s="22" t="str">
        <f t="shared" si="5"/>
        <v>PROG</v>
      </c>
      <c r="F59" s="22"/>
      <c r="G59" s="22" t="str">
        <f t="shared" si="3"/>
        <v>P</v>
      </c>
      <c r="H59" s="22"/>
      <c r="I59" s="22"/>
      <c r="J59" s="22"/>
      <c r="K59" s="22" t="str">
        <f t="shared" si="6"/>
        <v>ELEM</v>
      </c>
      <c r="L59" s="22"/>
      <c r="M59" s="22"/>
      <c r="N59" s="22" t="str">
        <f t="shared" si="4"/>
        <v>FONTE</v>
      </c>
      <c r="O59" s="22"/>
      <c r="P59" s="22"/>
      <c r="Q59" s="22"/>
      <c r="R59" s="22"/>
      <c r="S59" s="22"/>
      <c r="T59" s="22"/>
      <c r="U59" s="25"/>
      <c r="V59" s="24"/>
      <c r="W59" s="23">
        <f t="shared" si="7"/>
        <v>0</v>
      </c>
      <c r="X59" s="22"/>
      <c r="Y59" s="22"/>
      <c r="Z59" s="22"/>
      <c r="AA59" s="22"/>
      <c r="AB59" s="22"/>
      <c r="AC59" s="22"/>
      <c r="AD59" s="22"/>
    </row>
    <row r="60" spans="1:30" s="21" customFormat="1" x14ac:dyDescent="0.25">
      <c r="A60" s="22"/>
      <c r="B60" s="22"/>
      <c r="C60" s="22"/>
      <c r="D60" s="22"/>
      <c r="E60" s="22" t="str">
        <f t="shared" si="5"/>
        <v>PROG</v>
      </c>
      <c r="F60" s="22"/>
      <c r="G60" s="22" t="str">
        <f t="shared" si="3"/>
        <v>P</v>
      </c>
      <c r="H60" s="22"/>
      <c r="I60" s="22"/>
      <c r="J60" s="22"/>
      <c r="K60" s="22" t="str">
        <f t="shared" si="6"/>
        <v>ELEM</v>
      </c>
      <c r="L60" s="22"/>
      <c r="M60" s="22"/>
      <c r="N60" s="22" t="str">
        <f t="shared" si="4"/>
        <v>FONTE</v>
      </c>
      <c r="O60" s="22"/>
      <c r="P60" s="22"/>
      <c r="Q60" s="22"/>
      <c r="R60" s="22"/>
      <c r="S60" s="22"/>
      <c r="T60" s="22"/>
      <c r="U60" s="25"/>
      <c r="V60" s="24"/>
      <c r="W60" s="23">
        <f t="shared" si="7"/>
        <v>0</v>
      </c>
      <c r="X60" s="22"/>
      <c r="Y60" s="22"/>
      <c r="Z60" s="22"/>
      <c r="AA60" s="22"/>
      <c r="AB60" s="22"/>
      <c r="AC60" s="22"/>
      <c r="AD60" s="22"/>
    </row>
    <row r="61" spans="1:30" s="21" customFormat="1" x14ac:dyDescent="0.25">
      <c r="A61" s="22"/>
      <c r="B61" s="22"/>
      <c r="C61" s="22"/>
      <c r="D61" s="22"/>
      <c r="E61" s="22" t="str">
        <f t="shared" si="5"/>
        <v>PROG</v>
      </c>
      <c r="F61" s="22"/>
      <c r="G61" s="22" t="str">
        <f t="shared" si="3"/>
        <v>P</v>
      </c>
      <c r="H61" s="22"/>
      <c r="I61" s="22"/>
      <c r="J61" s="22"/>
      <c r="K61" s="22" t="str">
        <f t="shared" si="6"/>
        <v>ELEM</v>
      </c>
      <c r="L61" s="22"/>
      <c r="M61" s="22"/>
      <c r="N61" s="22" t="str">
        <f t="shared" si="4"/>
        <v>FONTE</v>
      </c>
      <c r="O61" s="22"/>
      <c r="P61" s="22"/>
      <c r="Q61" s="22"/>
      <c r="R61" s="22"/>
      <c r="S61" s="22"/>
      <c r="T61" s="22"/>
      <c r="U61" s="25"/>
      <c r="V61" s="24"/>
      <c r="W61" s="23">
        <f t="shared" si="7"/>
        <v>0</v>
      </c>
      <c r="X61" s="22"/>
      <c r="Y61" s="22"/>
      <c r="Z61" s="22"/>
      <c r="AA61" s="22"/>
      <c r="AB61" s="22"/>
      <c r="AC61" s="22"/>
      <c r="AD61" s="22"/>
    </row>
    <row r="62" spans="1:30" s="21" customFormat="1" x14ac:dyDescent="0.25">
      <c r="A62" s="22"/>
      <c r="B62" s="22"/>
      <c r="C62" s="22"/>
      <c r="D62" s="22"/>
      <c r="E62" s="22" t="str">
        <f t="shared" si="5"/>
        <v>PROG</v>
      </c>
      <c r="F62" s="22"/>
      <c r="G62" s="22" t="str">
        <f t="shared" si="3"/>
        <v>P</v>
      </c>
      <c r="H62" s="22"/>
      <c r="I62" s="22"/>
      <c r="J62" s="22"/>
      <c r="K62" s="22" t="str">
        <f t="shared" si="6"/>
        <v>ELEM</v>
      </c>
      <c r="L62" s="22"/>
      <c r="M62" s="22"/>
      <c r="N62" s="22" t="str">
        <f t="shared" si="4"/>
        <v>FONTE</v>
      </c>
      <c r="O62" s="22"/>
      <c r="P62" s="22"/>
      <c r="Q62" s="22"/>
      <c r="R62" s="22"/>
      <c r="S62" s="22"/>
      <c r="T62" s="22"/>
      <c r="U62" s="25"/>
      <c r="V62" s="24"/>
      <c r="W62" s="23">
        <f t="shared" si="7"/>
        <v>0</v>
      </c>
      <c r="X62" s="22"/>
      <c r="Y62" s="22"/>
      <c r="Z62" s="22"/>
      <c r="AA62" s="22"/>
      <c r="AB62" s="22"/>
      <c r="AC62" s="22"/>
      <c r="AD62" s="22"/>
    </row>
    <row r="63" spans="1:30" s="21" customFormat="1" x14ac:dyDescent="0.25">
      <c r="A63" s="22"/>
      <c r="B63" s="22"/>
      <c r="C63" s="22"/>
      <c r="D63" s="22"/>
      <c r="E63" s="22" t="str">
        <f t="shared" si="5"/>
        <v>PROG</v>
      </c>
      <c r="F63" s="22"/>
      <c r="G63" s="22" t="str">
        <f t="shared" si="3"/>
        <v>P</v>
      </c>
      <c r="H63" s="22"/>
      <c r="I63" s="22"/>
      <c r="J63" s="22"/>
      <c r="K63" s="22" t="str">
        <f t="shared" si="6"/>
        <v>ELEM</v>
      </c>
      <c r="L63" s="22"/>
      <c r="M63" s="22"/>
      <c r="N63" s="22" t="str">
        <f t="shared" si="4"/>
        <v>FONTE</v>
      </c>
      <c r="O63" s="22"/>
      <c r="P63" s="22"/>
      <c r="Q63" s="22"/>
      <c r="R63" s="22"/>
      <c r="S63" s="22"/>
      <c r="T63" s="22"/>
      <c r="U63" s="25"/>
      <c r="V63" s="24"/>
      <c r="W63" s="23">
        <f t="shared" si="7"/>
        <v>0</v>
      </c>
      <c r="X63" s="22"/>
      <c r="Y63" s="22"/>
      <c r="Z63" s="22"/>
      <c r="AA63" s="22"/>
      <c r="AB63" s="22"/>
      <c r="AC63" s="22"/>
      <c r="AD63" s="22"/>
    </row>
    <row r="64" spans="1:30" s="21" customFormat="1" x14ac:dyDescent="0.25">
      <c r="A64" s="22"/>
      <c r="B64" s="22"/>
      <c r="C64" s="22"/>
      <c r="D64" s="22"/>
      <c r="E64" s="22" t="str">
        <f t="shared" si="5"/>
        <v>PROG</v>
      </c>
      <c r="F64" s="22"/>
      <c r="G64" s="22" t="str">
        <f t="shared" si="3"/>
        <v>P</v>
      </c>
      <c r="H64" s="22"/>
      <c r="I64" s="22"/>
      <c r="J64" s="22"/>
      <c r="K64" s="22" t="str">
        <f t="shared" si="6"/>
        <v>ELEM</v>
      </c>
      <c r="L64" s="22"/>
      <c r="M64" s="22"/>
      <c r="N64" s="22" t="str">
        <f t="shared" si="4"/>
        <v>FONTE</v>
      </c>
      <c r="O64" s="22"/>
      <c r="P64" s="22"/>
      <c r="Q64" s="22"/>
      <c r="R64" s="22"/>
      <c r="S64" s="22"/>
      <c r="T64" s="22"/>
      <c r="U64" s="25"/>
      <c r="V64" s="24"/>
      <c r="W64" s="23">
        <f t="shared" si="7"/>
        <v>0</v>
      </c>
      <c r="X64" s="22"/>
      <c r="Y64" s="22"/>
      <c r="Z64" s="22"/>
      <c r="AA64" s="22"/>
      <c r="AB64" s="22"/>
      <c r="AC64" s="22"/>
      <c r="AD64" s="22"/>
    </row>
    <row r="65" spans="1:30" s="21" customFormat="1" x14ac:dyDescent="0.25">
      <c r="A65" s="22"/>
      <c r="B65" s="22"/>
      <c r="C65" s="22"/>
      <c r="D65" s="22"/>
      <c r="E65" s="22" t="str">
        <f t="shared" si="5"/>
        <v>PROG</v>
      </c>
      <c r="F65" s="22"/>
      <c r="G65" s="22" t="str">
        <f t="shared" si="3"/>
        <v>P</v>
      </c>
      <c r="H65" s="22"/>
      <c r="I65" s="22"/>
      <c r="J65" s="22"/>
      <c r="K65" s="22" t="str">
        <f t="shared" si="6"/>
        <v>ELEM</v>
      </c>
      <c r="L65" s="22"/>
      <c r="M65" s="22"/>
      <c r="N65" s="22" t="str">
        <f t="shared" si="4"/>
        <v>FONTE</v>
      </c>
      <c r="O65" s="22"/>
      <c r="P65" s="22"/>
      <c r="Q65" s="22"/>
      <c r="R65" s="22"/>
      <c r="S65" s="22"/>
      <c r="T65" s="22"/>
      <c r="U65" s="25"/>
      <c r="V65" s="24"/>
      <c r="W65" s="23">
        <f t="shared" si="7"/>
        <v>0</v>
      </c>
      <c r="X65" s="22"/>
      <c r="Y65" s="22"/>
      <c r="Z65" s="22"/>
      <c r="AA65" s="22"/>
      <c r="AB65" s="22"/>
      <c r="AC65" s="22"/>
      <c r="AD65" s="22"/>
    </row>
    <row r="66" spans="1:30" s="21" customFormat="1" x14ac:dyDescent="0.25">
      <c r="A66" s="22"/>
      <c r="B66" s="22"/>
      <c r="C66" s="22"/>
      <c r="D66" s="22"/>
      <c r="E66" s="22" t="str">
        <f t="shared" si="5"/>
        <v>PROG</v>
      </c>
      <c r="F66" s="22"/>
      <c r="G66" s="22" t="str">
        <f t="shared" si="3"/>
        <v>P</v>
      </c>
      <c r="H66" s="22"/>
      <c r="I66" s="22"/>
      <c r="J66" s="22"/>
      <c r="K66" s="22" t="str">
        <f t="shared" si="6"/>
        <v>ELEM</v>
      </c>
      <c r="L66" s="22"/>
      <c r="M66" s="22"/>
      <c r="N66" s="22" t="str">
        <f t="shared" si="4"/>
        <v>FONTE</v>
      </c>
      <c r="O66" s="22"/>
      <c r="P66" s="22"/>
      <c r="Q66" s="22"/>
      <c r="R66" s="22"/>
      <c r="S66" s="22"/>
      <c r="T66" s="22"/>
      <c r="U66" s="25"/>
      <c r="V66" s="24"/>
      <c r="W66" s="23">
        <f t="shared" si="7"/>
        <v>0</v>
      </c>
      <c r="X66" s="22"/>
      <c r="Y66" s="22"/>
      <c r="Z66" s="22"/>
      <c r="AA66" s="22"/>
      <c r="AB66" s="22"/>
      <c r="AC66" s="22"/>
      <c r="AD66" s="22"/>
    </row>
    <row r="67" spans="1:30" s="21" customFormat="1" x14ac:dyDescent="0.25">
      <c r="A67" s="22"/>
      <c r="B67" s="22"/>
      <c r="C67" s="22"/>
      <c r="D67" s="22"/>
      <c r="E67" s="22" t="str">
        <f t="shared" si="5"/>
        <v>PROG</v>
      </c>
      <c r="F67" s="22"/>
      <c r="G67" s="22" t="str">
        <f t="shared" si="3"/>
        <v>P</v>
      </c>
      <c r="H67" s="22"/>
      <c r="I67" s="22"/>
      <c r="J67" s="22"/>
      <c r="K67" s="22" t="str">
        <f t="shared" si="6"/>
        <v>ELEM</v>
      </c>
      <c r="L67" s="22"/>
      <c r="M67" s="22"/>
      <c r="N67" s="22" t="str">
        <f t="shared" si="4"/>
        <v>FONTE</v>
      </c>
      <c r="O67" s="22"/>
      <c r="P67" s="22"/>
      <c r="Q67" s="22"/>
      <c r="R67" s="22"/>
      <c r="S67" s="22"/>
      <c r="T67" s="22"/>
      <c r="U67" s="25"/>
      <c r="V67" s="24"/>
      <c r="W67" s="23">
        <f t="shared" si="7"/>
        <v>0</v>
      </c>
      <c r="X67" s="22"/>
      <c r="Y67" s="22"/>
      <c r="Z67" s="22"/>
      <c r="AA67" s="22"/>
      <c r="AB67" s="22"/>
      <c r="AC67" s="22"/>
      <c r="AD67" s="22"/>
    </row>
    <row r="68" spans="1:30" s="21" customFormat="1" x14ac:dyDescent="0.25">
      <c r="A68" s="22"/>
      <c r="B68" s="22"/>
      <c r="C68" s="22"/>
      <c r="D68" s="22"/>
      <c r="E68" s="22" t="str">
        <f t="shared" si="5"/>
        <v>PROG</v>
      </c>
      <c r="F68" s="22"/>
      <c r="G68" s="22" t="str">
        <f t="shared" si="3"/>
        <v>P</v>
      </c>
      <c r="H68" s="22"/>
      <c r="I68" s="22"/>
      <c r="J68" s="22"/>
      <c r="K68" s="22" t="str">
        <f t="shared" si="6"/>
        <v>ELEM</v>
      </c>
      <c r="L68" s="22"/>
      <c r="M68" s="22"/>
      <c r="N68" s="22" t="str">
        <f t="shared" si="4"/>
        <v>FONTE</v>
      </c>
      <c r="O68" s="22"/>
      <c r="P68" s="22"/>
      <c r="Q68" s="22"/>
      <c r="R68" s="22"/>
      <c r="S68" s="22"/>
      <c r="T68" s="22"/>
      <c r="U68" s="25"/>
      <c r="V68" s="24"/>
      <c r="W68" s="23">
        <f t="shared" si="7"/>
        <v>0</v>
      </c>
      <c r="X68" s="22"/>
      <c r="Y68" s="22"/>
      <c r="Z68" s="22"/>
      <c r="AA68" s="22"/>
      <c r="AB68" s="22"/>
      <c r="AC68" s="22"/>
      <c r="AD68" s="22"/>
    </row>
    <row r="69" spans="1:30" s="21" customFormat="1" x14ac:dyDescent="0.25">
      <c r="A69" s="22"/>
      <c r="B69" s="22"/>
      <c r="C69" s="22"/>
      <c r="D69" s="22"/>
      <c r="E69" s="22" t="str">
        <f t="shared" si="5"/>
        <v>PROG</v>
      </c>
      <c r="F69" s="22"/>
      <c r="G69" s="22" t="str">
        <f t="shared" si="3"/>
        <v>P</v>
      </c>
      <c r="H69" s="22"/>
      <c r="I69" s="22"/>
      <c r="J69" s="22"/>
      <c r="K69" s="22" t="str">
        <f t="shared" si="6"/>
        <v>ELEM</v>
      </c>
      <c r="L69" s="22"/>
      <c r="M69" s="22"/>
      <c r="N69" s="22" t="str">
        <f t="shared" si="4"/>
        <v>FONTE</v>
      </c>
      <c r="O69" s="22"/>
      <c r="P69" s="22"/>
      <c r="Q69" s="22"/>
      <c r="R69" s="22"/>
      <c r="S69" s="22"/>
      <c r="T69" s="22"/>
      <c r="U69" s="25"/>
      <c r="V69" s="24"/>
      <c r="W69" s="23">
        <f t="shared" si="7"/>
        <v>0</v>
      </c>
      <c r="X69" s="22"/>
      <c r="Y69" s="22"/>
      <c r="Z69" s="22"/>
      <c r="AA69" s="22"/>
      <c r="AB69" s="22"/>
      <c r="AC69" s="22"/>
      <c r="AD69" s="22"/>
    </row>
    <row r="70" spans="1:30" s="21" customFormat="1" x14ac:dyDescent="0.25">
      <c r="A70" s="22"/>
      <c r="B70" s="22"/>
      <c r="C70" s="22"/>
      <c r="D70" s="22"/>
      <c r="E70" s="22" t="str">
        <f t="shared" si="5"/>
        <v>PROG</v>
      </c>
      <c r="F70" s="22"/>
      <c r="G70" s="22" t="str">
        <f t="shared" si="3"/>
        <v>P</v>
      </c>
      <c r="H70" s="22"/>
      <c r="I70" s="22"/>
      <c r="J70" s="22"/>
      <c r="K70" s="22" t="str">
        <f t="shared" si="6"/>
        <v>ELEM</v>
      </c>
      <c r="L70" s="22"/>
      <c r="M70" s="22"/>
      <c r="N70" s="22" t="str">
        <f t="shared" si="4"/>
        <v>FONTE</v>
      </c>
      <c r="O70" s="22"/>
      <c r="P70" s="22"/>
      <c r="Q70" s="22"/>
      <c r="R70" s="22"/>
      <c r="S70" s="22"/>
      <c r="T70" s="22"/>
      <c r="U70" s="25"/>
      <c r="V70" s="24"/>
      <c r="W70" s="23">
        <f t="shared" si="7"/>
        <v>0</v>
      </c>
      <c r="X70" s="22"/>
      <c r="Y70" s="22"/>
      <c r="Z70" s="22"/>
      <c r="AA70" s="22"/>
      <c r="AB70" s="22"/>
      <c r="AC70" s="22"/>
      <c r="AD70" s="22"/>
    </row>
    <row r="71" spans="1:30" s="21" customFormat="1" x14ac:dyDescent="0.25">
      <c r="A71" s="22"/>
      <c r="B71" s="22"/>
      <c r="C71" s="22"/>
      <c r="D71" s="22"/>
      <c r="E71" s="22" t="str">
        <f t="shared" si="5"/>
        <v>PROG</v>
      </c>
      <c r="F71" s="22"/>
      <c r="G71" s="22" t="str">
        <f t="shared" si="3"/>
        <v>P</v>
      </c>
      <c r="H71" s="22"/>
      <c r="I71" s="22"/>
      <c r="J71" s="22"/>
      <c r="K71" s="22" t="str">
        <f t="shared" si="6"/>
        <v>ELEM</v>
      </c>
      <c r="L71" s="22"/>
      <c r="M71" s="22"/>
      <c r="N71" s="22" t="str">
        <f t="shared" si="4"/>
        <v>FONTE</v>
      </c>
      <c r="O71" s="22"/>
      <c r="P71" s="22"/>
      <c r="Q71" s="22"/>
      <c r="R71" s="22"/>
      <c r="S71" s="22"/>
      <c r="T71" s="22"/>
      <c r="U71" s="25"/>
      <c r="V71" s="24"/>
      <c r="W71" s="23">
        <f t="shared" si="7"/>
        <v>0</v>
      </c>
      <c r="X71" s="22"/>
      <c r="Y71" s="22"/>
      <c r="Z71" s="22"/>
      <c r="AA71" s="22"/>
      <c r="AB71" s="22"/>
      <c r="AC71" s="22"/>
      <c r="AD71" s="22"/>
    </row>
    <row r="72" spans="1:30" s="21" customFormat="1" x14ac:dyDescent="0.25">
      <c r="A72" s="22"/>
      <c r="B72" s="22"/>
      <c r="C72" s="22"/>
      <c r="D72" s="22"/>
      <c r="E72" s="22" t="str">
        <f t="shared" si="5"/>
        <v>PROG</v>
      </c>
      <c r="F72" s="22"/>
      <c r="G72" s="22" t="str">
        <f t="shared" si="3"/>
        <v>P</v>
      </c>
      <c r="H72" s="22"/>
      <c r="I72" s="22"/>
      <c r="J72" s="22"/>
      <c r="K72" s="22" t="str">
        <f t="shared" si="6"/>
        <v>ELEM</v>
      </c>
      <c r="L72" s="22"/>
      <c r="M72" s="22"/>
      <c r="N72" s="22" t="str">
        <f t="shared" si="4"/>
        <v>FONTE</v>
      </c>
      <c r="O72" s="22"/>
      <c r="P72" s="22"/>
      <c r="Q72" s="22"/>
      <c r="R72" s="22"/>
      <c r="S72" s="22"/>
      <c r="T72" s="22"/>
      <c r="U72" s="25"/>
      <c r="V72" s="24"/>
      <c r="W72" s="23">
        <f t="shared" si="7"/>
        <v>0</v>
      </c>
      <c r="X72" s="22"/>
      <c r="Y72" s="22"/>
      <c r="Z72" s="22"/>
      <c r="AA72" s="22"/>
      <c r="AB72" s="22"/>
      <c r="AC72" s="22"/>
      <c r="AD72" s="22"/>
    </row>
    <row r="73" spans="1:30" s="21" customFormat="1" x14ac:dyDescent="0.25">
      <c r="A73" s="22"/>
      <c r="B73" s="22"/>
      <c r="C73" s="22"/>
      <c r="D73" s="22"/>
      <c r="E73" s="22" t="str">
        <f t="shared" si="5"/>
        <v>PROG</v>
      </c>
      <c r="F73" s="22"/>
      <c r="G73" s="22" t="str">
        <f t="shared" si="3"/>
        <v>P</v>
      </c>
      <c r="H73" s="22"/>
      <c r="I73" s="22"/>
      <c r="J73" s="22"/>
      <c r="K73" s="22" t="str">
        <f t="shared" si="6"/>
        <v>ELEM</v>
      </c>
      <c r="L73" s="22"/>
      <c r="M73" s="22"/>
      <c r="N73" s="22" t="str">
        <f t="shared" si="4"/>
        <v>FONTE</v>
      </c>
      <c r="O73" s="22"/>
      <c r="P73" s="22"/>
      <c r="Q73" s="22"/>
      <c r="R73" s="22"/>
      <c r="S73" s="22"/>
      <c r="T73" s="22"/>
      <c r="U73" s="25"/>
      <c r="V73" s="24"/>
      <c r="W73" s="23">
        <f t="shared" si="7"/>
        <v>0</v>
      </c>
      <c r="X73" s="22"/>
      <c r="Y73" s="22"/>
      <c r="Z73" s="22"/>
      <c r="AA73" s="22"/>
      <c r="AB73" s="22"/>
      <c r="AC73" s="22"/>
      <c r="AD73" s="22"/>
    </row>
    <row r="74" spans="1:30" s="21" customFormat="1" x14ac:dyDescent="0.25">
      <c r="A74" s="22"/>
      <c r="B74" s="22"/>
      <c r="C74" s="22"/>
      <c r="D74" s="22"/>
      <c r="E74" s="22" t="str">
        <f t="shared" si="5"/>
        <v>PROG</v>
      </c>
      <c r="F74" s="22"/>
      <c r="G74" s="22" t="str">
        <f t="shared" si="3"/>
        <v>P</v>
      </c>
      <c r="H74" s="22"/>
      <c r="I74" s="22"/>
      <c r="J74" s="22"/>
      <c r="K74" s="22" t="str">
        <f t="shared" si="6"/>
        <v>ELEM</v>
      </c>
      <c r="L74" s="22"/>
      <c r="M74" s="22"/>
      <c r="N74" s="22" t="str">
        <f t="shared" si="4"/>
        <v>FONTE</v>
      </c>
      <c r="O74" s="22"/>
      <c r="P74" s="22"/>
      <c r="Q74" s="22"/>
      <c r="R74" s="22"/>
      <c r="S74" s="22"/>
      <c r="T74" s="22"/>
      <c r="U74" s="25"/>
      <c r="V74" s="24"/>
      <c r="W74" s="23">
        <f t="shared" si="7"/>
        <v>0</v>
      </c>
      <c r="X74" s="22"/>
      <c r="Y74" s="22"/>
      <c r="Z74" s="22"/>
      <c r="AA74" s="22"/>
      <c r="AB74" s="22"/>
      <c r="AC74" s="22"/>
      <c r="AD74" s="22"/>
    </row>
    <row r="75" spans="1:30" s="21" customFormat="1" x14ac:dyDescent="0.25">
      <c r="A75" s="22"/>
      <c r="B75" s="22"/>
      <c r="C75" s="22"/>
      <c r="D75" s="22"/>
      <c r="E75" s="22" t="str">
        <f t="shared" si="5"/>
        <v>PROG</v>
      </c>
      <c r="F75" s="22"/>
      <c r="G75" s="22" t="str">
        <f t="shared" si="3"/>
        <v>P</v>
      </c>
      <c r="H75" s="22"/>
      <c r="I75" s="22"/>
      <c r="J75" s="22"/>
      <c r="K75" s="22" t="str">
        <f t="shared" si="6"/>
        <v>ELEM</v>
      </c>
      <c r="L75" s="22"/>
      <c r="M75" s="22"/>
      <c r="N75" s="22" t="str">
        <f t="shared" si="4"/>
        <v>FONTE</v>
      </c>
      <c r="O75" s="22"/>
      <c r="P75" s="22"/>
      <c r="Q75" s="22"/>
      <c r="R75" s="22"/>
      <c r="S75" s="22"/>
      <c r="T75" s="22"/>
      <c r="U75" s="25"/>
      <c r="V75" s="24"/>
      <c r="W75" s="23">
        <f t="shared" si="7"/>
        <v>0</v>
      </c>
      <c r="X75" s="22"/>
      <c r="Y75" s="22"/>
      <c r="Z75" s="22"/>
      <c r="AA75" s="22"/>
      <c r="AB75" s="22"/>
      <c r="AC75" s="22"/>
      <c r="AD75" s="22"/>
    </row>
    <row r="76" spans="1:30" s="21" customFormat="1" x14ac:dyDescent="0.25">
      <c r="A76" s="22"/>
      <c r="B76" s="22"/>
      <c r="C76" s="22"/>
      <c r="D76" s="22"/>
      <c r="E76" s="22" t="str">
        <f t="shared" si="5"/>
        <v>PROG</v>
      </c>
      <c r="F76" s="22"/>
      <c r="G76" s="22" t="str">
        <f t="shared" si="3"/>
        <v>P</v>
      </c>
      <c r="H76" s="22"/>
      <c r="I76" s="22"/>
      <c r="J76" s="22"/>
      <c r="K76" s="22" t="str">
        <f t="shared" si="6"/>
        <v>ELEM</v>
      </c>
      <c r="L76" s="22"/>
      <c r="M76" s="22"/>
      <c r="N76" s="22" t="str">
        <f t="shared" si="4"/>
        <v>FONTE</v>
      </c>
      <c r="O76" s="22"/>
      <c r="P76" s="22"/>
      <c r="Q76" s="22"/>
      <c r="R76" s="22"/>
      <c r="S76" s="22"/>
      <c r="T76" s="22"/>
      <c r="U76" s="25"/>
      <c r="V76" s="24"/>
      <c r="W76" s="23">
        <f t="shared" si="7"/>
        <v>0</v>
      </c>
      <c r="X76" s="22"/>
      <c r="Y76" s="22"/>
      <c r="Z76" s="22"/>
      <c r="AA76" s="22"/>
      <c r="AB76" s="22"/>
      <c r="AC76" s="22"/>
      <c r="AD76" s="22"/>
    </row>
    <row r="77" spans="1:30" s="21" customFormat="1" x14ac:dyDescent="0.25">
      <c r="A77" s="22"/>
      <c r="B77" s="22"/>
      <c r="C77" s="22"/>
      <c r="D77" s="22"/>
      <c r="E77" s="22" t="str">
        <f t="shared" si="5"/>
        <v>PROG</v>
      </c>
      <c r="F77" s="22"/>
      <c r="G77" s="22" t="str">
        <f t="shared" si="3"/>
        <v>P</v>
      </c>
      <c r="H77" s="22"/>
      <c r="I77" s="22"/>
      <c r="J77" s="22"/>
      <c r="K77" s="22" t="str">
        <f t="shared" si="6"/>
        <v>ELEM</v>
      </c>
      <c r="L77" s="22"/>
      <c r="M77" s="22"/>
      <c r="N77" s="22" t="str">
        <f t="shared" si="4"/>
        <v>FONTE</v>
      </c>
      <c r="O77" s="22"/>
      <c r="P77" s="22"/>
      <c r="Q77" s="22"/>
      <c r="R77" s="22"/>
      <c r="S77" s="22"/>
      <c r="T77" s="22"/>
      <c r="U77" s="25"/>
      <c r="V77" s="24"/>
      <c r="W77" s="23">
        <f t="shared" si="7"/>
        <v>0</v>
      </c>
      <c r="X77" s="22"/>
      <c r="Y77" s="22"/>
      <c r="Z77" s="22"/>
      <c r="AA77" s="22"/>
      <c r="AB77" s="22"/>
      <c r="AC77" s="22"/>
      <c r="AD77" s="22"/>
    </row>
    <row r="78" spans="1:30" s="21" customFormat="1" x14ac:dyDescent="0.25">
      <c r="A78" s="22"/>
      <c r="B78" s="22"/>
      <c r="C78" s="22"/>
      <c r="D78" s="22"/>
      <c r="E78" s="22" t="str">
        <f t="shared" si="5"/>
        <v>PROG</v>
      </c>
      <c r="F78" s="22"/>
      <c r="G78" s="22" t="str">
        <f t="shared" si="3"/>
        <v>P</v>
      </c>
      <c r="H78" s="22"/>
      <c r="I78" s="22"/>
      <c r="J78" s="22"/>
      <c r="K78" s="22" t="str">
        <f t="shared" si="6"/>
        <v>ELEM</v>
      </c>
      <c r="L78" s="22"/>
      <c r="M78" s="22"/>
      <c r="N78" s="22" t="str">
        <f t="shared" si="4"/>
        <v>FONTE</v>
      </c>
      <c r="O78" s="22"/>
      <c r="P78" s="22"/>
      <c r="Q78" s="22"/>
      <c r="R78" s="22"/>
      <c r="S78" s="22"/>
      <c r="T78" s="22"/>
      <c r="U78" s="25"/>
      <c r="V78" s="24"/>
      <c r="W78" s="23">
        <f t="shared" si="7"/>
        <v>0</v>
      </c>
      <c r="X78" s="22"/>
      <c r="Y78" s="22"/>
      <c r="Z78" s="22"/>
      <c r="AA78" s="22"/>
      <c r="AB78" s="22"/>
      <c r="AC78" s="22"/>
      <c r="AD78" s="22"/>
    </row>
    <row r="79" spans="1:30" s="21" customFormat="1" x14ac:dyDescent="0.25">
      <c r="A79" s="22"/>
      <c r="B79" s="22"/>
      <c r="C79" s="22"/>
      <c r="D79" s="22"/>
      <c r="E79" s="22" t="str">
        <f t="shared" si="5"/>
        <v>PROG</v>
      </c>
      <c r="F79" s="22"/>
      <c r="G79" s="22" t="str">
        <f t="shared" si="3"/>
        <v>P</v>
      </c>
      <c r="H79" s="22"/>
      <c r="I79" s="22"/>
      <c r="J79" s="22"/>
      <c r="K79" s="22" t="str">
        <f t="shared" si="6"/>
        <v>ELEM</v>
      </c>
      <c r="L79" s="22"/>
      <c r="M79" s="22"/>
      <c r="N79" s="22" t="str">
        <f t="shared" si="4"/>
        <v>FONTE</v>
      </c>
      <c r="O79" s="22"/>
      <c r="P79" s="22"/>
      <c r="Q79" s="22"/>
      <c r="R79" s="22"/>
      <c r="S79" s="22"/>
      <c r="T79" s="22"/>
      <c r="U79" s="25"/>
      <c r="V79" s="24"/>
      <c r="W79" s="23">
        <f t="shared" si="7"/>
        <v>0</v>
      </c>
      <c r="X79" s="22"/>
      <c r="Y79" s="22"/>
      <c r="Z79" s="22"/>
      <c r="AA79" s="22"/>
      <c r="AB79" s="22"/>
      <c r="AC79" s="22"/>
      <c r="AD79" s="22"/>
    </row>
    <row r="80" spans="1:30" s="21" customFormat="1" x14ac:dyDescent="0.25">
      <c r="A80" s="22"/>
      <c r="B80" s="22"/>
      <c r="C80" s="22"/>
      <c r="D80" s="22"/>
      <c r="E80" s="22" t="str">
        <f t="shared" si="5"/>
        <v>PROG</v>
      </c>
      <c r="F80" s="22"/>
      <c r="G80" s="22" t="str">
        <f t="shared" si="3"/>
        <v>P</v>
      </c>
      <c r="H80" s="22"/>
      <c r="I80" s="22"/>
      <c r="J80" s="22"/>
      <c r="K80" s="22" t="str">
        <f t="shared" si="6"/>
        <v>ELEM</v>
      </c>
      <c r="L80" s="22"/>
      <c r="M80" s="22"/>
      <c r="N80" s="22" t="str">
        <f t="shared" ref="N80:N143" si="8">CONCATENATE("FONTE",A80)</f>
        <v>FONTE</v>
      </c>
      <c r="O80" s="22"/>
      <c r="P80" s="22"/>
      <c r="Q80" s="22"/>
      <c r="R80" s="22"/>
      <c r="S80" s="22"/>
      <c r="T80" s="22"/>
      <c r="U80" s="25"/>
      <c r="V80" s="24"/>
      <c r="W80" s="23">
        <f t="shared" si="7"/>
        <v>0</v>
      </c>
      <c r="X80" s="22"/>
      <c r="Y80" s="22"/>
      <c r="Z80" s="22"/>
      <c r="AA80" s="22"/>
      <c r="AB80" s="22"/>
      <c r="AC80" s="22"/>
      <c r="AD80" s="22"/>
    </row>
    <row r="81" spans="1:30" s="21" customFormat="1" x14ac:dyDescent="0.25">
      <c r="A81" s="22"/>
      <c r="B81" s="22"/>
      <c r="C81" s="22"/>
      <c r="D81" s="22"/>
      <c r="E81" s="22" t="str">
        <f t="shared" ref="E81:E144" si="9">CONCATENATE(A81,"PROG")</f>
        <v>PROG</v>
      </c>
      <c r="F81" s="22"/>
      <c r="G81" s="22" t="str">
        <f t="shared" ref="G81:G144" si="10">CONCATENATE("P",(LEFT(F81,3)),A81)</f>
        <v>P</v>
      </c>
      <c r="H81" s="22"/>
      <c r="I81" s="22"/>
      <c r="J81" s="22"/>
      <c r="K81" s="22" t="str">
        <f t="shared" ref="K81:K144" si="11">CONCATENATE("ELEM",LEFT(J81,2))</f>
        <v>ELEM</v>
      </c>
      <c r="L81" s="22"/>
      <c r="M81" s="22"/>
      <c r="N81" s="22" t="str">
        <f t="shared" si="8"/>
        <v>FONTE</v>
      </c>
      <c r="O81" s="22"/>
      <c r="P81" s="22"/>
      <c r="Q81" s="22"/>
      <c r="R81" s="22"/>
      <c r="S81" s="22"/>
      <c r="T81" s="22"/>
      <c r="U81" s="25"/>
      <c r="V81" s="24"/>
      <c r="W81" s="23">
        <f t="shared" ref="W81:W144" si="12">S81*U81*V81</f>
        <v>0</v>
      </c>
      <c r="X81" s="22"/>
      <c r="Y81" s="22"/>
      <c r="Z81" s="22"/>
      <c r="AA81" s="22"/>
      <c r="AB81" s="22"/>
      <c r="AC81" s="22"/>
      <c r="AD81" s="22"/>
    </row>
    <row r="82" spans="1:30" s="21" customFormat="1" x14ac:dyDescent="0.25">
      <c r="A82" s="22"/>
      <c r="B82" s="22"/>
      <c r="C82" s="22"/>
      <c r="D82" s="22"/>
      <c r="E82" s="22" t="str">
        <f t="shared" si="9"/>
        <v>PROG</v>
      </c>
      <c r="F82" s="22"/>
      <c r="G82" s="22" t="str">
        <f t="shared" si="10"/>
        <v>P</v>
      </c>
      <c r="H82" s="22"/>
      <c r="I82" s="22"/>
      <c r="J82" s="22"/>
      <c r="K82" s="22" t="str">
        <f t="shared" si="11"/>
        <v>ELEM</v>
      </c>
      <c r="L82" s="22"/>
      <c r="M82" s="22"/>
      <c r="N82" s="22" t="str">
        <f t="shared" si="8"/>
        <v>FONTE</v>
      </c>
      <c r="O82" s="22"/>
      <c r="P82" s="22"/>
      <c r="Q82" s="22"/>
      <c r="R82" s="22"/>
      <c r="S82" s="22"/>
      <c r="T82" s="22"/>
      <c r="U82" s="25"/>
      <c r="V82" s="24"/>
      <c r="W82" s="23">
        <f t="shared" si="12"/>
        <v>0</v>
      </c>
      <c r="X82" s="22"/>
      <c r="Y82" s="22"/>
      <c r="Z82" s="22"/>
      <c r="AA82" s="22"/>
      <c r="AB82" s="22"/>
      <c r="AC82" s="22"/>
      <c r="AD82" s="22"/>
    </row>
    <row r="83" spans="1:30" s="21" customFormat="1" x14ac:dyDescent="0.25">
      <c r="A83" s="22"/>
      <c r="B83" s="22"/>
      <c r="C83" s="22"/>
      <c r="D83" s="22"/>
      <c r="E83" s="22" t="str">
        <f t="shared" si="9"/>
        <v>PROG</v>
      </c>
      <c r="F83" s="22"/>
      <c r="G83" s="22" t="str">
        <f t="shared" si="10"/>
        <v>P</v>
      </c>
      <c r="H83" s="22"/>
      <c r="I83" s="22"/>
      <c r="J83" s="22"/>
      <c r="K83" s="22" t="str">
        <f t="shared" si="11"/>
        <v>ELEM</v>
      </c>
      <c r="L83" s="22"/>
      <c r="M83" s="22"/>
      <c r="N83" s="22" t="str">
        <f t="shared" si="8"/>
        <v>FONTE</v>
      </c>
      <c r="O83" s="22"/>
      <c r="P83" s="22"/>
      <c r="Q83" s="22"/>
      <c r="R83" s="22"/>
      <c r="S83" s="22"/>
      <c r="T83" s="22"/>
      <c r="U83" s="25"/>
      <c r="V83" s="24"/>
      <c r="W83" s="23">
        <f t="shared" si="12"/>
        <v>0</v>
      </c>
      <c r="X83" s="22"/>
      <c r="Y83" s="22"/>
      <c r="Z83" s="22"/>
      <c r="AA83" s="22"/>
      <c r="AB83" s="22"/>
      <c r="AC83" s="22"/>
      <c r="AD83" s="22"/>
    </row>
    <row r="84" spans="1:30" s="21" customFormat="1" x14ac:dyDescent="0.25">
      <c r="A84" s="22"/>
      <c r="B84" s="22"/>
      <c r="C84" s="22"/>
      <c r="D84" s="22"/>
      <c r="E84" s="22" t="str">
        <f t="shared" si="9"/>
        <v>PROG</v>
      </c>
      <c r="F84" s="22"/>
      <c r="G84" s="22" t="str">
        <f t="shared" si="10"/>
        <v>P</v>
      </c>
      <c r="H84" s="22"/>
      <c r="I84" s="22"/>
      <c r="J84" s="22"/>
      <c r="K84" s="22" t="str">
        <f t="shared" si="11"/>
        <v>ELEM</v>
      </c>
      <c r="L84" s="22"/>
      <c r="M84" s="22"/>
      <c r="N84" s="22" t="str">
        <f t="shared" si="8"/>
        <v>FONTE</v>
      </c>
      <c r="O84" s="22"/>
      <c r="P84" s="22"/>
      <c r="Q84" s="22"/>
      <c r="R84" s="22"/>
      <c r="S84" s="22"/>
      <c r="T84" s="22"/>
      <c r="U84" s="25"/>
      <c r="V84" s="24"/>
      <c r="W84" s="23">
        <f t="shared" si="12"/>
        <v>0</v>
      </c>
      <c r="X84" s="22"/>
      <c r="Y84" s="22"/>
      <c r="Z84" s="22"/>
      <c r="AA84" s="22"/>
      <c r="AB84" s="22"/>
      <c r="AC84" s="22"/>
      <c r="AD84" s="22"/>
    </row>
    <row r="85" spans="1:30" s="21" customFormat="1" x14ac:dyDescent="0.25">
      <c r="A85" s="22"/>
      <c r="B85" s="22"/>
      <c r="C85" s="22"/>
      <c r="D85" s="22"/>
      <c r="E85" s="22" t="str">
        <f t="shared" si="9"/>
        <v>PROG</v>
      </c>
      <c r="F85" s="22"/>
      <c r="G85" s="22" t="str">
        <f t="shared" si="10"/>
        <v>P</v>
      </c>
      <c r="H85" s="22"/>
      <c r="I85" s="22"/>
      <c r="J85" s="22"/>
      <c r="K85" s="22" t="str">
        <f t="shared" si="11"/>
        <v>ELEM</v>
      </c>
      <c r="L85" s="22"/>
      <c r="M85" s="22"/>
      <c r="N85" s="22" t="str">
        <f t="shared" si="8"/>
        <v>FONTE</v>
      </c>
      <c r="O85" s="22"/>
      <c r="P85" s="22"/>
      <c r="Q85" s="22"/>
      <c r="R85" s="22"/>
      <c r="S85" s="22"/>
      <c r="T85" s="22"/>
      <c r="U85" s="25"/>
      <c r="V85" s="24"/>
      <c r="W85" s="23">
        <f t="shared" si="12"/>
        <v>0</v>
      </c>
      <c r="X85" s="22"/>
      <c r="Y85" s="22"/>
      <c r="Z85" s="22"/>
      <c r="AA85" s="22"/>
      <c r="AB85" s="22"/>
      <c r="AC85" s="22"/>
      <c r="AD85" s="22"/>
    </row>
    <row r="86" spans="1:30" s="21" customFormat="1" x14ac:dyDescent="0.25">
      <c r="A86" s="22"/>
      <c r="B86" s="22"/>
      <c r="C86" s="22"/>
      <c r="D86" s="22"/>
      <c r="E86" s="22" t="str">
        <f t="shared" si="9"/>
        <v>PROG</v>
      </c>
      <c r="F86" s="22"/>
      <c r="G86" s="22" t="str">
        <f t="shared" si="10"/>
        <v>P</v>
      </c>
      <c r="H86" s="22"/>
      <c r="I86" s="22"/>
      <c r="J86" s="22"/>
      <c r="K86" s="22" t="str">
        <f t="shared" si="11"/>
        <v>ELEM</v>
      </c>
      <c r="L86" s="22"/>
      <c r="M86" s="22"/>
      <c r="N86" s="22" t="str">
        <f t="shared" si="8"/>
        <v>FONTE</v>
      </c>
      <c r="O86" s="22"/>
      <c r="P86" s="22"/>
      <c r="Q86" s="22"/>
      <c r="R86" s="22"/>
      <c r="S86" s="22"/>
      <c r="T86" s="22"/>
      <c r="U86" s="25"/>
      <c r="V86" s="24"/>
      <c r="W86" s="23">
        <f t="shared" si="12"/>
        <v>0</v>
      </c>
      <c r="X86" s="22"/>
      <c r="Y86" s="22"/>
      <c r="Z86" s="22"/>
      <c r="AA86" s="22"/>
      <c r="AB86" s="22"/>
      <c r="AC86" s="22"/>
      <c r="AD86" s="22"/>
    </row>
    <row r="87" spans="1:30" s="21" customFormat="1" x14ac:dyDescent="0.25">
      <c r="A87" s="22"/>
      <c r="B87" s="22"/>
      <c r="C87" s="22"/>
      <c r="D87" s="22"/>
      <c r="E87" s="22" t="str">
        <f t="shared" si="9"/>
        <v>PROG</v>
      </c>
      <c r="F87" s="22"/>
      <c r="G87" s="22" t="str">
        <f t="shared" si="10"/>
        <v>P</v>
      </c>
      <c r="H87" s="22"/>
      <c r="I87" s="22"/>
      <c r="J87" s="22"/>
      <c r="K87" s="22" t="str">
        <f t="shared" si="11"/>
        <v>ELEM</v>
      </c>
      <c r="L87" s="22"/>
      <c r="M87" s="22"/>
      <c r="N87" s="22" t="str">
        <f t="shared" si="8"/>
        <v>FONTE</v>
      </c>
      <c r="O87" s="22"/>
      <c r="P87" s="22"/>
      <c r="Q87" s="22"/>
      <c r="R87" s="22"/>
      <c r="S87" s="22"/>
      <c r="T87" s="22"/>
      <c r="U87" s="25"/>
      <c r="V87" s="24"/>
      <c r="W87" s="23">
        <f t="shared" si="12"/>
        <v>0</v>
      </c>
      <c r="X87" s="22"/>
      <c r="Y87" s="22"/>
      <c r="Z87" s="22"/>
      <c r="AA87" s="22"/>
      <c r="AB87" s="22"/>
      <c r="AC87" s="22"/>
      <c r="AD87" s="22"/>
    </row>
    <row r="88" spans="1:30" s="21" customFormat="1" x14ac:dyDescent="0.25">
      <c r="A88" s="22"/>
      <c r="B88" s="22"/>
      <c r="C88" s="22"/>
      <c r="D88" s="22"/>
      <c r="E88" s="22" t="str">
        <f t="shared" si="9"/>
        <v>PROG</v>
      </c>
      <c r="F88" s="22"/>
      <c r="G88" s="22" t="str">
        <f t="shared" si="10"/>
        <v>P</v>
      </c>
      <c r="H88" s="22"/>
      <c r="I88" s="22"/>
      <c r="J88" s="22"/>
      <c r="K88" s="22" t="str">
        <f t="shared" si="11"/>
        <v>ELEM</v>
      </c>
      <c r="L88" s="22"/>
      <c r="M88" s="22"/>
      <c r="N88" s="22" t="str">
        <f t="shared" si="8"/>
        <v>FONTE</v>
      </c>
      <c r="O88" s="22"/>
      <c r="P88" s="22"/>
      <c r="Q88" s="22"/>
      <c r="R88" s="22"/>
      <c r="S88" s="22"/>
      <c r="T88" s="22"/>
      <c r="U88" s="25"/>
      <c r="V88" s="24"/>
      <c r="W88" s="23">
        <f t="shared" si="12"/>
        <v>0</v>
      </c>
      <c r="X88" s="22"/>
      <c r="Y88" s="22"/>
      <c r="Z88" s="22"/>
      <c r="AA88" s="22"/>
      <c r="AB88" s="22"/>
      <c r="AC88" s="22"/>
      <c r="AD88" s="22"/>
    </row>
    <row r="89" spans="1:30" s="21" customFormat="1" x14ac:dyDescent="0.25">
      <c r="A89" s="22"/>
      <c r="B89" s="22"/>
      <c r="C89" s="22"/>
      <c r="D89" s="22"/>
      <c r="E89" s="22" t="str">
        <f t="shared" si="9"/>
        <v>PROG</v>
      </c>
      <c r="F89" s="22"/>
      <c r="G89" s="22" t="str">
        <f t="shared" si="10"/>
        <v>P</v>
      </c>
      <c r="H89" s="22"/>
      <c r="I89" s="22"/>
      <c r="J89" s="22"/>
      <c r="K89" s="22" t="str">
        <f t="shared" si="11"/>
        <v>ELEM</v>
      </c>
      <c r="L89" s="22"/>
      <c r="M89" s="22"/>
      <c r="N89" s="22" t="str">
        <f t="shared" si="8"/>
        <v>FONTE</v>
      </c>
      <c r="O89" s="22"/>
      <c r="P89" s="22"/>
      <c r="Q89" s="22"/>
      <c r="R89" s="22"/>
      <c r="S89" s="22"/>
      <c r="T89" s="22"/>
      <c r="U89" s="25"/>
      <c r="V89" s="24"/>
      <c r="W89" s="23">
        <f t="shared" si="12"/>
        <v>0</v>
      </c>
      <c r="X89" s="22"/>
      <c r="Y89" s="22"/>
      <c r="Z89" s="22"/>
      <c r="AA89" s="22"/>
      <c r="AB89" s="22"/>
      <c r="AC89" s="22"/>
      <c r="AD89" s="22"/>
    </row>
    <row r="90" spans="1:30" s="21" customFormat="1" x14ac:dyDescent="0.25">
      <c r="A90" s="22"/>
      <c r="B90" s="22"/>
      <c r="C90" s="22"/>
      <c r="D90" s="22"/>
      <c r="E90" s="22" t="str">
        <f t="shared" si="9"/>
        <v>PROG</v>
      </c>
      <c r="F90" s="22"/>
      <c r="G90" s="22" t="str">
        <f t="shared" si="10"/>
        <v>P</v>
      </c>
      <c r="H90" s="22"/>
      <c r="I90" s="22"/>
      <c r="J90" s="22"/>
      <c r="K90" s="22" t="str">
        <f t="shared" si="11"/>
        <v>ELEM</v>
      </c>
      <c r="L90" s="22"/>
      <c r="M90" s="22"/>
      <c r="N90" s="22" t="str">
        <f t="shared" si="8"/>
        <v>FONTE</v>
      </c>
      <c r="O90" s="22"/>
      <c r="P90" s="22"/>
      <c r="Q90" s="22"/>
      <c r="R90" s="22"/>
      <c r="S90" s="22"/>
      <c r="T90" s="22"/>
      <c r="U90" s="25"/>
      <c r="V90" s="24"/>
      <c r="W90" s="23">
        <f t="shared" si="12"/>
        <v>0</v>
      </c>
      <c r="X90" s="22"/>
      <c r="Y90" s="22"/>
      <c r="Z90" s="22"/>
      <c r="AA90" s="22"/>
      <c r="AB90" s="22"/>
      <c r="AC90" s="22"/>
      <c r="AD90" s="22"/>
    </row>
    <row r="91" spans="1:30" s="21" customFormat="1" x14ac:dyDescent="0.25">
      <c r="A91" s="22"/>
      <c r="B91" s="22"/>
      <c r="C91" s="22"/>
      <c r="D91" s="22"/>
      <c r="E91" s="22" t="str">
        <f t="shared" si="9"/>
        <v>PROG</v>
      </c>
      <c r="F91" s="22"/>
      <c r="G91" s="22" t="str">
        <f t="shared" si="10"/>
        <v>P</v>
      </c>
      <c r="H91" s="22"/>
      <c r="I91" s="22"/>
      <c r="J91" s="22"/>
      <c r="K91" s="22" t="str">
        <f t="shared" si="11"/>
        <v>ELEM</v>
      </c>
      <c r="L91" s="22"/>
      <c r="M91" s="22"/>
      <c r="N91" s="22" t="str">
        <f t="shared" si="8"/>
        <v>FONTE</v>
      </c>
      <c r="O91" s="22"/>
      <c r="P91" s="22"/>
      <c r="Q91" s="22"/>
      <c r="R91" s="22"/>
      <c r="S91" s="22"/>
      <c r="T91" s="22"/>
      <c r="U91" s="25"/>
      <c r="V91" s="24"/>
      <c r="W91" s="23">
        <f t="shared" si="12"/>
        <v>0</v>
      </c>
      <c r="X91" s="22"/>
      <c r="Y91" s="22"/>
      <c r="Z91" s="22"/>
      <c r="AA91" s="22"/>
      <c r="AB91" s="22"/>
      <c r="AC91" s="22"/>
      <c r="AD91" s="22"/>
    </row>
    <row r="92" spans="1:30" s="21" customFormat="1" x14ac:dyDescent="0.25">
      <c r="A92" s="22"/>
      <c r="B92" s="22"/>
      <c r="C92" s="22"/>
      <c r="D92" s="22"/>
      <c r="E92" s="22" t="str">
        <f t="shared" si="9"/>
        <v>PROG</v>
      </c>
      <c r="F92" s="22"/>
      <c r="G92" s="22" t="str">
        <f t="shared" si="10"/>
        <v>P</v>
      </c>
      <c r="H92" s="22"/>
      <c r="I92" s="22"/>
      <c r="J92" s="22"/>
      <c r="K92" s="22" t="str">
        <f t="shared" si="11"/>
        <v>ELEM</v>
      </c>
      <c r="L92" s="22"/>
      <c r="M92" s="22"/>
      <c r="N92" s="22" t="str">
        <f t="shared" si="8"/>
        <v>FONTE</v>
      </c>
      <c r="O92" s="22"/>
      <c r="P92" s="22"/>
      <c r="Q92" s="22"/>
      <c r="R92" s="22"/>
      <c r="S92" s="22"/>
      <c r="T92" s="22"/>
      <c r="U92" s="25"/>
      <c r="V92" s="24"/>
      <c r="W92" s="23">
        <f t="shared" si="12"/>
        <v>0</v>
      </c>
      <c r="X92" s="22"/>
      <c r="Y92" s="22"/>
      <c r="Z92" s="22"/>
      <c r="AA92" s="22"/>
      <c r="AB92" s="22"/>
      <c r="AC92" s="22"/>
      <c r="AD92" s="22"/>
    </row>
    <row r="93" spans="1:30" s="21" customFormat="1" x14ac:dyDescent="0.25">
      <c r="A93" s="22"/>
      <c r="B93" s="22"/>
      <c r="C93" s="22"/>
      <c r="D93" s="22"/>
      <c r="E93" s="22" t="str">
        <f t="shared" si="9"/>
        <v>PROG</v>
      </c>
      <c r="F93" s="22"/>
      <c r="G93" s="22" t="str">
        <f t="shared" si="10"/>
        <v>P</v>
      </c>
      <c r="H93" s="22"/>
      <c r="I93" s="22"/>
      <c r="J93" s="22"/>
      <c r="K93" s="22" t="str">
        <f t="shared" si="11"/>
        <v>ELEM</v>
      </c>
      <c r="L93" s="22"/>
      <c r="M93" s="22"/>
      <c r="N93" s="22" t="str">
        <f t="shared" si="8"/>
        <v>FONTE</v>
      </c>
      <c r="O93" s="22"/>
      <c r="P93" s="22"/>
      <c r="Q93" s="22"/>
      <c r="R93" s="22"/>
      <c r="S93" s="22"/>
      <c r="T93" s="22"/>
      <c r="U93" s="25"/>
      <c r="V93" s="24"/>
      <c r="W93" s="23">
        <f t="shared" si="12"/>
        <v>0</v>
      </c>
      <c r="X93" s="22"/>
      <c r="Y93" s="22"/>
      <c r="Z93" s="22"/>
      <c r="AA93" s="22"/>
      <c r="AB93" s="22"/>
      <c r="AC93" s="22"/>
      <c r="AD93" s="22"/>
    </row>
    <row r="94" spans="1:30" s="21" customFormat="1" x14ac:dyDescent="0.25">
      <c r="A94" s="22"/>
      <c r="B94" s="22"/>
      <c r="C94" s="22"/>
      <c r="D94" s="22"/>
      <c r="E94" s="22" t="str">
        <f t="shared" si="9"/>
        <v>PROG</v>
      </c>
      <c r="F94" s="22"/>
      <c r="G94" s="22" t="str">
        <f t="shared" si="10"/>
        <v>P</v>
      </c>
      <c r="H94" s="22"/>
      <c r="I94" s="22"/>
      <c r="J94" s="22"/>
      <c r="K94" s="22" t="str">
        <f t="shared" si="11"/>
        <v>ELEM</v>
      </c>
      <c r="L94" s="22"/>
      <c r="M94" s="22"/>
      <c r="N94" s="22" t="str">
        <f t="shared" si="8"/>
        <v>FONTE</v>
      </c>
      <c r="O94" s="22"/>
      <c r="P94" s="22"/>
      <c r="Q94" s="22"/>
      <c r="R94" s="22"/>
      <c r="S94" s="22"/>
      <c r="T94" s="22"/>
      <c r="U94" s="25"/>
      <c r="V94" s="24"/>
      <c r="W94" s="23">
        <f t="shared" si="12"/>
        <v>0</v>
      </c>
      <c r="X94" s="22"/>
      <c r="Y94" s="22"/>
      <c r="Z94" s="22"/>
      <c r="AA94" s="22"/>
      <c r="AB94" s="22"/>
      <c r="AC94" s="22"/>
      <c r="AD94" s="22"/>
    </row>
    <row r="95" spans="1:30" s="21" customFormat="1" x14ac:dyDescent="0.25">
      <c r="A95" s="22"/>
      <c r="B95" s="22"/>
      <c r="C95" s="22"/>
      <c r="D95" s="22"/>
      <c r="E95" s="22" t="str">
        <f t="shared" si="9"/>
        <v>PROG</v>
      </c>
      <c r="F95" s="22"/>
      <c r="G95" s="22" t="str">
        <f t="shared" si="10"/>
        <v>P</v>
      </c>
      <c r="H95" s="22"/>
      <c r="I95" s="22"/>
      <c r="J95" s="22"/>
      <c r="K95" s="22" t="str">
        <f t="shared" si="11"/>
        <v>ELEM</v>
      </c>
      <c r="L95" s="22"/>
      <c r="M95" s="22"/>
      <c r="N95" s="22" t="str">
        <f t="shared" si="8"/>
        <v>FONTE</v>
      </c>
      <c r="O95" s="22"/>
      <c r="P95" s="22"/>
      <c r="Q95" s="22"/>
      <c r="R95" s="22"/>
      <c r="S95" s="22"/>
      <c r="T95" s="22"/>
      <c r="U95" s="25"/>
      <c r="V95" s="24"/>
      <c r="W95" s="23">
        <f t="shared" si="12"/>
        <v>0</v>
      </c>
      <c r="X95" s="22"/>
      <c r="Y95" s="22"/>
      <c r="Z95" s="22"/>
      <c r="AA95" s="22"/>
      <c r="AB95" s="22"/>
      <c r="AC95" s="22"/>
      <c r="AD95" s="22"/>
    </row>
    <row r="96" spans="1:30" s="21" customFormat="1" x14ac:dyDescent="0.25">
      <c r="A96" s="22"/>
      <c r="B96" s="22"/>
      <c r="C96" s="22"/>
      <c r="D96" s="22"/>
      <c r="E96" s="22" t="str">
        <f t="shared" si="9"/>
        <v>PROG</v>
      </c>
      <c r="F96" s="22"/>
      <c r="G96" s="22" t="str">
        <f t="shared" si="10"/>
        <v>P</v>
      </c>
      <c r="H96" s="22"/>
      <c r="I96" s="22"/>
      <c r="J96" s="22"/>
      <c r="K96" s="22" t="str">
        <f t="shared" si="11"/>
        <v>ELEM</v>
      </c>
      <c r="L96" s="22"/>
      <c r="M96" s="22"/>
      <c r="N96" s="22" t="str">
        <f t="shared" si="8"/>
        <v>FONTE</v>
      </c>
      <c r="O96" s="22"/>
      <c r="P96" s="22"/>
      <c r="Q96" s="22"/>
      <c r="R96" s="22"/>
      <c r="S96" s="22"/>
      <c r="T96" s="22"/>
      <c r="U96" s="25"/>
      <c r="V96" s="24"/>
      <c r="W96" s="23">
        <f t="shared" si="12"/>
        <v>0</v>
      </c>
      <c r="X96" s="22"/>
      <c r="Y96" s="22"/>
      <c r="Z96" s="22"/>
      <c r="AA96" s="22"/>
      <c r="AB96" s="22"/>
      <c r="AC96" s="22"/>
      <c r="AD96" s="22"/>
    </row>
    <row r="97" spans="1:30" s="21" customFormat="1" x14ac:dyDescent="0.25">
      <c r="A97" s="22"/>
      <c r="B97" s="22"/>
      <c r="C97" s="22"/>
      <c r="D97" s="22"/>
      <c r="E97" s="22" t="str">
        <f t="shared" si="9"/>
        <v>PROG</v>
      </c>
      <c r="F97" s="22"/>
      <c r="G97" s="22" t="str">
        <f t="shared" si="10"/>
        <v>P</v>
      </c>
      <c r="H97" s="22"/>
      <c r="I97" s="22"/>
      <c r="J97" s="22"/>
      <c r="K97" s="22" t="str">
        <f t="shared" si="11"/>
        <v>ELEM</v>
      </c>
      <c r="L97" s="22"/>
      <c r="M97" s="22"/>
      <c r="N97" s="22" t="str">
        <f t="shared" si="8"/>
        <v>FONTE</v>
      </c>
      <c r="O97" s="22"/>
      <c r="P97" s="22"/>
      <c r="Q97" s="22"/>
      <c r="R97" s="22"/>
      <c r="S97" s="22"/>
      <c r="T97" s="22"/>
      <c r="U97" s="25"/>
      <c r="V97" s="24"/>
      <c r="W97" s="23">
        <f t="shared" si="12"/>
        <v>0</v>
      </c>
      <c r="X97" s="22"/>
      <c r="Y97" s="22"/>
      <c r="Z97" s="22"/>
      <c r="AA97" s="22"/>
      <c r="AB97" s="22"/>
      <c r="AC97" s="22"/>
      <c r="AD97" s="22"/>
    </row>
    <row r="98" spans="1:30" s="21" customFormat="1" x14ac:dyDescent="0.25">
      <c r="A98" s="22"/>
      <c r="B98" s="22"/>
      <c r="C98" s="22"/>
      <c r="D98" s="22"/>
      <c r="E98" s="22" t="str">
        <f t="shared" si="9"/>
        <v>PROG</v>
      </c>
      <c r="F98" s="22"/>
      <c r="G98" s="22" t="str">
        <f t="shared" si="10"/>
        <v>P</v>
      </c>
      <c r="H98" s="22"/>
      <c r="I98" s="22"/>
      <c r="J98" s="22"/>
      <c r="K98" s="22" t="str">
        <f t="shared" si="11"/>
        <v>ELEM</v>
      </c>
      <c r="L98" s="22"/>
      <c r="M98" s="22"/>
      <c r="N98" s="22" t="str">
        <f t="shared" si="8"/>
        <v>FONTE</v>
      </c>
      <c r="O98" s="22"/>
      <c r="P98" s="22"/>
      <c r="Q98" s="22"/>
      <c r="R98" s="22"/>
      <c r="S98" s="22"/>
      <c r="T98" s="22"/>
      <c r="U98" s="25"/>
      <c r="V98" s="24"/>
      <c r="W98" s="23">
        <f t="shared" si="12"/>
        <v>0</v>
      </c>
      <c r="X98" s="22"/>
      <c r="Y98" s="22"/>
      <c r="Z98" s="22"/>
      <c r="AA98" s="22"/>
      <c r="AB98" s="22"/>
      <c r="AC98" s="22"/>
      <c r="AD98" s="22"/>
    </row>
    <row r="99" spans="1:30" s="21" customFormat="1" x14ac:dyDescent="0.25">
      <c r="A99" s="22"/>
      <c r="B99" s="22"/>
      <c r="C99" s="22"/>
      <c r="D99" s="22"/>
      <c r="E99" s="22" t="str">
        <f t="shared" si="9"/>
        <v>PROG</v>
      </c>
      <c r="F99" s="22"/>
      <c r="G99" s="22" t="str">
        <f t="shared" si="10"/>
        <v>P</v>
      </c>
      <c r="H99" s="22"/>
      <c r="I99" s="22"/>
      <c r="J99" s="22"/>
      <c r="K99" s="22" t="str">
        <f t="shared" si="11"/>
        <v>ELEM</v>
      </c>
      <c r="L99" s="22"/>
      <c r="M99" s="22"/>
      <c r="N99" s="22" t="str">
        <f t="shared" si="8"/>
        <v>FONTE</v>
      </c>
      <c r="O99" s="22"/>
      <c r="P99" s="22"/>
      <c r="Q99" s="22"/>
      <c r="R99" s="22"/>
      <c r="S99" s="22"/>
      <c r="T99" s="22"/>
      <c r="U99" s="25"/>
      <c r="V99" s="24"/>
      <c r="W99" s="23">
        <f t="shared" si="12"/>
        <v>0</v>
      </c>
      <c r="X99" s="22"/>
      <c r="Y99" s="22"/>
      <c r="Z99" s="22"/>
      <c r="AA99" s="22"/>
      <c r="AB99" s="22"/>
      <c r="AC99" s="22"/>
      <c r="AD99" s="22"/>
    </row>
    <row r="100" spans="1:30" s="21" customFormat="1" x14ac:dyDescent="0.25">
      <c r="A100" s="22"/>
      <c r="B100" s="22"/>
      <c r="C100" s="22"/>
      <c r="D100" s="22"/>
      <c r="E100" s="22" t="str">
        <f t="shared" si="9"/>
        <v>PROG</v>
      </c>
      <c r="F100" s="22"/>
      <c r="G100" s="22" t="str">
        <f t="shared" si="10"/>
        <v>P</v>
      </c>
      <c r="H100" s="22"/>
      <c r="I100" s="22"/>
      <c r="J100" s="22"/>
      <c r="K100" s="22" t="str">
        <f t="shared" si="11"/>
        <v>ELEM</v>
      </c>
      <c r="L100" s="22"/>
      <c r="M100" s="22"/>
      <c r="N100" s="22" t="str">
        <f t="shared" si="8"/>
        <v>FONTE</v>
      </c>
      <c r="O100" s="22"/>
      <c r="P100" s="22"/>
      <c r="Q100" s="22"/>
      <c r="R100" s="22"/>
      <c r="S100" s="22"/>
      <c r="T100" s="22"/>
      <c r="U100" s="25"/>
      <c r="V100" s="24"/>
      <c r="W100" s="23">
        <f t="shared" si="12"/>
        <v>0</v>
      </c>
      <c r="X100" s="22"/>
      <c r="Y100" s="22"/>
      <c r="Z100" s="22"/>
      <c r="AA100" s="22"/>
      <c r="AB100" s="22"/>
      <c r="AC100" s="22"/>
      <c r="AD100" s="22"/>
    </row>
    <row r="101" spans="1:30" s="21" customFormat="1" x14ac:dyDescent="0.25">
      <c r="A101" s="22"/>
      <c r="B101" s="22"/>
      <c r="C101" s="22"/>
      <c r="D101" s="22"/>
      <c r="E101" s="22" t="str">
        <f t="shared" si="9"/>
        <v>PROG</v>
      </c>
      <c r="F101" s="22"/>
      <c r="G101" s="22" t="str">
        <f t="shared" si="10"/>
        <v>P</v>
      </c>
      <c r="H101" s="22"/>
      <c r="I101" s="22"/>
      <c r="J101" s="22"/>
      <c r="K101" s="22" t="str">
        <f t="shared" si="11"/>
        <v>ELEM</v>
      </c>
      <c r="L101" s="22"/>
      <c r="M101" s="22"/>
      <c r="N101" s="22" t="str">
        <f t="shared" si="8"/>
        <v>FONTE</v>
      </c>
      <c r="O101" s="22"/>
      <c r="P101" s="22"/>
      <c r="Q101" s="22"/>
      <c r="R101" s="22"/>
      <c r="S101" s="22"/>
      <c r="T101" s="22"/>
      <c r="U101" s="25"/>
      <c r="V101" s="24"/>
      <c r="W101" s="23">
        <f t="shared" si="12"/>
        <v>0</v>
      </c>
      <c r="X101" s="22"/>
      <c r="Y101" s="22"/>
      <c r="Z101" s="22"/>
      <c r="AA101" s="22"/>
      <c r="AB101" s="22"/>
      <c r="AC101" s="22"/>
      <c r="AD101" s="22"/>
    </row>
    <row r="102" spans="1:30" s="21" customFormat="1" x14ac:dyDescent="0.25">
      <c r="A102" s="22"/>
      <c r="B102" s="22"/>
      <c r="C102" s="22"/>
      <c r="D102" s="22"/>
      <c r="E102" s="22" t="str">
        <f t="shared" si="9"/>
        <v>PROG</v>
      </c>
      <c r="F102" s="22"/>
      <c r="G102" s="22" t="str">
        <f t="shared" si="10"/>
        <v>P</v>
      </c>
      <c r="H102" s="22"/>
      <c r="I102" s="22"/>
      <c r="J102" s="22"/>
      <c r="K102" s="22" t="str">
        <f t="shared" si="11"/>
        <v>ELEM</v>
      </c>
      <c r="L102" s="22"/>
      <c r="M102" s="22"/>
      <c r="N102" s="22" t="str">
        <f t="shared" si="8"/>
        <v>FONTE</v>
      </c>
      <c r="O102" s="22"/>
      <c r="P102" s="22"/>
      <c r="Q102" s="22"/>
      <c r="R102" s="22"/>
      <c r="S102" s="22"/>
      <c r="T102" s="22"/>
      <c r="U102" s="25"/>
      <c r="V102" s="24"/>
      <c r="W102" s="23">
        <f t="shared" si="12"/>
        <v>0</v>
      </c>
      <c r="X102" s="22"/>
      <c r="Y102" s="22"/>
      <c r="Z102" s="22"/>
      <c r="AA102" s="22"/>
      <c r="AB102" s="22"/>
      <c r="AC102" s="22"/>
      <c r="AD102" s="22"/>
    </row>
    <row r="103" spans="1:30" s="21" customFormat="1" x14ac:dyDescent="0.25">
      <c r="A103" s="22"/>
      <c r="B103" s="22"/>
      <c r="C103" s="22"/>
      <c r="D103" s="22"/>
      <c r="E103" s="22" t="str">
        <f t="shared" si="9"/>
        <v>PROG</v>
      </c>
      <c r="F103" s="22"/>
      <c r="G103" s="22" t="str">
        <f t="shared" si="10"/>
        <v>P</v>
      </c>
      <c r="H103" s="22"/>
      <c r="I103" s="22"/>
      <c r="J103" s="22"/>
      <c r="K103" s="22" t="str">
        <f t="shared" si="11"/>
        <v>ELEM</v>
      </c>
      <c r="L103" s="22"/>
      <c r="M103" s="22"/>
      <c r="N103" s="22" t="str">
        <f t="shared" si="8"/>
        <v>FONTE</v>
      </c>
      <c r="O103" s="22"/>
      <c r="P103" s="22"/>
      <c r="Q103" s="22"/>
      <c r="R103" s="22"/>
      <c r="S103" s="22"/>
      <c r="T103" s="22"/>
      <c r="U103" s="25"/>
      <c r="V103" s="24"/>
      <c r="W103" s="23">
        <f t="shared" si="12"/>
        <v>0</v>
      </c>
      <c r="X103" s="22"/>
      <c r="Y103" s="22"/>
      <c r="Z103" s="22"/>
      <c r="AA103" s="22"/>
      <c r="AB103" s="22"/>
      <c r="AC103" s="22"/>
      <c r="AD103" s="22"/>
    </row>
    <row r="104" spans="1:30" s="21" customFormat="1" x14ac:dyDescent="0.25">
      <c r="A104" s="22"/>
      <c r="B104" s="22"/>
      <c r="C104" s="22"/>
      <c r="D104" s="22"/>
      <c r="E104" s="22" t="str">
        <f t="shared" si="9"/>
        <v>PROG</v>
      </c>
      <c r="F104" s="22"/>
      <c r="G104" s="22" t="str">
        <f t="shared" si="10"/>
        <v>P</v>
      </c>
      <c r="H104" s="22"/>
      <c r="I104" s="22"/>
      <c r="J104" s="22"/>
      <c r="K104" s="22" t="str">
        <f t="shared" si="11"/>
        <v>ELEM</v>
      </c>
      <c r="L104" s="22"/>
      <c r="M104" s="22"/>
      <c r="N104" s="22" t="str">
        <f t="shared" si="8"/>
        <v>FONTE</v>
      </c>
      <c r="O104" s="22"/>
      <c r="P104" s="22"/>
      <c r="Q104" s="22"/>
      <c r="R104" s="22"/>
      <c r="S104" s="22"/>
      <c r="T104" s="22"/>
      <c r="U104" s="25"/>
      <c r="V104" s="24"/>
      <c r="W104" s="23">
        <f t="shared" si="12"/>
        <v>0</v>
      </c>
      <c r="X104" s="22"/>
      <c r="Y104" s="22"/>
      <c r="Z104" s="22"/>
      <c r="AA104" s="22"/>
      <c r="AB104" s="22"/>
      <c r="AC104" s="22"/>
      <c r="AD104" s="22"/>
    </row>
    <row r="105" spans="1:30" s="21" customFormat="1" x14ac:dyDescent="0.25">
      <c r="A105" s="22"/>
      <c r="B105" s="22"/>
      <c r="C105" s="22"/>
      <c r="D105" s="22"/>
      <c r="E105" s="22" t="str">
        <f t="shared" si="9"/>
        <v>PROG</v>
      </c>
      <c r="F105" s="22"/>
      <c r="G105" s="22" t="str">
        <f t="shared" si="10"/>
        <v>P</v>
      </c>
      <c r="H105" s="22"/>
      <c r="I105" s="22"/>
      <c r="J105" s="22"/>
      <c r="K105" s="22" t="str">
        <f t="shared" si="11"/>
        <v>ELEM</v>
      </c>
      <c r="L105" s="22"/>
      <c r="M105" s="22"/>
      <c r="N105" s="22" t="str">
        <f t="shared" si="8"/>
        <v>FONTE</v>
      </c>
      <c r="O105" s="22"/>
      <c r="P105" s="22"/>
      <c r="Q105" s="22"/>
      <c r="R105" s="22"/>
      <c r="S105" s="22"/>
      <c r="T105" s="22"/>
      <c r="U105" s="25"/>
      <c r="V105" s="24"/>
      <c r="W105" s="23">
        <f t="shared" si="12"/>
        <v>0</v>
      </c>
      <c r="X105" s="22"/>
      <c r="Y105" s="22"/>
      <c r="Z105" s="22"/>
      <c r="AA105" s="22"/>
      <c r="AB105" s="22"/>
      <c r="AC105" s="22"/>
      <c r="AD105" s="22"/>
    </row>
    <row r="106" spans="1:30" s="21" customFormat="1" x14ac:dyDescent="0.25">
      <c r="A106" s="22"/>
      <c r="B106" s="22"/>
      <c r="C106" s="22"/>
      <c r="D106" s="22"/>
      <c r="E106" s="22" t="str">
        <f t="shared" si="9"/>
        <v>PROG</v>
      </c>
      <c r="F106" s="22"/>
      <c r="G106" s="22" t="str">
        <f t="shared" si="10"/>
        <v>P</v>
      </c>
      <c r="H106" s="22"/>
      <c r="I106" s="22"/>
      <c r="J106" s="22"/>
      <c r="K106" s="22" t="str">
        <f t="shared" si="11"/>
        <v>ELEM</v>
      </c>
      <c r="L106" s="22"/>
      <c r="M106" s="22"/>
      <c r="N106" s="22" t="str">
        <f t="shared" si="8"/>
        <v>FONTE</v>
      </c>
      <c r="O106" s="22"/>
      <c r="P106" s="22"/>
      <c r="Q106" s="22"/>
      <c r="R106" s="22"/>
      <c r="S106" s="22"/>
      <c r="T106" s="22"/>
      <c r="U106" s="25"/>
      <c r="V106" s="24"/>
      <c r="W106" s="23">
        <f t="shared" si="12"/>
        <v>0</v>
      </c>
      <c r="X106" s="22"/>
      <c r="Y106" s="22"/>
      <c r="Z106" s="22"/>
      <c r="AA106" s="22"/>
      <c r="AB106" s="22"/>
      <c r="AC106" s="22"/>
      <c r="AD106" s="22"/>
    </row>
    <row r="107" spans="1:30" s="21" customFormat="1" x14ac:dyDescent="0.25">
      <c r="A107" s="22"/>
      <c r="B107" s="22"/>
      <c r="C107" s="22"/>
      <c r="D107" s="22"/>
      <c r="E107" s="22" t="str">
        <f t="shared" si="9"/>
        <v>PROG</v>
      </c>
      <c r="F107" s="22"/>
      <c r="G107" s="22" t="str">
        <f t="shared" si="10"/>
        <v>P</v>
      </c>
      <c r="H107" s="22"/>
      <c r="I107" s="22"/>
      <c r="J107" s="22"/>
      <c r="K107" s="22" t="str">
        <f t="shared" si="11"/>
        <v>ELEM</v>
      </c>
      <c r="L107" s="22"/>
      <c r="M107" s="22"/>
      <c r="N107" s="22" t="str">
        <f t="shared" si="8"/>
        <v>FONTE</v>
      </c>
      <c r="O107" s="22"/>
      <c r="P107" s="22"/>
      <c r="Q107" s="22"/>
      <c r="R107" s="22"/>
      <c r="S107" s="22"/>
      <c r="T107" s="22"/>
      <c r="U107" s="25"/>
      <c r="V107" s="24"/>
      <c r="W107" s="23">
        <f t="shared" si="12"/>
        <v>0</v>
      </c>
      <c r="X107" s="22"/>
      <c r="Y107" s="22"/>
      <c r="Z107" s="22"/>
      <c r="AA107" s="22"/>
      <c r="AB107" s="22"/>
      <c r="AC107" s="22"/>
      <c r="AD107" s="22"/>
    </row>
    <row r="108" spans="1:30" s="21" customFormat="1" x14ac:dyDescent="0.25">
      <c r="A108" s="22"/>
      <c r="B108" s="22"/>
      <c r="C108" s="22"/>
      <c r="D108" s="22"/>
      <c r="E108" s="22" t="str">
        <f t="shared" si="9"/>
        <v>PROG</v>
      </c>
      <c r="F108" s="22"/>
      <c r="G108" s="22" t="str">
        <f t="shared" si="10"/>
        <v>P</v>
      </c>
      <c r="H108" s="22"/>
      <c r="I108" s="22"/>
      <c r="J108" s="22"/>
      <c r="K108" s="22" t="str">
        <f t="shared" si="11"/>
        <v>ELEM</v>
      </c>
      <c r="L108" s="22"/>
      <c r="M108" s="22"/>
      <c r="N108" s="22" t="str">
        <f t="shared" si="8"/>
        <v>FONTE</v>
      </c>
      <c r="O108" s="22"/>
      <c r="P108" s="22"/>
      <c r="Q108" s="22"/>
      <c r="R108" s="22"/>
      <c r="S108" s="22"/>
      <c r="T108" s="22"/>
      <c r="U108" s="25"/>
      <c r="V108" s="24"/>
      <c r="W108" s="23">
        <f t="shared" si="12"/>
        <v>0</v>
      </c>
      <c r="X108" s="22"/>
      <c r="Y108" s="22"/>
      <c r="Z108" s="22"/>
      <c r="AA108" s="22"/>
      <c r="AB108" s="22"/>
      <c r="AC108" s="22"/>
      <c r="AD108" s="22"/>
    </row>
    <row r="109" spans="1:30" s="21" customFormat="1" x14ac:dyDescent="0.25">
      <c r="A109" s="22"/>
      <c r="B109" s="22"/>
      <c r="C109" s="22"/>
      <c r="D109" s="22"/>
      <c r="E109" s="22" t="str">
        <f t="shared" si="9"/>
        <v>PROG</v>
      </c>
      <c r="F109" s="22"/>
      <c r="G109" s="22" t="str">
        <f t="shared" si="10"/>
        <v>P</v>
      </c>
      <c r="H109" s="22"/>
      <c r="I109" s="22"/>
      <c r="J109" s="22"/>
      <c r="K109" s="22" t="str">
        <f t="shared" si="11"/>
        <v>ELEM</v>
      </c>
      <c r="L109" s="22"/>
      <c r="M109" s="22"/>
      <c r="N109" s="22" t="str">
        <f t="shared" si="8"/>
        <v>FONTE</v>
      </c>
      <c r="O109" s="22"/>
      <c r="P109" s="22"/>
      <c r="Q109" s="22"/>
      <c r="R109" s="22"/>
      <c r="S109" s="22"/>
      <c r="T109" s="22"/>
      <c r="U109" s="25"/>
      <c r="V109" s="24"/>
      <c r="W109" s="23">
        <f t="shared" si="12"/>
        <v>0</v>
      </c>
      <c r="X109" s="22"/>
      <c r="Y109" s="22"/>
      <c r="Z109" s="22"/>
      <c r="AA109" s="22"/>
      <c r="AB109" s="22"/>
      <c r="AC109" s="22"/>
      <c r="AD109" s="22"/>
    </row>
    <row r="110" spans="1:30" s="21" customFormat="1" x14ac:dyDescent="0.25">
      <c r="A110" s="22"/>
      <c r="B110" s="22"/>
      <c r="C110" s="22"/>
      <c r="D110" s="22"/>
      <c r="E110" s="22" t="str">
        <f t="shared" si="9"/>
        <v>PROG</v>
      </c>
      <c r="F110" s="22"/>
      <c r="G110" s="22" t="str">
        <f t="shared" si="10"/>
        <v>P</v>
      </c>
      <c r="H110" s="22"/>
      <c r="I110" s="22"/>
      <c r="J110" s="22"/>
      <c r="K110" s="22" t="str">
        <f t="shared" si="11"/>
        <v>ELEM</v>
      </c>
      <c r="L110" s="22"/>
      <c r="M110" s="22"/>
      <c r="N110" s="22" t="str">
        <f t="shared" si="8"/>
        <v>FONTE</v>
      </c>
      <c r="O110" s="22"/>
      <c r="P110" s="22"/>
      <c r="Q110" s="22"/>
      <c r="R110" s="22"/>
      <c r="S110" s="22"/>
      <c r="T110" s="22"/>
      <c r="U110" s="25"/>
      <c r="V110" s="24"/>
      <c r="W110" s="23">
        <f t="shared" si="12"/>
        <v>0</v>
      </c>
      <c r="X110" s="22"/>
      <c r="Y110" s="22"/>
      <c r="Z110" s="22"/>
      <c r="AA110" s="22"/>
      <c r="AB110" s="22"/>
      <c r="AC110" s="22"/>
      <c r="AD110" s="22"/>
    </row>
    <row r="111" spans="1:30" s="21" customFormat="1" x14ac:dyDescent="0.25">
      <c r="A111" s="22"/>
      <c r="B111" s="22"/>
      <c r="C111" s="22"/>
      <c r="D111" s="22"/>
      <c r="E111" s="22" t="str">
        <f t="shared" si="9"/>
        <v>PROG</v>
      </c>
      <c r="F111" s="22"/>
      <c r="G111" s="22" t="str">
        <f t="shared" si="10"/>
        <v>P</v>
      </c>
      <c r="H111" s="22"/>
      <c r="I111" s="22"/>
      <c r="J111" s="22"/>
      <c r="K111" s="22" t="str">
        <f t="shared" si="11"/>
        <v>ELEM</v>
      </c>
      <c r="L111" s="22"/>
      <c r="M111" s="22"/>
      <c r="N111" s="22" t="str">
        <f t="shared" si="8"/>
        <v>FONTE</v>
      </c>
      <c r="O111" s="22"/>
      <c r="P111" s="22"/>
      <c r="Q111" s="22"/>
      <c r="R111" s="22"/>
      <c r="S111" s="22"/>
      <c r="T111" s="22"/>
      <c r="U111" s="25"/>
      <c r="V111" s="24"/>
      <c r="W111" s="23">
        <f t="shared" si="12"/>
        <v>0</v>
      </c>
      <c r="X111" s="22"/>
      <c r="Y111" s="22"/>
      <c r="Z111" s="22"/>
      <c r="AA111" s="22"/>
      <c r="AB111" s="22"/>
      <c r="AC111" s="22"/>
      <c r="AD111" s="22"/>
    </row>
    <row r="112" spans="1:30" s="21" customFormat="1" x14ac:dyDescent="0.25">
      <c r="A112" s="22"/>
      <c r="B112" s="22"/>
      <c r="C112" s="22"/>
      <c r="D112" s="22"/>
      <c r="E112" s="22" t="str">
        <f t="shared" si="9"/>
        <v>PROG</v>
      </c>
      <c r="F112" s="22"/>
      <c r="G112" s="22" t="str">
        <f t="shared" si="10"/>
        <v>P</v>
      </c>
      <c r="H112" s="22"/>
      <c r="I112" s="22"/>
      <c r="J112" s="22"/>
      <c r="K112" s="22" t="str">
        <f t="shared" si="11"/>
        <v>ELEM</v>
      </c>
      <c r="L112" s="22"/>
      <c r="M112" s="22"/>
      <c r="N112" s="22" t="str">
        <f t="shared" si="8"/>
        <v>FONTE</v>
      </c>
      <c r="O112" s="22"/>
      <c r="P112" s="22"/>
      <c r="Q112" s="22"/>
      <c r="R112" s="22"/>
      <c r="S112" s="22"/>
      <c r="T112" s="22"/>
      <c r="U112" s="25"/>
      <c r="V112" s="24"/>
      <c r="W112" s="23">
        <f t="shared" si="12"/>
        <v>0</v>
      </c>
      <c r="X112" s="22"/>
      <c r="Y112" s="22"/>
      <c r="Z112" s="22"/>
      <c r="AA112" s="22"/>
      <c r="AB112" s="22"/>
      <c r="AC112" s="22"/>
      <c r="AD112" s="22"/>
    </row>
    <row r="113" spans="1:30" s="21" customFormat="1" x14ac:dyDescent="0.25">
      <c r="A113" s="22"/>
      <c r="B113" s="22"/>
      <c r="C113" s="22"/>
      <c r="D113" s="22"/>
      <c r="E113" s="22" t="str">
        <f t="shared" si="9"/>
        <v>PROG</v>
      </c>
      <c r="F113" s="22"/>
      <c r="G113" s="22" t="str">
        <f t="shared" si="10"/>
        <v>P</v>
      </c>
      <c r="H113" s="22"/>
      <c r="I113" s="22"/>
      <c r="J113" s="22"/>
      <c r="K113" s="22" t="str">
        <f t="shared" si="11"/>
        <v>ELEM</v>
      </c>
      <c r="L113" s="22"/>
      <c r="M113" s="22"/>
      <c r="N113" s="22" t="str">
        <f t="shared" si="8"/>
        <v>FONTE</v>
      </c>
      <c r="O113" s="22"/>
      <c r="P113" s="22"/>
      <c r="Q113" s="22"/>
      <c r="R113" s="22"/>
      <c r="S113" s="22"/>
      <c r="T113" s="22"/>
      <c r="U113" s="25"/>
      <c r="V113" s="24"/>
      <c r="W113" s="23">
        <f t="shared" si="12"/>
        <v>0</v>
      </c>
      <c r="X113" s="22"/>
      <c r="Y113" s="22"/>
      <c r="Z113" s="22"/>
      <c r="AA113" s="22"/>
      <c r="AB113" s="22"/>
      <c r="AC113" s="22"/>
      <c r="AD113" s="22"/>
    </row>
    <row r="114" spans="1:30" s="21" customFormat="1" x14ac:dyDescent="0.25">
      <c r="A114" s="22"/>
      <c r="B114" s="22"/>
      <c r="C114" s="22"/>
      <c r="D114" s="22"/>
      <c r="E114" s="22" t="str">
        <f t="shared" si="9"/>
        <v>PROG</v>
      </c>
      <c r="F114" s="22"/>
      <c r="G114" s="22" t="str">
        <f t="shared" si="10"/>
        <v>P</v>
      </c>
      <c r="H114" s="22"/>
      <c r="I114" s="22"/>
      <c r="J114" s="22"/>
      <c r="K114" s="22" t="str">
        <f t="shared" si="11"/>
        <v>ELEM</v>
      </c>
      <c r="L114" s="22"/>
      <c r="M114" s="22"/>
      <c r="N114" s="22" t="str">
        <f t="shared" si="8"/>
        <v>FONTE</v>
      </c>
      <c r="O114" s="22"/>
      <c r="P114" s="22"/>
      <c r="Q114" s="22"/>
      <c r="R114" s="22"/>
      <c r="S114" s="22"/>
      <c r="T114" s="22"/>
      <c r="U114" s="25"/>
      <c r="V114" s="24"/>
      <c r="W114" s="23">
        <f t="shared" si="12"/>
        <v>0</v>
      </c>
      <c r="X114" s="22"/>
      <c r="Y114" s="22"/>
      <c r="Z114" s="22"/>
      <c r="AA114" s="22"/>
      <c r="AB114" s="22"/>
      <c r="AC114" s="22"/>
      <c r="AD114" s="22"/>
    </row>
    <row r="115" spans="1:30" s="21" customFormat="1" x14ac:dyDescent="0.25">
      <c r="A115" s="22"/>
      <c r="B115" s="22"/>
      <c r="C115" s="22"/>
      <c r="D115" s="22"/>
      <c r="E115" s="22" t="str">
        <f t="shared" si="9"/>
        <v>PROG</v>
      </c>
      <c r="F115" s="22"/>
      <c r="G115" s="22" t="str">
        <f t="shared" si="10"/>
        <v>P</v>
      </c>
      <c r="H115" s="22"/>
      <c r="I115" s="22"/>
      <c r="J115" s="22"/>
      <c r="K115" s="22" t="str">
        <f t="shared" si="11"/>
        <v>ELEM</v>
      </c>
      <c r="L115" s="22"/>
      <c r="M115" s="22"/>
      <c r="N115" s="22" t="str">
        <f t="shared" si="8"/>
        <v>FONTE</v>
      </c>
      <c r="O115" s="22"/>
      <c r="P115" s="22"/>
      <c r="Q115" s="22"/>
      <c r="R115" s="22"/>
      <c r="S115" s="22"/>
      <c r="T115" s="22"/>
      <c r="U115" s="25"/>
      <c r="V115" s="24"/>
      <c r="W115" s="23">
        <f t="shared" si="12"/>
        <v>0</v>
      </c>
      <c r="X115" s="22"/>
      <c r="Y115" s="22"/>
      <c r="Z115" s="22"/>
      <c r="AA115" s="22"/>
      <c r="AB115" s="22"/>
      <c r="AC115" s="22"/>
      <c r="AD115" s="22"/>
    </row>
    <row r="116" spans="1:30" s="21" customFormat="1" x14ac:dyDescent="0.25">
      <c r="A116" s="22"/>
      <c r="B116" s="22"/>
      <c r="C116" s="22"/>
      <c r="D116" s="22"/>
      <c r="E116" s="22" t="str">
        <f t="shared" si="9"/>
        <v>PROG</v>
      </c>
      <c r="F116" s="22"/>
      <c r="G116" s="22" t="str">
        <f t="shared" si="10"/>
        <v>P</v>
      </c>
      <c r="H116" s="22"/>
      <c r="I116" s="22"/>
      <c r="J116" s="22"/>
      <c r="K116" s="22" t="str">
        <f t="shared" si="11"/>
        <v>ELEM</v>
      </c>
      <c r="L116" s="22"/>
      <c r="M116" s="22"/>
      <c r="N116" s="22" t="str">
        <f t="shared" si="8"/>
        <v>FONTE</v>
      </c>
      <c r="O116" s="22"/>
      <c r="P116" s="22"/>
      <c r="Q116" s="22"/>
      <c r="R116" s="22"/>
      <c r="S116" s="22"/>
      <c r="T116" s="22"/>
      <c r="U116" s="25"/>
      <c r="V116" s="24"/>
      <c r="W116" s="23">
        <f t="shared" si="12"/>
        <v>0</v>
      </c>
      <c r="X116" s="22"/>
      <c r="Y116" s="22"/>
      <c r="Z116" s="22"/>
      <c r="AA116" s="22"/>
      <c r="AB116" s="22"/>
      <c r="AC116" s="22"/>
      <c r="AD116" s="22"/>
    </row>
    <row r="117" spans="1:30" s="21" customFormat="1" x14ac:dyDescent="0.25">
      <c r="A117" s="22"/>
      <c r="B117" s="22"/>
      <c r="C117" s="22"/>
      <c r="D117" s="22"/>
      <c r="E117" s="22" t="str">
        <f t="shared" si="9"/>
        <v>PROG</v>
      </c>
      <c r="F117" s="22"/>
      <c r="G117" s="22" t="str">
        <f t="shared" si="10"/>
        <v>P</v>
      </c>
      <c r="H117" s="22"/>
      <c r="I117" s="22"/>
      <c r="J117" s="22"/>
      <c r="K117" s="22" t="str">
        <f t="shared" si="11"/>
        <v>ELEM</v>
      </c>
      <c r="L117" s="22"/>
      <c r="M117" s="22"/>
      <c r="N117" s="22" t="str">
        <f t="shared" si="8"/>
        <v>FONTE</v>
      </c>
      <c r="O117" s="22"/>
      <c r="P117" s="22"/>
      <c r="Q117" s="22"/>
      <c r="R117" s="22"/>
      <c r="S117" s="22"/>
      <c r="T117" s="22"/>
      <c r="U117" s="25"/>
      <c r="V117" s="24"/>
      <c r="W117" s="23">
        <f t="shared" si="12"/>
        <v>0</v>
      </c>
      <c r="X117" s="22"/>
      <c r="Y117" s="22"/>
      <c r="Z117" s="22"/>
      <c r="AA117" s="22"/>
      <c r="AB117" s="22"/>
      <c r="AC117" s="22"/>
      <c r="AD117" s="22"/>
    </row>
    <row r="118" spans="1:30" s="21" customFormat="1" x14ac:dyDescent="0.25">
      <c r="A118" s="22"/>
      <c r="B118" s="22"/>
      <c r="C118" s="22"/>
      <c r="D118" s="22"/>
      <c r="E118" s="22" t="str">
        <f t="shared" si="9"/>
        <v>PROG</v>
      </c>
      <c r="F118" s="22"/>
      <c r="G118" s="22" t="str">
        <f t="shared" si="10"/>
        <v>P</v>
      </c>
      <c r="H118" s="22"/>
      <c r="I118" s="22"/>
      <c r="J118" s="22"/>
      <c r="K118" s="22" t="str">
        <f t="shared" si="11"/>
        <v>ELEM</v>
      </c>
      <c r="L118" s="22"/>
      <c r="M118" s="22"/>
      <c r="N118" s="22" t="str">
        <f t="shared" si="8"/>
        <v>FONTE</v>
      </c>
      <c r="O118" s="22"/>
      <c r="P118" s="22"/>
      <c r="Q118" s="22"/>
      <c r="R118" s="22"/>
      <c r="S118" s="22"/>
      <c r="T118" s="22"/>
      <c r="U118" s="25"/>
      <c r="V118" s="24"/>
      <c r="W118" s="23">
        <f t="shared" si="12"/>
        <v>0</v>
      </c>
      <c r="X118" s="22"/>
      <c r="Y118" s="22"/>
      <c r="Z118" s="22"/>
      <c r="AA118" s="22"/>
      <c r="AB118" s="22"/>
      <c r="AC118" s="22"/>
      <c r="AD118" s="22"/>
    </row>
    <row r="119" spans="1:30" s="21" customFormat="1" x14ac:dyDescent="0.25">
      <c r="A119" s="22"/>
      <c r="B119" s="22"/>
      <c r="C119" s="22"/>
      <c r="D119" s="22"/>
      <c r="E119" s="22" t="str">
        <f t="shared" si="9"/>
        <v>PROG</v>
      </c>
      <c r="F119" s="22"/>
      <c r="G119" s="22" t="str">
        <f t="shared" si="10"/>
        <v>P</v>
      </c>
      <c r="H119" s="22"/>
      <c r="I119" s="22"/>
      <c r="J119" s="22"/>
      <c r="K119" s="22" t="str">
        <f t="shared" si="11"/>
        <v>ELEM</v>
      </c>
      <c r="L119" s="22"/>
      <c r="M119" s="22"/>
      <c r="N119" s="22" t="str">
        <f t="shared" si="8"/>
        <v>FONTE</v>
      </c>
      <c r="O119" s="22"/>
      <c r="P119" s="22"/>
      <c r="Q119" s="22"/>
      <c r="R119" s="22"/>
      <c r="S119" s="22"/>
      <c r="T119" s="22"/>
      <c r="U119" s="25"/>
      <c r="V119" s="24"/>
      <c r="W119" s="23">
        <f t="shared" si="12"/>
        <v>0</v>
      </c>
      <c r="X119" s="22"/>
      <c r="Y119" s="22"/>
      <c r="Z119" s="22"/>
      <c r="AA119" s="22"/>
      <c r="AB119" s="22"/>
      <c r="AC119" s="22"/>
      <c r="AD119" s="22"/>
    </row>
    <row r="120" spans="1:30" s="21" customFormat="1" x14ac:dyDescent="0.25">
      <c r="A120" s="22"/>
      <c r="B120" s="22"/>
      <c r="C120" s="22"/>
      <c r="D120" s="22"/>
      <c r="E120" s="22" t="str">
        <f t="shared" si="9"/>
        <v>PROG</v>
      </c>
      <c r="F120" s="22"/>
      <c r="G120" s="22" t="str">
        <f t="shared" si="10"/>
        <v>P</v>
      </c>
      <c r="H120" s="22"/>
      <c r="I120" s="22"/>
      <c r="J120" s="22"/>
      <c r="K120" s="22" t="str">
        <f t="shared" si="11"/>
        <v>ELEM</v>
      </c>
      <c r="L120" s="22"/>
      <c r="M120" s="22"/>
      <c r="N120" s="22" t="str">
        <f t="shared" si="8"/>
        <v>FONTE</v>
      </c>
      <c r="O120" s="22"/>
      <c r="P120" s="22"/>
      <c r="Q120" s="22"/>
      <c r="R120" s="22"/>
      <c r="S120" s="22"/>
      <c r="T120" s="22"/>
      <c r="U120" s="25"/>
      <c r="V120" s="24"/>
      <c r="W120" s="23">
        <f t="shared" si="12"/>
        <v>0</v>
      </c>
      <c r="X120" s="22"/>
      <c r="Y120" s="22"/>
      <c r="Z120" s="22"/>
      <c r="AA120" s="22"/>
      <c r="AB120" s="22"/>
      <c r="AC120" s="22"/>
      <c r="AD120" s="22"/>
    </row>
    <row r="121" spans="1:30" s="21" customFormat="1" x14ac:dyDescent="0.25">
      <c r="A121" s="22"/>
      <c r="B121" s="22"/>
      <c r="C121" s="22"/>
      <c r="D121" s="22"/>
      <c r="E121" s="22" t="str">
        <f t="shared" si="9"/>
        <v>PROG</v>
      </c>
      <c r="F121" s="22"/>
      <c r="G121" s="22" t="str">
        <f t="shared" si="10"/>
        <v>P</v>
      </c>
      <c r="H121" s="22"/>
      <c r="I121" s="22"/>
      <c r="J121" s="22"/>
      <c r="K121" s="22" t="str">
        <f t="shared" si="11"/>
        <v>ELEM</v>
      </c>
      <c r="L121" s="22"/>
      <c r="M121" s="22"/>
      <c r="N121" s="22" t="str">
        <f t="shared" si="8"/>
        <v>FONTE</v>
      </c>
      <c r="O121" s="22"/>
      <c r="P121" s="22"/>
      <c r="Q121" s="22"/>
      <c r="R121" s="22"/>
      <c r="S121" s="22"/>
      <c r="T121" s="22"/>
      <c r="U121" s="25"/>
      <c r="V121" s="24"/>
      <c r="W121" s="23">
        <f t="shared" si="12"/>
        <v>0</v>
      </c>
      <c r="X121" s="22"/>
      <c r="Y121" s="22"/>
      <c r="Z121" s="22"/>
      <c r="AA121" s="22"/>
      <c r="AB121" s="22"/>
      <c r="AC121" s="22"/>
      <c r="AD121" s="22"/>
    </row>
    <row r="122" spans="1:30" s="21" customFormat="1" x14ac:dyDescent="0.25">
      <c r="A122" s="22"/>
      <c r="B122" s="22"/>
      <c r="C122" s="22"/>
      <c r="D122" s="22"/>
      <c r="E122" s="22" t="str">
        <f t="shared" si="9"/>
        <v>PROG</v>
      </c>
      <c r="F122" s="22"/>
      <c r="G122" s="22" t="str">
        <f t="shared" si="10"/>
        <v>P</v>
      </c>
      <c r="H122" s="22"/>
      <c r="I122" s="22"/>
      <c r="J122" s="22"/>
      <c r="K122" s="22" t="str">
        <f t="shared" si="11"/>
        <v>ELEM</v>
      </c>
      <c r="L122" s="22"/>
      <c r="M122" s="22"/>
      <c r="N122" s="22" t="str">
        <f t="shared" si="8"/>
        <v>FONTE</v>
      </c>
      <c r="O122" s="22"/>
      <c r="P122" s="22"/>
      <c r="Q122" s="22"/>
      <c r="R122" s="22"/>
      <c r="S122" s="22"/>
      <c r="T122" s="22"/>
      <c r="U122" s="25"/>
      <c r="V122" s="24"/>
      <c r="W122" s="23">
        <f t="shared" si="12"/>
        <v>0</v>
      </c>
      <c r="X122" s="22"/>
      <c r="Y122" s="22"/>
      <c r="Z122" s="22"/>
      <c r="AA122" s="22"/>
      <c r="AB122" s="22"/>
      <c r="AC122" s="22"/>
      <c r="AD122" s="22"/>
    </row>
    <row r="123" spans="1:30" s="21" customFormat="1" x14ac:dyDescent="0.25">
      <c r="A123" s="22"/>
      <c r="B123" s="22"/>
      <c r="C123" s="22"/>
      <c r="D123" s="22"/>
      <c r="E123" s="22" t="str">
        <f t="shared" si="9"/>
        <v>PROG</v>
      </c>
      <c r="F123" s="22"/>
      <c r="G123" s="22" t="str">
        <f t="shared" si="10"/>
        <v>P</v>
      </c>
      <c r="H123" s="22"/>
      <c r="I123" s="22"/>
      <c r="J123" s="22"/>
      <c r="K123" s="22" t="str">
        <f t="shared" si="11"/>
        <v>ELEM</v>
      </c>
      <c r="L123" s="22"/>
      <c r="M123" s="22"/>
      <c r="N123" s="22" t="str">
        <f t="shared" si="8"/>
        <v>FONTE</v>
      </c>
      <c r="O123" s="22"/>
      <c r="P123" s="22"/>
      <c r="Q123" s="22"/>
      <c r="R123" s="22"/>
      <c r="S123" s="22"/>
      <c r="T123" s="22"/>
      <c r="U123" s="25"/>
      <c r="V123" s="24"/>
      <c r="W123" s="23">
        <f t="shared" si="12"/>
        <v>0</v>
      </c>
      <c r="X123" s="22"/>
      <c r="Y123" s="22"/>
      <c r="Z123" s="22"/>
      <c r="AA123" s="22"/>
      <c r="AB123" s="22"/>
      <c r="AC123" s="22"/>
      <c r="AD123" s="22"/>
    </row>
    <row r="124" spans="1:30" s="21" customFormat="1" x14ac:dyDescent="0.25">
      <c r="A124" s="22"/>
      <c r="B124" s="22"/>
      <c r="C124" s="22"/>
      <c r="D124" s="22"/>
      <c r="E124" s="22" t="str">
        <f t="shared" si="9"/>
        <v>PROG</v>
      </c>
      <c r="F124" s="22"/>
      <c r="G124" s="22" t="str">
        <f t="shared" si="10"/>
        <v>P</v>
      </c>
      <c r="H124" s="22"/>
      <c r="I124" s="22"/>
      <c r="J124" s="22"/>
      <c r="K124" s="22" t="str">
        <f t="shared" si="11"/>
        <v>ELEM</v>
      </c>
      <c r="L124" s="22"/>
      <c r="M124" s="22"/>
      <c r="N124" s="22" t="str">
        <f t="shared" si="8"/>
        <v>FONTE</v>
      </c>
      <c r="O124" s="22"/>
      <c r="P124" s="22"/>
      <c r="Q124" s="22"/>
      <c r="R124" s="22"/>
      <c r="S124" s="22"/>
      <c r="T124" s="22"/>
      <c r="U124" s="25"/>
      <c r="V124" s="24"/>
      <c r="W124" s="23">
        <f t="shared" si="12"/>
        <v>0</v>
      </c>
      <c r="X124" s="22"/>
      <c r="Y124" s="22"/>
      <c r="Z124" s="22"/>
      <c r="AA124" s="22"/>
      <c r="AB124" s="22"/>
      <c r="AC124" s="22"/>
      <c r="AD124" s="22"/>
    </row>
    <row r="125" spans="1:30" s="21" customFormat="1" x14ac:dyDescent="0.25">
      <c r="A125" s="22"/>
      <c r="B125" s="22"/>
      <c r="C125" s="22"/>
      <c r="D125" s="22"/>
      <c r="E125" s="22" t="str">
        <f t="shared" si="9"/>
        <v>PROG</v>
      </c>
      <c r="F125" s="22"/>
      <c r="G125" s="22" t="str">
        <f t="shared" si="10"/>
        <v>P</v>
      </c>
      <c r="H125" s="22"/>
      <c r="I125" s="22"/>
      <c r="J125" s="22"/>
      <c r="K125" s="22" t="str">
        <f t="shared" si="11"/>
        <v>ELEM</v>
      </c>
      <c r="L125" s="22"/>
      <c r="M125" s="22"/>
      <c r="N125" s="22" t="str">
        <f t="shared" si="8"/>
        <v>FONTE</v>
      </c>
      <c r="O125" s="22"/>
      <c r="P125" s="22"/>
      <c r="Q125" s="22"/>
      <c r="R125" s="22"/>
      <c r="S125" s="22"/>
      <c r="T125" s="22"/>
      <c r="U125" s="25"/>
      <c r="V125" s="24"/>
      <c r="W125" s="23">
        <f t="shared" si="12"/>
        <v>0</v>
      </c>
      <c r="X125" s="22"/>
      <c r="Y125" s="22"/>
      <c r="Z125" s="22"/>
      <c r="AA125" s="22"/>
      <c r="AB125" s="22"/>
      <c r="AC125" s="22"/>
      <c r="AD125" s="22"/>
    </row>
    <row r="126" spans="1:30" s="21" customFormat="1" x14ac:dyDescent="0.25">
      <c r="A126" s="22"/>
      <c r="B126" s="22"/>
      <c r="C126" s="22"/>
      <c r="D126" s="22"/>
      <c r="E126" s="22" t="str">
        <f t="shared" si="9"/>
        <v>PROG</v>
      </c>
      <c r="F126" s="22"/>
      <c r="G126" s="22" t="str">
        <f t="shared" si="10"/>
        <v>P</v>
      </c>
      <c r="H126" s="22"/>
      <c r="I126" s="22"/>
      <c r="J126" s="22"/>
      <c r="K126" s="22" t="str">
        <f t="shared" si="11"/>
        <v>ELEM</v>
      </c>
      <c r="L126" s="22"/>
      <c r="M126" s="22"/>
      <c r="N126" s="22" t="str">
        <f t="shared" si="8"/>
        <v>FONTE</v>
      </c>
      <c r="O126" s="22"/>
      <c r="P126" s="22"/>
      <c r="Q126" s="22"/>
      <c r="R126" s="22"/>
      <c r="S126" s="22"/>
      <c r="T126" s="22"/>
      <c r="U126" s="25"/>
      <c r="V126" s="24"/>
      <c r="W126" s="23">
        <f t="shared" si="12"/>
        <v>0</v>
      </c>
      <c r="X126" s="22"/>
      <c r="Y126" s="22"/>
      <c r="Z126" s="22"/>
      <c r="AA126" s="22"/>
      <c r="AB126" s="22"/>
      <c r="AC126" s="22"/>
      <c r="AD126" s="22"/>
    </row>
    <row r="127" spans="1:30" s="21" customFormat="1" x14ac:dyDescent="0.25">
      <c r="A127" s="22"/>
      <c r="B127" s="22"/>
      <c r="C127" s="22"/>
      <c r="D127" s="22"/>
      <c r="E127" s="22" t="str">
        <f t="shared" si="9"/>
        <v>PROG</v>
      </c>
      <c r="F127" s="22"/>
      <c r="G127" s="22" t="str">
        <f t="shared" si="10"/>
        <v>P</v>
      </c>
      <c r="H127" s="22"/>
      <c r="I127" s="22"/>
      <c r="J127" s="22"/>
      <c r="K127" s="22" t="str">
        <f t="shared" si="11"/>
        <v>ELEM</v>
      </c>
      <c r="L127" s="22"/>
      <c r="M127" s="22"/>
      <c r="N127" s="22" t="str">
        <f t="shared" si="8"/>
        <v>FONTE</v>
      </c>
      <c r="O127" s="22"/>
      <c r="P127" s="22"/>
      <c r="Q127" s="22"/>
      <c r="R127" s="22"/>
      <c r="S127" s="22"/>
      <c r="T127" s="22"/>
      <c r="U127" s="25"/>
      <c r="V127" s="24"/>
      <c r="W127" s="23">
        <f t="shared" si="12"/>
        <v>0</v>
      </c>
      <c r="X127" s="22"/>
      <c r="Y127" s="22"/>
      <c r="Z127" s="22"/>
      <c r="AA127" s="22"/>
      <c r="AB127" s="22"/>
      <c r="AC127" s="22"/>
      <c r="AD127" s="22"/>
    </row>
    <row r="128" spans="1:30" s="21" customFormat="1" x14ac:dyDescent="0.25">
      <c r="A128" s="22"/>
      <c r="B128" s="22"/>
      <c r="C128" s="22"/>
      <c r="D128" s="22"/>
      <c r="E128" s="22" t="str">
        <f t="shared" si="9"/>
        <v>PROG</v>
      </c>
      <c r="F128" s="22"/>
      <c r="G128" s="22" t="str">
        <f t="shared" si="10"/>
        <v>P</v>
      </c>
      <c r="H128" s="22"/>
      <c r="I128" s="22"/>
      <c r="J128" s="22"/>
      <c r="K128" s="22" t="str">
        <f t="shared" si="11"/>
        <v>ELEM</v>
      </c>
      <c r="L128" s="22"/>
      <c r="M128" s="22"/>
      <c r="N128" s="22" t="str">
        <f t="shared" si="8"/>
        <v>FONTE</v>
      </c>
      <c r="O128" s="22"/>
      <c r="P128" s="22"/>
      <c r="Q128" s="22"/>
      <c r="R128" s="22"/>
      <c r="S128" s="22"/>
      <c r="T128" s="22"/>
      <c r="U128" s="25"/>
      <c r="V128" s="24"/>
      <c r="W128" s="23">
        <f t="shared" si="12"/>
        <v>0</v>
      </c>
      <c r="X128" s="22"/>
      <c r="Y128" s="22"/>
      <c r="Z128" s="22"/>
      <c r="AA128" s="22"/>
      <c r="AB128" s="22"/>
      <c r="AC128" s="22"/>
      <c r="AD128" s="22"/>
    </row>
    <row r="129" spans="1:30" s="21" customFormat="1" x14ac:dyDescent="0.25">
      <c r="A129" s="22"/>
      <c r="B129" s="22"/>
      <c r="C129" s="22"/>
      <c r="D129" s="22"/>
      <c r="E129" s="22" t="str">
        <f t="shared" si="9"/>
        <v>PROG</v>
      </c>
      <c r="F129" s="22"/>
      <c r="G129" s="22" t="str">
        <f t="shared" si="10"/>
        <v>P</v>
      </c>
      <c r="H129" s="22"/>
      <c r="I129" s="22"/>
      <c r="J129" s="22"/>
      <c r="K129" s="22" t="str">
        <f t="shared" si="11"/>
        <v>ELEM</v>
      </c>
      <c r="L129" s="22"/>
      <c r="M129" s="22"/>
      <c r="N129" s="22" t="str">
        <f t="shared" si="8"/>
        <v>FONTE</v>
      </c>
      <c r="O129" s="22"/>
      <c r="P129" s="22"/>
      <c r="Q129" s="22"/>
      <c r="R129" s="22"/>
      <c r="S129" s="22"/>
      <c r="T129" s="22"/>
      <c r="U129" s="25"/>
      <c r="V129" s="24"/>
      <c r="W129" s="23">
        <f t="shared" si="12"/>
        <v>0</v>
      </c>
      <c r="X129" s="22"/>
      <c r="Y129" s="22"/>
      <c r="Z129" s="22"/>
      <c r="AA129" s="22"/>
      <c r="AB129" s="22"/>
      <c r="AC129" s="22"/>
      <c r="AD129" s="22"/>
    </row>
    <row r="130" spans="1:30" s="21" customFormat="1" x14ac:dyDescent="0.25">
      <c r="A130" s="22"/>
      <c r="B130" s="22"/>
      <c r="C130" s="22"/>
      <c r="D130" s="22"/>
      <c r="E130" s="22" t="str">
        <f t="shared" si="9"/>
        <v>PROG</v>
      </c>
      <c r="F130" s="22"/>
      <c r="G130" s="22" t="str">
        <f t="shared" si="10"/>
        <v>P</v>
      </c>
      <c r="H130" s="22"/>
      <c r="I130" s="22"/>
      <c r="J130" s="22"/>
      <c r="K130" s="22" t="str">
        <f t="shared" si="11"/>
        <v>ELEM</v>
      </c>
      <c r="L130" s="22"/>
      <c r="M130" s="22"/>
      <c r="N130" s="22" t="str">
        <f t="shared" si="8"/>
        <v>FONTE</v>
      </c>
      <c r="O130" s="22"/>
      <c r="P130" s="22"/>
      <c r="Q130" s="22"/>
      <c r="R130" s="22"/>
      <c r="S130" s="22"/>
      <c r="T130" s="22"/>
      <c r="U130" s="25"/>
      <c r="V130" s="24"/>
      <c r="W130" s="23">
        <f t="shared" si="12"/>
        <v>0</v>
      </c>
      <c r="X130" s="22"/>
      <c r="Y130" s="22"/>
      <c r="Z130" s="22"/>
      <c r="AA130" s="22"/>
      <c r="AB130" s="22"/>
      <c r="AC130" s="22"/>
      <c r="AD130" s="22"/>
    </row>
    <row r="131" spans="1:30" s="21" customFormat="1" x14ac:dyDescent="0.25">
      <c r="A131" s="22"/>
      <c r="B131" s="22"/>
      <c r="C131" s="22"/>
      <c r="D131" s="22"/>
      <c r="E131" s="22" t="str">
        <f t="shared" si="9"/>
        <v>PROG</v>
      </c>
      <c r="F131" s="22"/>
      <c r="G131" s="22" t="str">
        <f t="shared" si="10"/>
        <v>P</v>
      </c>
      <c r="H131" s="22"/>
      <c r="I131" s="22"/>
      <c r="J131" s="22"/>
      <c r="K131" s="22" t="str">
        <f t="shared" si="11"/>
        <v>ELEM</v>
      </c>
      <c r="L131" s="22"/>
      <c r="M131" s="22"/>
      <c r="N131" s="22" t="str">
        <f t="shared" si="8"/>
        <v>FONTE</v>
      </c>
      <c r="O131" s="22"/>
      <c r="P131" s="22"/>
      <c r="Q131" s="22"/>
      <c r="R131" s="22"/>
      <c r="S131" s="22"/>
      <c r="T131" s="22"/>
      <c r="U131" s="25"/>
      <c r="V131" s="24"/>
      <c r="W131" s="23">
        <f t="shared" si="12"/>
        <v>0</v>
      </c>
      <c r="X131" s="22"/>
      <c r="Y131" s="22"/>
      <c r="Z131" s="22"/>
      <c r="AA131" s="22"/>
      <c r="AB131" s="22"/>
      <c r="AC131" s="22"/>
      <c r="AD131" s="22"/>
    </row>
    <row r="132" spans="1:30" s="21" customFormat="1" x14ac:dyDescent="0.25">
      <c r="A132" s="22"/>
      <c r="B132" s="22"/>
      <c r="C132" s="22"/>
      <c r="D132" s="22"/>
      <c r="E132" s="22" t="str">
        <f t="shared" si="9"/>
        <v>PROG</v>
      </c>
      <c r="F132" s="22"/>
      <c r="G132" s="22" t="str">
        <f t="shared" si="10"/>
        <v>P</v>
      </c>
      <c r="H132" s="22"/>
      <c r="I132" s="22"/>
      <c r="J132" s="22"/>
      <c r="K132" s="22" t="str">
        <f t="shared" si="11"/>
        <v>ELEM</v>
      </c>
      <c r="L132" s="22"/>
      <c r="M132" s="22"/>
      <c r="N132" s="22" t="str">
        <f t="shared" si="8"/>
        <v>FONTE</v>
      </c>
      <c r="O132" s="22"/>
      <c r="P132" s="22"/>
      <c r="Q132" s="22"/>
      <c r="R132" s="22"/>
      <c r="S132" s="22"/>
      <c r="T132" s="22"/>
      <c r="U132" s="25"/>
      <c r="V132" s="24"/>
      <c r="W132" s="23">
        <f t="shared" si="12"/>
        <v>0</v>
      </c>
      <c r="X132" s="22"/>
      <c r="Y132" s="22"/>
      <c r="Z132" s="22"/>
      <c r="AA132" s="22"/>
      <c r="AB132" s="22"/>
      <c r="AC132" s="22"/>
      <c r="AD132" s="22"/>
    </row>
    <row r="133" spans="1:30" s="21" customFormat="1" x14ac:dyDescent="0.25">
      <c r="A133" s="22"/>
      <c r="B133" s="22"/>
      <c r="C133" s="22"/>
      <c r="D133" s="22"/>
      <c r="E133" s="22" t="str">
        <f t="shared" si="9"/>
        <v>PROG</v>
      </c>
      <c r="F133" s="22"/>
      <c r="G133" s="22" t="str">
        <f t="shared" si="10"/>
        <v>P</v>
      </c>
      <c r="H133" s="22"/>
      <c r="I133" s="22"/>
      <c r="J133" s="22"/>
      <c r="K133" s="22" t="str">
        <f t="shared" si="11"/>
        <v>ELEM</v>
      </c>
      <c r="L133" s="22"/>
      <c r="M133" s="22"/>
      <c r="N133" s="22" t="str">
        <f t="shared" si="8"/>
        <v>FONTE</v>
      </c>
      <c r="O133" s="22"/>
      <c r="P133" s="22"/>
      <c r="Q133" s="22"/>
      <c r="R133" s="22"/>
      <c r="S133" s="22"/>
      <c r="T133" s="22"/>
      <c r="U133" s="25"/>
      <c r="V133" s="24"/>
      <c r="W133" s="23">
        <f t="shared" si="12"/>
        <v>0</v>
      </c>
      <c r="X133" s="22"/>
      <c r="Y133" s="22"/>
      <c r="Z133" s="22"/>
      <c r="AA133" s="22"/>
      <c r="AB133" s="22"/>
      <c r="AC133" s="22"/>
      <c r="AD133" s="22"/>
    </row>
    <row r="134" spans="1:30" s="21" customFormat="1" x14ac:dyDescent="0.25">
      <c r="A134" s="22"/>
      <c r="B134" s="22"/>
      <c r="C134" s="22"/>
      <c r="D134" s="22"/>
      <c r="E134" s="22" t="str">
        <f t="shared" si="9"/>
        <v>PROG</v>
      </c>
      <c r="F134" s="22"/>
      <c r="G134" s="22" t="str">
        <f t="shared" si="10"/>
        <v>P</v>
      </c>
      <c r="H134" s="22"/>
      <c r="I134" s="22"/>
      <c r="J134" s="22"/>
      <c r="K134" s="22" t="str">
        <f t="shared" si="11"/>
        <v>ELEM</v>
      </c>
      <c r="L134" s="22"/>
      <c r="M134" s="22"/>
      <c r="N134" s="22" t="str">
        <f t="shared" si="8"/>
        <v>FONTE</v>
      </c>
      <c r="O134" s="22"/>
      <c r="P134" s="22"/>
      <c r="Q134" s="22"/>
      <c r="R134" s="22"/>
      <c r="S134" s="22"/>
      <c r="T134" s="22"/>
      <c r="U134" s="25"/>
      <c r="V134" s="24"/>
      <c r="W134" s="23">
        <f t="shared" si="12"/>
        <v>0</v>
      </c>
      <c r="X134" s="22"/>
      <c r="Y134" s="22"/>
      <c r="Z134" s="22"/>
      <c r="AA134" s="22"/>
      <c r="AB134" s="22"/>
      <c r="AC134" s="22"/>
      <c r="AD134" s="22"/>
    </row>
    <row r="135" spans="1:30" s="21" customFormat="1" x14ac:dyDescent="0.25">
      <c r="A135" s="22"/>
      <c r="B135" s="22"/>
      <c r="C135" s="22"/>
      <c r="D135" s="22"/>
      <c r="E135" s="22" t="str">
        <f t="shared" si="9"/>
        <v>PROG</v>
      </c>
      <c r="F135" s="22"/>
      <c r="G135" s="22" t="str">
        <f t="shared" si="10"/>
        <v>P</v>
      </c>
      <c r="H135" s="22"/>
      <c r="I135" s="22"/>
      <c r="J135" s="22"/>
      <c r="K135" s="22" t="str">
        <f t="shared" si="11"/>
        <v>ELEM</v>
      </c>
      <c r="L135" s="22"/>
      <c r="M135" s="22"/>
      <c r="N135" s="22" t="str">
        <f t="shared" si="8"/>
        <v>FONTE</v>
      </c>
      <c r="O135" s="22"/>
      <c r="P135" s="22"/>
      <c r="Q135" s="22"/>
      <c r="R135" s="22"/>
      <c r="S135" s="22"/>
      <c r="T135" s="22"/>
      <c r="U135" s="25"/>
      <c r="V135" s="24"/>
      <c r="W135" s="23">
        <f t="shared" si="12"/>
        <v>0</v>
      </c>
      <c r="X135" s="22"/>
      <c r="Y135" s="22"/>
      <c r="Z135" s="22"/>
      <c r="AA135" s="22"/>
      <c r="AB135" s="22"/>
      <c r="AC135" s="22"/>
      <c r="AD135" s="22"/>
    </row>
    <row r="136" spans="1:30" s="21" customFormat="1" x14ac:dyDescent="0.25">
      <c r="A136" s="22"/>
      <c r="B136" s="22"/>
      <c r="C136" s="22"/>
      <c r="D136" s="22"/>
      <c r="E136" s="22" t="str">
        <f t="shared" si="9"/>
        <v>PROG</v>
      </c>
      <c r="F136" s="22"/>
      <c r="G136" s="22" t="str">
        <f t="shared" si="10"/>
        <v>P</v>
      </c>
      <c r="H136" s="22"/>
      <c r="I136" s="22"/>
      <c r="J136" s="22"/>
      <c r="K136" s="22" t="str">
        <f t="shared" si="11"/>
        <v>ELEM</v>
      </c>
      <c r="L136" s="22"/>
      <c r="M136" s="22"/>
      <c r="N136" s="22" t="str">
        <f t="shared" si="8"/>
        <v>FONTE</v>
      </c>
      <c r="O136" s="22"/>
      <c r="P136" s="22"/>
      <c r="Q136" s="22"/>
      <c r="R136" s="22"/>
      <c r="S136" s="22"/>
      <c r="T136" s="22"/>
      <c r="U136" s="25"/>
      <c r="V136" s="24"/>
      <c r="W136" s="23">
        <f t="shared" si="12"/>
        <v>0</v>
      </c>
      <c r="X136" s="22"/>
      <c r="Y136" s="22"/>
      <c r="Z136" s="22"/>
      <c r="AA136" s="22"/>
      <c r="AB136" s="22"/>
      <c r="AC136" s="22"/>
      <c r="AD136" s="22"/>
    </row>
    <row r="137" spans="1:30" s="21" customFormat="1" x14ac:dyDescent="0.25">
      <c r="A137" s="22"/>
      <c r="B137" s="22"/>
      <c r="C137" s="22"/>
      <c r="D137" s="22"/>
      <c r="E137" s="22" t="str">
        <f t="shared" si="9"/>
        <v>PROG</v>
      </c>
      <c r="F137" s="22"/>
      <c r="G137" s="22" t="str">
        <f t="shared" si="10"/>
        <v>P</v>
      </c>
      <c r="H137" s="22"/>
      <c r="I137" s="22"/>
      <c r="J137" s="22"/>
      <c r="K137" s="22" t="str">
        <f t="shared" si="11"/>
        <v>ELEM</v>
      </c>
      <c r="L137" s="22"/>
      <c r="M137" s="22"/>
      <c r="N137" s="22" t="str">
        <f t="shared" si="8"/>
        <v>FONTE</v>
      </c>
      <c r="O137" s="22"/>
      <c r="P137" s="22"/>
      <c r="Q137" s="22"/>
      <c r="R137" s="22"/>
      <c r="S137" s="22"/>
      <c r="T137" s="22"/>
      <c r="U137" s="25"/>
      <c r="V137" s="24"/>
      <c r="W137" s="23">
        <f t="shared" si="12"/>
        <v>0</v>
      </c>
      <c r="X137" s="22"/>
      <c r="Y137" s="22"/>
      <c r="Z137" s="22"/>
      <c r="AA137" s="22"/>
      <c r="AB137" s="22"/>
      <c r="AC137" s="22"/>
      <c r="AD137" s="22"/>
    </row>
    <row r="138" spans="1:30" s="21" customFormat="1" x14ac:dyDescent="0.25">
      <c r="A138" s="22"/>
      <c r="B138" s="22"/>
      <c r="C138" s="22"/>
      <c r="D138" s="22"/>
      <c r="E138" s="22" t="str">
        <f t="shared" si="9"/>
        <v>PROG</v>
      </c>
      <c r="F138" s="22"/>
      <c r="G138" s="22" t="str">
        <f t="shared" si="10"/>
        <v>P</v>
      </c>
      <c r="H138" s="22"/>
      <c r="I138" s="22"/>
      <c r="J138" s="22"/>
      <c r="K138" s="22" t="str">
        <f t="shared" si="11"/>
        <v>ELEM</v>
      </c>
      <c r="L138" s="22"/>
      <c r="M138" s="22"/>
      <c r="N138" s="22" t="str">
        <f t="shared" si="8"/>
        <v>FONTE</v>
      </c>
      <c r="O138" s="22"/>
      <c r="P138" s="22"/>
      <c r="Q138" s="22"/>
      <c r="R138" s="22"/>
      <c r="S138" s="22"/>
      <c r="T138" s="22"/>
      <c r="U138" s="25"/>
      <c r="V138" s="24"/>
      <c r="W138" s="23">
        <f t="shared" si="12"/>
        <v>0</v>
      </c>
      <c r="X138" s="22"/>
      <c r="Y138" s="22"/>
      <c r="Z138" s="22"/>
      <c r="AA138" s="22"/>
      <c r="AB138" s="22"/>
      <c r="AC138" s="22"/>
      <c r="AD138" s="22"/>
    </row>
    <row r="139" spans="1:30" s="21" customFormat="1" x14ac:dyDescent="0.25">
      <c r="A139" s="22"/>
      <c r="B139" s="22"/>
      <c r="C139" s="22"/>
      <c r="D139" s="22"/>
      <c r="E139" s="22" t="str">
        <f t="shared" si="9"/>
        <v>PROG</v>
      </c>
      <c r="F139" s="22"/>
      <c r="G139" s="22" t="str">
        <f t="shared" si="10"/>
        <v>P</v>
      </c>
      <c r="H139" s="22"/>
      <c r="I139" s="22"/>
      <c r="J139" s="22"/>
      <c r="K139" s="22" t="str">
        <f t="shared" si="11"/>
        <v>ELEM</v>
      </c>
      <c r="L139" s="22"/>
      <c r="M139" s="22"/>
      <c r="N139" s="22" t="str">
        <f t="shared" si="8"/>
        <v>FONTE</v>
      </c>
      <c r="O139" s="22"/>
      <c r="P139" s="22"/>
      <c r="Q139" s="22"/>
      <c r="R139" s="22"/>
      <c r="S139" s="22"/>
      <c r="T139" s="22"/>
      <c r="U139" s="25"/>
      <c r="V139" s="24"/>
      <c r="W139" s="23">
        <f t="shared" si="12"/>
        <v>0</v>
      </c>
      <c r="X139" s="22"/>
      <c r="Y139" s="22"/>
      <c r="Z139" s="22"/>
      <c r="AA139" s="22"/>
      <c r="AB139" s="22"/>
      <c r="AC139" s="22"/>
      <c r="AD139" s="22"/>
    </row>
    <row r="140" spans="1:30" s="21" customFormat="1" x14ac:dyDescent="0.25">
      <c r="A140" s="22"/>
      <c r="B140" s="22"/>
      <c r="C140" s="22"/>
      <c r="D140" s="22"/>
      <c r="E140" s="22" t="str">
        <f t="shared" si="9"/>
        <v>PROG</v>
      </c>
      <c r="F140" s="22"/>
      <c r="G140" s="22" t="str">
        <f t="shared" si="10"/>
        <v>P</v>
      </c>
      <c r="H140" s="22"/>
      <c r="I140" s="22"/>
      <c r="J140" s="22"/>
      <c r="K140" s="22" t="str">
        <f t="shared" si="11"/>
        <v>ELEM</v>
      </c>
      <c r="L140" s="22"/>
      <c r="M140" s="22"/>
      <c r="N140" s="22" t="str">
        <f t="shared" si="8"/>
        <v>FONTE</v>
      </c>
      <c r="O140" s="22"/>
      <c r="P140" s="22"/>
      <c r="Q140" s="22"/>
      <c r="R140" s="22"/>
      <c r="S140" s="22"/>
      <c r="T140" s="22"/>
      <c r="U140" s="25"/>
      <c r="V140" s="24"/>
      <c r="W140" s="23">
        <f t="shared" si="12"/>
        <v>0</v>
      </c>
      <c r="X140" s="22"/>
      <c r="Y140" s="22"/>
      <c r="Z140" s="22"/>
      <c r="AA140" s="22"/>
      <c r="AB140" s="22"/>
      <c r="AC140" s="22"/>
      <c r="AD140" s="22"/>
    </row>
    <row r="141" spans="1:30" s="21" customFormat="1" x14ac:dyDescent="0.25">
      <c r="A141" s="22"/>
      <c r="B141" s="22"/>
      <c r="C141" s="22"/>
      <c r="D141" s="22"/>
      <c r="E141" s="22" t="str">
        <f t="shared" si="9"/>
        <v>PROG</v>
      </c>
      <c r="F141" s="22"/>
      <c r="G141" s="22" t="str">
        <f t="shared" si="10"/>
        <v>P</v>
      </c>
      <c r="H141" s="22"/>
      <c r="I141" s="22"/>
      <c r="J141" s="22"/>
      <c r="K141" s="22" t="str">
        <f t="shared" si="11"/>
        <v>ELEM</v>
      </c>
      <c r="L141" s="22"/>
      <c r="M141" s="22"/>
      <c r="N141" s="22" t="str">
        <f t="shared" si="8"/>
        <v>FONTE</v>
      </c>
      <c r="O141" s="22"/>
      <c r="P141" s="22"/>
      <c r="Q141" s="22"/>
      <c r="R141" s="22"/>
      <c r="S141" s="22"/>
      <c r="T141" s="22"/>
      <c r="U141" s="25"/>
      <c r="V141" s="24"/>
      <c r="W141" s="23">
        <f t="shared" si="12"/>
        <v>0</v>
      </c>
      <c r="X141" s="22"/>
      <c r="Y141" s="22"/>
      <c r="Z141" s="22"/>
      <c r="AA141" s="22"/>
      <c r="AB141" s="22"/>
      <c r="AC141" s="22"/>
      <c r="AD141" s="22"/>
    </row>
    <row r="142" spans="1:30" s="21" customFormat="1" x14ac:dyDescent="0.25">
      <c r="A142" s="22"/>
      <c r="B142" s="22"/>
      <c r="C142" s="22"/>
      <c r="D142" s="22"/>
      <c r="E142" s="22" t="str">
        <f t="shared" si="9"/>
        <v>PROG</v>
      </c>
      <c r="F142" s="22"/>
      <c r="G142" s="22" t="str">
        <f t="shared" si="10"/>
        <v>P</v>
      </c>
      <c r="H142" s="22"/>
      <c r="I142" s="22"/>
      <c r="J142" s="22"/>
      <c r="K142" s="22" t="str">
        <f t="shared" si="11"/>
        <v>ELEM</v>
      </c>
      <c r="L142" s="22"/>
      <c r="M142" s="22"/>
      <c r="N142" s="22" t="str">
        <f t="shared" si="8"/>
        <v>FONTE</v>
      </c>
      <c r="O142" s="22"/>
      <c r="P142" s="22"/>
      <c r="Q142" s="22"/>
      <c r="R142" s="22"/>
      <c r="S142" s="22"/>
      <c r="T142" s="22"/>
      <c r="U142" s="25"/>
      <c r="V142" s="24"/>
      <c r="W142" s="23">
        <f t="shared" si="12"/>
        <v>0</v>
      </c>
      <c r="X142" s="22"/>
      <c r="Y142" s="22"/>
      <c r="Z142" s="22"/>
      <c r="AA142" s="22"/>
      <c r="AB142" s="22"/>
      <c r="AC142" s="22"/>
      <c r="AD142" s="22"/>
    </row>
    <row r="143" spans="1:30" s="21" customFormat="1" x14ac:dyDescent="0.25">
      <c r="A143" s="22"/>
      <c r="B143" s="22"/>
      <c r="C143" s="22"/>
      <c r="D143" s="22"/>
      <c r="E143" s="22" t="str">
        <f t="shared" si="9"/>
        <v>PROG</v>
      </c>
      <c r="F143" s="22"/>
      <c r="G143" s="22" t="str">
        <f t="shared" si="10"/>
        <v>P</v>
      </c>
      <c r="H143" s="22"/>
      <c r="I143" s="22"/>
      <c r="J143" s="22"/>
      <c r="K143" s="22" t="str">
        <f t="shared" si="11"/>
        <v>ELEM</v>
      </c>
      <c r="L143" s="22"/>
      <c r="M143" s="22"/>
      <c r="N143" s="22" t="str">
        <f t="shared" si="8"/>
        <v>FONTE</v>
      </c>
      <c r="O143" s="22"/>
      <c r="P143" s="22"/>
      <c r="Q143" s="22"/>
      <c r="R143" s="22"/>
      <c r="S143" s="22"/>
      <c r="T143" s="22"/>
      <c r="U143" s="25"/>
      <c r="V143" s="24"/>
      <c r="W143" s="23">
        <f t="shared" si="12"/>
        <v>0</v>
      </c>
      <c r="X143" s="22"/>
      <c r="Y143" s="22"/>
      <c r="Z143" s="22"/>
      <c r="AA143" s="22"/>
      <c r="AB143" s="22"/>
      <c r="AC143" s="22"/>
      <c r="AD143" s="22"/>
    </row>
    <row r="144" spans="1:30" s="21" customFormat="1" x14ac:dyDescent="0.25">
      <c r="A144" s="22"/>
      <c r="B144" s="22"/>
      <c r="C144" s="22"/>
      <c r="D144" s="22"/>
      <c r="E144" s="22" t="str">
        <f t="shared" si="9"/>
        <v>PROG</v>
      </c>
      <c r="F144" s="22"/>
      <c r="G144" s="22" t="str">
        <f t="shared" si="10"/>
        <v>P</v>
      </c>
      <c r="H144" s="22"/>
      <c r="I144" s="22"/>
      <c r="J144" s="22"/>
      <c r="K144" s="22" t="str">
        <f t="shared" si="11"/>
        <v>ELEM</v>
      </c>
      <c r="L144" s="22"/>
      <c r="M144" s="22"/>
      <c r="N144" s="22" t="str">
        <f t="shared" ref="N144:N207" si="13">CONCATENATE("FONTE",A144)</f>
        <v>FONTE</v>
      </c>
      <c r="O144" s="22"/>
      <c r="P144" s="22"/>
      <c r="Q144" s="22"/>
      <c r="R144" s="22"/>
      <c r="S144" s="22"/>
      <c r="T144" s="22"/>
      <c r="U144" s="25"/>
      <c r="V144" s="24"/>
      <c r="W144" s="23">
        <f t="shared" si="12"/>
        <v>0</v>
      </c>
      <c r="X144" s="22"/>
      <c r="Y144" s="22"/>
      <c r="Z144" s="22"/>
      <c r="AA144" s="22"/>
      <c r="AB144" s="22"/>
      <c r="AC144" s="22"/>
      <c r="AD144" s="22"/>
    </row>
    <row r="145" spans="1:30" s="21" customFormat="1" x14ac:dyDescent="0.25">
      <c r="A145" s="22"/>
      <c r="B145" s="22"/>
      <c r="C145" s="22"/>
      <c r="D145" s="22"/>
      <c r="E145" s="22" t="str">
        <f t="shared" ref="E145:E208" si="14">CONCATENATE(A145,"PROG")</f>
        <v>PROG</v>
      </c>
      <c r="F145" s="22"/>
      <c r="G145" s="22" t="str">
        <f t="shared" ref="G145:G208" si="15">CONCATENATE("P",(LEFT(F145,3)),A145)</f>
        <v>P</v>
      </c>
      <c r="H145" s="22"/>
      <c r="I145" s="22"/>
      <c r="J145" s="22"/>
      <c r="K145" s="22" t="str">
        <f t="shared" ref="K145:K208" si="16">CONCATENATE("ELEM",LEFT(J145,2))</f>
        <v>ELEM</v>
      </c>
      <c r="L145" s="22"/>
      <c r="M145" s="22"/>
      <c r="N145" s="22" t="str">
        <f t="shared" si="13"/>
        <v>FONTE</v>
      </c>
      <c r="O145" s="22"/>
      <c r="P145" s="22"/>
      <c r="Q145" s="22"/>
      <c r="R145" s="22"/>
      <c r="S145" s="22"/>
      <c r="T145" s="22"/>
      <c r="U145" s="25"/>
      <c r="V145" s="24"/>
      <c r="W145" s="23">
        <f t="shared" ref="W145:W208" si="17">S145*U145*V145</f>
        <v>0</v>
      </c>
      <c r="X145" s="22"/>
      <c r="Y145" s="22"/>
      <c r="Z145" s="22"/>
      <c r="AA145" s="22"/>
      <c r="AB145" s="22"/>
      <c r="AC145" s="22"/>
      <c r="AD145" s="22"/>
    </row>
    <row r="146" spans="1:30" s="21" customFormat="1" x14ac:dyDescent="0.25">
      <c r="A146" s="22"/>
      <c r="B146" s="22"/>
      <c r="C146" s="22"/>
      <c r="D146" s="22"/>
      <c r="E146" s="22" t="str">
        <f t="shared" si="14"/>
        <v>PROG</v>
      </c>
      <c r="F146" s="22"/>
      <c r="G146" s="22" t="str">
        <f t="shared" si="15"/>
        <v>P</v>
      </c>
      <c r="H146" s="22"/>
      <c r="I146" s="22"/>
      <c r="J146" s="22"/>
      <c r="K146" s="22" t="str">
        <f t="shared" si="16"/>
        <v>ELEM</v>
      </c>
      <c r="L146" s="22"/>
      <c r="M146" s="22"/>
      <c r="N146" s="22" t="str">
        <f t="shared" si="13"/>
        <v>FONTE</v>
      </c>
      <c r="O146" s="22"/>
      <c r="P146" s="22"/>
      <c r="Q146" s="22"/>
      <c r="R146" s="22"/>
      <c r="S146" s="22"/>
      <c r="T146" s="22"/>
      <c r="U146" s="25"/>
      <c r="V146" s="24"/>
      <c r="W146" s="23">
        <f t="shared" si="17"/>
        <v>0</v>
      </c>
      <c r="X146" s="22"/>
      <c r="Y146" s="22"/>
      <c r="Z146" s="22"/>
      <c r="AA146" s="22"/>
      <c r="AB146" s="22"/>
      <c r="AC146" s="22"/>
      <c r="AD146" s="22"/>
    </row>
    <row r="147" spans="1:30" s="21" customFormat="1" x14ac:dyDescent="0.25">
      <c r="A147" s="22"/>
      <c r="B147" s="22"/>
      <c r="C147" s="22"/>
      <c r="D147" s="22"/>
      <c r="E147" s="22" t="str">
        <f t="shared" si="14"/>
        <v>PROG</v>
      </c>
      <c r="F147" s="22"/>
      <c r="G147" s="22" t="str">
        <f t="shared" si="15"/>
        <v>P</v>
      </c>
      <c r="H147" s="22"/>
      <c r="I147" s="22"/>
      <c r="J147" s="22"/>
      <c r="K147" s="22" t="str">
        <f t="shared" si="16"/>
        <v>ELEM</v>
      </c>
      <c r="L147" s="22"/>
      <c r="M147" s="22"/>
      <c r="N147" s="22" t="str">
        <f t="shared" si="13"/>
        <v>FONTE</v>
      </c>
      <c r="O147" s="22"/>
      <c r="P147" s="22"/>
      <c r="Q147" s="22"/>
      <c r="R147" s="22"/>
      <c r="S147" s="22"/>
      <c r="T147" s="22"/>
      <c r="U147" s="25"/>
      <c r="V147" s="24"/>
      <c r="W147" s="23">
        <f t="shared" si="17"/>
        <v>0</v>
      </c>
      <c r="X147" s="22"/>
      <c r="Y147" s="22"/>
      <c r="Z147" s="22"/>
      <c r="AA147" s="22"/>
      <c r="AB147" s="22"/>
      <c r="AC147" s="22"/>
      <c r="AD147" s="22"/>
    </row>
    <row r="148" spans="1:30" s="21" customFormat="1" x14ac:dyDescent="0.25">
      <c r="A148" s="22"/>
      <c r="B148" s="22"/>
      <c r="C148" s="22"/>
      <c r="D148" s="22"/>
      <c r="E148" s="22" t="str">
        <f t="shared" si="14"/>
        <v>PROG</v>
      </c>
      <c r="F148" s="22"/>
      <c r="G148" s="22" t="str">
        <f t="shared" si="15"/>
        <v>P</v>
      </c>
      <c r="H148" s="22"/>
      <c r="I148" s="22"/>
      <c r="J148" s="22"/>
      <c r="K148" s="22" t="str">
        <f t="shared" si="16"/>
        <v>ELEM</v>
      </c>
      <c r="L148" s="22"/>
      <c r="M148" s="22"/>
      <c r="N148" s="22" t="str">
        <f t="shared" si="13"/>
        <v>FONTE</v>
      </c>
      <c r="O148" s="22"/>
      <c r="P148" s="22"/>
      <c r="Q148" s="22"/>
      <c r="R148" s="22"/>
      <c r="S148" s="22"/>
      <c r="T148" s="22"/>
      <c r="U148" s="25"/>
      <c r="V148" s="24"/>
      <c r="W148" s="23">
        <f t="shared" si="17"/>
        <v>0</v>
      </c>
      <c r="X148" s="22"/>
      <c r="Y148" s="22"/>
      <c r="Z148" s="22"/>
      <c r="AA148" s="22"/>
      <c r="AB148" s="22"/>
      <c r="AC148" s="22"/>
      <c r="AD148" s="22"/>
    </row>
    <row r="149" spans="1:30" s="21" customFormat="1" x14ac:dyDescent="0.25">
      <c r="A149" s="22"/>
      <c r="B149" s="22"/>
      <c r="C149" s="22"/>
      <c r="D149" s="22"/>
      <c r="E149" s="22" t="str">
        <f t="shared" si="14"/>
        <v>PROG</v>
      </c>
      <c r="F149" s="22"/>
      <c r="G149" s="22" t="str">
        <f t="shared" si="15"/>
        <v>P</v>
      </c>
      <c r="H149" s="22"/>
      <c r="I149" s="22"/>
      <c r="J149" s="22"/>
      <c r="K149" s="22" t="str">
        <f t="shared" si="16"/>
        <v>ELEM</v>
      </c>
      <c r="L149" s="22"/>
      <c r="M149" s="22"/>
      <c r="N149" s="22" t="str">
        <f t="shared" si="13"/>
        <v>FONTE</v>
      </c>
      <c r="O149" s="22"/>
      <c r="P149" s="22"/>
      <c r="Q149" s="22"/>
      <c r="R149" s="22"/>
      <c r="S149" s="22"/>
      <c r="T149" s="22"/>
      <c r="U149" s="25"/>
      <c r="V149" s="24"/>
      <c r="W149" s="23">
        <f t="shared" si="17"/>
        <v>0</v>
      </c>
      <c r="X149" s="22"/>
      <c r="Y149" s="22"/>
      <c r="Z149" s="22"/>
      <c r="AA149" s="22"/>
      <c r="AB149" s="22"/>
      <c r="AC149" s="22"/>
      <c r="AD149" s="22"/>
    </row>
    <row r="150" spans="1:30" s="21" customFormat="1" x14ac:dyDescent="0.25">
      <c r="A150" s="22"/>
      <c r="B150" s="22"/>
      <c r="C150" s="22"/>
      <c r="D150" s="22"/>
      <c r="E150" s="22" t="str">
        <f t="shared" si="14"/>
        <v>PROG</v>
      </c>
      <c r="F150" s="22"/>
      <c r="G150" s="22" t="str">
        <f t="shared" si="15"/>
        <v>P</v>
      </c>
      <c r="H150" s="22"/>
      <c r="I150" s="22"/>
      <c r="J150" s="22"/>
      <c r="K150" s="22" t="str">
        <f t="shared" si="16"/>
        <v>ELEM</v>
      </c>
      <c r="L150" s="22"/>
      <c r="M150" s="22"/>
      <c r="N150" s="22" t="str">
        <f t="shared" si="13"/>
        <v>FONTE</v>
      </c>
      <c r="O150" s="22"/>
      <c r="P150" s="22"/>
      <c r="Q150" s="22"/>
      <c r="R150" s="22"/>
      <c r="S150" s="22"/>
      <c r="T150" s="22"/>
      <c r="U150" s="25"/>
      <c r="V150" s="24"/>
      <c r="W150" s="23">
        <f t="shared" si="17"/>
        <v>0</v>
      </c>
      <c r="X150" s="22"/>
      <c r="Y150" s="22"/>
      <c r="Z150" s="22"/>
      <c r="AA150" s="22"/>
      <c r="AB150" s="22"/>
      <c r="AC150" s="22"/>
      <c r="AD150" s="22"/>
    </row>
    <row r="151" spans="1:30" s="21" customFormat="1" x14ac:dyDescent="0.25">
      <c r="A151" s="22"/>
      <c r="B151" s="22"/>
      <c r="C151" s="22"/>
      <c r="D151" s="22"/>
      <c r="E151" s="22" t="str">
        <f t="shared" si="14"/>
        <v>PROG</v>
      </c>
      <c r="F151" s="22"/>
      <c r="G151" s="22" t="str">
        <f t="shared" si="15"/>
        <v>P</v>
      </c>
      <c r="H151" s="22"/>
      <c r="I151" s="22"/>
      <c r="J151" s="22"/>
      <c r="K151" s="22" t="str">
        <f t="shared" si="16"/>
        <v>ELEM</v>
      </c>
      <c r="L151" s="22"/>
      <c r="M151" s="22"/>
      <c r="N151" s="22" t="str">
        <f t="shared" si="13"/>
        <v>FONTE</v>
      </c>
      <c r="O151" s="22"/>
      <c r="P151" s="22"/>
      <c r="Q151" s="22"/>
      <c r="R151" s="22"/>
      <c r="S151" s="22"/>
      <c r="T151" s="22"/>
      <c r="U151" s="25"/>
      <c r="V151" s="24"/>
      <c r="W151" s="23">
        <f t="shared" si="17"/>
        <v>0</v>
      </c>
      <c r="X151" s="22"/>
      <c r="Y151" s="22"/>
      <c r="Z151" s="22"/>
      <c r="AA151" s="22"/>
      <c r="AB151" s="22"/>
      <c r="AC151" s="22"/>
      <c r="AD151" s="22"/>
    </row>
    <row r="152" spans="1:30" s="21" customFormat="1" x14ac:dyDescent="0.25">
      <c r="A152" s="22"/>
      <c r="B152" s="22"/>
      <c r="C152" s="22"/>
      <c r="D152" s="22"/>
      <c r="E152" s="22" t="str">
        <f t="shared" si="14"/>
        <v>PROG</v>
      </c>
      <c r="F152" s="22"/>
      <c r="G152" s="22" t="str">
        <f t="shared" si="15"/>
        <v>P</v>
      </c>
      <c r="H152" s="22"/>
      <c r="I152" s="22"/>
      <c r="J152" s="22"/>
      <c r="K152" s="22" t="str">
        <f t="shared" si="16"/>
        <v>ELEM</v>
      </c>
      <c r="L152" s="22"/>
      <c r="M152" s="22"/>
      <c r="N152" s="22" t="str">
        <f t="shared" si="13"/>
        <v>FONTE</v>
      </c>
      <c r="O152" s="22"/>
      <c r="P152" s="22"/>
      <c r="Q152" s="22"/>
      <c r="R152" s="22"/>
      <c r="S152" s="22"/>
      <c r="T152" s="22"/>
      <c r="U152" s="25"/>
      <c r="V152" s="24"/>
      <c r="W152" s="23">
        <f t="shared" si="17"/>
        <v>0</v>
      </c>
      <c r="X152" s="22"/>
      <c r="Y152" s="22"/>
      <c r="Z152" s="22"/>
      <c r="AA152" s="22"/>
      <c r="AB152" s="22"/>
      <c r="AC152" s="22"/>
      <c r="AD152" s="22"/>
    </row>
    <row r="153" spans="1:30" s="21" customFormat="1" x14ac:dyDescent="0.25">
      <c r="A153" s="22"/>
      <c r="B153" s="22"/>
      <c r="C153" s="22"/>
      <c r="D153" s="22"/>
      <c r="E153" s="22" t="str">
        <f t="shared" si="14"/>
        <v>PROG</v>
      </c>
      <c r="F153" s="22"/>
      <c r="G153" s="22" t="str">
        <f t="shared" si="15"/>
        <v>P</v>
      </c>
      <c r="H153" s="22"/>
      <c r="I153" s="22"/>
      <c r="J153" s="22"/>
      <c r="K153" s="22" t="str">
        <f t="shared" si="16"/>
        <v>ELEM</v>
      </c>
      <c r="L153" s="22"/>
      <c r="M153" s="22"/>
      <c r="N153" s="22" t="str">
        <f t="shared" si="13"/>
        <v>FONTE</v>
      </c>
      <c r="O153" s="22"/>
      <c r="P153" s="22"/>
      <c r="Q153" s="22"/>
      <c r="R153" s="22"/>
      <c r="S153" s="22"/>
      <c r="T153" s="22"/>
      <c r="U153" s="25"/>
      <c r="V153" s="24"/>
      <c r="W153" s="23">
        <f t="shared" si="17"/>
        <v>0</v>
      </c>
      <c r="X153" s="22"/>
      <c r="Y153" s="22"/>
      <c r="Z153" s="22"/>
      <c r="AA153" s="22"/>
      <c r="AB153" s="22"/>
      <c r="AC153" s="22"/>
      <c r="AD153" s="22"/>
    </row>
    <row r="154" spans="1:30" s="21" customFormat="1" x14ac:dyDescent="0.25">
      <c r="A154" s="22"/>
      <c r="B154" s="22"/>
      <c r="C154" s="22"/>
      <c r="D154" s="22"/>
      <c r="E154" s="22" t="str">
        <f t="shared" si="14"/>
        <v>PROG</v>
      </c>
      <c r="F154" s="22"/>
      <c r="G154" s="22" t="str">
        <f t="shared" si="15"/>
        <v>P</v>
      </c>
      <c r="H154" s="22"/>
      <c r="I154" s="22"/>
      <c r="J154" s="22"/>
      <c r="K154" s="22" t="str">
        <f t="shared" si="16"/>
        <v>ELEM</v>
      </c>
      <c r="L154" s="22"/>
      <c r="M154" s="22"/>
      <c r="N154" s="22" t="str">
        <f t="shared" si="13"/>
        <v>FONTE</v>
      </c>
      <c r="O154" s="22"/>
      <c r="P154" s="22"/>
      <c r="Q154" s="22"/>
      <c r="R154" s="22"/>
      <c r="S154" s="22"/>
      <c r="T154" s="22"/>
      <c r="U154" s="25"/>
      <c r="V154" s="24"/>
      <c r="W154" s="23">
        <f t="shared" si="17"/>
        <v>0</v>
      </c>
      <c r="X154" s="22"/>
      <c r="Y154" s="22"/>
      <c r="Z154" s="22"/>
      <c r="AA154" s="22"/>
      <c r="AB154" s="22"/>
      <c r="AC154" s="22"/>
      <c r="AD154" s="22"/>
    </row>
    <row r="155" spans="1:30" s="21" customFormat="1" x14ac:dyDescent="0.25">
      <c r="A155" s="22"/>
      <c r="B155" s="22"/>
      <c r="C155" s="22"/>
      <c r="D155" s="22"/>
      <c r="E155" s="22" t="str">
        <f t="shared" si="14"/>
        <v>PROG</v>
      </c>
      <c r="F155" s="22"/>
      <c r="G155" s="22" t="str">
        <f t="shared" si="15"/>
        <v>P</v>
      </c>
      <c r="H155" s="22"/>
      <c r="I155" s="22"/>
      <c r="J155" s="22"/>
      <c r="K155" s="22" t="str">
        <f t="shared" si="16"/>
        <v>ELEM</v>
      </c>
      <c r="L155" s="22"/>
      <c r="M155" s="22"/>
      <c r="N155" s="22" t="str">
        <f t="shared" si="13"/>
        <v>FONTE</v>
      </c>
      <c r="O155" s="22"/>
      <c r="P155" s="22"/>
      <c r="Q155" s="22"/>
      <c r="R155" s="22"/>
      <c r="S155" s="22"/>
      <c r="T155" s="22"/>
      <c r="U155" s="25"/>
      <c r="V155" s="24"/>
      <c r="W155" s="23">
        <f t="shared" si="17"/>
        <v>0</v>
      </c>
      <c r="X155" s="22"/>
      <c r="Y155" s="22"/>
      <c r="Z155" s="22"/>
      <c r="AA155" s="22"/>
      <c r="AB155" s="22"/>
      <c r="AC155" s="22"/>
      <c r="AD155" s="22"/>
    </row>
    <row r="156" spans="1:30" s="21" customFormat="1" x14ac:dyDescent="0.25">
      <c r="A156" s="22"/>
      <c r="B156" s="22"/>
      <c r="C156" s="22"/>
      <c r="D156" s="22"/>
      <c r="E156" s="22" t="str">
        <f t="shared" si="14"/>
        <v>PROG</v>
      </c>
      <c r="F156" s="22"/>
      <c r="G156" s="22" t="str">
        <f t="shared" si="15"/>
        <v>P</v>
      </c>
      <c r="H156" s="22"/>
      <c r="I156" s="22"/>
      <c r="J156" s="22"/>
      <c r="K156" s="22" t="str">
        <f t="shared" si="16"/>
        <v>ELEM</v>
      </c>
      <c r="L156" s="22"/>
      <c r="M156" s="22"/>
      <c r="N156" s="22" t="str">
        <f t="shared" si="13"/>
        <v>FONTE</v>
      </c>
      <c r="O156" s="22"/>
      <c r="P156" s="22"/>
      <c r="Q156" s="22"/>
      <c r="R156" s="22"/>
      <c r="S156" s="22"/>
      <c r="T156" s="22"/>
      <c r="U156" s="25"/>
      <c r="V156" s="24"/>
      <c r="W156" s="23">
        <f t="shared" si="17"/>
        <v>0</v>
      </c>
      <c r="X156" s="22"/>
      <c r="Y156" s="22"/>
      <c r="Z156" s="22"/>
      <c r="AA156" s="22"/>
      <c r="AB156" s="22"/>
      <c r="AC156" s="22"/>
      <c r="AD156" s="22"/>
    </row>
    <row r="157" spans="1:30" s="21" customFormat="1" x14ac:dyDescent="0.25">
      <c r="A157" s="22"/>
      <c r="B157" s="22"/>
      <c r="C157" s="22"/>
      <c r="D157" s="22"/>
      <c r="E157" s="22" t="str">
        <f t="shared" si="14"/>
        <v>PROG</v>
      </c>
      <c r="F157" s="22"/>
      <c r="G157" s="22" t="str">
        <f t="shared" si="15"/>
        <v>P</v>
      </c>
      <c r="H157" s="22"/>
      <c r="I157" s="22"/>
      <c r="J157" s="22"/>
      <c r="K157" s="22" t="str">
        <f t="shared" si="16"/>
        <v>ELEM</v>
      </c>
      <c r="L157" s="22"/>
      <c r="M157" s="22"/>
      <c r="N157" s="22" t="str">
        <f t="shared" si="13"/>
        <v>FONTE</v>
      </c>
      <c r="O157" s="22"/>
      <c r="P157" s="22"/>
      <c r="Q157" s="22"/>
      <c r="R157" s="22"/>
      <c r="S157" s="22"/>
      <c r="T157" s="22"/>
      <c r="U157" s="25"/>
      <c r="V157" s="24"/>
      <c r="W157" s="23">
        <f t="shared" si="17"/>
        <v>0</v>
      </c>
      <c r="X157" s="22"/>
      <c r="Y157" s="22"/>
      <c r="Z157" s="22"/>
      <c r="AA157" s="22"/>
      <c r="AB157" s="22"/>
      <c r="AC157" s="22"/>
      <c r="AD157" s="22"/>
    </row>
    <row r="158" spans="1:30" s="21" customFormat="1" x14ac:dyDescent="0.25">
      <c r="A158" s="22"/>
      <c r="B158" s="22"/>
      <c r="C158" s="22"/>
      <c r="D158" s="22"/>
      <c r="E158" s="22" t="str">
        <f t="shared" si="14"/>
        <v>PROG</v>
      </c>
      <c r="F158" s="22"/>
      <c r="G158" s="22" t="str">
        <f t="shared" si="15"/>
        <v>P</v>
      </c>
      <c r="H158" s="22"/>
      <c r="I158" s="22"/>
      <c r="J158" s="22"/>
      <c r="K158" s="22" t="str">
        <f t="shared" si="16"/>
        <v>ELEM</v>
      </c>
      <c r="L158" s="22"/>
      <c r="M158" s="22"/>
      <c r="N158" s="22" t="str">
        <f t="shared" si="13"/>
        <v>FONTE</v>
      </c>
      <c r="O158" s="22"/>
      <c r="P158" s="22"/>
      <c r="Q158" s="22"/>
      <c r="R158" s="22"/>
      <c r="S158" s="22"/>
      <c r="T158" s="22"/>
      <c r="U158" s="25"/>
      <c r="V158" s="24"/>
      <c r="W158" s="23">
        <f t="shared" si="17"/>
        <v>0</v>
      </c>
      <c r="X158" s="22"/>
      <c r="Y158" s="22"/>
      <c r="Z158" s="22"/>
      <c r="AA158" s="22"/>
      <c r="AB158" s="22"/>
      <c r="AC158" s="22"/>
      <c r="AD158" s="22"/>
    </row>
    <row r="159" spans="1:30" s="21" customFormat="1" x14ac:dyDescent="0.25">
      <c r="A159" s="22"/>
      <c r="B159" s="22"/>
      <c r="C159" s="22"/>
      <c r="D159" s="22"/>
      <c r="E159" s="22" t="str">
        <f t="shared" si="14"/>
        <v>PROG</v>
      </c>
      <c r="F159" s="22"/>
      <c r="G159" s="22" t="str">
        <f t="shared" si="15"/>
        <v>P</v>
      </c>
      <c r="H159" s="22"/>
      <c r="I159" s="22"/>
      <c r="J159" s="22"/>
      <c r="K159" s="22" t="str">
        <f t="shared" si="16"/>
        <v>ELEM</v>
      </c>
      <c r="L159" s="22"/>
      <c r="M159" s="22"/>
      <c r="N159" s="22" t="str">
        <f t="shared" si="13"/>
        <v>FONTE</v>
      </c>
      <c r="O159" s="22"/>
      <c r="P159" s="22"/>
      <c r="Q159" s="22"/>
      <c r="R159" s="22"/>
      <c r="S159" s="22"/>
      <c r="T159" s="22"/>
      <c r="U159" s="25"/>
      <c r="V159" s="24"/>
      <c r="W159" s="23">
        <f t="shared" si="17"/>
        <v>0</v>
      </c>
      <c r="X159" s="22"/>
      <c r="Y159" s="22"/>
      <c r="Z159" s="22"/>
      <c r="AA159" s="22"/>
      <c r="AB159" s="22"/>
      <c r="AC159" s="22"/>
      <c r="AD159" s="22"/>
    </row>
    <row r="160" spans="1:30" s="21" customFormat="1" x14ac:dyDescent="0.25">
      <c r="A160" s="22"/>
      <c r="B160" s="22"/>
      <c r="C160" s="22"/>
      <c r="D160" s="22"/>
      <c r="E160" s="22" t="str">
        <f t="shared" si="14"/>
        <v>PROG</v>
      </c>
      <c r="F160" s="22"/>
      <c r="G160" s="22" t="str">
        <f t="shared" si="15"/>
        <v>P</v>
      </c>
      <c r="H160" s="22"/>
      <c r="I160" s="22"/>
      <c r="J160" s="22"/>
      <c r="K160" s="22" t="str">
        <f t="shared" si="16"/>
        <v>ELEM</v>
      </c>
      <c r="L160" s="22"/>
      <c r="M160" s="22"/>
      <c r="N160" s="22" t="str">
        <f t="shared" si="13"/>
        <v>FONTE</v>
      </c>
      <c r="O160" s="22"/>
      <c r="P160" s="22"/>
      <c r="Q160" s="22"/>
      <c r="R160" s="22"/>
      <c r="S160" s="22"/>
      <c r="T160" s="22"/>
      <c r="U160" s="25"/>
      <c r="V160" s="24"/>
      <c r="W160" s="23">
        <f t="shared" si="17"/>
        <v>0</v>
      </c>
      <c r="X160" s="22"/>
      <c r="Y160" s="22"/>
      <c r="Z160" s="22"/>
      <c r="AA160" s="22"/>
      <c r="AB160" s="22"/>
      <c r="AC160" s="22"/>
      <c r="AD160" s="22"/>
    </row>
    <row r="161" spans="1:30" s="21" customFormat="1" x14ac:dyDescent="0.25">
      <c r="A161" s="22"/>
      <c r="B161" s="22"/>
      <c r="C161" s="22"/>
      <c r="D161" s="22"/>
      <c r="E161" s="22" t="str">
        <f t="shared" si="14"/>
        <v>PROG</v>
      </c>
      <c r="F161" s="22"/>
      <c r="G161" s="22" t="str">
        <f t="shared" si="15"/>
        <v>P</v>
      </c>
      <c r="H161" s="22"/>
      <c r="I161" s="22"/>
      <c r="J161" s="22"/>
      <c r="K161" s="22" t="str">
        <f t="shared" si="16"/>
        <v>ELEM</v>
      </c>
      <c r="L161" s="22"/>
      <c r="M161" s="22"/>
      <c r="N161" s="22" t="str">
        <f t="shared" si="13"/>
        <v>FONTE</v>
      </c>
      <c r="O161" s="22"/>
      <c r="P161" s="22"/>
      <c r="Q161" s="22"/>
      <c r="R161" s="22"/>
      <c r="S161" s="22"/>
      <c r="T161" s="22"/>
      <c r="U161" s="25"/>
      <c r="V161" s="24"/>
      <c r="W161" s="23">
        <f t="shared" si="17"/>
        <v>0</v>
      </c>
      <c r="X161" s="22"/>
      <c r="Y161" s="22"/>
      <c r="Z161" s="22"/>
      <c r="AA161" s="22"/>
      <c r="AB161" s="22"/>
      <c r="AC161" s="22"/>
      <c r="AD161" s="22"/>
    </row>
    <row r="162" spans="1:30" s="21" customFormat="1" x14ac:dyDescent="0.25">
      <c r="A162" s="22"/>
      <c r="B162" s="22"/>
      <c r="C162" s="22"/>
      <c r="D162" s="22"/>
      <c r="E162" s="22" t="str">
        <f t="shared" si="14"/>
        <v>PROG</v>
      </c>
      <c r="F162" s="22"/>
      <c r="G162" s="22" t="str">
        <f t="shared" si="15"/>
        <v>P</v>
      </c>
      <c r="H162" s="22"/>
      <c r="I162" s="22"/>
      <c r="J162" s="22"/>
      <c r="K162" s="22" t="str">
        <f t="shared" si="16"/>
        <v>ELEM</v>
      </c>
      <c r="L162" s="22"/>
      <c r="M162" s="22"/>
      <c r="N162" s="22" t="str">
        <f t="shared" si="13"/>
        <v>FONTE</v>
      </c>
      <c r="O162" s="22"/>
      <c r="P162" s="22"/>
      <c r="Q162" s="22"/>
      <c r="R162" s="22"/>
      <c r="S162" s="22"/>
      <c r="T162" s="22"/>
      <c r="U162" s="25"/>
      <c r="V162" s="24"/>
      <c r="W162" s="23">
        <f t="shared" si="17"/>
        <v>0</v>
      </c>
      <c r="X162" s="22"/>
      <c r="Y162" s="22"/>
      <c r="Z162" s="22"/>
      <c r="AA162" s="22"/>
      <c r="AB162" s="22"/>
      <c r="AC162" s="22"/>
      <c r="AD162" s="22"/>
    </row>
    <row r="163" spans="1:30" s="21" customFormat="1" x14ac:dyDescent="0.25">
      <c r="A163" s="22"/>
      <c r="B163" s="22"/>
      <c r="C163" s="22"/>
      <c r="D163" s="22"/>
      <c r="E163" s="22" t="str">
        <f t="shared" si="14"/>
        <v>PROG</v>
      </c>
      <c r="F163" s="22"/>
      <c r="G163" s="22" t="str">
        <f t="shared" si="15"/>
        <v>P</v>
      </c>
      <c r="H163" s="22"/>
      <c r="I163" s="22"/>
      <c r="J163" s="22"/>
      <c r="K163" s="22" t="str">
        <f t="shared" si="16"/>
        <v>ELEM</v>
      </c>
      <c r="L163" s="22"/>
      <c r="M163" s="22"/>
      <c r="N163" s="22" t="str">
        <f t="shared" si="13"/>
        <v>FONTE</v>
      </c>
      <c r="O163" s="22"/>
      <c r="P163" s="22"/>
      <c r="Q163" s="22"/>
      <c r="R163" s="22"/>
      <c r="S163" s="22"/>
      <c r="T163" s="22"/>
      <c r="U163" s="25"/>
      <c r="V163" s="24"/>
      <c r="W163" s="23">
        <f t="shared" si="17"/>
        <v>0</v>
      </c>
      <c r="X163" s="22"/>
      <c r="Y163" s="22"/>
      <c r="Z163" s="22"/>
      <c r="AA163" s="22"/>
      <c r="AB163" s="22"/>
      <c r="AC163" s="22"/>
      <c r="AD163" s="22"/>
    </row>
    <row r="164" spans="1:30" s="21" customFormat="1" x14ac:dyDescent="0.25">
      <c r="A164" s="22"/>
      <c r="B164" s="22"/>
      <c r="C164" s="22"/>
      <c r="D164" s="22"/>
      <c r="E164" s="22" t="str">
        <f t="shared" si="14"/>
        <v>PROG</v>
      </c>
      <c r="F164" s="22"/>
      <c r="G164" s="22" t="str">
        <f t="shared" si="15"/>
        <v>P</v>
      </c>
      <c r="H164" s="22"/>
      <c r="I164" s="22"/>
      <c r="J164" s="22"/>
      <c r="K164" s="22" t="str">
        <f t="shared" si="16"/>
        <v>ELEM</v>
      </c>
      <c r="L164" s="22"/>
      <c r="M164" s="22"/>
      <c r="N164" s="22" t="str">
        <f t="shared" si="13"/>
        <v>FONTE</v>
      </c>
      <c r="O164" s="22"/>
      <c r="P164" s="22"/>
      <c r="Q164" s="22"/>
      <c r="R164" s="22"/>
      <c r="S164" s="22"/>
      <c r="T164" s="22"/>
      <c r="U164" s="25"/>
      <c r="V164" s="24"/>
      <c r="W164" s="23">
        <f t="shared" si="17"/>
        <v>0</v>
      </c>
      <c r="X164" s="22"/>
      <c r="Y164" s="22"/>
      <c r="Z164" s="22"/>
      <c r="AA164" s="22"/>
      <c r="AB164" s="22"/>
      <c r="AC164" s="22"/>
      <c r="AD164" s="22"/>
    </row>
    <row r="165" spans="1:30" s="21" customFormat="1" x14ac:dyDescent="0.25">
      <c r="A165" s="22"/>
      <c r="B165" s="22"/>
      <c r="C165" s="22"/>
      <c r="D165" s="22"/>
      <c r="E165" s="22" t="str">
        <f t="shared" si="14"/>
        <v>PROG</v>
      </c>
      <c r="F165" s="22"/>
      <c r="G165" s="22" t="str">
        <f t="shared" si="15"/>
        <v>P</v>
      </c>
      <c r="H165" s="22"/>
      <c r="I165" s="22"/>
      <c r="J165" s="22"/>
      <c r="K165" s="22" t="str">
        <f t="shared" si="16"/>
        <v>ELEM</v>
      </c>
      <c r="L165" s="22"/>
      <c r="M165" s="22"/>
      <c r="N165" s="22" t="str">
        <f t="shared" si="13"/>
        <v>FONTE</v>
      </c>
      <c r="O165" s="22"/>
      <c r="P165" s="22"/>
      <c r="Q165" s="22"/>
      <c r="R165" s="22"/>
      <c r="S165" s="22"/>
      <c r="T165" s="22"/>
      <c r="U165" s="25"/>
      <c r="V165" s="24"/>
      <c r="W165" s="23">
        <f t="shared" si="17"/>
        <v>0</v>
      </c>
      <c r="X165" s="22"/>
      <c r="Y165" s="22"/>
      <c r="Z165" s="22"/>
      <c r="AA165" s="22"/>
      <c r="AB165" s="22"/>
      <c r="AC165" s="22"/>
      <c r="AD165" s="22"/>
    </row>
    <row r="166" spans="1:30" s="21" customFormat="1" x14ac:dyDescent="0.25">
      <c r="A166" s="22"/>
      <c r="B166" s="22"/>
      <c r="C166" s="22"/>
      <c r="D166" s="22"/>
      <c r="E166" s="22" t="str">
        <f t="shared" si="14"/>
        <v>PROG</v>
      </c>
      <c r="F166" s="22"/>
      <c r="G166" s="22" t="str">
        <f t="shared" si="15"/>
        <v>P</v>
      </c>
      <c r="H166" s="22"/>
      <c r="I166" s="22"/>
      <c r="J166" s="22"/>
      <c r="K166" s="22" t="str">
        <f t="shared" si="16"/>
        <v>ELEM</v>
      </c>
      <c r="L166" s="22"/>
      <c r="M166" s="22"/>
      <c r="N166" s="22" t="str">
        <f t="shared" si="13"/>
        <v>FONTE</v>
      </c>
      <c r="O166" s="22"/>
      <c r="P166" s="22"/>
      <c r="Q166" s="22"/>
      <c r="R166" s="22"/>
      <c r="S166" s="22"/>
      <c r="T166" s="22"/>
      <c r="U166" s="25"/>
      <c r="V166" s="24"/>
      <c r="W166" s="23">
        <f t="shared" si="17"/>
        <v>0</v>
      </c>
      <c r="X166" s="22"/>
      <c r="Y166" s="22"/>
      <c r="Z166" s="22"/>
      <c r="AA166" s="22"/>
      <c r="AB166" s="22"/>
      <c r="AC166" s="22"/>
      <c r="AD166" s="22"/>
    </row>
    <row r="167" spans="1:30" s="21" customFormat="1" x14ac:dyDescent="0.25">
      <c r="A167" s="22"/>
      <c r="B167" s="22"/>
      <c r="C167" s="22"/>
      <c r="D167" s="22"/>
      <c r="E167" s="22" t="str">
        <f t="shared" si="14"/>
        <v>PROG</v>
      </c>
      <c r="F167" s="22"/>
      <c r="G167" s="22" t="str">
        <f t="shared" si="15"/>
        <v>P</v>
      </c>
      <c r="H167" s="22"/>
      <c r="I167" s="22"/>
      <c r="J167" s="22"/>
      <c r="K167" s="22" t="str">
        <f t="shared" si="16"/>
        <v>ELEM</v>
      </c>
      <c r="L167" s="22"/>
      <c r="M167" s="22"/>
      <c r="N167" s="22" t="str">
        <f t="shared" si="13"/>
        <v>FONTE</v>
      </c>
      <c r="O167" s="22"/>
      <c r="P167" s="22"/>
      <c r="Q167" s="22"/>
      <c r="R167" s="22"/>
      <c r="S167" s="22"/>
      <c r="T167" s="22"/>
      <c r="U167" s="25"/>
      <c r="V167" s="24"/>
      <c r="W167" s="23">
        <f t="shared" si="17"/>
        <v>0</v>
      </c>
      <c r="X167" s="22"/>
      <c r="Y167" s="22"/>
      <c r="Z167" s="22"/>
      <c r="AA167" s="22"/>
      <c r="AB167" s="22"/>
      <c r="AC167" s="22"/>
      <c r="AD167" s="22"/>
    </row>
    <row r="168" spans="1:30" s="21" customFormat="1" x14ac:dyDescent="0.25">
      <c r="A168" s="22"/>
      <c r="B168" s="22"/>
      <c r="C168" s="22"/>
      <c r="D168" s="22"/>
      <c r="E168" s="22" t="str">
        <f t="shared" si="14"/>
        <v>PROG</v>
      </c>
      <c r="F168" s="22"/>
      <c r="G168" s="22" t="str">
        <f t="shared" si="15"/>
        <v>P</v>
      </c>
      <c r="H168" s="22"/>
      <c r="I168" s="22"/>
      <c r="J168" s="22"/>
      <c r="K168" s="22" t="str">
        <f t="shared" si="16"/>
        <v>ELEM</v>
      </c>
      <c r="L168" s="22"/>
      <c r="M168" s="22"/>
      <c r="N168" s="22" t="str">
        <f t="shared" si="13"/>
        <v>FONTE</v>
      </c>
      <c r="O168" s="22"/>
      <c r="P168" s="22"/>
      <c r="Q168" s="22"/>
      <c r="R168" s="22"/>
      <c r="S168" s="22"/>
      <c r="T168" s="22"/>
      <c r="U168" s="25"/>
      <c r="V168" s="24"/>
      <c r="W168" s="23">
        <f t="shared" si="17"/>
        <v>0</v>
      </c>
      <c r="X168" s="22"/>
      <c r="Y168" s="22"/>
      <c r="Z168" s="22"/>
      <c r="AA168" s="22"/>
      <c r="AB168" s="22"/>
      <c r="AC168" s="22"/>
      <c r="AD168" s="22"/>
    </row>
    <row r="169" spans="1:30" s="21" customFormat="1" x14ac:dyDescent="0.25">
      <c r="A169" s="22"/>
      <c r="B169" s="22"/>
      <c r="C169" s="22"/>
      <c r="D169" s="22"/>
      <c r="E169" s="22" t="str">
        <f t="shared" si="14"/>
        <v>PROG</v>
      </c>
      <c r="F169" s="22"/>
      <c r="G169" s="22" t="str">
        <f t="shared" si="15"/>
        <v>P</v>
      </c>
      <c r="H169" s="22"/>
      <c r="I169" s="22"/>
      <c r="J169" s="22"/>
      <c r="K169" s="22" t="str">
        <f t="shared" si="16"/>
        <v>ELEM</v>
      </c>
      <c r="L169" s="22"/>
      <c r="M169" s="22"/>
      <c r="N169" s="22" t="str">
        <f t="shared" si="13"/>
        <v>FONTE</v>
      </c>
      <c r="O169" s="22"/>
      <c r="P169" s="22"/>
      <c r="Q169" s="22"/>
      <c r="R169" s="22"/>
      <c r="S169" s="22"/>
      <c r="T169" s="22"/>
      <c r="U169" s="25"/>
      <c r="V169" s="24"/>
      <c r="W169" s="23">
        <f t="shared" si="17"/>
        <v>0</v>
      </c>
      <c r="X169" s="22"/>
      <c r="Y169" s="22"/>
      <c r="Z169" s="22"/>
      <c r="AA169" s="22"/>
      <c r="AB169" s="22"/>
      <c r="AC169" s="22"/>
      <c r="AD169" s="22"/>
    </row>
    <row r="170" spans="1:30" s="21" customFormat="1" x14ac:dyDescent="0.25">
      <c r="A170" s="22"/>
      <c r="B170" s="22"/>
      <c r="C170" s="22"/>
      <c r="D170" s="22"/>
      <c r="E170" s="22" t="str">
        <f t="shared" si="14"/>
        <v>PROG</v>
      </c>
      <c r="F170" s="22"/>
      <c r="G170" s="22" t="str">
        <f t="shared" si="15"/>
        <v>P</v>
      </c>
      <c r="H170" s="22"/>
      <c r="I170" s="22"/>
      <c r="J170" s="22"/>
      <c r="K170" s="22" t="str">
        <f t="shared" si="16"/>
        <v>ELEM</v>
      </c>
      <c r="L170" s="22"/>
      <c r="M170" s="22"/>
      <c r="N170" s="22" t="str">
        <f t="shared" si="13"/>
        <v>FONTE</v>
      </c>
      <c r="O170" s="22"/>
      <c r="P170" s="22"/>
      <c r="Q170" s="22"/>
      <c r="R170" s="22"/>
      <c r="S170" s="22"/>
      <c r="T170" s="22"/>
      <c r="U170" s="25"/>
      <c r="V170" s="24"/>
      <c r="W170" s="23">
        <f t="shared" si="17"/>
        <v>0</v>
      </c>
      <c r="X170" s="22"/>
      <c r="Y170" s="22"/>
      <c r="Z170" s="22"/>
      <c r="AA170" s="22"/>
      <c r="AB170" s="22"/>
      <c r="AC170" s="22"/>
      <c r="AD170" s="22"/>
    </row>
    <row r="171" spans="1:30" s="21" customFormat="1" x14ac:dyDescent="0.25">
      <c r="A171" s="22"/>
      <c r="B171" s="22"/>
      <c r="C171" s="22"/>
      <c r="D171" s="22"/>
      <c r="E171" s="22" t="str">
        <f t="shared" si="14"/>
        <v>PROG</v>
      </c>
      <c r="F171" s="22"/>
      <c r="G171" s="22" t="str">
        <f t="shared" si="15"/>
        <v>P</v>
      </c>
      <c r="H171" s="22"/>
      <c r="I171" s="22"/>
      <c r="J171" s="22"/>
      <c r="K171" s="22" t="str">
        <f t="shared" si="16"/>
        <v>ELEM</v>
      </c>
      <c r="L171" s="22"/>
      <c r="M171" s="22"/>
      <c r="N171" s="22" t="str">
        <f t="shared" si="13"/>
        <v>FONTE</v>
      </c>
      <c r="O171" s="22"/>
      <c r="P171" s="22"/>
      <c r="Q171" s="22"/>
      <c r="R171" s="22"/>
      <c r="S171" s="22"/>
      <c r="T171" s="22"/>
      <c r="U171" s="25"/>
      <c r="V171" s="24"/>
      <c r="W171" s="23">
        <f t="shared" si="17"/>
        <v>0</v>
      </c>
      <c r="X171" s="22"/>
      <c r="Y171" s="22"/>
      <c r="Z171" s="22"/>
      <c r="AA171" s="22"/>
      <c r="AB171" s="22"/>
      <c r="AC171" s="22"/>
      <c r="AD171" s="22"/>
    </row>
    <row r="172" spans="1:30" s="21" customFormat="1" x14ac:dyDescent="0.25">
      <c r="A172" s="22"/>
      <c r="B172" s="22"/>
      <c r="C172" s="22"/>
      <c r="D172" s="22"/>
      <c r="E172" s="22" t="str">
        <f t="shared" si="14"/>
        <v>PROG</v>
      </c>
      <c r="F172" s="22"/>
      <c r="G172" s="22" t="str">
        <f t="shared" si="15"/>
        <v>P</v>
      </c>
      <c r="H172" s="22"/>
      <c r="I172" s="22"/>
      <c r="J172" s="22"/>
      <c r="K172" s="22" t="str">
        <f t="shared" si="16"/>
        <v>ELEM</v>
      </c>
      <c r="L172" s="22"/>
      <c r="M172" s="22"/>
      <c r="N172" s="22" t="str">
        <f t="shared" si="13"/>
        <v>FONTE</v>
      </c>
      <c r="O172" s="22"/>
      <c r="P172" s="22"/>
      <c r="Q172" s="22"/>
      <c r="R172" s="22"/>
      <c r="S172" s="22"/>
      <c r="T172" s="22"/>
      <c r="U172" s="25"/>
      <c r="V172" s="24"/>
      <c r="W172" s="23">
        <f t="shared" si="17"/>
        <v>0</v>
      </c>
      <c r="X172" s="22"/>
      <c r="Y172" s="22"/>
      <c r="Z172" s="22"/>
      <c r="AA172" s="22"/>
      <c r="AB172" s="22"/>
      <c r="AC172" s="22"/>
      <c r="AD172" s="22"/>
    </row>
    <row r="173" spans="1:30" s="21" customFormat="1" x14ac:dyDescent="0.25">
      <c r="A173" s="22"/>
      <c r="B173" s="22"/>
      <c r="C173" s="22"/>
      <c r="D173" s="22"/>
      <c r="E173" s="22" t="str">
        <f t="shared" si="14"/>
        <v>PROG</v>
      </c>
      <c r="F173" s="22"/>
      <c r="G173" s="22" t="str">
        <f t="shared" si="15"/>
        <v>P</v>
      </c>
      <c r="H173" s="22"/>
      <c r="I173" s="22"/>
      <c r="J173" s="22"/>
      <c r="K173" s="22" t="str">
        <f t="shared" si="16"/>
        <v>ELEM</v>
      </c>
      <c r="L173" s="22"/>
      <c r="M173" s="22"/>
      <c r="N173" s="22" t="str">
        <f t="shared" si="13"/>
        <v>FONTE</v>
      </c>
      <c r="O173" s="22"/>
      <c r="P173" s="22"/>
      <c r="Q173" s="22"/>
      <c r="R173" s="22"/>
      <c r="S173" s="22"/>
      <c r="T173" s="22"/>
      <c r="U173" s="25"/>
      <c r="V173" s="24"/>
      <c r="W173" s="23">
        <f t="shared" si="17"/>
        <v>0</v>
      </c>
      <c r="X173" s="22"/>
      <c r="Y173" s="22"/>
      <c r="Z173" s="22"/>
      <c r="AA173" s="22"/>
      <c r="AB173" s="22"/>
      <c r="AC173" s="22"/>
      <c r="AD173" s="22"/>
    </row>
    <row r="174" spans="1:30" s="21" customFormat="1" x14ac:dyDescent="0.25">
      <c r="A174" s="22"/>
      <c r="B174" s="22"/>
      <c r="C174" s="22"/>
      <c r="D174" s="22"/>
      <c r="E174" s="22" t="str">
        <f t="shared" si="14"/>
        <v>PROG</v>
      </c>
      <c r="F174" s="22"/>
      <c r="G174" s="22" t="str">
        <f t="shared" si="15"/>
        <v>P</v>
      </c>
      <c r="H174" s="22"/>
      <c r="I174" s="22"/>
      <c r="J174" s="22"/>
      <c r="K174" s="22" t="str">
        <f t="shared" si="16"/>
        <v>ELEM</v>
      </c>
      <c r="L174" s="22"/>
      <c r="M174" s="22"/>
      <c r="N174" s="22" t="str">
        <f t="shared" si="13"/>
        <v>FONTE</v>
      </c>
      <c r="O174" s="22"/>
      <c r="P174" s="22"/>
      <c r="Q174" s="22"/>
      <c r="R174" s="22"/>
      <c r="S174" s="22"/>
      <c r="T174" s="22"/>
      <c r="U174" s="25"/>
      <c r="V174" s="24"/>
      <c r="W174" s="23">
        <f t="shared" si="17"/>
        <v>0</v>
      </c>
      <c r="X174" s="22"/>
      <c r="Y174" s="22"/>
      <c r="Z174" s="22"/>
      <c r="AA174" s="22"/>
      <c r="AB174" s="22"/>
      <c r="AC174" s="22"/>
      <c r="AD174" s="22"/>
    </row>
    <row r="175" spans="1:30" s="21" customFormat="1" x14ac:dyDescent="0.25">
      <c r="A175" s="22"/>
      <c r="B175" s="22"/>
      <c r="C175" s="22"/>
      <c r="D175" s="22"/>
      <c r="E175" s="22" t="str">
        <f t="shared" si="14"/>
        <v>PROG</v>
      </c>
      <c r="F175" s="22"/>
      <c r="G175" s="22" t="str">
        <f t="shared" si="15"/>
        <v>P</v>
      </c>
      <c r="H175" s="22"/>
      <c r="I175" s="22"/>
      <c r="J175" s="22"/>
      <c r="K175" s="22" t="str">
        <f t="shared" si="16"/>
        <v>ELEM</v>
      </c>
      <c r="L175" s="22"/>
      <c r="M175" s="22"/>
      <c r="N175" s="22" t="str">
        <f t="shared" si="13"/>
        <v>FONTE</v>
      </c>
      <c r="O175" s="22"/>
      <c r="P175" s="22"/>
      <c r="Q175" s="22"/>
      <c r="R175" s="22"/>
      <c r="S175" s="22"/>
      <c r="T175" s="22"/>
      <c r="U175" s="25"/>
      <c r="V175" s="24"/>
      <c r="W175" s="23">
        <f t="shared" si="17"/>
        <v>0</v>
      </c>
      <c r="X175" s="22"/>
      <c r="Y175" s="22"/>
      <c r="Z175" s="22"/>
      <c r="AA175" s="22"/>
      <c r="AB175" s="22"/>
      <c r="AC175" s="22"/>
      <c r="AD175" s="22"/>
    </row>
    <row r="176" spans="1:30" s="21" customFormat="1" x14ac:dyDescent="0.25">
      <c r="A176" s="22"/>
      <c r="B176" s="22"/>
      <c r="C176" s="22"/>
      <c r="D176" s="22"/>
      <c r="E176" s="22" t="str">
        <f t="shared" si="14"/>
        <v>PROG</v>
      </c>
      <c r="F176" s="22"/>
      <c r="G176" s="22" t="str">
        <f t="shared" si="15"/>
        <v>P</v>
      </c>
      <c r="H176" s="22"/>
      <c r="I176" s="22"/>
      <c r="J176" s="22"/>
      <c r="K176" s="22" t="str">
        <f t="shared" si="16"/>
        <v>ELEM</v>
      </c>
      <c r="L176" s="22"/>
      <c r="M176" s="22"/>
      <c r="N176" s="22" t="str">
        <f t="shared" si="13"/>
        <v>FONTE</v>
      </c>
      <c r="O176" s="22"/>
      <c r="P176" s="22"/>
      <c r="Q176" s="22"/>
      <c r="R176" s="22"/>
      <c r="S176" s="22"/>
      <c r="T176" s="22"/>
      <c r="U176" s="25"/>
      <c r="V176" s="24"/>
      <c r="W176" s="23">
        <f t="shared" si="17"/>
        <v>0</v>
      </c>
      <c r="X176" s="22"/>
      <c r="Y176" s="22"/>
      <c r="Z176" s="22"/>
      <c r="AA176" s="22"/>
      <c r="AB176" s="22"/>
      <c r="AC176" s="22"/>
      <c r="AD176" s="22"/>
    </row>
    <row r="177" spans="1:30" s="21" customFormat="1" x14ac:dyDescent="0.25">
      <c r="A177" s="22"/>
      <c r="B177" s="22"/>
      <c r="C177" s="22"/>
      <c r="D177" s="22"/>
      <c r="E177" s="22" t="str">
        <f t="shared" si="14"/>
        <v>PROG</v>
      </c>
      <c r="F177" s="22"/>
      <c r="G177" s="22" t="str">
        <f t="shared" si="15"/>
        <v>P</v>
      </c>
      <c r="H177" s="22"/>
      <c r="I177" s="22"/>
      <c r="J177" s="22"/>
      <c r="K177" s="22" t="str">
        <f t="shared" si="16"/>
        <v>ELEM</v>
      </c>
      <c r="L177" s="22"/>
      <c r="M177" s="22"/>
      <c r="N177" s="22" t="str">
        <f t="shared" si="13"/>
        <v>FONTE</v>
      </c>
      <c r="O177" s="22"/>
      <c r="P177" s="22"/>
      <c r="Q177" s="22"/>
      <c r="R177" s="22"/>
      <c r="S177" s="22"/>
      <c r="T177" s="22"/>
      <c r="U177" s="25"/>
      <c r="V177" s="24"/>
      <c r="W177" s="23">
        <f t="shared" si="17"/>
        <v>0</v>
      </c>
      <c r="X177" s="22"/>
      <c r="Y177" s="22"/>
      <c r="Z177" s="22"/>
      <c r="AA177" s="22"/>
      <c r="AB177" s="22"/>
      <c r="AC177" s="22"/>
      <c r="AD177" s="22"/>
    </row>
    <row r="178" spans="1:30" s="21" customFormat="1" x14ac:dyDescent="0.25">
      <c r="A178" s="22"/>
      <c r="B178" s="22"/>
      <c r="C178" s="22"/>
      <c r="D178" s="22"/>
      <c r="E178" s="22" t="str">
        <f t="shared" si="14"/>
        <v>PROG</v>
      </c>
      <c r="F178" s="22"/>
      <c r="G178" s="22" t="str">
        <f t="shared" si="15"/>
        <v>P</v>
      </c>
      <c r="H178" s="22"/>
      <c r="I178" s="22"/>
      <c r="J178" s="22"/>
      <c r="K178" s="22" t="str">
        <f t="shared" si="16"/>
        <v>ELEM</v>
      </c>
      <c r="L178" s="22"/>
      <c r="M178" s="22"/>
      <c r="N178" s="22" t="str">
        <f t="shared" si="13"/>
        <v>FONTE</v>
      </c>
      <c r="O178" s="22"/>
      <c r="P178" s="22"/>
      <c r="Q178" s="22"/>
      <c r="R178" s="22"/>
      <c r="S178" s="22"/>
      <c r="T178" s="22"/>
      <c r="U178" s="25"/>
      <c r="V178" s="24"/>
      <c r="W178" s="23">
        <f t="shared" si="17"/>
        <v>0</v>
      </c>
      <c r="X178" s="22"/>
      <c r="Y178" s="22"/>
      <c r="Z178" s="22"/>
      <c r="AA178" s="22"/>
      <c r="AB178" s="22"/>
      <c r="AC178" s="22"/>
      <c r="AD178" s="22"/>
    </row>
    <row r="179" spans="1:30" s="21" customFormat="1" x14ac:dyDescent="0.25">
      <c r="A179" s="22"/>
      <c r="B179" s="22"/>
      <c r="C179" s="22"/>
      <c r="D179" s="22"/>
      <c r="E179" s="22" t="str">
        <f t="shared" si="14"/>
        <v>PROG</v>
      </c>
      <c r="F179" s="22"/>
      <c r="G179" s="22" t="str">
        <f t="shared" si="15"/>
        <v>P</v>
      </c>
      <c r="H179" s="22"/>
      <c r="I179" s="22"/>
      <c r="J179" s="22"/>
      <c r="K179" s="22" t="str">
        <f t="shared" si="16"/>
        <v>ELEM</v>
      </c>
      <c r="L179" s="22"/>
      <c r="M179" s="22"/>
      <c r="N179" s="22" t="str">
        <f t="shared" si="13"/>
        <v>FONTE</v>
      </c>
      <c r="O179" s="22"/>
      <c r="P179" s="22"/>
      <c r="Q179" s="22"/>
      <c r="R179" s="22"/>
      <c r="S179" s="22"/>
      <c r="T179" s="22"/>
      <c r="U179" s="25"/>
      <c r="V179" s="24"/>
      <c r="W179" s="23">
        <f t="shared" si="17"/>
        <v>0</v>
      </c>
      <c r="X179" s="22"/>
      <c r="Y179" s="22"/>
      <c r="Z179" s="22"/>
      <c r="AA179" s="22"/>
      <c r="AB179" s="22"/>
      <c r="AC179" s="22"/>
      <c r="AD179" s="22"/>
    </row>
    <row r="180" spans="1:30" s="21" customFormat="1" x14ac:dyDescent="0.25">
      <c r="A180" s="22"/>
      <c r="B180" s="22"/>
      <c r="C180" s="22"/>
      <c r="D180" s="22"/>
      <c r="E180" s="22" t="str">
        <f t="shared" si="14"/>
        <v>PROG</v>
      </c>
      <c r="F180" s="22"/>
      <c r="G180" s="22" t="str">
        <f t="shared" si="15"/>
        <v>P</v>
      </c>
      <c r="H180" s="22"/>
      <c r="I180" s="22"/>
      <c r="J180" s="22"/>
      <c r="K180" s="22" t="str">
        <f t="shared" si="16"/>
        <v>ELEM</v>
      </c>
      <c r="L180" s="22"/>
      <c r="M180" s="22"/>
      <c r="N180" s="22" t="str">
        <f t="shared" si="13"/>
        <v>FONTE</v>
      </c>
      <c r="O180" s="22"/>
      <c r="P180" s="22"/>
      <c r="Q180" s="22"/>
      <c r="R180" s="22"/>
      <c r="S180" s="22"/>
      <c r="T180" s="22"/>
      <c r="U180" s="25"/>
      <c r="V180" s="24"/>
      <c r="W180" s="23">
        <f t="shared" si="17"/>
        <v>0</v>
      </c>
      <c r="X180" s="22"/>
      <c r="Y180" s="22"/>
      <c r="Z180" s="22"/>
      <c r="AA180" s="22"/>
      <c r="AB180" s="22"/>
      <c r="AC180" s="22"/>
      <c r="AD180" s="22"/>
    </row>
    <row r="181" spans="1:30" s="21" customFormat="1" x14ac:dyDescent="0.25">
      <c r="A181" s="22"/>
      <c r="B181" s="22"/>
      <c r="C181" s="22"/>
      <c r="D181" s="22"/>
      <c r="E181" s="22" t="str">
        <f t="shared" si="14"/>
        <v>PROG</v>
      </c>
      <c r="F181" s="22"/>
      <c r="G181" s="22" t="str">
        <f t="shared" si="15"/>
        <v>P</v>
      </c>
      <c r="H181" s="22"/>
      <c r="I181" s="22"/>
      <c r="J181" s="22"/>
      <c r="K181" s="22" t="str">
        <f t="shared" si="16"/>
        <v>ELEM</v>
      </c>
      <c r="L181" s="22"/>
      <c r="M181" s="22"/>
      <c r="N181" s="22" t="str">
        <f t="shared" si="13"/>
        <v>FONTE</v>
      </c>
      <c r="O181" s="22"/>
      <c r="P181" s="22"/>
      <c r="Q181" s="22"/>
      <c r="R181" s="22"/>
      <c r="S181" s="22"/>
      <c r="T181" s="22"/>
      <c r="U181" s="25"/>
      <c r="V181" s="24"/>
      <c r="W181" s="23">
        <f t="shared" si="17"/>
        <v>0</v>
      </c>
      <c r="X181" s="22"/>
      <c r="Y181" s="22"/>
      <c r="Z181" s="22"/>
      <c r="AA181" s="22"/>
      <c r="AB181" s="22"/>
      <c r="AC181" s="22"/>
      <c r="AD181" s="22"/>
    </row>
    <row r="182" spans="1:30" s="21" customFormat="1" x14ac:dyDescent="0.25">
      <c r="A182" s="22"/>
      <c r="B182" s="22"/>
      <c r="C182" s="22"/>
      <c r="D182" s="22"/>
      <c r="E182" s="22" t="str">
        <f t="shared" si="14"/>
        <v>PROG</v>
      </c>
      <c r="F182" s="22"/>
      <c r="G182" s="22" t="str">
        <f t="shared" si="15"/>
        <v>P</v>
      </c>
      <c r="H182" s="22"/>
      <c r="I182" s="22"/>
      <c r="J182" s="22"/>
      <c r="K182" s="22" t="str">
        <f t="shared" si="16"/>
        <v>ELEM</v>
      </c>
      <c r="L182" s="22"/>
      <c r="M182" s="22"/>
      <c r="N182" s="22" t="str">
        <f t="shared" si="13"/>
        <v>FONTE</v>
      </c>
      <c r="O182" s="22"/>
      <c r="P182" s="22"/>
      <c r="Q182" s="22"/>
      <c r="R182" s="22"/>
      <c r="S182" s="22"/>
      <c r="T182" s="22"/>
      <c r="U182" s="25"/>
      <c r="V182" s="24"/>
      <c r="W182" s="23">
        <f t="shared" si="17"/>
        <v>0</v>
      </c>
      <c r="X182" s="22"/>
      <c r="Y182" s="22"/>
      <c r="Z182" s="22"/>
      <c r="AA182" s="22"/>
      <c r="AB182" s="22"/>
      <c r="AC182" s="22"/>
      <c r="AD182" s="22"/>
    </row>
    <row r="183" spans="1:30" s="21" customFormat="1" x14ac:dyDescent="0.25">
      <c r="A183" s="22"/>
      <c r="B183" s="22"/>
      <c r="C183" s="22"/>
      <c r="D183" s="22"/>
      <c r="E183" s="22" t="str">
        <f t="shared" si="14"/>
        <v>PROG</v>
      </c>
      <c r="F183" s="22"/>
      <c r="G183" s="22" t="str">
        <f t="shared" si="15"/>
        <v>P</v>
      </c>
      <c r="H183" s="22"/>
      <c r="I183" s="22"/>
      <c r="J183" s="22"/>
      <c r="K183" s="22" t="str">
        <f t="shared" si="16"/>
        <v>ELEM</v>
      </c>
      <c r="L183" s="22"/>
      <c r="M183" s="22"/>
      <c r="N183" s="22" t="str">
        <f t="shared" si="13"/>
        <v>FONTE</v>
      </c>
      <c r="O183" s="22"/>
      <c r="P183" s="22"/>
      <c r="Q183" s="22"/>
      <c r="R183" s="22"/>
      <c r="S183" s="22"/>
      <c r="T183" s="22"/>
      <c r="U183" s="25"/>
      <c r="V183" s="24"/>
      <c r="W183" s="23">
        <f t="shared" si="17"/>
        <v>0</v>
      </c>
      <c r="X183" s="22"/>
      <c r="Y183" s="22"/>
      <c r="Z183" s="22"/>
      <c r="AA183" s="22"/>
      <c r="AB183" s="22"/>
      <c r="AC183" s="22"/>
      <c r="AD183" s="22"/>
    </row>
    <row r="184" spans="1:30" s="21" customFormat="1" x14ac:dyDescent="0.25">
      <c r="A184" s="22"/>
      <c r="B184" s="22"/>
      <c r="C184" s="22"/>
      <c r="D184" s="22"/>
      <c r="E184" s="22" t="str">
        <f t="shared" si="14"/>
        <v>PROG</v>
      </c>
      <c r="F184" s="22"/>
      <c r="G184" s="22" t="str">
        <f t="shared" si="15"/>
        <v>P</v>
      </c>
      <c r="H184" s="22"/>
      <c r="I184" s="22"/>
      <c r="J184" s="22"/>
      <c r="K184" s="22" t="str">
        <f t="shared" si="16"/>
        <v>ELEM</v>
      </c>
      <c r="L184" s="22"/>
      <c r="M184" s="22"/>
      <c r="N184" s="22" t="str">
        <f t="shared" si="13"/>
        <v>FONTE</v>
      </c>
      <c r="O184" s="22"/>
      <c r="P184" s="22"/>
      <c r="Q184" s="22"/>
      <c r="R184" s="22"/>
      <c r="S184" s="22"/>
      <c r="T184" s="22"/>
      <c r="U184" s="25"/>
      <c r="V184" s="24"/>
      <c r="W184" s="23">
        <f t="shared" si="17"/>
        <v>0</v>
      </c>
      <c r="X184" s="22"/>
      <c r="Y184" s="22"/>
      <c r="Z184" s="22"/>
      <c r="AA184" s="22"/>
      <c r="AB184" s="22"/>
      <c r="AC184" s="22"/>
      <c r="AD184" s="22"/>
    </row>
    <row r="185" spans="1:30" s="21" customFormat="1" x14ac:dyDescent="0.25">
      <c r="A185" s="22"/>
      <c r="B185" s="22"/>
      <c r="C185" s="22"/>
      <c r="D185" s="22"/>
      <c r="E185" s="22" t="str">
        <f t="shared" si="14"/>
        <v>PROG</v>
      </c>
      <c r="F185" s="22"/>
      <c r="G185" s="22" t="str">
        <f t="shared" si="15"/>
        <v>P</v>
      </c>
      <c r="H185" s="22"/>
      <c r="I185" s="22"/>
      <c r="J185" s="22"/>
      <c r="K185" s="22" t="str">
        <f t="shared" si="16"/>
        <v>ELEM</v>
      </c>
      <c r="L185" s="22"/>
      <c r="M185" s="22"/>
      <c r="N185" s="22" t="str">
        <f t="shared" si="13"/>
        <v>FONTE</v>
      </c>
      <c r="O185" s="22"/>
      <c r="P185" s="22"/>
      <c r="Q185" s="22"/>
      <c r="R185" s="22"/>
      <c r="S185" s="22"/>
      <c r="T185" s="22"/>
      <c r="U185" s="25"/>
      <c r="V185" s="24"/>
      <c r="W185" s="23">
        <f t="shared" si="17"/>
        <v>0</v>
      </c>
      <c r="X185" s="22"/>
      <c r="Y185" s="22"/>
      <c r="Z185" s="22"/>
      <c r="AA185" s="22"/>
      <c r="AB185" s="22"/>
      <c r="AC185" s="22"/>
      <c r="AD185" s="22"/>
    </row>
    <row r="186" spans="1:30" s="21" customFormat="1" x14ac:dyDescent="0.25">
      <c r="A186" s="22"/>
      <c r="B186" s="22"/>
      <c r="C186" s="22"/>
      <c r="D186" s="22"/>
      <c r="E186" s="22" t="str">
        <f t="shared" si="14"/>
        <v>PROG</v>
      </c>
      <c r="F186" s="22"/>
      <c r="G186" s="22" t="str">
        <f t="shared" si="15"/>
        <v>P</v>
      </c>
      <c r="H186" s="22"/>
      <c r="I186" s="22"/>
      <c r="J186" s="22"/>
      <c r="K186" s="22" t="str">
        <f t="shared" si="16"/>
        <v>ELEM</v>
      </c>
      <c r="L186" s="22"/>
      <c r="M186" s="22"/>
      <c r="N186" s="22" t="str">
        <f t="shared" si="13"/>
        <v>FONTE</v>
      </c>
      <c r="O186" s="22"/>
      <c r="P186" s="22"/>
      <c r="Q186" s="22"/>
      <c r="R186" s="22"/>
      <c r="S186" s="22"/>
      <c r="T186" s="22"/>
      <c r="U186" s="25"/>
      <c r="V186" s="24"/>
      <c r="W186" s="23">
        <f t="shared" si="17"/>
        <v>0</v>
      </c>
      <c r="X186" s="22"/>
      <c r="Y186" s="22"/>
      <c r="Z186" s="22"/>
      <c r="AA186" s="22"/>
      <c r="AB186" s="22"/>
      <c r="AC186" s="22"/>
      <c r="AD186" s="22"/>
    </row>
    <row r="187" spans="1:30" s="21" customFormat="1" x14ac:dyDescent="0.25">
      <c r="A187" s="22"/>
      <c r="B187" s="22"/>
      <c r="C187" s="22"/>
      <c r="D187" s="22"/>
      <c r="E187" s="22" t="str">
        <f t="shared" si="14"/>
        <v>PROG</v>
      </c>
      <c r="F187" s="22"/>
      <c r="G187" s="22" t="str">
        <f t="shared" si="15"/>
        <v>P</v>
      </c>
      <c r="H187" s="22"/>
      <c r="I187" s="22"/>
      <c r="J187" s="22"/>
      <c r="K187" s="22" t="str">
        <f t="shared" si="16"/>
        <v>ELEM</v>
      </c>
      <c r="L187" s="22"/>
      <c r="M187" s="22"/>
      <c r="N187" s="22" t="str">
        <f t="shared" si="13"/>
        <v>FONTE</v>
      </c>
      <c r="O187" s="22"/>
      <c r="P187" s="22"/>
      <c r="Q187" s="22"/>
      <c r="R187" s="22"/>
      <c r="S187" s="22"/>
      <c r="T187" s="22"/>
      <c r="U187" s="25"/>
      <c r="V187" s="24"/>
      <c r="W187" s="23">
        <f t="shared" si="17"/>
        <v>0</v>
      </c>
      <c r="X187" s="22"/>
      <c r="Y187" s="22"/>
      <c r="Z187" s="22"/>
      <c r="AA187" s="22"/>
      <c r="AB187" s="22"/>
      <c r="AC187" s="22"/>
      <c r="AD187" s="22"/>
    </row>
    <row r="188" spans="1:30" s="21" customFormat="1" x14ac:dyDescent="0.25">
      <c r="A188" s="22"/>
      <c r="B188" s="22"/>
      <c r="C188" s="22"/>
      <c r="D188" s="22"/>
      <c r="E188" s="22" t="str">
        <f t="shared" si="14"/>
        <v>PROG</v>
      </c>
      <c r="F188" s="22"/>
      <c r="G188" s="22" t="str">
        <f t="shared" si="15"/>
        <v>P</v>
      </c>
      <c r="H188" s="22"/>
      <c r="I188" s="22"/>
      <c r="J188" s="22"/>
      <c r="K188" s="22" t="str">
        <f t="shared" si="16"/>
        <v>ELEM</v>
      </c>
      <c r="L188" s="22"/>
      <c r="M188" s="22"/>
      <c r="N188" s="22" t="str">
        <f t="shared" si="13"/>
        <v>FONTE</v>
      </c>
      <c r="O188" s="22"/>
      <c r="P188" s="22"/>
      <c r="Q188" s="22"/>
      <c r="R188" s="22"/>
      <c r="S188" s="22"/>
      <c r="T188" s="22"/>
      <c r="U188" s="25"/>
      <c r="V188" s="24"/>
      <c r="W188" s="23">
        <f t="shared" si="17"/>
        <v>0</v>
      </c>
      <c r="X188" s="22"/>
      <c r="Y188" s="22"/>
      <c r="Z188" s="22"/>
      <c r="AA188" s="22"/>
      <c r="AB188" s="22"/>
      <c r="AC188" s="22"/>
      <c r="AD188" s="22"/>
    </row>
    <row r="189" spans="1:30" s="21" customFormat="1" x14ac:dyDescent="0.25">
      <c r="A189" s="22"/>
      <c r="B189" s="22"/>
      <c r="C189" s="22"/>
      <c r="D189" s="22"/>
      <c r="E189" s="22" t="str">
        <f t="shared" si="14"/>
        <v>PROG</v>
      </c>
      <c r="F189" s="22"/>
      <c r="G189" s="22" t="str">
        <f t="shared" si="15"/>
        <v>P</v>
      </c>
      <c r="H189" s="22"/>
      <c r="I189" s="22"/>
      <c r="J189" s="22"/>
      <c r="K189" s="22" t="str">
        <f t="shared" si="16"/>
        <v>ELEM</v>
      </c>
      <c r="L189" s="22"/>
      <c r="M189" s="22"/>
      <c r="N189" s="22" t="str">
        <f t="shared" si="13"/>
        <v>FONTE</v>
      </c>
      <c r="O189" s="22"/>
      <c r="P189" s="22"/>
      <c r="Q189" s="22"/>
      <c r="R189" s="22"/>
      <c r="S189" s="22"/>
      <c r="T189" s="22"/>
      <c r="U189" s="25"/>
      <c r="V189" s="24"/>
      <c r="W189" s="23">
        <f t="shared" si="17"/>
        <v>0</v>
      </c>
      <c r="X189" s="22"/>
      <c r="Y189" s="22"/>
      <c r="Z189" s="22"/>
      <c r="AA189" s="22"/>
      <c r="AB189" s="22"/>
      <c r="AC189" s="22"/>
      <c r="AD189" s="22"/>
    </row>
    <row r="190" spans="1:30" s="21" customFormat="1" x14ac:dyDescent="0.25">
      <c r="A190" s="22"/>
      <c r="B190" s="22"/>
      <c r="C190" s="22"/>
      <c r="D190" s="22"/>
      <c r="E190" s="22" t="str">
        <f t="shared" si="14"/>
        <v>PROG</v>
      </c>
      <c r="F190" s="22"/>
      <c r="G190" s="22" t="str">
        <f t="shared" si="15"/>
        <v>P</v>
      </c>
      <c r="H190" s="22"/>
      <c r="I190" s="22"/>
      <c r="J190" s="22"/>
      <c r="K190" s="22" t="str">
        <f t="shared" si="16"/>
        <v>ELEM</v>
      </c>
      <c r="L190" s="22"/>
      <c r="M190" s="22"/>
      <c r="N190" s="22" t="str">
        <f t="shared" si="13"/>
        <v>FONTE</v>
      </c>
      <c r="O190" s="22"/>
      <c r="P190" s="22"/>
      <c r="Q190" s="22"/>
      <c r="R190" s="22"/>
      <c r="S190" s="22"/>
      <c r="T190" s="22"/>
      <c r="U190" s="25"/>
      <c r="V190" s="24"/>
      <c r="W190" s="23">
        <f t="shared" si="17"/>
        <v>0</v>
      </c>
      <c r="X190" s="22"/>
      <c r="Y190" s="22"/>
      <c r="Z190" s="22"/>
      <c r="AA190" s="22"/>
      <c r="AB190" s="22"/>
      <c r="AC190" s="22"/>
      <c r="AD190" s="22"/>
    </row>
    <row r="191" spans="1:30" s="21" customFormat="1" x14ac:dyDescent="0.25">
      <c r="A191" s="22"/>
      <c r="B191" s="22"/>
      <c r="C191" s="22"/>
      <c r="D191" s="22"/>
      <c r="E191" s="22" t="str">
        <f t="shared" si="14"/>
        <v>PROG</v>
      </c>
      <c r="F191" s="22"/>
      <c r="G191" s="22" t="str">
        <f t="shared" si="15"/>
        <v>P</v>
      </c>
      <c r="H191" s="22"/>
      <c r="I191" s="22"/>
      <c r="J191" s="22"/>
      <c r="K191" s="22" t="str">
        <f t="shared" si="16"/>
        <v>ELEM</v>
      </c>
      <c r="L191" s="22"/>
      <c r="M191" s="22"/>
      <c r="N191" s="22" t="str">
        <f t="shared" si="13"/>
        <v>FONTE</v>
      </c>
      <c r="O191" s="22"/>
      <c r="P191" s="22"/>
      <c r="Q191" s="22"/>
      <c r="R191" s="22"/>
      <c r="S191" s="22"/>
      <c r="T191" s="22"/>
      <c r="U191" s="25"/>
      <c r="V191" s="24"/>
      <c r="W191" s="23">
        <f t="shared" si="17"/>
        <v>0</v>
      </c>
      <c r="X191" s="22"/>
      <c r="Y191" s="22"/>
      <c r="Z191" s="22"/>
      <c r="AA191" s="22"/>
      <c r="AB191" s="22"/>
      <c r="AC191" s="22"/>
      <c r="AD191" s="22"/>
    </row>
    <row r="192" spans="1:30" s="21" customFormat="1" x14ac:dyDescent="0.25">
      <c r="A192" s="22"/>
      <c r="B192" s="22"/>
      <c r="C192" s="22"/>
      <c r="D192" s="22"/>
      <c r="E192" s="22" t="str">
        <f t="shared" si="14"/>
        <v>PROG</v>
      </c>
      <c r="F192" s="22"/>
      <c r="G192" s="22" t="str">
        <f t="shared" si="15"/>
        <v>P</v>
      </c>
      <c r="H192" s="22"/>
      <c r="I192" s="22"/>
      <c r="J192" s="22"/>
      <c r="K192" s="22" t="str">
        <f t="shared" si="16"/>
        <v>ELEM</v>
      </c>
      <c r="L192" s="22"/>
      <c r="M192" s="22"/>
      <c r="N192" s="22" t="str">
        <f t="shared" si="13"/>
        <v>FONTE</v>
      </c>
      <c r="O192" s="22"/>
      <c r="P192" s="22"/>
      <c r="Q192" s="22"/>
      <c r="R192" s="22"/>
      <c r="S192" s="22"/>
      <c r="T192" s="22"/>
      <c r="U192" s="25"/>
      <c r="V192" s="24"/>
      <c r="W192" s="23">
        <f t="shared" si="17"/>
        <v>0</v>
      </c>
      <c r="X192" s="22"/>
      <c r="Y192" s="22"/>
      <c r="Z192" s="22"/>
      <c r="AA192" s="22"/>
      <c r="AB192" s="22"/>
      <c r="AC192" s="22"/>
      <c r="AD192" s="22"/>
    </row>
    <row r="193" spans="1:30" s="21" customFormat="1" x14ac:dyDescent="0.25">
      <c r="A193" s="22"/>
      <c r="B193" s="22"/>
      <c r="C193" s="22"/>
      <c r="D193" s="22"/>
      <c r="E193" s="22" t="str">
        <f t="shared" si="14"/>
        <v>PROG</v>
      </c>
      <c r="F193" s="22"/>
      <c r="G193" s="22" t="str">
        <f t="shared" si="15"/>
        <v>P</v>
      </c>
      <c r="H193" s="22"/>
      <c r="I193" s="22"/>
      <c r="J193" s="22"/>
      <c r="K193" s="22" t="str">
        <f t="shared" si="16"/>
        <v>ELEM</v>
      </c>
      <c r="L193" s="22"/>
      <c r="M193" s="22"/>
      <c r="N193" s="22" t="str">
        <f t="shared" si="13"/>
        <v>FONTE</v>
      </c>
      <c r="O193" s="22"/>
      <c r="P193" s="22"/>
      <c r="Q193" s="22"/>
      <c r="R193" s="22"/>
      <c r="S193" s="22"/>
      <c r="T193" s="22"/>
      <c r="U193" s="25"/>
      <c r="V193" s="24"/>
      <c r="W193" s="23">
        <f t="shared" si="17"/>
        <v>0</v>
      </c>
      <c r="X193" s="22"/>
      <c r="Y193" s="22"/>
      <c r="Z193" s="22"/>
      <c r="AA193" s="22"/>
      <c r="AB193" s="22"/>
      <c r="AC193" s="22"/>
      <c r="AD193" s="22"/>
    </row>
    <row r="194" spans="1:30" s="21" customFormat="1" x14ac:dyDescent="0.25">
      <c r="A194" s="22"/>
      <c r="B194" s="22"/>
      <c r="C194" s="22"/>
      <c r="D194" s="22"/>
      <c r="E194" s="22" t="str">
        <f t="shared" si="14"/>
        <v>PROG</v>
      </c>
      <c r="F194" s="22"/>
      <c r="G194" s="22" t="str">
        <f t="shared" si="15"/>
        <v>P</v>
      </c>
      <c r="H194" s="22"/>
      <c r="I194" s="22"/>
      <c r="J194" s="22"/>
      <c r="K194" s="22" t="str">
        <f t="shared" si="16"/>
        <v>ELEM</v>
      </c>
      <c r="L194" s="22"/>
      <c r="M194" s="22"/>
      <c r="N194" s="22" t="str">
        <f t="shared" si="13"/>
        <v>FONTE</v>
      </c>
      <c r="O194" s="22"/>
      <c r="P194" s="22"/>
      <c r="Q194" s="22"/>
      <c r="R194" s="22"/>
      <c r="S194" s="22"/>
      <c r="T194" s="22"/>
      <c r="U194" s="25"/>
      <c r="V194" s="24"/>
      <c r="W194" s="23">
        <f t="shared" si="17"/>
        <v>0</v>
      </c>
      <c r="X194" s="22"/>
      <c r="Y194" s="22"/>
      <c r="Z194" s="22"/>
      <c r="AA194" s="22"/>
      <c r="AB194" s="22"/>
      <c r="AC194" s="22"/>
      <c r="AD194" s="22"/>
    </row>
    <row r="195" spans="1:30" s="21" customFormat="1" x14ac:dyDescent="0.25">
      <c r="A195" s="22"/>
      <c r="B195" s="22"/>
      <c r="C195" s="22"/>
      <c r="D195" s="22"/>
      <c r="E195" s="22" t="str">
        <f t="shared" si="14"/>
        <v>PROG</v>
      </c>
      <c r="F195" s="22"/>
      <c r="G195" s="22" t="str">
        <f t="shared" si="15"/>
        <v>P</v>
      </c>
      <c r="H195" s="22"/>
      <c r="I195" s="22"/>
      <c r="J195" s="22"/>
      <c r="K195" s="22" t="str">
        <f t="shared" si="16"/>
        <v>ELEM</v>
      </c>
      <c r="L195" s="22"/>
      <c r="M195" s="22"/>
      <c r="N195" s="22" t="str">
        <f t="shared" si="13"/>
        <v>FONTE</v>
      </c>
      <c r="O195" s="22"/>
      <c r="P195" s="22"/>
      <c r="Q195" s="22"/>
      <c r="R195" s="22"/>
      <c r="S195" s="22"/>
      <c r="T195" s="22"/>
      <c r="U195" s="25"/>
      <c r="V195" s="24"/>
      <c r="W195" s="23">
        <f t="shared" si="17"/>
        <v>0</v>
      </c>
      <c r="X195" s="22"/>
      <c r="Y195" s="22"/>
      <c r="Z195" s="22"/>
      <c r="AA195" s="22"/>
      <c r="AB195" s="22"/>
      <c r="AC195" s="22"/>
      <c r="AD195" s="22"/>
    </row>
    <row r="196" spans="1:30" s="21" customFormat="1" x14ac:dyDescent="0.25">
      <c r="A196" s="22"/>
      <c r="B196" s="22"/>
      <c r="C196" s="22"/>
      <c r="D196" s="22"/>
      <c r="E196" s="22" t="str">
        <f t="shared" si="14"/>
        <v>PROG</v>
      </c>
      <c r="F196" s="22"/>
      <c r="G196" s="22" t="str">
        <f t="shared" si="15"/>
        <v>P</v>
      </c>
      <c r="H196" s="22"/>
      <c r="I196" s="22"/>
      <c r="J196" s="22"/>
      <c r="K196" s="22" t="str">
        <f t="shared" si="16"/>
        <v>ELEM</v>
      </c>
      <c r="L196" s="22"/>
      <c r="M196" s="22"/>
      <c r="N196" s="22" t="str">
        <f t="shared" si="13"/>
        <v>FONTE</v>
      </c>
      <c r="O196" s="22"/>
      <c r="P196" s="22"/>
      <c r="Q196" s="22"/>
      <c r="R196" s="22"/>
      <c r="S196" s="22"/>
      <c r="T196" s="22"/>
      <c r="U196" s="25"/>
      <c r="V196" s="24"/>
      <c r="W196" s="23">
        <f t="shared" si="17"/>
        <v>0</v>
      </c>
      <c r="X196" s="22"/>
      <c r="Y196" s="22"/>
      <c r="Z196" s="22"/>
      <c r="AA196" s="22"/>
      <c r="AB196" s="22"/>
      <c r="AC196" s="22"/>
      <c r="AD196" s="22"/>
    </row>
    <row r="197" spans="1:30" s="21" customFormat="1" x14ac:dyDescent="0.25">
      <c r="A197" s="22"/>
      <c r="B197" s="22"/>
      <c r="C197" s="22"/>
      <c r="D197" s="22"/>
      <c r="E197" s="22" t="str">
        <f t="shared" si="14"/>
        <v>PROG</v>
      </c>
      <c r="F197" s="22"/>
      <c r="G197" s="22" t="str">
        <f t="shared" si="15"/>
        <v>P</v>
      </c>
      <c r="H197" s="22"/>
      <c r="I197" s="22"/>
      <c r="J197" s="22"/>
      <c r="K197" s="22" t="str">
        <f t="shared" si="16"/>
        <v>ELEM</v>
      </c>
      <c r="L197" s="22"/>
      <c r="M197" s="22"/>
      <c r="N197" s="22" t="str">
        <f t="shared" si="13"/>
        <v>FONTE</v>
      </c>
      <c r="O197" s="22"/>
      <c r="P197" s="22"/>
      <c r="Q197" s="22"/>
      <c r="R197" s="22"/>
      <c r="S197" s="22"/>
      <c r="T197" s="22"/>
      <c r="U197" s="25"/>
      <c r="V197" s="24"/>
      <c r="W197" s="23">
        <f t="shared" si="17"/>
        <v>0</v>
      </c>
      <c r="X197" s="22"/>
      <c r="Y197" s="22"/>
      <c r="Z197" s="22"/>
      <c r="AA197" s="22"/>
      <c r="AB197" s="22"/>
      <c r="AC197" s="22"/>
      <c r="AD197" s="22"/>
    </row>
    <row r="198" spans="1:30" s="21" customFormat="1" x14ac:dyDescent="0.25">
      <c r="A198" s="22"/>
      <c r="B198" s="22"/>
      <c r="C198" s="22"/>
      <c r="D198" s="22"/>
      <c r="E198" s="22" t="str">
        <f t="shared" si="14"/>
        <v>PROG</v>
      </c>
      <c r="F198" s="22"/>
      <c r="G198" s="22" t="str">
        <f t="shared" si="15"/>
        <v>P</v>
      </c>
      <c r="H198" s="22"/>
      <c r="I198" s="22"/>
      <c r="J198" s="22"/>
      <c r="K198" s="22" t="str">
        <f t="shared" si="16"/>
        <v>ELEM</v>
      </c>
      <c r="L198" s="22"/>
      <c r="M198" s="22"/>
      <c r="N198" s="22" t="str">
        <f t="shared" si="13"/>
        <v>FONTE</v>
      </c>
      <c r="O198" s="22"/>
      <c r="P198" s="22"/>
      <c r="Q198" s="22"/>
      <c r="R198" s="22"/>
      <c r="S198" s="22"/>
      <c r="T198" s="22"/>
      <c r="U198" s="25"/>
      <c r="V198" s="24"/>
      <c r="W198" s="23">
        <f t="shared" si="17"/>
        <v>0</v>
      </c>
      <c r="X198" s="22"/>
      <c r="Y198" s="22"/>
      <c r="Z198" s="22"/>
      <c r="AA198" s="22"/>
      <c r="AB198" s="22"/>
      <c r="AC198" s="22"/>
      <c r="AD198" s="22"/>
    </row>
    <row r="199" spans="1:30" s="21" customFormat="1" x14ac:dyDescent="0.25">
      <c r="A199" s="22"/>
      <c r="B199" s="22"/>
      <c r="C199" s="22"/>
      <c r="D199" s="22"/>
      <c r="E199" s="22" t="str">
        <f t="shared" si="14"/>
        <v>PROG</v>
      </c>
      <c r="F199" s="22"/>
      <c r="G199" s="22" t="str">
        <f t="shared" si="15"/>
        <v>P</v>
      </c>
      <c r="H199" s="22"/>
      <c r="I199" s="22"/>
      <c r="J199" s="22"/>
      <c r="K199" s="22" t="str">
        <f t="shared" si="16"/>
        <v>ELEM</v>
      </c>
      <c r="L199" s="22"/>
      <c r="M199" s="22"/>
      <c r="N199" s="22" t="str">
        <f t="shared" si="13"/>
        <v>FONTE</v>
      </c>
      <c r="O199" s="22"/>
      <c r="P199" s="22"/>
      <c r="Q199" s="22"/>
      <c r="R199" s="22"/>
      <c r="S199" s="22"/>
      <c r="T199" s="22"/>
      <c r="U199" s="25"/>
      <c r="V199" s="24"/>
      <c r="W199" s="23">
        <f t="shared" si="17"/>
        <v>0</v>
      </c>
      <c r="X199" s="22"/>
      <c r="Y199" s="22"/>
      <c r="Z199" s="22"/>
      <c r="AA199" s="22"/>
      <c r="AB199" s="22"/>
      <c r="AC199" s="22"/>
      <c r="AD199" s="22"/>
    </row>
    <row r="200" spans="1:30" s="21" customFormat="1" x14ac:dyDescent="0.25">
      <c r="A200" s="22"/>
      <c r="B200" s="22"/>
      <c r="C200" s="22"/>
      <c r="D200" s="22"/>
      <c r="E200" s="22" t="str">
        <f t="shared" si="14"/>
        <v>PROG</v>
      </c>
      <c r="F200" s="22"/>
      <c r="G200" s="22" t="str">
        <f t="shared" si="15"/>
        <v>P</v>
      </c>
      <c r="H200" s="22"/>
      <c r="I200" s="22"/>
      <c r="J200" s="22"/>
      <c r="K200" s="22" t="str">
        <f t="shared" si="16"/>
        <v>ELEM</v>
      </c>
      <c r="L200" s="22"/>
      <c r="M200" s="22"/>
      <c r="N200" s="22" t="str">
        <f t="shared" si="13"/>
        <v>FONTE</v>
      </c>
      <c r="O200" s="22"/>
      <c r="P200" s="22"/>
      <c r="Q200" s="22"/>
      <c r="R200" s="22"/>
      <c r="S200" s="22"/>
      <c r="T200" s="22"/>
      <c r="U200" s="25"/>
      <c r="V200" s="24"/>
      <c r="W200" s="23">
        <f t="shared" si="17"/>
        <v>0</v>
      </c>
      <c r="X200" s="22"/>
      <c r="Y200" s="22"/>
      <c r="Z200" s="22"/>
      <c r="AA200" s="22"/>
      <c r="AB200" s="22"/>
      <c r="AC200" s="22"/>
      <c r="AD200" s="22"/>
    </row>
    <row r="201" spans="1:30" s="21" customFormat="1" x14ac:dyDescent="0.25">
      <c r="A201" s="22"/>
      <c r="B201" s="22"/>
      <c r="C201" s="22"/>
      <c r="D201" s="22"/>
      <c r="E201" s="22" t="str">
        <f t="shared" si="14"/>
        <v>PROG</v>
      </c>
      <c r="F201" s="22"/>
      <c r="G201" s="22" t="str">
        <f t="shared" si="15"/>
        <v>P</v>
      </c>
      <c r="H201" s="22"/>
      <c r="I201" s="22"/>
      <c r="J201" s="22"/>
      <c r="K201" s="22" t="str">
        <f t="shared" si="16"/>
        <v>ELEM</v>
      </c>
      <c r="L201" s="22"/>
      <c r="M201" s="22"/>
      <c r="N201" s="22" t="str">
        <f t="shared" si="13"/>
        <v>FONTE</v>
      </c>
      <c r="O201" s="22"/>
      <c r="P201" s="22"/>
      <c r="Q201" s="22"/>
      <c r="R201" s="22"/>
      <c r="S201" s="22"/>
      <c r="T201" s="22"/>
      <c r="U201" s="25"/>
      <c r="V201" s="24"/>
      <c r="W201" s="23">
        <f t="shared" si="17"/>
        <v>0</v>
      </c>
      <c r="X201" s="22"/>
      <c r="Y201" s="22"/>
      <c r="Z201" s="22"/>
      <c r="AA201" s="22"/>
      <c r="AB201" s="22"/>
      <c r="AC201" s="22"/>
      <c r="AD201" s="22"/>
    </row>
    <row r="202" spans="1:30" s="21" customFormat="1" x14ac:dyDescent="0.25">
      <c r="A202" s="22"/>
      <c r="B202" s="22"/>
      <c r="C202" s="22"/>
      <c r="D202" s="22"/>
      <c r="E202" s="22" t="str">
        <f t="shared" si="14"/>
        <v>PROG</v>
      </c>
      <c r="F202" s="22"/>
      <c r="G202" s="22" t="str">
        <f t="shared" si="15"/>
        <v>P</v>
      </c>
      <c r="H202" s="22"/>
      <c r="I202" s="22"/>
      <c r="J202" s="22"/>
      <c r="K202" s="22" t="str">
        <f t="shared" si="16"/>
        <v>ELEM</v>
      </c>
      <c r="L202" s="22"/>
      <c r="M202" s="22"/>
      <c r="N202" s="22" t="str">
        <f t="shared" si="13"/>
        <v>FONTE</v>
      </c>
      <c r="O202" s="22"/>
      <c r="P202" s="22"/>
      <c r="Q202" s="22"/>
      <c r="R202" s="22"/>
      <c r="S202" s="22"/>
      <c r="T202" s="22"/>
      <c r="U202" s="25"/>
      <c r="V202" s="24"/>
      <c r="W202" s="23">
        <f t="shared" si="17"/>
        <v>0</v>
      </c>
      <c r="X202" s="22"/>
      <c r="Y202" s="22"/>
      <c r="Z202" s="22"/>
      <c r="AA202" s="22"/>
      <c r="AB202" s="22"/>
      <c r="AC202" s="22"/>
      <c r="AD202" s="22"/>
    </row>
    <row r="203" spans="1:30" s="21" customFormat="1" x14ac:dyDescent="0.25">
      <c r="A203" s="22"/>
      <c r="B203" s="22"/>
      <c r="C203" s="22"/>
      <c r="D203" s="22"/>
      <c r="E203" s="22" t="str">
        <f t="shared" si="14"/>
        <v>PROG</v>
      </c>
      <c r="F203" s="22"/>
      <c r="G203" s="22" t="str">
        <f t="shared" si="15"/>
        <v>P</v>
      </c>
      <c r="H203" s="22"/>
      <c r="I203" s="22"/>
      <c r="J203" s="22"/>
      <c r="K203" s="22" t="str">
        <f t="shared" si="16"/>
        <v>ELEM</v>
      </c>
      <c r="L203" s="22"/>
      <c r="M203" s="22"/>
      <c r="N203" s="22" t="str">
        <f t="shared" si="13"/>
        <v>FONTE</v>
      </c>
      <c r="O203" s="22"/>
      <c r="P203" s="22"/>
      <c r="Q203" s="22"/>
      <c r="R203" s="22"/>
      <c r="S203" s="22"/>
      <c r="T203" s="22"/>
      <c r="U203" s="25"/>
      <c r="V203" s="24"/>
      <c r="W203" s="23">
        <f t="shared" si="17"/>
        <v>0</v>
      </c>
      <c r="X203" s="22"/>
      <c r="Y203" s="22"/>
      <c r="Z203" s="22"/>
      <c r="AA203" s="22"/>
      <c r="AB203" s="22"/>
      <c r="AC203" s="22"/>
      <c r="AD203" s="22"/>
    </row>
    <row r="204" spans="1:30" s="21" customFormat="1" x14ac:dyDescent="0.25">
      <c r="A204" s="22"/>
      <c r="B204" s="22"/>
      <c r="C204" s="22"/>
      <c r="D204" s="22"/>
      <c r="E204" s="22" t="str">
        <f t="shared" si="14"/>
        <v>PROG</v>
      </c>
      <c r="F204" s="22"/>
      <c r="G204" s="22" t="str">
        <f t="shared" si="15"/>
        <v>P</v>
      </c>
      <c r="H204" s="22"/>
      <c r="I204" s="22"/>
      <c r="J204" s="22"/>
      <c r="K204" s="22" t="str">
        <f t="shared" si="16"/>
        <v>ELEM</v>
      </c>
      <c r="L204" s="22"/>
      <c r="M204" s="22"/>
      <c r="N204" s="22" t="str">
        <f t="shared" si="13"/>
        <v>FONTE</v>
      </c>
      <c r="O204" s="22"/>
      <c r="P204" s="22"/>
      <c r="Q204" s="22"/>
      <c r="R204" s="22"/>
      <c r="S204" s="22"/>
      <c r="T204" s="22"/>
      <c r="U204" s="25"/>
      <c r="V204" s="24"/>
      <c r="W204" s="23">
        <f t="shared" si="17"/>
        <v>0</v>
      </c>
      <c r="X204" s="22"/>
      <c r="Y204" s="22"/>
      <c r="Z204" s="22"/>
      <c r="AA204" s="22"/>
      <c r="AB204" s="22"/>
      <c r="AC204" s="22"/>
      <c r="AD204" s="22"/>
    </row>
    <row r="205" spans="1:30" s="21" customFormat="1" x14ac:dyDescent="0.25">
      <c r="A205" s="22"/>
      <c r="B205" s="22"/>
      <c r="C205" s="22"/>
      <c r="D205" s="22"/>
      <c r="E205" s="22" t="str">
        <f t="shared" si="14"/>
        <v>PROG</v>
      </c>
      <c r="F205" s="22"/>
      <c r="G205" s="22" t="str">
        <f t="shared" si="15"/>
        <v>P</v>
      </c>
      <c r="H205" s="22"/>
      <c r="I205" s="22"/>
      <c r="J205" s="22"/>
      <c r="K205" s="22" t="str">
        <f t="shared" si="16"/>
        <v>ELEM</v>
      </c>
      <c r="L205" s="22"/>
      <c r="M205" s="22"/>
      <c r="N205" s="22" t="str">
        <f t="shared" si="13"/>
        <v>FONTE</v>
      </c>
      <c r="O205" s="22"/>
      <c r="P205" s="22"/>
      <c r="Q205" s="22"/>
      <c r="R205" s="22"/>
      <c r="S205" s="22"/>
      <c r="T205" s="22"/>
      <c r="U205" s="25"/>
      <c r="V205" s="24"/>
      <c r="W205" s="23">
        <f t="shared" si="17"/>
        <v>0</v>
      </c>
      <c r="X205" s="22"/>
      <c r="Y205" s="22"/>
      <c r="Z205" s="22"/>
      <c r="AA205" s="22"/>
      <c r="AB205" s="22"/>
      <c r="AC205" s="22"/>
      <c r="AD205" s="22"/>
    </row>
    <row r="206" spans="1:30" s="21" customFormat="1" x14ac:dyDescent="0.25">
      <c r="A206" s="22"/>
      <c r="B206" s="22"/>
      <c r="C206" s="22"/>
      <c r="D206" s="22"/>
      <c r="E206" s="22" t="str">
        <f t="shared" si="14"/>
        <v>PROG</v>
      </c>
      <c r="F206" s="22"/>
      <c r="G206" s="22" t="str">
        <f t="shared" si="15"/>
        <v>P</v>
      </c>
      <c r="H206" s="22"/>
      <c r="I206" s="22"/>
      <c r="J206" s="22"/>
      <c r="K206" s="22" t="str">
        <f t="shared" si="16"/>
        <v>ELEM</v>
      </c>
      <c r="L206" s="22"/>
      <c r="M206" s="22"/>
      <c r="N206" s="22" t="str">
        <f t="shared" si="13"/>
        <v>FONTE</v>
      </c>
      <c r="O206" s="22"/>
      <c r="P206" s="22"/>
      <c r="Q206" s="22"/>
      <c r="R206" s="22"/>
      <c r="S206" s="22"/>
      <c r="T206" s="22"/>
      <c r="U206" s="25"/>
      <c r="V206" s="24"/>
      <c r="W206" s="23">
        <f t="shared" si="17"/>
        <v>0</v>
      </c>
      <c r="X206" s="22"/>
      <c r="Y206" s="22"/>
      <c r="Z206" s="22"/>
      <c r="AA206" s="22"/>
      <c r="AB206" s="22"/>
      <c r="AC206" s="22"/>
      <c r="AD206" s="22"/>
    </row>
    <row r="207" spans="1:30" s="21" customFormat="1" x14ac:dyDescent="0.25">
      <c r="A207" s="22"/>
      <c r="B207" s="22"/>
      <c r="C207" s="22"/>
      <c r="D207" s="22"/>
      <c r="E207" s="22" t="str">
        <f t="shared" si="14"/>
        <v>PROG</v>
      </c>
      <c r="F207" s="22"/>
      <c r="G207" s="22" t="str">
        <f t="shared" si="15"/>
        <v>P</v>
      </c>
      <c r="H207" s="22"/>
      <c r="I207" s="22"/>
      <c r="J207" s="22"/>
      <c r="K207" s="22" t="str">
        <f t="shared" si="16"/>
        <v>ELEM</v>
      </c>
      <c r="L207" s="22"/>
      <c r="M207" s="22"/>
      <c r="N207" s="22" t="str">
        <f t="shared" si="13"/>
        <v>FONTE</v>
      </c>
      <c r="O207" s="22"/>
      <c r="P207" s="22"/>
      <c r="Q207" s="22"/>
      <c r="R207" s="22"/>
      <c r="S207" s="22"/>
      <c r="T207" s="22"/>
      <c r="U207" s="25"/>
      <c r="V207" s="24"/>
      <c r="W207" s="23">
        <f t="shared" si="17"/>
        <v>0</v>
      </c>
      <c r="X207" s="22"/>
      <c r="Y207" s="22"/>
      <c r="Z207" s="22"/>
      <c r="AA207" s="22"/>
      <c r="AB207" s="22"/>
      <c r="AC207" s="22"/>
      <c r="AD207" s="22"/>
    </row>
    <row r="208" spans="1:30" s="21" customFormat="1" x14ac:dyDescent="0.25">
      <c r="A208" s="22"/>
      <c r="B208" s="22"/>
      <c r="C208" s="22"/>
      <c r="D208" s="22"/>
      <c r="E208" s="22" t="str">
        <f t="shared" si="14"/>
        <v>PROG</v>
      </c>
      <c r="F208" s="22"/>
      <c r="G208" s="22" t="str">
        <f t="shared" si="15"/>
        <v>P</v>
      </c>
      <c r="H208" s="22"/>
      <c r="I208" s="22"/>
      <c r="J208" s="22"/>
      <c r="K208" s="22" t="str">
        <f t="shared" si="16"/>
        <v>ELEM</v>
      </c>
      <c r="L208" s="22"/>
      <c r="M208" s="22"/>
      <c r="N208" s="22" t="str">
        <f t="shared" ref="N208:N215" si="18">CONCATENATE("FONTE",A208)</f>
        <v>FONTE</v>
      </c>
      <c r="O208" s="22"/>
      <c r="P208" s="22"/>
      <c r="Q208" s="22"/>
      <c r="R208" s="22"/>
      <c r="S208" s="22"/>
      <c r="T208" s="22"/>
      <c r="U208" s="25"/>
      <c r="V208" s="24"/>
      <c r="W208" s="23">
        <f t="shared" si="17"/>
        <v>0</v>
      </c>
      <c r="X208" s="22"/>
      <c r="Y208" s="22"/>
      <c r="Z208" s="22"/>
      <c r="AA208" s="22"/>
      <c r="AB208" s="22"/>
      <c r="AC208" s="22"/>
      <c r="AD208" s="22"/>
    </row>
    <row r="209" spans="1:30" s="21" customFormat="1" x14ac:dyDescent="0.25">
      <c r="A209" s="22"/>
      <c r="B209" s="22"/>
      <c r="C209" s="22"/>
      <c r="D209" s="22"/>
      <c r="E209" s="22" t="str">
        <f t="shared" ref="E209:E215" si="19">CONCATENATE(A209,"PROG")</f>
        <v>PROG</v>
      </c>
      <c r="F209" s="22"/>
      <c r="G209" s="22" t="str">
        <f t="shared" ref="G209:G215" si="20">CONCATENATE("P",(LEFT(F209,3)),A209)</f>
        <v>P</v>
      </c>
      <c r="H209" s="22"/>
      <c r="I209" s="22"/>
      <c r="J209" s="22"/>
      <c r="K209" s="22" t="str">
        <f t="shared" ref="K209:K215" si="21">CONCATENATE("ELEM",LEFT(J209,2))</f>
        <v>ELEM</v>
      </c>
      <c r="L209" s="22"/>
      <c r="M209" s="22"/>
      <c r="N209" s="22" t="str">
        <f t="shared" si="18"/>
        <v>FONTE</v>
      </c>
      <c r="O209" s="22"/>
      <c r="P209" s="22"/>
      <c r="Q209" s="22"/>
      <c r="R209" s="22"/>
      <c r="S209" s="22"/>
      <c r="T209" s="22"/>
      <c r="U209" s="25"/>
      <c r="V209" s="24"/>
      <c r="W209" s="23">
        <f t="shared" ref="W209:W215" si="22">S209*U209*V209</f>
        <v>0</v>
      </c>
      <c r="X209" s="22"/>
      <c r="Y209" s="22"/>
      <c r="Z209" s="22"/>
      <c r="AA209" s="22"/>
      <c r="AB209" s="22"/>
      <c r="AC209" s="22"/>
      <c r="AD209" s="22"/>
    </row>
    <row r="210" spans="1:30" s="21" customFormat="1" x14ac:dyDescent="0.25">
      <c r="A210" s="22"/>
      <c r="B210" s="22"/>
      <c r="C210" s="22"/>
      <c r="D210" s="22"/>
      <c r="E210" s="22" t="str">
        <f t="shared" si="19"/>
        <v>PROG</v>
      </c>
      <c r="F210" s="22"/>
      <c r="G210" s="22" t="str">
        <f t="shared" si="20"/>
        <v>P</v>
      </c>
      <c r="H210" s="22"/>
      <c r="I210" s="22"/>
      <c r="J210" s="22"/>
      <c r="K210" s="22" t="str">
        <f t="shared" si="21"/>
        <v>ELEM</v>
      </c>
      <c r="L210" s="22"/>
      <c r="M210" s="22"/>
      <c r="N210" s="22" t="str">
        <f t="shared" si="18"/>
        <v>FONTE</v>
      </c>
      <c r="O210" s="22"/>
      <c r="P210" s="22"/>
      <c r="Q210" s="22"/>
      <c r="R210" s="22"/>
      <c r="S210" s="22"/>
      <c r="T210" s="22"/>
      <c r="U210" s="25"/>
      <c r="V210" s="24"/>
      <c r="W210" s="23">
        <f t="shared" si="22"/>
        <v>0</v>
      </c>
      <c r="X210" s="22"/>
      <c r="Y210" s="22"/>
      <c r="Z210" s="22"/>
      <c r="AA210" s="22"/>
      <c r="AB210" s="22"/>
      <c r="AC210" s="22"/>
      <c r="AD210" s="22"/>
    </row>
    <row r="211" spans="1:30" s="21" customFormat="1" x14ac:dyDescent="0.25">
      <c r="A211" s="22"/>
      <c r="B211" s="22"/>
      <c r="C211" s="22"/>
      <c r="D211" s="22"/>
      <c r="E211" s="22" t="str">
        <f t="shared" si="19"/>
        <v>PROG</v>
      </c>
      <c r="F211" s="22"/>
      <c r="G211" s="22" t="str">
        <f t="shared" si="20"/>
        <v>P</v>
      </c>
      <c r="H211" s="22"/>
      <c r="I211" s="22"/>
      <c r="J211" s="22"/>
      <c r="K211" s="22" t="str">
        <f t="shared" si="21"/>
        <v>ELEM</v>
      </c>
      <c r="L211" s="22"/>
      <c r="M211" s="22"/>
      <c r="N211" s="22" t="str">
        <f t="shared" si="18"/>
        <v>FONTE</v>
      </c>
      <c r="O211" s="22"/>
      <c r="P211" s="22"/>
      <c r="Q211" s="22"/>
      <c r="R211" s="22"/>
      <c r="S211" s="22"/>
      <c r="T211" s="22"/>
      <c r="U211" s="25"/>
      <c r="V211" s="24"/>
      <c r="W211" s="23">
        <f t="shared" si="22"/>
        <v>0</v>
      </c>
      <c r="X211" s="22"/>
      <c r="Y211" s="22"/>
      <c r="Z211" s="22"/>
      <c r="AA211" s="22"/>
      <c r="AB211" s="22"/>
      <c r="AC211" s="22"/>
      <c r="AD211" s="22"/>
    </row>
    <row r="212" spans="1:30" s="21" customFormat="1" x14ac:dyDescent="0.25">
      <c r="A212" s="22"/>
      <c r="B212" s="22"/>
      <c r="C212" s="22"/>
      <c r="D212" s="22"/>
      <c r="E212" s="22" t="str">
        <f t="shared" si="19"/>
        <v>PROG</v>
      </c>
      <c r="F212" s="22"/>
      <c r="G212" s="22" t="str">
        <f t="shared" si="20"/>
        <v>P</v>
      </c>
      <c r="H212" s="22"/>
      <c r="I212" s="22"/>
      <c r="J212" s="22"/>
      <c r="K212" s="22" t="str">
        <f t="shared" si="21"/>
        <v>ELEM</v>
      </c>
      <c r="L212" s="22"/>
      <c r="M212" s="22"/>
      <c r="N212" s="22" t="str">
        <f t="shared" si="18"/>
        <v>FONTE</v>
      </c>
      <c r="O212" s="22"/>
      <c r="P212" s="22"/>
      <c r="Q212" s="22"/>
      <c r="R212" s="22"/>
      <c r="S212" s="22"/>
      <c r="T212" s="22"/>
      <c r="U212" s="22"/>
      <c r="V212" s="24"/>
      <c r="W212" s="23">
        <f t="shared" si="22"/>
        <v>0</v>
      </c>
      <c r="X212" s="22"/>
      <c r="Y212" s="22"/>
      <c r="Z212" s="22"/>
      <c r="AA212" s="22"/>
      <c r="AB212" s="22"/>
      <c r="AC212" s="22"/>
      <c r="AD212" s="22"/>
    </row>
    <row r="213" spans="1:30" s="21" customFormat="1" x14ac:dyDescent="0.25">
      <c r="A213" s="22"/>
      <c r="B213" s="22"/>
      <c r="C213" s="22"/>
      <c r="D213" s="22"/>
      <c r="E213" s="22" t="str">
        <f t="shared" si="19"/>
        <v>PROG</v>
      </c>
      <c r="F213" s="22"/>
      <c r="G213" s="22" t="str">
        <f t="shared" si="20"/>
        <v>P</v>
      </c>
      <c r="H213" s="22"/>
      <c r="I213" s="22"/>
      <c r="J213" s="22"/>
      <c r="K213" s="22" t="str">
        <f t="shared" si="21"/>
        <v>ELEM</v>
      </c>
      <c r="L213" s="22"/>
      <c r="M213" s="22"/>
      <c r="N213" s="22" t="str">
        <f t="shared" si="18"/>
        <v>FONTE</v>
      </c>
      <c r="O213" s="22"/>
      <c r="P213" s="22"/>
      <c r="Q213" s="22"/>
      <c r="R213" s="22"/>
      <c r="S213" s="22"/>
      <c r="T213" s="22"/>
      <c r="U213" s="22"/>
      <c r="V213" s="24"/>
      <c r="W213" s="23">
        <f t="shared" si="22"/>
        <v>0</v>
      </c>
      <c r="X213" s="22"/>
      <c r="Y213" s="22"/>
      <c r="Z213" s="22"/>
      <c r="AA213" s="22"/>
      <c r="AB213" s="22"/>
      <c r="AC213" s="22"/>
      <c r="AD213" s="22"/>
    </row>
    <row r="214" spans="1:30" s="21" customFormat="1" x14ac:dyDescent="0.25">
      <c r="A214" s="22"/>
      <c r="B214" s="22"/>
      <c r="C214" s="22"/>
      <c r="D214" s="22"/>
      <c r="E214" s="22" t="str">
        <f t="shared" si="19"/>
        <v>PROG</v>
      </c>
      <c r="F214" s="22"/>
      <c r="G214" s="22" t="str">
        <f t="shared" si="20"/>
        <v>P</v>
      </c>
      <c r="H214" s="22"/>
      <c r="I214" s="22"/>
      <c r="J214" s="22"/>
      <c r="K214" s="22" t="str">
        <f t="shared" si="21"/>
        <v>ELEM</v>
      </c>
      <c r="L214" s="22"/>
      <c r="M214" s="22"/>
      <c r="N214" s="22" t="str">
        <f t="shared" si="18"/>
        <v>FONTE</v>
      </c>
      <c r="O214" s="22"/>
      <c r="P214" s="22"/>
      <c r="Q214" s="22"/>
      <c r="R214" s="22"/>
      <c r="S214" s="22"/>
      <c r="T214" s="22"/>
      <c r="U214" s="22"/>
      <c r="V214" s="24"/>
      <c r="W214" s="23">
        <f t="shared" si="22"/>
        <v>0</v>
      </c>
      <c r="X214" s="22"/>
      <c r="Y214" s="22"/>
      <c r="Z214" s="22"/>
      <c r="AA214" s="22"/>
      <c r="AB214" s="22"/>
      <c r="AC214" s="22"/>
      <c r="AD214" s="22"/>
    </row>
    <row r="215" spans="1:30" s="21" customFormat="1" x14ac:dyDescent="0.25">
      <c r="A215" s="22"/>
      <c r="B215" s="22"/>
      <c r="C215" s="22"/>
      <c r="D215" s="22"/>
      <c r="E215" s="22" t="str">
        <f t="shared" si="19"/>
        <v>PROG</v>
      </c>
      <c r="F215" s="22"/>
      <c r="G215" s="22" t="str">
        <f t="shared" si="20"/>
        <v>P</v>
      </c>
      <c r="H215" s="22"/>
      <c r="I215" s="22"/>
      <c r="J215" s="22"/>
      <c r="K215" s="22" t="str">
        <f t="shared" si="21"/>
        <v>ELEM</v>
      </c>
      <c r="L215" s="22"/>
      <c r="M215" s="22"/>
      <c r="N215" s="22" t="str">
        <f t="shared" si="18"/>
        <v>FONTE</v>
      </c>
      <c r="O215" s="22"/>
      <c r="P215" s="22"/>
      <c r="Q215" s="22"/>
      <c r="R215" s="22"/>
      <c r="S215" s="22"/>
      <c r="T215" s="22"/>
      <c r="U215" s="22"/>
      <c r="V215" s="24"/>
      <c r="W215" s="23">
        <f t="shared" si="22"/>
        <v>0</v>
      </c>
      <c r="X215" s="22"/>
      <c r="Y215" s="22"/>
      <c r="Z215" s="22"/>
      <c r="AA215" s="22"/>
      <c r="AB215" s="22"/>
      <c r="AC215" s="22"/>
      <c r="AD215" s="22"/>
    </row>
  </sheetData>
  <sheetProtection formatCells="0" formatRows="0" insertRows="0" deleteRows="0" sort="0" autoFilter="0" pivotTables="0"/>
  <dataValidations count="6">
    <dataValidation type="whole" allowBlank="1" showInputMessage="1" showErrorMessage="1" sqref="AB2:AD215">
      <formula1>1</formula1>
      <formula2>200</formula2>
    </dataValidation>
    <dataValidation type="list" allowBlank="1" showInputMessage="1" showErrorMessage="1" error="Favor selecionar uma opção disponível na lista. Nela aparecem somente os ações vinculadas ao programa escolhido na coluna F. " sqref="H2:H215">
      <formula1>INDIRECT(G2)</formula1>
    </dataValidation>
    <dataValidation type="list" allowBlank="1" showInputMessage="1" showErrorMessage="1" error="Favor selecionar uma opção disponível na lista. Nela aparecem somente os programas vinculados à UO escolhida na coluna A. " sqref="F2:F215">
      <formula1>INDIRECT(E2)</formula1>
    </dataValidation>
    <dataValidation type="list" allowBlank="1" showInputMessage="1" showErrorMessage="1" sqref="F216:F1048576">
      <formula1>INDIRECT(E217)</formula1>
    </dataValidation>
    <dataValidation type="list" allowBlank="1" showInputMessage="1" showErrorMessage="1" sqref="L2:L215 H216:H1048576 O2:O1048576">
      <formula1>INDIRECT(G2)</formula1>
    </dataValidation>
    <dataValidation type="list" allowBlank="1" showInputMessage="1" showErrorMessage="1" sqref="B216:B1048576 B2:C215">
      <formula1>INDIRECT($A$5)</formula1>
    </dataValidation>
  </dataValidations>
  <pageMargins left="0.511811024" right="0.511811024" top="0.78740157499999996" bottom="0.78740157499999996" header="0.31496062000000002" footer="0.31496062000000002"/>
  <pageSetup paperSize="9" orientation="portrait" horizontalDpi="4294967293" verticalDpi="4294967293" r:id="rId1"/>
  <legacyDrawing r:id="rId2"/>
  <extLst>
    <ext xmlns:x14="http://schemas.microsoft.com/office/spreadsheetml/2009/9/main" uri="{CCE6A557-97BC-4b89-ADB6-D9C93CAAB3DF}">
      <x14:dataValidations xmlns:xm="http://schemas.microsoft.com/office/excel/2006/main" count="5">
        <x14:dataValidation type="list" allowBlank="1" showInputMessage="1" showErrorMessage="1">
          <x14:formula1>
            <xm:f>ELEMENTO!$A$1:$AK$1</xm:f>
          </x14:formula1>
          <xm:sqref>J2:J215</xm:sqref>
        </x14:dataValidation>
        <x14:dataValidation type="list" allowBlank="1" showInputMessage="1" showErrorMessage="1">
          <x14:formula1>
            <xm:f>CENÁRIO!$A$8:$A$9</xm:f>
          </x14:formula1>
          <xm:sqref>M2:M1048576</xm:sqref>
        </x14:dataValidation>
        <x14:dataValidation type="list" allowBlank="1" showInputMessage="1" showErrorMessage="1">
          <x14:formula1>
            <xm:f>CENÁRIO!$A$2:$A$3</xm:f>
          </x14:formula1>
          <xm:sqref>X2:X1048576</xm:sqref>
        </x14:dataValidation>
        <x14:dataValidation type="list" allowBlank="1" showInputMessage="1" showErrorMessage="1">
          <x14:formula1>
            <xm:f>CENÁRIO!$C$2:$C$3</xm:f>
          </x14:formula1>
          <xm:sqref>Q2:Q1048576</xm:sqref>
        </x14:dataValidation>
        <x14:dataValidation type="list" allowBlank="1" showInputMessage="1" showErrorMessage="1" error="Favor selecionar uma opção disponível na lista. ">
          <x14:formula1>
            <xm:f>ORGANOGRAMA!$A$1:$L$1</xm:f>
          </x14:formula1>
          <xm:sqref>A2:A215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B1:Q12"/>
  <sheetViews>
    <sheetView showGridLines="0" zoomScale="110" zoomScaleNormal="110" workbookViewId="0">
      <pane ySplit="1" topLeftCell="A2" activePane="bottomLeft" state="frozen"/>
      <selection activeCell="G1" sqref="G1:G2"/>
      <selection pane="bottomLeft" activeCell="E14" sqref="E14"/>
    </sheetView>
  </sheetViews>
  <sheetFormatPr defaultColWidth="8.85546875" defaultRowHeight="15" x14ac:dyDescent="0.25"/>
  <cols>
    <col min="1" max="1" width="2.28515625" style="6" customWidth="1"/>
    <col min="2" max="2" width="32.140625" style="6" customWidth="1"/>
    <col min="3" max="3" width="23.28515625" style="6" bestFit="1" customWidth="1"/>
    <col min="4" max="4" width="3.28515625" style="6" customWidth="1"/>
    <col min="5" max="5" width="9.5703125" style="6" customWidth="1"/>
    <col min="6" max="6" width="50.28515625" style="6" customWidth="1"/>
    <col min="7" max="7" width="3.85546875" style="6" customWidth="1"/>
    <col min="8" max="8" width="15" style="6" customWidth="1"/>
    <col min="9" max="9" width="39" style="6" customWidth="1"/>
    <col min="10" max="10" width="30.85546875" style="6" customWidth="1"/>
    <col min="11" max="11" width="42.85546875" style="6" customWidth="1"/>
    <col min="12" max="12" width="25.28515625" style="6" hidden="1" customWidth="1"/>
    <col min="13" max="13" width="20.85546875" style="6" customWidth="1"/>
    <col min="14" max="14" width="26.42578125" style="6" bestFit="1" customWidth="1"/>
    <col min="15" max="15" width="22.85546875" style="6" hidden="1" customWidth="1"/>
    <col min="16" max="16" width="26.28515625" style="6" bestFit="1" customWidth="1"/>
    <col min="17" max="17" width="26.28515625" style="21" customWidth="1"/>
    <col min="18" max="18" width="7.140625" style="6" bestFit="1" customWidth="1"/>
    <col min="19" max="19" width="18" style="6" bestFit="1" customWidth="1"/>
    <col min="20" max="20" width="8.5703125" style="6" bestFit="1" customWidth="1"/>
    <col min="21" max="21" width="18.7109375" style="6" bestFit="1" customWidth="1"/>
    <col min="22" max="22" width="15.7109375" style="6" bestFit="1" customWidth="1"/>
    <col min="23" max="23" width="23.85546875" style="6" bestFit="1" customWidth="1"/>
    <col min="24" max="24" width="17.7109375" style="6" bestFit="1" customWidth="1"/>
    <col min="25" max="25" width="22.7109375" style="6" bestFit="1" customWidth="1"/>
    <col min="26" max="26" width="22.140625" style="6" bestFit="1" customWidth="1"/>
    <col min="27" max="27" width="19" style="6" bestFit="1" customWidth="1"/>
    <col min="28" max="28" width="18.7109375" style="6" bestFit="1" customWidth="1"/>
    <col min="29" max="29" width="33.7109375" style="6" bestFit="1" customWidth="1"/>
    <col min="30" max="30" width="31.140625" style="6" bestFit="1" customWidth="1"/>
    <col min="31" max="31" width="26.5703125" style="6" bestFit="1" customWidth="1"/>
    <col min="32" max="16384" width="8.85546875" style="6"/>
  </cols>
  <sheetData>
    <row r="1" spans="2:17" s="44" customFormat="1" ht="60.75" customHeight="1" x14ac:dyDescent="0.25">
      <c r="G1"/>
      <c r="H1" s="45" t="s">
        <v>7</v>
      </c>
      <c r="I1" s="116"/>
      <c r="J1" s="116"/>
      <c r="K1" s="116"/>
    </row>
    <row r="2" spans="2:17" s="44" customFormat="1" ht="24.75" customHeight="1" x14ac:dyDescent="0.25">
      <c r="B2" s="117" t="s">
        <v>180</v>
      </c>
      <c r="C2" s="117"/>
      <c r="D2" s="117"/>
      <c r="E2" s="117"/>
      <c r="F2" s="117"/>
      <c r="G2" s="79"/>
      <c r="H2" s="79"/>
      <c r="I2" s="79"/>
      <c r="J2" s="51"/>
      <c r="K2" s="51"/>
    </row>
    <row r="3" spans="2:17" ht="6.75" customHeight="1" x14ac:dyDescent="0.25"/>
    <row r="4" spans="2:17" ht="63" customHeight="1" x14ac:dyDescent="0.25">
      <c r="B4" s="112" t="s">
        <v>181</v>
      </c>
      <c r="C4" s="114"/>
      <c r="E4" s="112" t="s">
        <v>182</v>
      </c>
      <c r="F4" s="114"/>
      <c r="N4" s="21"/>
      <c r="Q4" s="6"/>
    </row>
    <row r="5" spans="2:17" x14ac:dyDescent="0.25">
      <c r="N5" s="21"/>
      <c r="Q5" s="6"/>
    </row>
    <row r="6" spans="2:17" ht="69.75" customHeight="1" x14ac:dyDescent="0.25">
      <c r="B6" s="111" t="s">
        <v>183</v>
      </c>
      <c r="C6" s="115"/>
      <c r="D6" s="115"/>
      <c r="E6" s="115"/>
      <c r="F6" s="115"/>
      <c r="G6" s="115"/>
      <c r="H6" s="110"/>
      <c r="N6" s="21"/>
      <c r="Q6" s="6"/>
    </row>
    <row r="8" spans="2:17" ht="28.5" customHeight="1" x14ac:dyDescent="0.25">
      <c r="B8" s="117" t="s">
        <v>184</v>
      </c>
      <c r="C8" s="117"/>
      <c r="D8" s="117"/>
      <c r="E8" s="117"/>
      <c r="F8" s="117"/>
    </row>
    <row r="10" spans="2:17" ht="50.25" customHeight="1" x14ac:dyDescent="0.25">
      <c r="B10" s="109" t="s">
        <v>185</v>
      </c>
      <c r="C10" s="110"/>
      <c r="E10" s="111" t="s">
        <v>186</v>
      </c>
      <c r="F10" s="110"/>
    </row>
    <row r="12" spans="2:17" ht="48" customHeight="1" x14ac:dyDescent="0.25">
      <c r="B12" s="112" t="s">
        <v>187</v>
      </c>
      <c r="C12" s="113"/>
      <c r="D12" s="113"/>
      <c r="E12" s="113"/>
      <c r="F12" s="114"/>
    </row>
  </sheetData>
  <sheetProtection formatCells="0" formatRows="0" insertRows="0" deleteRows="0" sort="0" autoFilter="0" pivotTables="0"/>
  <mergeCells count="9">
    <mergeCell ref="B10:C10"/>
    <mergeCell ref="E10:F10"/>
    <mergeCell ref="B12:F12"/>
    <mergeCell ref="B6:H6"/>
    <mergeCell ref="I1:K1"/>
    <mergeCell ref="B4:C4"/>
    <mergeCell ref="E4:F4"/>
    <mergeCell ref="B2:F2"/>
    <mergeCell ref="B8:F8"/>
  </mergeCells>
  <hyperlinks>
    <hyperlink ref="H1" location="INDICE!A1" display="INDICE"/>
  </hyperlinks>
  <pageMargins left="0.511811024" right="0.511811024" top="0.78740157499999996" bottom="0.78740157499999996" header="0.31496062000000002" footer="0.31496062000000002"/>
  <pageSetup paperSize="9" orientation="portrait" horizontalDpi="4294967293" verticalDpi="4294967293"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K199"/>
  <sheetViews>
    <sheetView workbookViewId="0">
      <selection activeCell="R1" sqref="R1"/>
    </sheetView>
  </sheetViews>
  <sheetFormatPr defaultColWidth="18.28515625" defaultRowHeight="44.45" customHeight="1" x14ac:dyDescent="0.2"/>
  <cols>
    <col min="1" max="36" width="18.28515625" style="19"/>
    <col min="37" max="37" width="53.28515625" style="19" bestFit="1" customWidth="1"/>
    <col min="38" max="16384" width="18.28515625" style="19"/>
  </cols>
  <sheetData>
    <row r="1" spans="1:63" s="17" customFormat="1" ht="12" x14ac:dyDescent="0.2">
      <c r="A1" s="16" t="s">
        <v>188</v>
      </c>
      <c r="B1" s="16" t="s">
        <v>145</v>
      </c>
      <c r="C1" s="16" t="s">
        <v>189</v>
      </c>
      <c r="D1" s="16" t="s">
        <v>190</v>
      </c>
      <c r="E1" s="16" t="s">
        <v>191</v>
      </c>
      <c r="F1" s="16" t="s">
        <v>192</v>
      </c>
      <c r="G1" s="16" t="s">
        <v>193</v>
      </c>
      <c r="H1" s="16" t="s">
        <v>194</v>
      </c>
      <c r="I1" s="16" t="s">
        <v>137</v>
      </c>
      <c r="J1" s="16" t="s">
        <v>195</v>
      </c>
      <c r="K1" s="16" t="s">
        <v>196</v>
      </c>
      <c r="L1" s="16" t="s">
        <v>143</v>
      </c>
      <c r="M1" s="16" t="s">
        <v>197</v>
      </c>
      <c r="N1" s="16" t="s">
        <v>176</v>
      </c>
      <c r="O1" s="16" t="s">
        <v>198</v>
      </c>
      <c r="P1" s="16" t="s">
        <v>160</v>
      </c>
      <c r="Q1" s="16" t="s">
        <v>199</v>
      </c>
      <c r="R1" s="16" t="s">
        <v>165</v>
      </c>
      <c r="S1" s="16" t="s">
        <v>200</v>
      </c>
      <c r="T1" s="16" t="s">
        <v>201</v>
      </c>
      <c r="U1" s="16" t="s">
        <v>202</v>
      </c>
      <c r="V1" s="16" t="s">
        <v>203</v>
      </c>
      <c r="W1" s="16" t="s">
        <v>204</v>
      </c>
      <c r="X1" s="16" t="s">
        <v>205</v>
      </c>
      <c r="Y1" s="16" t="s">
        <v>206</v>
      </c>
      <c r="Z1" s="16" t="s">
        <v>172</v>
      </c>
      <c r="AA1" s="16" t="s">
        <v>207</v>
      </c>
      <c r="AB1" s="16" t="s">
        <v>208</v>
      </c>
      <c r="AC1" s="16" t="s">
        <v>209</v>
      </c>
      <c r="AD1" s="16" t="s">
        <v>210</v>
      </c>
      <c r="AE1" s="16" t="s">
        <v>211</v>
      </c>
      <c r="AF1" s="16" t="s">
        <v>212</v>
      </c>
      <c r="AG1" s="16" t="s">
        <v>213</v>
      </c>
      <c r="AH1" s="16" t="s">
        <v>214</v>
      </c>
      <c r="AI1" s="16" t="s">
        <v>215</v>
      </c>
      <c r="AJ1" s="16" t="s">
        <v>216</v>
      </c>
      <c r="AK1" s="16" t="s">
        <v>217</v>
      </c>
    </row>
    <row r="2" spans="1:63" ht="44.45" customHeight="1" x14ac:dyDescent="0.2">
      <c r="A2" s="18" t="s">
        <v>218</v>
      </c>
      <c r="B2" s="18" t="s">
        <v>43</v>
      </c>
      <c r="C2" s="18" t="s">
        <v>219</v>
      </c>
      <c r="D2" s="18" t="s">
        <v>220</v>
      </c>
      <c r="E2" s="18" t="s">
        <v>221</v>
      </c>
      <c r="F2" s="18" t="s">
        <v>222</v>
      </c>
      <c r="G2" s="18" t="s">
        <v>223</v>
      </c>
      <c r="H2" s="18" t="s">
        <v>224</v>
      </c>
      <c r="I2" s="18" t="s">
        <v>225</v>
      </c>
      <c r="J2" s="18" t="s">
        <v>226</v>
      </c>
      <c r="K2" s="18" t="s">
        <v>227</v>
      </c>
      <c r="L2" s="18" t="s">
        <v>54</v>
      </c>
      <c r="M2" s="18" t="s">
        <v>228</v>
      </c>
      <c r="N2" s="18" t="s">
        <v>229</v>
      </c>
      <c r="O2" s="18" t="s">
        <v>230</v>
      </c>
      <c r="P2" s="18" t="s">
        <v>231</v>
      </c>
      <c r="Q2" s="18" t="s">
        <v>232</v>
      </c>
      <c r="R2" s="18" t="s">
        <v>233</v>
      </c>
      <c r="S2" s="18" t="s">
        <v>234</v>
      </c>
      <c r="T2" s="18" t="s">
        <v>235</v>
      </c>
      <c r="U2" s="18" t="s">
        <v>236</v>
      </c>
      <c r="V2" s="18" t="s">
        <v>237</v>
      </c>
      <c r="W2" s="18" t="s">
        <v>238</v>
      </c>
      <c r="X2" s="18" t="s">
        <v>239</v>
      </c>
      <c r="Y2" s="18" t="s">
        <v>240</v>
      </c>
      <c r="Z2" s="18" t="s">
        <v>241</v>
      </c>
      <c r="AA2" s="18" t="s">
        <v>242</v>
      </c>
      <c r="AB2" s="18" t="s">
        <v>243</v>
      </c>
      <c r="AC2" s="18" t="s">
        <v>244</v>
      </c>
      <c r="AD2" s="18" t="s">
        <v>245</v>
      </c>
      <c r="AE2" s="18" t="s">
        <v>246</v>
      </c>
      <c r="AF2" s="18" t="s">
        <v>247</v>
      </c>
      <c r="AG2" s="18" t="s">
        <v>248</v>
      </c>
      <c r="AH2" s="18" t="s">
        <v>249</v>
      </c>
      <c r="AI2" s="18" t="s">
        <v>250</v>
      </c>
      <c r="AJ2" s="18" t="s">
        <v>251</v>
      </c>
      <c r="AK2" s="18" t="s">
        <v>252</v>
      </c>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row>
    <row r="3" spans="1:63" ht="44.45" customHeight="1" x14ac:dyDescent="0.2">
      <c r="A3" s="18" t="s">
        <v>253</v>
      </c>
      <c r="B3" s="18"/>
      <c r="C3" s="18"/>
      <c r="D3" s="18" t="s">
        <v>254</v>
      </c>
      <c r="E3" s="18"/>
      <c r="F3" s="18"/>
      <c r="G3" s="18" t="s">
        <v>255</v>
      </c>
      <c r="H3" s="18"/>
      <c r="I3" s="18" t="s">
        <v>256</v>
      </c>
      <c r="J3" s="18" t="s">
        <v>257</v>
      </c>
      <c r="K3" s="18" t="s">
        <v>258</v>
      </c>
      <c r="L3" s="18" t="s">
        <v>259</v>
      </c>
      <c r="M3" s="18" t="s">
        <v>260</v>
      </c>
      <c r="N3" s="18" t="s">
        <v>177</v>
      </c>
      <c r="O3" s="18" t="s">
        <v>261</v>
      </c>
      <c r="P3" s="18" t="s">
        <v>102</v>
      </c>
      <c r="Q3" s="18"/>
      <c r="R3" s="18" t="s">
        <v>262</v>
      </c>
      <c r="S3" s="18" t="s">
        <v>263</v>
      </c>
      <c r="T3" s="18" t="s">
        <v>264</v>
      </c>
      <c r="U3" s="18"/>
      <c r="V3" s="18"/>
      <c r="W3" s="18"/>
      <c r="X3" s="18" t="s">
        <v>265</v>
      </c>
      <c r="Y3" s="18" t="s">
        <v>266</v>
      </c>
      <c r="Z3" s="18" t="s">
        <v>267</v>
      </c>
      <c r="AA3" s="18" t="s">
        <v>268</v>
      </c>
      <c r="AB3" s="18" t="s">
        <v>269</v>
      </c>
      <c r="AC3" s="18"/>
      <c r="AD3" s="18"/>
      <c r="AE3" s="18"/>
      <c r="AF3" s="18" t="s">
        <v>270</v>
      </c>
      <c r="AG3" s="18" t="s">
        <v>271</v>
      </c>
      <c r="AH3" s="18"/>
      <c r="AI3" s="18" t="s">
        <v>272</v>
      </c>
      <c r="AJ3" s="18" t="s">
        <v>273</v>
      </c>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row>
    <row r="4" spans="1:63" ht="44.45" customHeight="1" x14ac:dyDescent="0.2">
      <c r="A4" s="18" t="s">
        <v>274</v>
      </c>
      <c r="B4" s="18"/>
      <c r="C4" s="18"/>
      <c r="D4" s="18" t="s">
        <v>275</v>
      </c>
      <c r="E4" s="18"/>
      <c r="F4" s="18"/>
      <c r="G4" s="18" t="s">
        <v>276</v>
      </c>
      <c r="H4" s="18"/>
      <c r="I4" s="18" t="s">
        <v>277</v>
      </c>
      <c r="J4" s="18" t="s">
        <v>278</v>
      </c>
      <c r="K4" s="18"/>
      <c r="L4" s="18" t="s">
        <v>279</v>
      </c>
      <c r="M4" s="18" t="s">
        <v>280</v>
      </c>
      <c r="N4" s="18" t="s">
        <v>281</v>
      </c>
      <c r="O4" s="18" t="s">
        <v>282</v>
      </c>
      <c r="P4" s="18" t="s">
        <v>116</v>
      </c>
      <c r="Q4" s="18"/>
      <c r="R4" s="18" t="s">
        <v>86</v>
      </c>
      <c r="S4" s="18" t="s">
        <v>283</v>
      </c>
      <c r="T4" s="18" t="s">
        <v>284</v>
      </c>
      <c r="U4" s="18"/>
      <c r="V4" s="18"/>
      <c r="W4" s="18"/>
      <c r="X4" s="18" t="s">
        <v>285</v>
      </c>
      <c r="Y4" s="18" t="s">
        <v>286</v>
      </c>
      <c r="Z4" s="18" t="s">
        <v>287</v>
      </c>
      <c r="AA4" s="18" t="s">
        <v>288</v>
      </c>
      <c r="AB4" s="18" t="s">
        <v>289</v>
      </c>
      <c r="AC4" s="18"/>
      <c r="AD4" s="18"/>
      <c r="AE4" s="18"/>
      <c r="AF4" s="18"/>
      <c r="AG4" s="18" t="s">
        <v>290</v>
      </c>
      <c r="AH4" s="18"/>
      <c r="AI4" s="18" t="s">
        <v>291</v>
      </c>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row>
    <row r="5" spans="1:63" ht="44.45" customHeight="1" x14ac:dyDescent="0.2">
      <c r="A5" s="18" t="s">
        <v>292</v>
      </c>
      <c r="B5" s="18"/>
      <c r="C5" s="18"/>
      <c r="D5" s="18" t="s">
        <v>293</v>
      </c>
      <c r="E5" s="18"/>
      <c r="F5" s="18"/>
      <c r="G5" s="18"/>
      <c r="H5" s="18"/>
      <c r="I5" s="18" t="s">
        <v>149</v>
      </c>
      <c r="J5" s="18" t="s">
        <v>294</v>
      </c>
      <c r="K5" s="18"/>
      <c r="L5" s="18" t="s">
        <v>295</v>
      </c>
      <c r="M5" s="18" t="s">
        <v>296</v>
      </c>
      <c r="N5" s="18"/>
      <c r="O5" s="18" t="s">
        <v>297</v>
      </c>
      <c r="P5" s="18" t="s">
        <v>298</v>
      </c>
      <c r="Q5" s="18"/>
      <c r="R5" s="18" t="s">
        <v>299</v>
      </c>
      <c r="S5" s="18" t="s">
        <v>300</v>
      </c>
      <c r="T5" s="18" t="s">
        <v>301</v>
      </c>
      <c r="U5" s="18"/>
      <c r="V5" s="18"/>
      <c r="W5" s="18"/>
      <c r="X5" s="18" t="s">
        <v>302</v>
      </c>
      <c r="Y5" s="18"/>
      <c r="Z5" s="18" t="s">
        <v>303</v>
      </c>
      <c r="AA5" s="18" t="s">
        <v>304</v>
      </c>
      <c r="AB5" s="18" t="s">
        <v>305</v>
      </c>
      <c r="AC5" s="18"/>
      <c r="AD5" s="18"/>
      <c r="AE5" s="18"/>
      <c r="AF5" s="18"/>
      <c r="AG5" s="18"/>
      <c r="AH5" s="18"/>
      <c r="AI5" s="18" t="s">
        <v>306</v>
      </c>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row>
    <row r="6" spans="1:63" ht="44.45" customHeight="1" x14ac:dyDescent="0.2">
      <c r="A6" s="18" t="s">
        <v>307</v>
      </c>
      <c r="B6" s="18"/>
      <c r="C6" s="18"/>
      <c r="D6" s="18" t="s">
        <v>308</v>
      </c>
      <c r="E6" s="18"/>
      <c r="F6" s="18"/>
      <c r="G6" s="18"/>
      <c r="H6" s="18"/>
      <c r="I6" s="18" t="s">
        <v>73</v>
      </c>
      <c r="J6" s="18"/>
      <c r="K6" s="18"/>
      <c r="L6" s="18" t="s">
        <v>309</v>
      </c>
      <c r="M6" s="18" t="s">
        <v>310</v>
      </c>
      <c r="N6" s="18"/>
      <c r="O6" s="18" t="s">
        <v>311</v>
      </c>
      <c r="P6" s="18" t="s">
        <v>312</v>
      </c>
      <c r="Q6" s="18"/>
      <c r="R6" s="18" t="s">
        <v>313</v>
      </c>
      <c r="S6" s="18" t="s">
        <v>314</v>
      </c>
      <c r="T6" s="18" t="s">
        <v>315</v>
      </c>
      <c r="U6" s="18"/>
      <c r="V6" s="18"/>
      <c r="W6" s="18"/>
      <c r="X6" s="18" t="s">
        <v>316</v>
      </c>
      <c r="Y6" s="18"/>
      <c r="Z6" s="18" t="s">
        <v>317</v>
      </c>
      <c r="AA6" s="18" t="s">
        <v>318</v>
      </c>
      <c r="AB6" s="18" t="s">
        <v>319</v>
      </c>
      <c r="AC6" s="18"/>
      <c r="AD6" s="18"/>
      <c r="AE6" s="18"/>
      <c r="AF6" s="18"/>
      <c r="AG6" s="18"/>
      <c r="AH6" s="18"/>
      <c r="AI6" s="18" t="s">
        <v>320</v>
      </c>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row>
    <row r="7" spans="1:63" ht="44.45" customHeight="1" x14ac:dyDescent="0.2">
      <c r="A7" s="18" t="s">
        <v>321</v>
      </c>
      <c r="B7" s="18"/>
      <c r="C7" s="18"/>
      <c r="D7" s="18" t="s">
        <v>322</v>
      </c>
      <c r="E7" s="18"/>
      <c r="F7" s="18"/>
      <c r="G7" s="18"/>
      <c r="H7" s="18"/>
      <c r="I7" s="18" t="s">
        <v>323</v>
      </c>
      <c r="J7" s="18"/>
      <c r="K7" s="18"/>
      <c r="L7" s="18"/>
      <c r="M7" s="18"/>
      <c r="N7" s="18"/>
      <c r="O7" s="18" t="s">
        <v>324</v>
      </c>
      <c r="P7" s="18" t="s">
        <v>325</v>
      </c>
      <c r="Q7" s="18"/>
      <c r="R7" s="18" t="s">
        <v>326</v>
      </c>
      <c r="S7" s="18" t="s">
        <v>93</v>
      </c>
      <c r="T7" s="18" t="s">
        <v>327</v>
      </c>
      <c r="U7" s="18"/>
      <c r="V7" s="18"/>
      <c r="W7" s="18"/>
      <c r="X7" s="18" t="s">
        <v>328</v>
      </c>
      <c r="Y7" s="18"/>
      <c r="Z7" s="18" t="s">
        <v>173</v>
      </c>
      <c r="AA7" s="18" t="s">
        <v>329</v>
      </c>
      <c r="AB7" s="18" t="s">
        <v>330</v>
      </c>
      <c r="AC7" s="18"/>
      <c r="AD7" s="18"/>
      <c r="AE7" s="18"/>
      <c r="AF7" s="18"/>
      <c r="AG7" s="18"/>
      <c r="AH7" s="18"/>
      <c r="AI7" s="18" t="s">
        <v>331</v>
      </c>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row>
    <row r="8" spans="1:63" ht="44.45" customHeight="1" x14ac:dyDescent="0.2">
      <c r="A8" s="18" t="s">
        <v>332</v>
      </c>
      <c r="B8" s="18"/>
      <c r="C8" s="18"/>
      <c r="D8" s="18"/>
      <c r="E8" s="18"/>
      <c r="F8" s="18"/>
      <c r="G8" s="18"/>
      <c r="H8" s="18"/>
      <c r="I8" s="18" t="s">
        <v>333</v>
      </c>
      <c r="J8" s="18"/>
      <c r="K8" s="18"/>
      <c r="L8" s="18"/>
      <c r="M8" s="18"/>
      <c r="N8" s="18"/>
      <c r="O8" s="18" t="s">
        <v>334</v>
      </c>
      <c r="P8" s="18" t="s">
        <v>335</v>
      </c>
      <c r="Q8" s="18"/>
      <c r="R8" s="18" t="s">
        <v>336</v>
      </c>
      <c r="S8" s="18"/>
      <c r="T8" s="18" t="s">
        <v>337</v>
      </c>
      <c r="U8" s="18"/>
      <c r="V8" s="18"/>
      <c r="W8" s="18"/>
      <c r="X8" s="18" t="s">
        <v>338</v>
      </c>
      <c r="Y8" s="18"/>
      <c r="Z8" s="18" t="s">
        <v>339</v>
      </c>
      <c r="AA8" s="18" t="s">
        <v>340</v>
      </c>
      <c r="AB8" s="18" t="s">
        <v>341</v>
      </c>
      <c r="AC8" s="18"/>
      <c r="AD8" s="18"/>
      <c r="AE8" s="18"/>
      <c r="AF8" s="18"/>
      <c r="AG8" s="18"/>
      <c r="AH8" s="18"/>
      <c r="AI8" s="18" t="s">
        <v>342</v>
      </c>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row>
    <row r="9" spans="1:63" ht="44.45" customHeight="1" x14ac:dyDescent="0.2">
      <c r="A9" s="18" t="s">
        <v>343</v>
      </c>
      <c r="B9" s="18"/>
      <c r="C9" s="18"/>
      <c r="D9" s="18"/>
      <c r="E9" s="18"/>
      <c r="F9" s="18"/>
      <c r="G9" s="18"/>
      <c r="H9" s="18"/>
      <c r="I9" s="18" t="s">
        <v>344</v>
      </c>
      <c r="J9" s="18"/>
      <c r="K9" s="18"/>
      <c r="L9" s="18"/>
      <c r="M9" s="18"/>
      <c r="N9" s="18"/>
      <c r="O9" s="18" t="s">
        <v>345</v>
      </c>
      <c r="P9" s="18"/>
      <c r="Q9" s="18"/>
      <c r="R9" s="18" t="s">
        <v>346</v>
      </c>
      <c r="S9" s="18"/>
      <c r="T9" s="18" t="s">
        <v>347</v>
      </c>
      <c r="U9" s="18"/>
      <c r="V9" s="18"/>
      <c r="W9" s="18"/>
      <c r="X9" s="18" t="s">
        <v>348</v>
      </c>
      <c r="Y9" s="18"/>
      <c r="Z9" s="18" t="s">
        <v>349</v>
      </c>
      <c r="AA9" s="18" t="s">
        <v>350</v>
      </c>
      <c r="AB9" s="18" t="s">
        <v>351</v>
      </c>
      <c r="AC9" s="18"/>
      <c r="AD9" s="18"/>
      <c r="AE9" s="18"/>
      <c r="AF9" s="18"/>
      <c r="AG9" s="18"/>
      <c r="AH9" s="18"/>
      <c r="AI9" s="18" t="s">
        <v>352</v>
      </c>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row>
    <row r="10" spans="1:63" ht="44.45" customHeight="1" x14ac:dyDescent="0.2">
      <c r="A10" s="18" t="s">
        <v>353</v>
      </c>
      <c r="B10" s="18"/>
      <c r="C10" s="18"/>
      <c r="D10" s="18"/>
      <c r="E10" s="18"/>
      <c r="F10" s="18"/>
      <c r="G10" s="18"/>
      <c r="H10" s="18"/>
      <c r="I10" s="18" t="s">
        <v>354</v>
      </c>
      <c r="J10" s="18"/>
      <c r="K10" s="18"/>
      <c r="L10" s="18"/>
      <c r="M10" s="18"/>
      <c r="N10" s="18"/>
      <c r="O10" s="18" t="s">
        <v>355</v>
      </c>
      <c r="P10" s="18"/>
      <c r="Q10" s="18"/>
      <c r="R10" s="18" t="s">
        <v>356</v>
      </c>
      <c r="S10" s="18"/>
      <c r="T10" s="18"/>
      <c r="U10" s="18"/>
      <c r="V10" s="18"/>
      <c r="W10" s="18"/>
      <c r="X10" s="18" t="s">
        <v>357</v>
      </c>
      <c r="Y10" s="18"/>
      <c r="Z10" s="18" t="s">
        <v>358</v>
      </c>
      <c r="AA10" s="18" t="s">
        <v>359</v>
      </c>
      <c r="AB10" s="18"/>
      <c r="AC10" s="18"/>
      <c r="AD10" s="18"/>
      <c r="AE10" s="18"/>
      <c r="AF10" s="18"/>
      <c r="AG10" s="18"/>
      <c r="AH10" s="18"/>
      <c r="AI10" s="18" t="s">
        <v>360</v>
      </c>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row>
    <row r="11" spans="1:63" ht="44.45" customHeight="1" x14ac:dyDescent="0.2">
      <c r="A11" s="18" t="s">
        <v>361</v>
      </c>
      <c r="B11" s="18"/>
      <c r="C11" s="18"/>
      <c r="D11" s="18"/>
      <c r="E11" s="18"/>
      <c r="F11" s="18"/>
      <c r="G11" s="18"/>
      <c r="H11" s="18"/>
      <c r="I11" s="18" t="s">
        <v>362</v>
      </c>
      <c r="J11" s="18"/>
      <c r="K11" s="18"/>
      <c r="L11" s="18"/>
      <c r="M11" s="18"/>
      <c r="N11" s="18"/>
      <c r="O11" s="18" t="s">
        <v>363</v>
      </c>
      <c r="P11" s="18"/>
      <c r="Q11" s="18"/>
      <c r="R11" s="18" t="s">
        <v>166</v>
      </c>
      <c r="S11" s="18"/>
      <c r="T11" s="18"/>
      <c r="U11" s="18"/>
      <c r="V11" s="18"/>
      <c r="W11" s="18"/>
      <c r="X11" s="18" t="s">
        <v>364</v>
      </c>
      <c r="Y11" s="18"/>
      <c r="Z11" s="18" t="s">
        <v>365</v>
      </c>
      <c r="AA11" s="18" t="s">
        <v>366</v>
      </c>
      <c r="AB11" s="18"/>
      <c r="AC11" s="18"/>
      <c r="AD11" s="18"/>
      <c r="AE11" s="18"/>
      <c r="AF11" s="18"/>
      <c r="AG11" s="18"/>
      <c r="AH11" s="18"/>
      <c r="AI11" s="18" t="s">
        <v>367</v>
      </c>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row>
    <row r="12" spans="1:63" ht="44.45" customHeight="1" x14ac:dyDescent="0.2">
      <c r="A12" s="18" t="s">
        <v>368</v>
      </c>
      <c r="B12" s="18"/>
      <c r="C12" s="18"/>
      <c r="D12" s="18"/>
      <c r="E12" s="18"/>
      <c r="F12" s="18"/>
      <c r="G12" s="18"/>
      <c r="H12" s="18"/>
      <c r="I12" s="18" t="s">
        <v>369</v>
      </c>
      <c r="J12" s="18"/>
      <c r="K12" s="18"/>
      <c r="L12" s="18"/>
      <c r="M12" s="18"/>
      <c r="N12" s="18"/>
      <c r="O12" s="18" t="s">
        <v>370</v>
      </c>
      <c r="P12" s="18"/>
      <c r="Q12" s="18"/>
      <c r="R12" s="18" t="s">
        <v>371</v>
      </c>
      <c r="S12" s="18"/>
      <c r="T12" s="18"/>
      <c r="U12" s="18"/>
      <c r="V12" s="18"/>
      <c r="W12" s="18"/>
      <c r="X12" s="18"/>
      <c r="Y12" s="18"/>
      <c r="Z12" s="18" t="s">
        <v>372</v>
      </c>
      <c r="AA12" s="18" t="s">
        <v>373</v>
      </c>
      <c r="AB12" s="18"/>
      <c r="AC12" s="18"/>
      <c r="AD12" s="18"/>
      <c r="AE12" s="18"/>
      <c r="AF12" s="18"/>
      <c r="AG12" s="18"/>
      <c r="AH12" s="18"/>
      <c r="AI12" s="18" t="s">
        <v>374</v>
      </c>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row>
    <row r="13" spans="1:63" ht="44.45" customHeight="1" x14ac:dyDescent="0.2">
      <c r="A13" s="18" t="s">
        <v>375</v>
      </c>
      <c r="B13" s="18"/>
      <c r="C13" s="18"/>
      <c r="D13" s="18"/>
      <c r="E13" s="18"/>
      <c r="F13" s="18"/>
      <c r="G13" s="18"/>
      <c r="H13" s="18"/>
      <c r="I13" s="18" t="s">
        <v>138</v>
      </c>
      <c r="J13" s="18"/>
      <c r="K13" s="18"/>
      <c r="L13" s="18"/>
      <c r="M13" s="18"/>
      <c r="N13" s="18"/>
      <c r="O13" s="18" t="s">
        <v>376</v>
      </c>
      <c r="P13" s="18"/>
      <c r="Q13" s="18"/>
      <c r="R13" s="18" t="s">
        <v>377</v>
      </c>
      <c r="S13" s="18"/>
      <c r="T13" s="18"/>
      <c r="U13" s="18"/>
      <c r="V13" s="18"/>
      <c r="W13" s="18"/>
      <c r="X13" s="18"/>
      <c r="Y13" s="18"/>
      <c r="Z13" s="18" t="s">
        <v>378</v>
      </c>
      <c r="AA13" s="18" t="s">
        <v>379</v>
      </c>
      <c r="AB13" s="18"/>
      <c r="AC13" s="18"/>
      <c r="AD13" s="18"/>
      <c r="AE13" s="18"/>
      <c r="AF13" s="18"/>
      <c r="AG13" s="18"/>
      <c r="AH13" s="18"/>
      <c r="AI13" s="18" t="s">
        <v>380</v>
      </c>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row>
    <row r="14" spans="1:63" ht="44.45" customHeight="1" x14ac:dyDescent="0.2">
      <c r="A14" s="18" t="s">
        <v>381</v>
      </c>
      <c r="B14" s="18"/>
      <c r="C14" s="18"/>
      <c r="D14" s="18"/>
      <c r="E14" s="18"/>
      <c r="F14" s="18"/>
      <c r="G14" s="18"/>
      <c r="H14" s="18"/>
      <c r="I14" s="18" t="s">
        <v>382</v>
      </c>
      <c r="J14" s="18"/>
      <c r="K14" s="18"/>
      <c r="L14" s="18"/>
      <c r="M14" s="18"/>
      <c r="N14" s="18"/>
      <c r="O14" s="18" t="s">
        <v>383</v>
      </c>
      <c r="P14" s="18"/>
      <c r="Q14" s="18"/>
      <c r="R14" s="18" t="s">
        <v>384</v>
      </c>
      <c r="S14" s="18"/>
      <c r="T14" s="18"/>
      <c r="U14" s="18"/>
      <c r="V14" s="18"/>
      <c r="W14" s="18"/>
      <c r="X14" s="18"/>
      <c r="Y14" s="18"/>
      <c r="Z14" s="18"/>
      <c r="AA14" s="18" t="s">
        <v>385</v>
      </c>
      <c r="AB14" s="18"/>
      <c r="AC14" s="18"/>
      <c r="AD14" s="18"/>
      <c r="AE14" s="18"/>
      <c r="AF14" s="18"/>
      <c r="AG14" s="18"/>
      <c r="AH14" s="18"/>
      <c r="AI14" s="18" t="s">
        <v>386</v>
      </c>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row>
    <row r="15" spans="1:63" ht="44.45" customHeight="1" x14ac:dyDescent="0.2">
      <c r="A15" s="18" t="s">
        <v>387</v>
      </c>
      <c r="B15" s="18"/>
      <c r="C15" s="18"/>
      <c r="D15" s="18"/>
      <c r="E15" s="18"/>
      <c r="F15" s="18"/>
      <c r="G15" s="18"/>
      <c r="H15" s="18"/>
      <c r="I15" s="18" t="s">
        <v>388</v>
      </c>
      <c r="J15" s="18"/>
      <c r="K15" s="18"/>
      <c r="L15" s="18"/>
      <c r="M15" s="18"/>
      <c r="N15" s="18"/>
      <c r="O15" s="18" t="s">
        <v>389</v>
      </c>
      <c r="P15" s="18"/>
      <c r="Q15" s="18"/>
      <c r="R15" s="18" t="s">
        <v>390</v>
      </c>
      <c r="S15" s="18"/>
      <c r="T15" s="18"/>
      <c r="U15" s="18"/>
      <c r="V15" s="18"/>
      <c r="W15" s="18"/>
      <c r="X15" s="18"/>
      <c r="Y15" s="18"/>
      <c r="Z15" s="18"/>
      <c r="AA15" s="18" t="s">
        <v>391</v>
      </c>
      <c r="AB15" s="18"/>
      <c r="AC15" s="18"/>
      <c r="AD15" s="18"/>
      <c r="AE15" s="18"/>
      <c r="AF15" s="18"/>
      <c r="AG15" s="18"/>
      <c r="AH15" s="18"/>
      <c r="AI15" s="18" t="s">
        <v>392</v>
      </c>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row>
    <row r="16" spans="1:63" ht="44.45" customHeight="1" x14ac:dyDescent="0.2">
      <c r="A16" s="18" t="s">
        <v>393</v>
      </c>
      <c r="B16" s="18"/>
      <c r="C16" s="18"/>
      <c r="D16" s="18"/>
      <c r="E16" s="18"/>
      <c r="F16" s="18"/>
      <c r="G16" s="18"/>
      <c r="H16" s="18"/>
      <c r="I16" s="18" t="s">
        <v>394</v>
      </c>
      <c r="J16" s="18"/>
      <c r="K16" s="18"/>
      <c r="L16" s="18"/>
      <c r="M16" s="18"/>
      <c r="N16" s="18"/>
      <c r="O16" s="18" t="s">
        <v>395</v>
      </c>
      <c r="P16" s="18"/>
      <c r="Q16" s="18"/>
      <c r="R16" s="18" t="s">
        <v>396</v>
      </c>
      <c r="S16" s="18"/>
      <c r="T16" s="18"/>
      <c r="U16" s="18"/>
      <c r="V16" s="18"/>
      <c r="W16" s="18"/>
      <c r="X16" s="18"/>
      <c r="Y16" s="18"/>
      <c r="Z16" s="18"/>
      <c r="AA16" s="18" t="s">
        <v>397</v>
      </c>
      <c r="AB16" s="18"/>
      <c r="AC16" s="18"/>
      <c r="AD16" s="18"/>
      <c r="AE16" s="18"/>
      <c r="AF16" s="18"/>
      <c r="AG16" s="18"/>
      <c r="AH16" s="18"/>
      <c r="AI16" s="18" t="s">
        <v>398</v>
      </c>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row>
    <row r="17" spans="1:63" ht="44.45" customHeight="1" x14ac:dyDescent="0.2">
      <c r="A17" s="18" t="s">
        <v>399</v>
      </c>
      <c r="B17" s="18"/>
      <c r="C17" s="18"/>
      <c r="D17" s="18"/>
      <c r="E17" s="18"/>
      <c r="F17" s="18"/>
      <c r="G17" s="18"/>
      <c r="H17" s="18"/>
      <c r="I17" s="18" t="s">
        <v>400</v>
      </c>
      <c r="J17" s="18"/>
      <c r="K17" s="18"/>
      <c r="L17" s="18"/>
      <c r="M17" s="18"/>
      <c r="N17" s="18"/>
      <c r="O17" s="18" t="s">
        <v>401</v>
      </c>
      <c r="P17" s="18"/>
      <c r="Q17" s="18"/>
      <c r="R17" s="18" t="s">
        <v>402</v>
      </c>
      <c r="S17" s="18"/>
      <c r="T17" s="18"/>
      <c r="U17" s="18"/>
      <c r="V17" s="18"/>
      <c r="W17" s="18"/>
      <c r="X17" s="18"/>
      <c r="Y17" s="18"/>
      <c r="Z17" s="18"/>
      <c r="AA17" s="18" t="s">
        <v>403</v>
      </c>
      <c r="AB17" s="18"/>
      <c r="AC17" s="18"/>
      <c r="AD17" s="18"/>
      <c r="AE17" s="18"/>
      <c r="AF17" s="18"/>
      <c r="AG17" s="18"/>
      <c r="AH17" s="18"/>
      <c r="AI17" s="18" t="s">
        <v>404</v>
      </c>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row>
    <row r="18" spans="1:63" ht="44.45" customHeight="1" x14ac:dyDescent="0.2">
      <c r="A18" s="18" t="s">
        <v>405</v>
      </c>
      <c r="B18" s="18"/>
      <c r="C18" s="18"/>
      <c r="D18" s="18"/>
      <c r="E18" s="18"/>
      <c r="F18" s="18"/>
      <c r="G18" s="18"/>
      <c r="H18" s="18"/>
      <c r="I18" s="18" t="s">
        <v>406</v>
      </c>
      <c r="J18" s="18"/>
      <c r="K18" s="18"/>
      <c r="L18" s="18"/>
      <c r="M18" s="18"/>
      <c r="N18" s="18"/>
      <c r="O18" s="18" t="s">
        <v>407</v>
      </c>
      <c r="P18" s="18"/>
      <c r="Q18" s="18"/>
      <c r="R18" s="18" t="s">
        <v>408</v>
      </c>
      <c r="S18" s="18"/>
      <c r="T18" s="18"/>
      <c r="U18" s="18"/>
      <c r="V18" s="18"/>
      <c r="W18" s="18"/>
      <c r="X18" s="18"/>
      <c r="Y18" s="18"/>
      <c r="Z18" s="18"/>
      <c r="AA18" s="18" t="s">
        <v>409</v>
      </c>
      <c r="AB18" s="18"/>
      <c r="AC18" s="18"/>
      <c r="AD18" s="18"/>
      <c r="AE18" s="18"/>
      <c r="AF18" s="18"/>
      <c r="AG18" s="18"/>
      <c r="AH18" s="18"/>
      <c r="AI18" s="18" t="s">
        <v>410</v>
      </c>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row>
    <row r="19" spans="1:63" ht="44.45" customHeight="1" x14ac:dyDescent="0.2">
      <c r="A19" s="18"/>
      <c r="B19" s="18"/>
      <c r="C19" s="18"/>
      <c r="D19" s="18"/>
      <c r="E19" s="18"/>
      <c r="F19" s="18"/>
      <c r="G19" s="18"/>
      <c r="H19" s="18"/>
      <c r="I19" s="18" t="s">
        <v>411</v>
      </c>
      <c r="J19" s="18"/>
      <c r="K19" s="18"/>
      <c r="L19" s="18"/>
      <c r="M19" s="18"/>
      <c r="N19" s="18"/>
      <c r="O19" s="18" t="s">
        <v>412</v>
      </c>
      <c r="P19" s="18"/>
      <c r="Q19" s="18"/>
      <c r="R19" s="18" t="s">
        <v>413</v>
      </c>
      <c r="S19" s="18"/>
      <c r="T19" s="18"/>
      <c r="U19" s="18"/>
      <c r="V19" s="18"/>
      <c r="W19" s="18"/>
      <c r="X19" s="18"/>
      <c r="Y19" s="18"/>
      <c r="Z19" s="18"/>
      <c r="AA19" s="18" t="s">
        <v>414</v>
      </c>
      <c r="AB19" s="18"/>
      <c r="AC19" s="18"/>
      <c r="AD19" s="18"/>
      <c r="AE19" s="18"/>
      <c r="AF19" s="18"/>
      <c r="AG19" s="18"/>
      <c r="AH19" s="18"/>
      <c r="AI19" s="18" t="s">
        <v>415</v>
      </c>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row>
    <row r="20" spans="1:63" ht="44.45" customHeight="1" x14ac:dyDescent="0.2">
      <c r="A20" s="18"/>
      <c r="B20" s="18"/>
      <c r="C20" s="18"/>
      <c r="D20" s="18"/>
      <c r="E20" s="18"/>
      <c r="F20" s="18"/>
      <c r="G20" s="18"/>
      <c r="H20" s="18"/>
      <c r="I20" s="18" t="s">
        <v>416</v>
      </c>
      <c r="J20" s="18"/>
      <c r="K20" s="18"/>
      <c r="L20" s="18"/>
      <c r="M20" s="18"/>
      <c r="N20" s="18"/>
      <c r="O20" s="18" t="s">
        <v>417</v>
      </c>
      <c r="P20" s="18"/>
      <c r="Q20" s="18"/>
      <c r="R20" s="18" t="s">
        <v>418</v>
      </c>
      <c r="S20" s="18"/>
      <c r="T20" s="18"/>
      <c r="U20" s="18"/>
      <c r="V20" s="18"/>
      <c r="W20" s="18"/>
      <c r="X20" s="18"/>
      <c r="Y20" s="18"/>
      <c r="Z20" s="18"/>
      <c r="AA20" s="18" t="s">
        <v>419</v>
      </c>
      <c r="AB20" s="18"/>
      <c r="AC20" s="18"/>
      <c r="AD20" s="18"/>
      <c r="AE20" s="18"/>
      <c r="AF20" s="18"/>
      <c r="AG20" s="18"/>
      <c r="AH20" s="18"/>
      <c r="AI20" s="18" t="s">
        <v>420</v>
      </c>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row>
    <row r="21" spans="1:63" ht="44.45" customHeight="1" x14ac:dyDescent="0.2">
      <c r="A21" s="18"/>
      <c r="B21" s="18"/>
      <c r="C21" s="18"/>
      <c r="D21" s="18"/>
      <c r="E21" s="18"/>
      <c r="F21" s="18"/>
      <c r="G21" s="18"/>
      <c r="H21" s="18"/>
      <c r="I21" s="18" t="s">
        <v>421</v>
      </c>
      <c r="J21" s="18"/>
      <c r="K21" s="18"/>
      <c r="L21" s="18"/>
      <c r="M21" s="18"/>
      <c r="N21" s="18"/>
      <c r="O21" s="18" t="s">
        <v>422</v>
      </c>
      <c r="P21" s="18"/>
      <c r="Q21" s="18"/>
      <c r="R21" s="18" t="s">
        <v>423</v>
      </c>
      <c r="S21" s="18"/>
      <c r="T21" s="18"/>
      <c r="U21" s="18"/>
      <c r="V21" s="18"/>
      <c r="W21" s="18"/>
      <c r="X21" s="18"/>
      <c r="Y21" s="18"/>
      <c r="Z21" s="18"/>
      <c r="AA21" s="18" t="s">
        <v>424</v>
      </c>
      <c r="AB21" s="18"/>
      <c r="AC21" s="18"/>
      <c r="AD21" s="18"/>
      <c r="AE21" s="18"/>
      <c r="AF21" s="18"/>
      <c r="AG21" s="18"/>
      <c r="AH21" s="18"/>
      <c r="AI21" s="18" t="s">
        <v>425</v>
      </c>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row>
    <row r="22" spans="1:63" ht="44.45" customHeight="1" x14ac:dyDescent="0.2">
      <c r="A22" s="18"/>
      <c r="B22" s="18"/>
      <c r="C22" s="18"/>
      <c r="D22" s="18"/>
      <c r="E22" s="18"/>
      <c r="F22" s="18"/>
      <c r="G22" s="18"/>
      <c r="H22" s="18"/>
      <c r="I22" s="18" t="s">
        <v>426</v>
      </c>
      <c r="J22" s="18"/>
      <c r="K22" s="18"/>
      <c r="L22" s="18"/>
      <c r="M22" s="18"/>
      <c r="N22" s="18"/>
      <c r="O22" s="18" t="s">
        <v>427</v>
      </c>
      <c r="P22" s="18"/>
      <c r="Q22" s="18"/>
      <c r="R22" s="18" t="s">
        <v>428</v>
      </c>
      <c r="S22" s="18"/>
      <c r="T22" s="18"/>
      <c r="U22" s="18"/>
      <c r="V22" s="18"/>
      <c r="W22" s="18"/>
      <c r="X22" s="18"/>
      <c r="Y22" s="18"/>
      <c r="Z22" s="18"/>
      <c r="AA22" s="18" t="s">
        <v>429</v>
      </c>
      <c r="AB22" s="18"/>
      <c r="AC22" s="18"/>
      <c r="AD22" s="18"/>
      <c r="AE22" s="18"/>
      <c r="AF22" s="18"/>
      <c r="AG22" s="18"/>
      <c r="AH22" s="18"/>
      <c r="AI22" s="18" t="s">
        <v>430</v>
      </c>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row>
    <row r="23" spans="1:63" ht="44.45" customHeight="1" x14ac:dyDescent="0.2">
      <c r="A23" s="18"/>
      <c r="B23" s="18"/>
      <c r="C23" s="18"/>
      <c r="D23" s="18"/>
      <c r="E23" s="18"/>
      <c r="F23" s="18"/>
      <c r="G23" s="18"/>
      <c r="H23" s="18"/>
      <c r="I23" s="18" t="s">
        <v>431</v>
      </c>
      <c r="J23" s="18"/>
      <c r="K23" s="18"/>
      <c r="L23" s="18"/>
      <c r="M23" s="18"/>
      <c r="N23" s="18"/>
      <c r="O23" s="18" t="s">
        <v>432</v>
      </c>
      <c r="P23" s="18"/>
      <c r="Q23" s="18"/>
      <c r="R23" s="18" t="s">
        <v>433</v>
      </c>
      <c r="S23" s="18"/>
      <c r="T23" s="18"/>
      <c r="U23" s="18"/>
      <c r="V23" s="18"/>
      <c r="W23" s="18"/>
      <c r="X23" s="18"/>
      <c r="Y23" s="18"/>
      <c r="Z23" s="18"/>
      <c r="AA23" s="18" t="s">
        <v>434</v>
      </c>
      <c r="AB23" s="18"/>
      <c r="AC23" s="18"/>
      <c r="AD23" s="18"/>
      <c r="AE23" s="18"/>
      <c r="AF23" s="18"/>
      <c r="AG23" s="18"/>
      <c r="AH23" s="18"/>
      <c r="AI23" s="18" t="s">
        <v>435</v>
      </c>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row>
    <row r="24" spans="1:63" ht="44.45" customHeight="1" x14ac:dyDescent="0.2">
      <c r="A24" s="18"/>
      <c r="B24" s="18"/>
      <c r="C24" s="18"/>
      <c r="D24" s="18"/>
      <c r="E24" s="18"/>
      <c r="F24" s="18"/>
      <c r="G24" s="18"/>
      <c r="H24" s="18"/>
      <c r="I24" s="18" t="s">
        <v>436</v>
      </c>
      <c r="J24" s="18"/>
      <c r="K24" s="18"/>
      <c r="L24" s="18"/>
      <c r="M24" s="18"/>
      <c r="N24" s="18"/>
      <c r="O24" s="18" t="s">
        <v>437</v>
      </c>
      <c r="P24" s="18"/>
      <c r="Q24" s="18"/>
      <c r="R24" s="18" t="s">
        <v>438</v>
      </c>
      <c r="S24" s="18"/>
      <c r="T24" s="18"/>
      <c r="U24" s="18"/>
      <c r="V24" s="18"/>
      <c r="W24" s="18"/>
      <c r="X24" s="18"/>
      <c r="Y24" s="18"/>
      <c r="Z24" s="18"/>
      <c r="AA24" s="18" t="s">
        <v>439</v>
      </c>
      <c r="AB24" s="18"/>
      <c r="AC24" s="18"/>
      <c r="AD24" s="18"/>
      <c r="AE24" s="18"/>
      <c r="AF24" s="18"/>
      <c r="AG24" s="18"/>
      <c r="AH24" s="18"/>
      <c r="AI24" s="18" t="s">
        <v>440</v>
      </c>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row>
    <row r="25" spans="1:63" ht="44.45" customHeight="1" x14ac:dyDescent="0.2">
      <c r="A25" s="18"/>
      <c r="B25" s="18"/>
      <c r="C25" s="18"/>
      <c r="D25" s="18"/>
      <c r="E25" s="18"/>
      <c r="F25" s="18"/>
      <c r="G25" s="18"/>
      <c r="H25" s="18"/>
      <c r="I25" s="18" t="s">
        <v>441</v>
      </c>
      <c r="J25" s="18"/>
      <c r="K25" s="18"/>
      <c r="L25" s="18"/>
      <c r="M25" s="18"/>
      <c r="N25" s="18"/>
      <c r="O25" s="18" t="s">
        <v>442</v>
      </c>
      <c r="P25" s="18"/>
      <c r="Q25" s="18"/>
      <c r="R25" s="18" t="s">
        <v>443</v>
      </c>
      <c r="S25" s="18"/>
      <c r="T25" s="18"/>
      <c r="U25" s="18"/>
      <c r="V25" s="18"/>
      <c r="W25" s="18"/>
      <c r="X25" s="18"/>
      <c r="Y25" s="18"/>
      <c r="Z25" s="18"/>
      <c r="AA25" s="18" t="s">
        <v>444</v>
      </c>
      <c r="AB25" s="18"/>
      <c r="AC25" s="18"/>
      <c r="AD25" s="18"/>
      <c r="AE25" s="18"/>
      <c r="AF25" s="18"/>
      <c r="AG25" s="18"/>
      <c r="AH25" s="18"/>
      <c r="AI25" s="18" t="s">
        <v>445</v>
      </c>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row>
    <row r="26" spans="1:63" ht="44.45" customHeight="1" x14ac:dyDescent="0.2">
      <c r="A26" s="18"/>
      <c r="B26" s="18"/>
      <c r="C26" s="18"/>
      <c r="D26" s="18"/>
      <c r="E26" s="18"/>
      <c r="F26" s="18"/>
      <c r="G26" s="18"/>
      <c r="H26" s="18"/>
      <c r="I26" s="18" t="s">
        <v>446</v>
      </c>
      <c r="J26" s="18"/>
      <c r="K26" s="18"/>
      <c r="L26" s="18"/>
      <c r="M26" s="18"/>
      <c r="N26" s="18"/>
      <c r="O26" s="18" t="s">
        <v>447</v>
      </c>
      <c r="P26" s="18"/>
      <c r="Q26" s="18"/>
      <c r="R26" s="18" t="s">
        <v>448</v>
      </c>
      <c r="S26" s="18"/>
      <c r="T26" s="18"/>
      <c r="U26" s="18"/>
      <c r="V26" s="18"/>
      <c r="W26" s="18"/>
      <c r="X26" s="18"/>
      <c r="Y26" s="18"/>
      <c r="Z26" s="18"/>
      <c r="AA26" s="18" t="s">
        <v>449</v>
      </c>
      <c r="AB26" s="18"/>
      <c r="AC26" s="18"/>
      <c r="AD26" s="18"/>
      <c r="AE26" s="18"/>
      <c r="AF26" s="18"/>
      <c r="AG26" s="18"/>
      <c r="AH26" s="18"/>
      <c r="AI26" s="18" t="s">
        <v>450</v>
      </c>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row>
    <row r="27" spans="1:63" ht="44.45" customHeight="1" x14ac:dyDescent="0.2">
      <c r="A27" s="18"/>
      <c r="B27" s="18"/>
      <c r="C27" s="18"/>
      <c r="D27" s="18"/>
      <c r="E27" s="18"/>
      <c r="F27" s="18"/>
      <c r="G27" s="18"/>
      <c r="H27" s="18"/>
      <c r="I27" s="18" t="s">
        <v>451</v>
      </c>
      <c r="J27" s="18"/>
      <c r="K27" s="18"/>
      <c r="L27" s="18"/>
      <c r="M27" s="18"/>
      <c r="N27" s="18"/>
      <c r="O27" s="18" t="s">
        <v>452</v>
      </c>
      <c r="P27" s="18"/>
      <c r="Q27" s="18"/>
      <c r="R27" s="18" t="s">
        <v>453</v>
      </c>
      <c r="S27" s="18"/>
      <c r="T27" s="18"/>
      <c r="U27" s="18"/>
      <c r="V27" s="18"/>
      <c r="W27" s="18"/>
      <c r="X27" s="18"/>
      <c r="Y27" s="18"/>
      <c r="Z27" s="18"/>
      <c r="AA27" s="18" t="s">
        <v>454</v>
      </c>
      <c r="AB27" s="18"/>
      <c r="AC27" s="18"/>
      <c r="AD27" s="18"/>
      <c r="AE27" s="18"/>
      <c r="AF27" s="18"/>
      <c r="AG27" s="18"/>
      <c r="AH27" s="18"/>
      <c r="AI27" s="18" t="s">
        <v>455</v>
      </c>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row>
    <row r="28" spans="1:63" ht="44.45" customHeight="1" x14ac:dyDescent="0.2">
      <c r="A28" s="18"/>
      <c r="B28" s="18"/>
      <c r="C28" s="18"/>
      <c r="D28" s="18"/>
      <c r="E28" s="18"/>
      <c r="F28" s="18"/>
      <c r="G28" s="18"/>
      <c r="H28" s="18"/>
      <c r="I28" s="18" t="s">
        <v>456</v>
      </c>
      <c r="J28" s="18"/>
      <c r="K28" s="18"/>
      <c r="L28" s="18"/>
      <c r="M28" s="18"/>
      <c r="N28" s="18"/>
      <c r="O28" s="18" t="s">
        <v>457</v>
      </c>
      <c r="P28" s="18"/>
      <c r="Q28" s="18"/>
      <c r="R28" s="18" t="s">
        <v>458</v>
      </c>
      <c r="S28" s="18"/>
      <c r="T28" s="18"/>
      <c r="U28" s="18"/>
      <c r="V28" s="18"/>
      <c r="W28" s="18"/>
      <c r="X28" s="18"/>
      <c r="Y28" s="18"/>
      <c r="Z28" s="18"/>
      <c r="AA28" s="18" t="s">
        <v>459</v>
      </c>
      <c r="AB28" s="18"/>
      <c r="AC28" s="18"/>
      <c r="AD28" s="18"/>
      <c r="AE28" s="18"/>
      <c r="AF28" s="18"/>
      <c r="AG28" s="18"/>
      <c r="AH28" s="18"/>
      <c r="AI28" s="18" t="s">
        <v>460</v>
      </c>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row>
    <row r="29" spans="1:63" ht="44.45" customHeight="1" x14ac:dyDescent="0.2">
      <c r="A29" s="18"/>
      <c r="B29" s="18"/>
      <c r="C29" s="18"/>
      <c r="D29" s="18"/>
      <c r="E29" s="18"/>
      <c r="F29" s="18"/>
      <c r="G29" s="18"/>
      <c r="H29" s="18"/>
      <c r="I29" s="18" t="s">
        <v>461</v>
      </c>
      <c r="J29" s="18"/>
      <c r="K29" s="18"/>
      <c r="L29" s="18"/>
      <c r="M29" s="18"/>
      <c r="N29" s="18"/>
      <c r="O29" s="18" t="s">
        <v>462</v>
      </c>
      <c r="P29" s="18"/>
      <c r="Q29" s="18"/>
      <c r="R29" s="18" t="s">
        <v>463</v>
      </c>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row>
    <row r="30" spans="1:63" ht="44.45" customHeight="1" x14ac:dyDescent="0.2">
      <c r="A30" s="18"/>
      <c r="B30" s="18"/>
      <c r="C30" s="18"/>
      <c r="D30" s="18"/>
      <c r="E30" s="18"/>
      <c r="F30" s="18"/>
      <c r="G30" s="18"/>
      <c r="H30" s="18"/>
      <c r="I30" s="18" t="s">
        <v>464</v>
      </c>
      <c r="J30" s="18"/>
      <c r="K30" s="18"/>
      <c r="L30" s="18"/>
      <c r="M30" s="18"/>
      <c r="N30" s="18"/>
      <c r="O30" s="18" t="s">
        <v>465</v>
      </c>
      <c r="P30" s="18"/>
      <c r="Q30" s="18"/>
      <c r="R30" s="18" t="s">
        <v>466</v>
      </c>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row>
    <row r="31" spans="1:63" ht="44.45" customHeight="1" x14ac:dyDescent="0.2">
      <c r="A31" s="18"/>
      <c r="B31" s="18"/>
      <c r="C31" s="18"/>
      <c r="D31" s="18"/>
      <c r="E31" s="18"/>
      <c r="F31" s="18"/>
      <c r="G31" s="18"/>
      <c r="H31" s="18"/>
      <c r="I31" s="18" t="s">
        <v>467</v>
      </c>
      <c r="J31" s="18"/>
      <c r="K31" s="18"/>
      <c r="L31" s="18"/>
      <c r="M31" s="18"/>
      <c r="N31" s="18"/>
      <c r="O31" s="18" t="s">
        <v>468</v>
      </c>
      <c r="P31" s="18"/>
      <c r="Q31" s="18"/>
      <c r="R31" s="18" t="s">
        <v>469</v>
      </c>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row>
    <row r="32" spans="1:63" ht="44.45" customHeight="1" x14ac:dyDescent="0.2">
      <c r="A32" s="18"/>
      <c r="B32" s="18"/>
      <c r="C32" s="18"/>
      <c r="D32" s="18"/>
      <c r="E32" s="18"/>
      <c r="F32" s="18"/>
      <c r="G32" s="18"/>
      <c r="H32" s="18"/>
      <c r="I32" s="18" t="s">
        <v>470</v>
      </c>
      <c r="J32" s="18"/>
      <c r="K32" s="18"/>
      <c r="L32" s="18"/>
      <c r="M32" s="18"/>
      <c r="N32" s="18"/>
      <c r="O32" s="18" t="s">
        <v>471</v>
      </c>
      <c r="P32" s="18"/>
      <c r="Q32" s="18"/>
      <c r="R32" s="18" t="s">
        <v>472</v>
      </c>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row>
    <row r="33" spans="1:63" ht="44.45" customHeight="1" x14ac:dyDescent="0.2">
      <c r="A33" s="18"/>
      <c r="B33" s="18"/>
      <c r="C33" s="18"/>
      <c r="D33" s="18"/>
      <c r="E33" s="18"/>
      <c r="F33" s="18"/>
      <c r="G33" s="18"/>
      <c r="H33" s="18"/>
      <c r="I33" s="18" t="s">
        <v>473</v>
      </c>
      <c r="J33" s="18"/>
      <c r="K33" s="18"/>
      <c r="L33" s="18"/>
      <c r="M33" s="18"/>
      <c r="N33" s="18"/>
      <c r="O33" s="18"/>
      <c r="P33" s="18"/>
      <c r="Q33" s="18"/>
      <c r="R33" s="18" t="s">
        <v>474</v>
      </c>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row>
    <row r="34" spans="1:63" ht="44.45" customHeight="1" x14ac:dyDescent="0.2">
      <c r="A34" s="18"/>
      <c r="B34" s="18"/>
      <c r="C34" s="18"/>
      <c r="D34" s="18"/>
      <c r="E34" s="18"/>
      <c r="F34" s="18"/>
      <c r="G34" s="18"/>
      <c r="H34" s="18"/>
      <c r="I34" s="18" t="s">
        <v>475</v>
      </c>
      <c r="J34" s="18"/>
      <c r="K34" s="18"/>
      <c r="L34" s="18"/>
      <c r="M34" s="18"/>
      <c r="N34" s="18"/>
      <c r="O34" s="18"/>
      <c r="P34" s="18"/>
      <c r="Q34" s="18"/>
      <c r="R34" s="18" t="s">
        <v>476</v>
      </c>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row>
    <row r="35" spans="1:63" ht="44.45" customHeight="1" x14ac:dyDescent="0.2">
      <c r="A35" s="18"/>
      <c r="B35" s="18"/>
      <c r="C35" s="18"/>
      <c r="D35" s="18"/>
      <c r="E35" s="18"/>
      <c r="F35" s="18"/>
      <c r="G35" s="18"/>
      <c r="H35" s="18"/>
      <c r="I35" s="18" t="s">
        <v>477</v>
      </c>
      <c r="J35" s="18"/>
      <c r="K35" s="18"/>
      <c r="L35" s="18"/>
      <c r="M35" s="18"/>
      <c r="N35" s="18"/>
      <c r="O35" s="18"/>
      <c r="P35" s="18"/>
      <c r="Q35" s="18"/>
      <c r="R35" s="18" t="s">
        <v>478</v>
      </c>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row>
    <row r="36" spans="1:63" ht="44.45" customHeight="1" x14ac:dyDescent="0.2">
      <c r="A36" s="18"/>
      <c r="B36" s="18"/>
      <c r="C36" s="18"/>
      <c r="D36" s="18"/>
      <c r="E36" s="18"/>
      <c r="F36" s="18"/>
      <c r="G36" s="18"/>
      <c r="H36" s="18"/>
      <c r="I36" s="18" t="s">
        <v>479</v>
      </c>
      <c r="J36" s="18"/>
      <c r="K36" s="18"/>
      <c r="L36" s="18"/>
      <c r="M36" s="18"/>
      <c r="N36" s="18"/>
      <c r="O36" s="18"/>
      <c r="P36" s="18"/>
      <c r="Q36" s="18"/>
      <c r="R36" s="18" t="s">
        <v>480</v>
      </c>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row>
    <row r="37" spans="1:63" ht="44.45" customHeight="1" x14ac:dyDescent="0.2">
      <c r="A37" s="18"/>
      <c r="B37" s="18"/>
      <c r="C37" s="18"/>
      <c r="D37" s="18"/>
      <c r="E37" s="18"/>
      <c r="F37" s="18"/>
      <c r="G37" s="18"/>
      <c r="H37" s="18"/>
      <c r="I37" s="18" t="s">
        <v>481</v>
      </c>
      <c r="J37" s="18"/>
      <c r="K37" s="18"/>
      <c r="L37" s="18"/>
      <c r="M37" s="18"/>
      <c r="N37" s="18"/>
      <c r="O37" s="18"/>
      <c r="P37" s="18"/>
      <c r="Q37" s="18"/>
      <c r="R37" s="18" t="s">
        <v>482</v>
      </c>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row>
    <row r="38" spans="1:63" ht="44.45" customHeight="1" x14ac:dyDescent="0.2">
      <c r="A38" s="18"/>
      <c r="B38" s="18"/>
      <c r="C38" s="18"/>
      <c r="D38" s="18"/>
      <c r="E38" s="18"/>
      <c r="F38" s="18"/>
      <c r="G38" s="18"/>
      <c r="H38" s="18"/>
      <c r="I38" s="18" t="s">
        <v>483</v>
      </c>
      <c r="J38" s="18"/>
      <c r="K38" s="18"/>
      <c r="L38" s="18"/>
      <c r="M38" s="18"/>
      <c r="N38" s="18"/>
      <c r="O38" s="18"/>
      <c r="P38" s="18"/>
      <c r="Q38" s="18"/>
      <c r="R38" s="18" t="s">
        <v>484</v>
      </c>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row>
    <row r="39" spans="1:63" ht="44.45" customHeight="1" x14ac:dyDescent="0.2">
      <c r="A39" s="18"/>
      <c r="B39" s="18"/>
      <c r="C39" s="18"/>
      <c r="D39" s="18"/>
      <c r="E39" s="18"/>
      <c r="F39" s="18"/>
      <c r="G39" s="18"/>
      <c r="H39" s="18"/>
      <c r="I39" s="18" t="s">
        <v>485</v>
      </c>
      <c r="J39" s="18"/>
      <c r="K39" s="18"/>
      <c r="L39" s="18"/>
      <c r="M39" s="18"/>
      <c r="N39" s="18"/>
      <c r="O39" s="18"/>
      <c r="P39" s="18"/>
      <c r="Q39" s="18"/>
      <c r="R39" s="18" t="s">
        <v>486</v>
      </c>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row>
    <row r="40" spans="1:63" ht="44.45" customHeight="1" x14ac:dyDescent="0.2">
      <c r="A40" s="18"/>
      <c r="B40" s="18"/>
      <c r="C40" s="18"/>
      <c r="D40" s="18"/>
      <c r="E40" s="18"/>
      <c r="F40" s="18"/>
      <c r="G40" s="18"/>
      <c r="H40" s="18"/>
      <c r="I40" s="18" t="s">
        <v>487</v>
      </c>
      <c r="J40" s="18"/>
      <c r="K40" s="18"/>
      <c r="L40" s="18"/>
      <c r="M40" s="18"/>
      <c r="N40" s="18"/>
      <c r="O40" s="18"/>
      <c r="P40" s="18"/>
      <c r="Q40" s="18"/>
      <c r="R40" s="18" t="s">
        <v>488</v>
      </c>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row>
    <row r="41" spans="1:63" ht="44.45" customHeight="1" x14ac:dyDescent="0.2">
      <c r="A41" s="18"/>
      <c r="B41" s="18"/>
      <c r="C41" s="18"/>
      <c r="D41" s="18"/>
      <c r="E41" s="18"/>
      <c r="F41" s="18"/>
      <c r="G41" s="18"/>
      <c r="H41" s="18"/>
      <c r="I41" s="18" t="s">
        <v>489</v>
      </c>
      <c r="J41" s="18"/>
      <c r="K41" s="18"/>
      <c r="L41" s="18"/>
      <c r="M41" s="18"/>
      <c r="N41" s="18"/>
      <c r="O41" s="18"/>
      <c r="P41" s="18"/>
      <c r="Q41" s="18"/>
      <c r="R41" s="18" t="s">
        <v>490</v>
      </c>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row>
    <row r="42" spans="1:63" ht="44.45" customHeight="1" x14ac:dyDescent="0.2">
      <c r="A42" s="18"/>
      <c r="B42" s="18"/>
      <c r="C42" s="18"/>
      <c r="D42" s="18"/>
      <c r="E42" s="18"/>
      <c r="F42" s="18"/>
      <c r="G42" s="18"/>
      <c r="H42" s="18"/>
      <c r="I42" s="18" t="s">
        <v>491</v>
      </c>
      <c r="J42" s="18"/>
      <c r="K42" s="18"/>
      <c r="L42" s="18"/>
      <c r="M42" s="18"/>
      <c r="N42" s="18"/>
      <c r="O42" s="18"/>
      <c r="P42" s="18"/>
      <c r="Q42" s="18"/>
      <c r="R42" s="18" t="s">
        <v>492</v>
      </c>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row>
    <row r="43" spans="1:63" ht="44.45" customHeight="1" x14ac:dyDescent="0.2">
      <c r="A43" s="18"/>
      <c r="B43" s="18"/>
      <c r="C43" s="18"/>
      <c r="D43" s="18"/>
      <c r="E43" s="18"/>
      <c r="F43" s="18"/>
      <c r="G43" s="18"/>
      <c r="H43" s="18"/>
      <c r="I43" s="18"/>
      <c r="J43" s="18"/>
      <c r="K43" s="18"/>
      <c r="L43" s="18"/>
      <c r="M43" s="18"/>
      <c r="N43" s="18"/>
      <c r="O43" s="18"/>
      <c r="P43" s="18"/>
      <c r="Q43" s="18"/>
      <c r="R43" s="18" t="s">
        <v>493</v>
      </c>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row>
    <row r="44" spans="1:63" ht="44.45" customHeight="1" x14ac:dyDescent="0.2">
      <c r="A44" s="18"/>
      <c r="B44" s="18"/>
      <c r="C44" s="18"/>
      <c r="D44" s="18"/>
      <c r="E44" s="18"/>
      <c r="F44" s="18"/>
      <c r="G44" s="18"/>
      <c r="H44" s="18"/>
      <c r="I44" s="18"/>
      <c r="J44" s="18"/>
      <c r="K44" s="18"/>
      <c r="L44" s="18"/>
      <c r="M44" s="18"/>
      <c r="N44" s="18"/>
      <c r="O44" s="18"/>
      <c r="P44" s="18"/>
      <c r="Q44" s="18"/>
      <c r="R44" s="18" t="s">
        <v>494</v>
      </c>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row>
    <row r="45" spans="1:63" ht="44.45" customHeight="1" x14ac:dyDescent="0.2">
      <c r="A45" s="18"/>
      <c r="B45" s="18"/>
      <c r="C45" s="18"/>
      <c r="D45" s="18"/>
      <c r="E45" s="18"/>
      <c r="F45" s="18"/>
      <c r="G45" s="18"/>
      <c r="H45" s="18"/>
      <c r="I45" s="18"/>
      <c r="J45" s="18"/>
      <c r="K45" s="18"/>
      <c r="L45" s="18"/>
      <c r="M45" s="18"/>
      <c r="N45" s="18"/>
      <c r="O45" s="18"/>
      <c r="P45" s="18"/>
      <c r="Q45" s="18"/>
      <c r="R45" s="18" t="s">
        <v>495</v>
      </c>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row>
    <row r="46" spans="1:63" ht="44.45" customHeight="1" x14ac:dyDescent="0.2">
      <c r="A46" s="18"/>
      <c r="B46" s="18"/>
      <c r="C46" s="18"/>
      <c r="D46" s="18"/>
      <c r="E46" s="18"/>
      <c r="F46" s="18"/>
      <c r="G46" s="18"/>
      <c r="H46" s="18"/>
      <c r="I46" s="18"/>
      <c r="J46" s="18"/>
      <c r="K46" s="18"/>
      <c r="L46" s="18"/>
      <c r="M46" s="18"/>
      <c r="N46" s="18"/>
      <c r="O46" s="18"/>
      <c r="P46" s="18"/>
      <c r="Q46" s="18"/>
      <c r="R46" s="18" t="s">
        <v>64</v>
      </c>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row>
    <row r="47" spans="1:63" ht="44.45" customHeight="1" x14ac:dyDescent="0.2">
      <c r="A47" s="18"/>
      <c r="B47" s="18"/>
      <c r="C47" s="18"/>
      <c r="D47" s="18"/>
      <c r="E47" s="18"/>
      <c r="F47" s="18"/>
      <c r="G47" s="18"/>
      <c r="H47" s="18"/>
      <c r="I47" s="18"/>
      <c r="J47" s="18"/>
      <c r="K47" s="18"/>
      <c r="L47" s="18"/>
      <c r="M47" s="18"/>
      <c r="N47" s="18"/>
      <c r="O47" s="18"/>
      <c r="P47" s="18"/>
      <c r="Q47" s="18"/>
      <c r="R47" s="18" t="s">
        <v>496</v>
      </c>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row>
    <row r="48" spans="1:63" ht="44.45" customHeight="1" x14ac:dyDescent="0.2">
      <c r="A48" s="18"/>
      <c r="B48" s="18"/>
      <c r="C48" s="18"/>
      <c r="D48" s="18"/>
      <c r="E48" s="18"/>
      <c r="F48" s="18"/>
      <c r="G48" s="18"/>
      <c r="H48" s="18"/>
      <c r="I48" s="18"/>
      <c r="J48" s="18"/>
      <c r="K48" s="18"/>
      <c r="L48" s="18"/>
      <c r="M48" s="18"/>
      <c r="N48" s="18"/>
      <c r="O48" s="18"/>
      <c r="P48" s="18"/>
      <c r="Q48" s="18"/>
      <c r="R48" s="18" t="s">
        <v>497</v>
      </c>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row>
    <row r="49" spans="1:63" ht="44.45" customHeight="1" x14ac:dyDescent="0.2">
      <c r="A49" s="18"/>
      <c r="B49" s="18"/>
      <c r="C49" s="18"/>
      <c r="D49" s="18"/>
      <c r="E49" s="18"/>
      <c r="F49" s="18"/>
      <c r="G49" s="18"/>
      <c r="H49" s="18"/>
      <c r="I49" s="18"/>
      <c r="J49" s="18"/>
      <c r="K49" s="18"/>
      <c r="L49" s="18"/>
      <c r="M49" s="18"/>
      <c r="N49" s="18"/>
      <c r="O49" s="18"/>
      <c r="P49" s="18"/>
      <c r="Q49" s="18"/>
      <c r="R49" s="18" t="s">
        <v>498</v>
      </c>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row>
    <row r="50" spans="1:63" ht="44.45" customHeight="1" x14ac:dyDescent="0.2">
      <c r="A50" s="18"/>
      <c r="B50" s="18"/>
      <c r="C50" s="18"/>
      <c r="D50" s="18"/>
      <c r="E50" s="18"/>
      <c r="F50" s="18"/>
      <c r="G50" s="18"/>
      <c r="H50" s="18"/>
      <c r="I50" s="18"/>
      <c r="J50" s="18"/>
      <c r="K50" s="18"/>
      <c r="L50" s="18"/>
      <c r="M50" s="18"/>
      <c r="N50" s="18"/>
      <c r="O50" s="18"/>
      <c r="P50" s="18"/>
      <c r="Q50" s="18"/>
      <c r="R50" s="18" t="s">
        <v>499</v>
      </c>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row>
    <row r="51" spans="1:63" ht="44.45" customHeight="1" x14ac:dyDescent="0.2">
      <c r="A51" s="18"/>
      <c r="B51" s="18"/>
      <c r="C51" s="18"/>
      <c r="D51" s="18"/>
      <c r="E51" s="18"/>
      <c r="F51" s="18"/>
      <c r="G51" s="18"/>
      <c r="H51" s="18"/>
      <c r="I51" s="18"/>
      <c r="J51" s="18"/>
      <c r="K51" s="18"/>
      <c r="L51" s="18"/>
      <c r="M51" s="18"/>
      <c r="N51" s="18"/>
      <c r="O51" s="18"/>
      <c r="P51" s="18"/>
      <c r="Q51" s="18"/>
      <c r="R51" s="18" t="s">
        <v>500</v>
      </c>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row>
    <row r="52" spans="1:63" ht="44.45" customHeight="1" x14ac:dyDescent="0.2">
      <c r="A52" s="18"/>
      <c r="B52" s="18"/>
      <c r="C52" s="18"/>
      <c r="D52" s="18"/>
      <c r="E52" s="18"/>
      <c r="F52" s="18"/>
      <c r="G52" s="18"/>
      <c r="H52" s="18"/>
      <c r="I52" s="18"/>
      <c r="J52" s="18"/>
      <c r="K52" s="18"/>
      <c r="L52" s="18"/>
      <c r="M52" s="18"/>
      <c r="N52" s="18"/>
      <c r="O52" s="18"/>
      <c r="P52" s="18"/>
      <c r="Q52" s="18"/>
      <c r="R52" s="18" t="s">
        <v>501</v>
      </c>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row>
    <row r="53" spans="1:63" ht="44.45" customHeight="1" x14ac:dyDescent="0.2">
      <c r="A53" s="18"/>
      <c r="B53" s="18"/>
      <c r="C53" s="18"/>
      <c r="D53" s="18"/>
      <c r="E53" s="18"/>
      <c r="F53" s="18"/>
      <c r="G53" s="18"/>
      <c r="H53" s="18"/>
      <c r="I53" s="18"/>
      <c r="J53" s="18"/>
      <c r="K53" s="18"/>
      <c r="L53" s="18"/>
      <c r="M53" s="18"/>
      <c r="N53" s="18"/>
      <c r="O53" s="18"/>
      <c r="P53" s="18"/>
      <c r="Q53" s="18"/>
      <c r="R53" s="18" t="s">
        <v>502</v>
      </c>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row>
    <row r="54" spans="1:63" ht="44.45" customHeight="1" x14ac:dyDescent="0.2">
      <c r="A54" s="18"/>
      <c r="B54" s="18"/>
      <c r="C54" s="18"/>
      <c r="D54" s="18"/>
      <c r="E54" s="18"/>
      <c r="F54" s="18"/>
      <c r="G54" s="18"/>
      <c r="H54" s="18"/>
      <c r="I54" s="18"/>
      <c r="J54" s="18"/>
      <c r="K54" s="18"/>
      <c r="L54" s="18"/>
      <c r="M54" s="18"/>
      <c r="N54" s="18"/>
      <c r="O54" s="18"/>
      <c r="P54" s="18"/>
      <c r="Q54" s="18"/>
      <c r="R54" s="18" t="s">
        <v>503</v>
      </c>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row>
    <row r="55" spans="1:63" ht="44.45" customHeight="1" x14ac:dyDescent="0.2">
      <c r="A55" s="18"/>
      <c r="B55" s="18"/>
      <c r="C55" s="18"/>
      <c r="D55" s="18"/>
      <c r="E55" s="18"/>
      <c r="F55" s="18"/>
      <c r="G55" s="18"/>
      <c r="H55" s="18"/>
      <c r="I55" s="18"/>
      <c r="J55" s="18"/>
      <c r="K55" s="18"/>
      <c r="L55" s="18"/>
      <c r="M55" s="18"/>
      <c r="N55" s="18"/>
      <c r="O55" s="18"/>
      <c r="P55" s="18"/>
      <c r="Q55" s="18"/>
      <c r="R55" s="18" t="s">
        <v>504</v>
      </c>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row>
    <row r="56" spans="1:63" ht="44.45" customHeight="1" x14ac:dyDescent="0.2">
      <c r="A56" s="18"/>
      <c r="B56" s="18"/>
      <c r="C56" s="18"/>
      <c r="D56" s="18"/>
      <c r="E56" s="18"/>
      <c r="F56" s="18"/>
      <c r="G56" s="18"/>
      <c r="H56" s="18"/>
      <c r="I56" s="18"/>
      <c r="J56" s="18"/>
      <c r="K56" s="18"/>
      <c r="L56" s="18"/>
      <c r="M56" s="18"/>
      <c r="N56" s="18"/>
      <c r="O56" s="18"/>
      <c r="P56" s="18"/>
      <c r="Q56" s="18"/>
      <c r="R56" s="18" t="s">
        <v>505</v>
      </c>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row>
    <row r="57" spans="1:63" ht="44.45" customHeight="1" x14ac:dyDescent="0.2">
      <c r="A57" s="18"/>
      <c r="B57" s="18"/>
      <c r="C57" s="18"/>
      <c r="D57" s="18"/>
      <c r="E57" s="18"/>
      <c r="F57" s="18"/>
      <c r="G57" s="18"/>
      <c r="H57" s="18"/>
      <c r="I57" s="18"/>
      <c r="J57" s="18"/>
      <c r="K57" s="18"/>
      <c r="L57" s="18"/>
      <c r="M57" s="18"/>
      <c r="N57" s="18"/>
      <c r="O57" s="18"/>
      <c r="P57" s="18"/>
      <c r="Q57" s="18"/>
      <c r="R57" s="18" t="s">
        <v>506</v>
      </c>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row>
    <row r="58" spans="1:63" ht="44.45" customHeight="1" x14ac:dyDescent="0.2">
      <c r="A58" s="18"/>
      <c r="B58" s="18"/>
      <c r="C58" s="18"/>
      <c r="D58" s="18"/>
      <c r="E58" s="18"/>
      <c r="F58" s="18"/>
      <c r="G58" s="18"/>
      <c r="H58" s="18"/>
      <c r="I58" s="18"/>
      <c r="J58" s="18"/>
      <c r="K58" s="18"/>
      <c r="L58" s="18"/>
      <c r="M58" s="18"/>
      <c r="N58" s="18"/>
      <c r="O58" s="18"/>
      <c r="P58" s="18"/>
      <c r="Q58" s="18"/>
      <c r="R58" s="18" t="s">
        <v>507</v>
      </c>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row>
    <row r="59" spans="1:63" ht="44.45" customHeight="1" x14ac:dyDescent="0.2">
      <c r="A59" s="18"/>
      <c r="B59" s="18"/>
      <c r="C59" s="18"/>
      <c r="D59" s="18"/>
      <c r="E59" s="18"/>
      <c r="F59" s="18"/>
      <c r="G59" s="18"/>
      <c r="H59" s="18"/>
      <c r="I59" s="18"/>
      <c r="J59" s="18"/>
      <c r="K59" s="18"/>
      <c r="L59" s="18"/>
      <c r="M59" s="18"/>
      <c r="N59" s="18"/>
      <c r="O59" s="18"/>
      <c r="P59" s="18"/>
      <c r="Q59" s="18"/>
      <c r="R59" s="18" t="s">
        <v>508</v>
      </c>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row>
    <row r="60" spans="1:63" ht="44.45" customHeight="1" x14ac:dyDescent="0.2">
      <c r="A60" s="18"/>
      <c r="B60" s="18"/>
      <c r="C60" s="18"/>
      <c r="D60" s="18"/>
      <c r="E60" s="18"/>
      <c r="F60" s="18"/>
      <c r="G60" s="18"/>
      <c r="H60" s="18"/>
      <c r="I60" s="18"/>
      <c r="J60" s="18"/>
      <c r="K60" s="18"/>
      <c r="L60" s="18"/>
      <c r="M60" s="18"/>
      <c r="N60" s="18"/>
      <c r="O60" s="18"/>
      <c r="P60" s="18"/>
      <c r="Q60" s="18"/>
      <c r="R60" s="18" t="s">
        <v>509</v>
      </c>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row>
    <row r="61" spans="1:63" ht="44.45" customHeight="1" x14ac:dyDescent="0.2">
      <c r="A61" s="18"/>
      <c r="B61" s="18"/>
      <c r="C61" s="18"/>
      <c r="D61" s="18"/>
      <c r="E61" s="18"/>
      <c r="F61" s="18"/>
      <c r="G61" s="18"/>
      <c r="H61" s="18"/>
      <c r="I61" s="18"/>
      <c r="J61" s="18"/>
      <c r="K61" s="18"/>
      <c r="L61" s="18"/>
      <c r="M61" s="18"/>
      <c r="N61" s="18"/>
      <c r="O61" s="18"/>
      <c r="P61" s="18"/>
      <c r="Q61" s="18"/>
      <c r="R61" s="18" t="s">
        <v>510</v>
      </c>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row>
    <row r="62" spans="1:63" ht="44.45" customHeight="1" x14ac:dyDescent="0.2">
      <c r="A62" s="18"/>
      <c r="B62" s="18"/>
      <c r="C62" s="18"/>
      <c r="D62" s="18"/>
      <c r="E62" s="18"/>
      <c r="F62" s="18"/>
      <c r="G62" s="18"/>
      <c r="H62" s="18"/>
      <c r="I62" s="18"/>
      <c r="J62" s="18"/>
      <c r="K62" s="18"/>
      <c r="L62" s="18"/>
      <c r="M62" s="18"/>
      <c r="N62" s="18"/>
      <c r="O62" s="18"/>
      <c r="P62" s="18"/>
      <c r="Q62" s="18"/>
      <c r="R62" s="18" t="s">
        <v>511</v>
      </c>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row>
    <row r="63" spans="1:63" ht="44.45" customHeight="1" x14ac:dyDescent="0.2">
      <c r="A63" s="18"/>
      <c r="B63" s="18"/>
      <c r="C63" s="18"/>
      <c r="D63" s="18"/>
      <c r="E63" s="18"/>
      <c r="F63" s="18"/>
      <c r="G63" s="18"/>
      <c r="H63" s="18"/>
      <c r="I63" s="18"/>
      <c r="J63" s="18"/>
      <c r="K63" s="18"/>
      <c r="L63" s="18"/>
      <c r="M63" s="18"/>
      <c r="N63" s="18"/>
      <c r="O63" s="18"/>
      <c r="P63" s="18"/>
      <c r="Q63" s="18"/>
      <c r="R63" s="18" t="s">
        <v>512</v>
      </c>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row>
    <row r="64" spans="1:63" ht="44.45" customHeight="1" x14ac:dyDescent="0.2">
      <c r="A64" s="18"/>
      <c r="B64" s="18"/>
      <c r="C64" s="18"/>
      <c r="D64" s="18"/>
      <c r="E64" s="18"/>
      <c r="F64" s="18"/>
      <c r="G64" s="18"/>
      <c r="H64" s="18"/>
      <c r="I64" s="18"/>
      <c r="J64" s="18"/>
      <c r="K64" s="18"/>
      <c r="L64" s="18"/>
      <c r="M64" s="18"/>
      <c r="N64" s="18"/>
      <c r="O64" s="18"/>
      <c r="P64" s="18"/>
      <c r="Q64" s="18"/>
      <c r="R64" s="18" t="s">
        <v>513</v>
      </c>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row>
    <row r="65" spans="1:63" ht="44.45" customHeight="1" x14ac:dyDescent="0.2">
      <c r="A65" s="18"/>
      <c r="B65" s="18"/>
      <c r="C65" s="18"/>
      <c r="D65" s="18"/>
      <c r="E65" s="18"/>
      <c r="F65" s="18"/>
      <c r="G65" s="18"/>
      <c r="H65" s="18"/>
      <c r="I65" s="18"/>
      <c r="J65" s="18"/>
      <c r="K65" s="18"/>
      <c r="L65" s="18"/>
      <c r="M65" s="18"/>
      <c r="N65" s="18"/>
      <c r="O65" s="18"/>
      <c r="P65" s="18"/>
      <c r="Q65" s="18"/>
      <c r="R65" s="18" t="s">
        <v>514</v>
      </c>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row>
    <row r="66" spans="1:63" ht="44.45" customHeight="1" x14ac:dyDescent="0.2">
      <c r="A66" s="18"/>
      <c r="B66" s="18"/>
      <c r="C66" s="18"/>
      <c r="D66" s="18"/>
      <c r="E66" s="18"/>
      <c r="F66" s="18"/>
      <c r="G66" s="18"/>
      <c r="H66" s="18"/>
      <c r="I66" s="18"/>
      <c r="J66" s="18"/>
      <c r="K66" s="18"/>
      <c r="L66" s="18"/>
      <c r="M66" s="18"/>
      <c r="N66" s="18"/>
      <c r="O66" s="18"/>
      <c r="P66" s="18"/>
      <c r="Q66" s="18"/>
      <c r="R66" s="18" t="s">
        <v>515</v>
      </c>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row>
    <row r="67" spans="1:63" ht="44.45" customHeight="1" x14ac:dyDescent="0.2">
      <c r="A67" s="18"/>
      <c r="B67" s="18"/>
      <c r="C67" s="18"/>
      <c r="D67" s="18"/>
      <c r="E67" s="18"/>
      <c r="F67" s="18"/>
      <c r="G67" s="18"/>
      <c r="H67" s="18"/>
      <c r="I67" s="18"/>
      <c r="J67" s="18"/>
      <c r="K67" s="18"/>
      <c r="L67" s="18"/>
      <c r="M67" s="18"/>
      <c r="N67" s="18"/>
      <c r="O67" s="18"/>
      <c r="P67" s="18"/>
      <c r="Q67" s="18"/>
      <c r="R67" s="18" t="s">
        <v>516</v>
      </c>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row>
    <row r="68" spans="1:63" ht="44.45" customHeight="1" x14ac:dyDescent="0.2">
      <c r="A68" s="18"/>
      <c r="B68" s="18"/>
      <c r="C68" s="18"/>
      <c r="D68" s="18"/>
      <c r="E68" s="18"/>
      <c r="F68" s="18"/>
      <c r="G68" s="18"/>
      <c r="H68" s="18"/>
      <c r="I68" s="18"/>
      <c r="J68" s="18"/>
      <c r="K68" s="18"/>
      <c r="L68" s="18"/>
      <c r="M68" s="18"/>
      <c r="N68" s="18"/>
      <c r="O68" s="18"/>
      <c r="P68" s="18"/>
      <c r="Q68" s="18"/>
      <c r="R68" s="18" t="s">
        <v>517</v>
      </c>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row>
    <row r="69" spans="1:63" ht="44.45" customHeight="1" x14ac:dyDescent="0.2">
      <c r="A69" s="18"/>
      <c r="B69" s="18"/>
      <c r="C69" s="18"/>
      <c r="D69" s="18"/>
      <c r="E69" s="18"/>
      <c r="F69" s="18"/>
      <c r="G69" s="18"/>
      <c r="H69" s="18"/>
      <c r="I69" s="18"/>
      <c r="J69" s="18"/>
      <c r="K69" s="18"/>
      <c r="L69" s="18"/>
      <c r="M69" s="18"/>
      <c r="N69" s="18"/>
      <c r="O69" s="18"/>
      <c r="P69" s="18"/>
      <c r="Q69" s="18"/>
      <c r="R69" s="18" t="s">
        <v>518</v>
      </c>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row>
    <row r="70" spans="1:63" ht="44.45" customHeight="1" x14ac:dyDescent="0.2">
      <c r="A70" s="18"/>
      <c r="B70" s="18"/>
      <c r="C70" s="18"/>
      <c r="D70" s="18"/>
      <c r="E70" s="18"/>
      <c r="F70" s="18"/>
      <c r="G70" s="18"/>
      <c r="H70" s="18"/>
      <c r="I70" s="18"/>
      <c r="J70" s="18"/>
      <c r="K70" s="18"/>
      <c r="L70" s="18"/>
      <c r="M70" s="18"/>
      <c r="N70" s="18"/>
      <c r="O70" s="18"/>
      <c r="P70" s="18"/>
      <c r="Q70" s="18"/>
      <c r="R70" s="18" t="s">
        <v>519</v>
      </c>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row>
    <row r="71" spans="1:63" ht="44.45" customHeight="1" x14ac:dyDescent="0.2">
      <c r="A71" s="18"/>
      <c r="B71" s="18"/>
      <c r="C71" s="18"/>
      <c r="D71" s="18"/>
      <c r="E71" s="18"/>
      <c r="F71" s="18"/>
      <c r="G71" s="18"/>
      <c r="H71" s="18"/>
      <c r="I71" s="18"/>
      <c r="J71" s="18"/>
      <c r="K71" s="18"/>
      <c r="L71" s="18"/>
      <c r="M71" s="18"/>
      <c r="N71" s="18"/>
      <c r="O71" s="18"/>
      <c r="P71" s="18"/>
      <c r="Q71" s="18"/>
      <c r="R71" s="18" t="s">
        <v>520</v>
      </c>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row>
    <row r="72" spans="1:63" ht="44.45" customHeight="1" x14ac:dyDescent="0.2">
      <c r="A72" s="18"/>
      <c r="B72" s="18"/>
      <c r="C72" s="18"/>
      <c r="D72" s="18"/>
      <c r="E72" s="18"/>
      <c r="F72" s="18"/>
      <c r="G72" s="18"/>
      <c r="H72" s="18"/>
      <c r="I72" s="18"/>
      <c r="J72" s="18"/>
      <c r="K72" s="18"/>
      <c r="L72" s="18"/>
      <c r="M72" s="18"/>
      <c r="N72" s="18"/>
      <c r="O72" s="18"/>
      <c r="P72" s="18"/>
      <c r="Q72" s="18"/>
      <c r="R72" s="18" t="s">
        <v>521</v>
      </c>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row>
    <row r="73" spans="1:63" ht="44.45" customHeight="1" x14ac:dyDescent="0.2">
      <c r="A73" s="18"/>
      <c r="B73" s="18"/>
      <c r="C73" s="18"/>
      <c r="D73" s="18"/>
      <c r="E73" s="18"/>
      <c r="F73" s="18"/>
      <c r="G73" s="18"/>
      <c r="H73" s="18"/>
      <c r="I73" s="18"/>
      <c r="J73" s="18"/>
      <c r="K73" s="18"/>
      <c r="L73" s="18"/>
      <c r="M73" s="18"/>
      <c r="N73" s="18"/>
      <c r="O73" s="18"/>
      <c r="P73" s="18"/>
      <c r="Q73" s="18"/>
      <c r="R73" s="18" t="s">
        <v>522</v>
      </c>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row>
    <row r="74" spans="1:63" ht="44.45" customHeight="1" x14ac:dyDescent="0.2">
      <c r="A74" s="18"/>
      <c r="B74" s="18"/>
      <c r="C74" s="18"/>
      <c r="D74" s="18"/>
      <c r="E74" s="18"/>
      <c r="F74" s="18"/>
      <c r="G74" s="18"/>
      <c r="H74" s="18"/>
      <c r="I74" s="18"/>
      <c r="J74" s="18"/>
      <c r="K74" s="18"/>
      <c r="L74" s="18"/>
      <c r="M74" s="18"/>
      <c r="N74" s="18"/>
      <c r="O74" s="18"/>
      <c r="P74" s="18"/>
      <c r="Q74" s="18"/>
      <c r="R74" s="18" t="s">
        <v>523</v>
      </c>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row>
    <row r="75" spans="1:63" ht="44.45" customHeight="1" x14ac:dyDescent="0.2">
      <c r="A75" s="18"/>
      <c r="B75" s="18"/>
      <c r="C75" s="18"/>
      <c r="D75" s="18"/>
      <c r="E75" s="18"/>
      <c r="F75" s="18"/>
      <c r="G75" s="18"/>
      <c r="H75" s="18"/>
      <c r="I75" s="18"/>
      <c r="J75" s="18"/>
      <c r="K75" s="18"/>
      <c r="L75" s="18"/>
      <c r="M75" s="18"/>
      <c r="N75" s="18"/>
      <c r="O75" s="18"/>
      <c r="P75" s="18"/>
      <c r="Q75" s="18"/>
      <c r="R75" s="18" t="s">
        <v>524</v>
      </c>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row>
    <row r="76" spans="1:63" ht="44.45" customHeight="1" x14ac:dyDescent="0.2">
      <c r="A76" s="18"/>
      <c r="B76" s="18"/>
      <c r="C76" s="18"/>
      <c r="D76" s="18"/>
      <c r="E76" s="18"/>
      <c r="F76" s="18"/>
      <c r="G76" s="18"/>
      <c r="H76" s="18"/>
      <c r="I76" s="18"/>
      <c r="J76" s="18"/>
      <c r="K76" s="18"/>
      <c r="L76" s="18"/>
      <c r="M76" s="18"/>
      <c r="N76" s="18"/>
      <c r="O76" s="18"/>
      <c r="P76" s="18"/>
      <c r="Q76" s="18"/>
      <c r="R76" s="18" t="s">
        <v>525</v>
      </c>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row>
    <row r="77" spans="1:63" ht="44.45" customHeight="1" x14ac:dyDescent="0.2">
      <c r="A77" s="18"/>
      <c r="B77" s="18"/>
      <c r="C77" s="18"/>
      <c r="D77" s="18"/>
      <c r="E77" s="18"/>
      <c r="F77" s="18"/>
      <c r="G77" s="18"/>
      <c r="H77" s="18"/>
      <c r="I77" s="18"/>
      <c r="J77" s="18"/>
      <c r="K77" s="18"/>
      <c r="L77" s="18"/>
      <c r="M77" s="18"/>
      <c r="N77" s="18"/>
      <c r="O77" s="18"/>
      <c r="P77" s="18"/>
      <c r="Q77" s="18"/>
      <c r="R77" s="18" t="s">
        <v>526</v>
      </c>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row>
    <row r="78" spans="1:63" ht="44.45" customHeight="1" x14ac:dyDescent="0.2">
      <c r="A78" s="18"/>
      <c r="B78" s="18"/>
      <c r="C78" s="18"/>
      <c r="D78" s="18"/>
      <c r="E78" s="18"/>
      <c r="F78" s="18"/>
      <c r="G78" s="18"/>
      <c r="H78" s="18"/>
      <c r="I78" s="18"/>
      <c r="J78" s="18"/>
      <c r="K78" s="18"/>
      <c r="L78" s="18"/>
      <c r="M78" s="18"/>
      <c r="N78" s="18"/>
      <c r="O78" s="18"/>
      <c r="P78" s="18"/>
      <c r="Q78" s="18"/>
      <c r="R78" s="18" t="s">
        <v>527</v>
      </c>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row>
    <row r="79" spans="1:63" ht="44.45" customHeight="1" x14ac:dyDescent="0.2">
      <c r="A79" s="18"/>
      <c r="B79" s="18"/>
      <c r="C79" s="18"/>
      <c r="D79" s="18"/>
      <c r="E79" s="18"/>
      <c r="F79" s="18"/>
      <c r="G79" s="18"/>
      <c r="H79" s="18"/>
      <c r="I79" s="18"/>
      <c r="J79" s="18"/>
      <c r="K79" s="18"/>
      <c r="L79" s="18"/>
      <c r="M79" s="18"/>
      <c r="N79" s="18"/>
      <c r="O79" s="18"/>
      <c r="P79" s="18"/>
      <c r="Q79" s="18"/>
      <c r="R79" s="18" t="s">
        <v>528</v>
      </c>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row>
    <row r="80" spans="1:63" ht="44.45" customHeight="1" x14ac:dyDescent="0.2">
      <c r="A80" s="18"/>
      <c r="B80" s="18"/>
      <c r="C80" s="18"/>
      <c r="D80" s="18"/>
      <c r="E80" s="18"/>
      <c r="F80" s="18"/>
      <c r="G80" s="18"/>
      <c r="H80" s="18"/>
      <c r="I80" s="18"/>
      <c r="J80" s="18"/>
      <c r="K80" s="18"/>
      <c r="L80" s="18"/>
      <c r="M80" s="18"/>
      <c r="N80" s="18"/>
      <c r="O80" s="18"/>
      <c r="P80" s="18"/>
      <c r="Q80" s="18"/>
      <c r="R80" s="18" t="s">
        <v>529</v>
      </c>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row>
    <row r="81" spans="1:63" ht="44.45" customHeight="1" x14ac:dyDescent="0.2">
      <c r="A81" s="18"/>
      <c r="B81" s="18"/>
      <c r="C81" s="18"/>
      <c r="D81" s="18"/>
      <c r="E81" s="18"/>
      <c r="F81" s="18"/>
      <c r="G81" s="18"/>
      <c r="H81" s="18"/>
      <c r="I81" s="18"/>
      <c r="J81" s="18"/>
      <c r="K81" s="18"/>
      <c r="L81" s="18"/>
      <c r="M81" s="18"/>
      <c r="N81" s="18"/>
      <c r="O81" s="18"/>
      <c r="P81" s="18"/>
      <c r="Q81" s="18"/>
      <c r="R81" s="18" t="s">
        <v>530</v>
      </c>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row>
    <row r="82" spans="1:63" ht="44.45" customHeight="1" x14ac:dyDescent="0.2">
      <c r="A82" s="18"/>
      <c r="B82" s="18"/>
      <c r="C82" s="18"/>
      <c r="D82" s="18"/>
      <c r="E82" s="18"/>
      <c r="F82" s="18"/>
      <c r="G82" s="18"/>
      <c r="H82" s="18"/>
      <c r="I82" s="18"/>
      <c r="J82" s="18"/>
      <c r="K82" s="18"/>
      <c r="L82" s="18"/>
      <c r="M82" s="18"/>
      <c r="N82" s="18"/>
      <c r="O82" s="18"/>
      <c r="P82" s="18"/>
      <c r="Q82" s="18"/>
      <c r="R82" s="18" t="s">
        <v>531</v>
      </c>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row>
    <row r="83" spans="1:63" ht="44.45" customHeight="1" x14ac:dyDescent="0.2">
      <c r="A83" s="18"/>
      <c r="B83" s="18"/>
      <c r="C83" s="18"/>
      <c r="D83" s="18"/>
      <c r="E83" s="18"/>
      <c r="F83" s="18"/>
      <c r="G83" s="18"/>
      <c r="H83" s="18"/>
      <c r="I83" s="18"/>
      <c r="J83" s="18"/>
      <c r="K83" s="18"/>
      <c r="L83" s="18"/>
      <c r="M83" s="18"/>
      <c r="N83" s="18"/>
      <c r="O83" s="18"/>
      <c r="P83" s="18"/>
      <c r="Q83" s="18"/>
      <c r="R83" s="18" t="s">
        <v>532</v>
      </c>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row>
    <row r="84" spans="1:63" ht="44.45" customHeight="1" x14ac:dyDescent="0.2">
      <c r="A84" s="18"/>
      <c r="B84" s="18"/>
      <c r="C84" s="18"/>
      <c r="D84" s="18"/>
      <c r="E84" s="18"/>
      <c r="F84" s="18"/>
      <c r="G84" s="18"/>
      <c r="H84" s="18"/>
      <c r="I84" s="18"/>
      <c r="J84" s="18"/>
      <c r="K84" s="18"/>
      <c r="L84" s="18"/>
      <c r="M84" s="18"/>
      <c r="N84" s="18"/>
      <c r="O84" s="18"/>
      <c r="P84" s="18"/>
      <c r="Q84" s="18"/>
      <c r="R84" s="18" t="s">
        <v>533</v>
      </c>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row>
    <row r="85" spans="1:63" ht="44.45" customHeight="1" x14ac:dyDescent="0.2">
      <c r="A85" s="18"/>
      <c r="B85" s="18"/>
      <c r="C85" s="18"/>
      <c r="D85" s="18"/>
      <c r="E85" s="18"/>
      <c r="F85" s="18"/>
      <c r="G85" s="18"/>
      <c r="H85" s="18"/>
      <c r="I85" s="18"/>
      <c r="J85" s="18"/>
      <c r="K85" s="18"/>
      <c r="L85" s="18"/>
      <c r="M85" s="18"/>
      <c r="N85" s="18"/>
      <c r="O85" s="18"/>
      <c r="P85" s="18"/>
      <c r="Q85" s="18"/>
      <c r="R85" s="18" t="s">
        <v>534</v>
      </c>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row>
    <row r="86" spans="1:63" ht="44.45" customHeight="1" x14ac:dyDescent="0.2">
      <c r="A86" s="18"/>
      <c r="B86" s="18"/>
      <c r="C86" s="18"/>
      <c r="D86" s="18"/>
      <c r="E86" s="18"/>
      <c r="F86" s="18"/>
      <c r="G86" s="18"/>
      <c r="H86" s="18"/>
      <c r="I86" s="18"/>
      <c r="J86" s="18"/>
      <c r="K86" s="18"/>
      <c r="L86" s="18"/>
      <c r="M86" s="18"/>
      <c r="N86" s="18"/>
      <c r="O86" s="18"/>
      <c r="P86" s="18"/>
      <c r="Q86" s="18"/>
      <c r="R86" s="18" t="s">
        <v>535</v>
      </c>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row>
    <row r="87" spans="1:63" ht="44.45" customHeight="1" x14ac:dyDescent="0.2">
      <c r="A87" s="18"/>
      <c r="B87" s="18"/>
      <c r="C87" s="18"/>
      <c r="D87" s="18"/>
      <c r="E87" s="18"/>
      <c r="F87" s="18"/>
      <c r="G87" s="18"/>
      <c r="H87" s="18"/>
      <c r="I87" s="18"/>
      <c r="J87" s="18"/>
      <c r="K87" s="18"/>
      <c r="L87" s="18"/>
      <c r="M87" s="18"/>
      <c r="N87" s="18"/>
      <c r="O87" s="18"/>
      <c r="P87" s="18"/>
      <c r="Q87" s="18"/>
      <c r="R87" s="18" t="s">
        <v>536</v>
      </c>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row>
    <row r="88" spans="1:63" ht="44.45" customHeight="1" x14ac:dyDescent="0.2">
      <c r="A88" s="18"/>
      <c r="B88" s="18"/>
      <c r="C88" s="18"/>
      <c r="D88" s="18"/>
      <c r="E88" s="18"/>
      <c r="F88" s="18"/>
      <c r="G88" s="18"/>
      <c r="H88" s="18"/>
      <c r="I88" s="18"/>
      <c r="J88" s="18"/>
      <c r="K88" s="18"/>
      <c r="L88" s="18"/>
      <c r="M88" s="18"/>
      <c r="N88" s="18"/>
      <c r="O88" s="18"/>
      <c r="P88" s="18"/>
      <c r="Q88" s="18"/>
      <c r="R88" s="18" t="s">
        <v>537</v>
      </c>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row>
    <row r="89" spans="1:63" ht="44.45" customHeight="1" x14ac:dyDescent="0.2">
      <c r="A89" s="18"/>
      <c r="B89" s="18"/>
      <c r="C89" s="18"/>
      <c r="D89" s="18"/>
      <c r="E89" s="18"/>
      <c r="F89" s="18"/>
      <c r="G89" s="18"/>
      <c r="H89" s="18"/>
      <c r="I89" s="18"/>
      <c r="J89" s="18"/>
      <c r="K89" s="18"/>
      <c r="L89" s="18"/>
      <c r="M89" s="18"/>
      <c r="N89" s="18"/>
      <c r="O89" s="18"/>
      <c r="P89" s="18"/>
      <c r="Q89" s="18"/>
      <c r="R89" s="18" t="s">
        <v>538</v>
      </c>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row>
    <row r="90" spans="1:63" ht="44.45" customHeight="1" x14ac:dyDescent="0.2">
      <c r="A90" s="18"/>
      <c r="B90" s="18"/>
      <c r="C90" s="18"/>
      <c r="D90" s="18"/>
      <c r="E90" s="18"/>
      <c r="F90" s="18"/>
      <c r="G90" s="18"/>
      <c r="H90" s="18"/>
      <c r="I90" s="18"/>
      <c r="J90" s="18"/>
      <c r="K90" s="18"/>
      <c r="L90" s="18"/>
      <c r="M90" s="18"/>
      <c r="N90" s="18"/>
      <c r="O90" s="18"/>
      <c r="P90" s="18"/>
      <c r="Q90" s="18"/>
      <c r="R90" s="18" t="s">
        <v>539</v>
      </c>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row>
    <row r="91" spans="1:63" ht="44.45" customHeight="1" x14ac:dyDescent="0.2">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row>
    <row r="92" spans="1:63" ht="44.45" customHeight="1" x14ac:dyDescent="0.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row>
    <row r="93" spans="1:63" ht="44.45" customHeight="1" x14ac:dyDescent="0.2">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row>
    <row r="94" spans="1:63" ht="44.45" customHeight="1" x14ac:dyDescent="0.2">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row>
    <row r="95" spans="1:63" ht="44.45" customHeight="1" x14ac:dyDescent="0.2">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row>
    <row r="96" spans="1:63" ht="44.45" customHeight="1" x14ac:dyDescent="0.2">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row>
    <row r="97" spans="1:63" ht="44.45" customHeight="1" x14ac:dyDescent="0.2">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row>
    <row r="98" spans="1:63" ht="44.45" customHeight="1" x14ac:dyDescent="0.2">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row>
    <row r="99" spans="1:63" ht="44.45" customHeight="1" x14ac:dyDescent="0.2">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row>
    <row r="100" spans="1:63" ht="44.45" customHeight="1" x14ac:dyDescent="0.2">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row>
    <row r="101" spans="1:63" ht="44.45" customHeight="1" x14ac:dyDescent="0.2">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row>
    <row r="102" spans="1:63" ht="44.45" customHeight="1" x14ac:dyDescent="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row>
    <row r="103" spans="1:63" ht="44.45" customHeight="1" x14ac:dyDescent="0.2">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row>
    <row r="104" spans="1:63" ht="44.45" customHeight="1" x14ac:dyDescent="0.2">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row>
    <row r="105" spans="1:63" ht="44.45" customHeight="1" x14ac:dyDescent="0.2">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row>
    <row r="106" spans="1:63" ht="44.45" customHeight="1" x14ac:dyDescent="0.2">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row>
    <row r="107" spans="1:63" ht="44.45" customHeight="1" x14ac:dyDescent="0.2">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row>
    <row r="108" spans="1:63" ht="44.45" customHeight="1" x14ac:dyDescent="0.2">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row>
    <row r="109" spans="1:63" ht="44.45" customHeight="1" x14ac:dyDescent="0.2">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row>
    <row r="110" spans="1:63" ht="44.45" customHeight="1" x14ac:dyDescent="0.2">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row>
    <row r="111" spans="1:63" ht="44.45" customHeight="1" x14ac:dyDescent="0.2">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row>
    <row r="112" spans="1:63" ht="44.45" customHeight="1" x14ac:dyDescent="0.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row>
    <row r="113" spans="1:63" ht="44.45" customHeight="1" x14ac:dyDescent="0.2">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c r="BI113" s="18"/>
      <c r="BJ113" s="18"/>
      <c r="BK113" s="18"/>
    </row>
    <row r="114" spans="1:63" ht="44.45" customHeight="1" x14ac:dyDescent="0.2">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c r="BI114" s="18"/>
      <c r="BJ114" s="18"/>
      <c r="BK114" s="18"/>
    </row>
    <row r="115" spans="1:63" ht="44.45" customHeight="1" x14ac:dyDescent="0.2">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c r="BI115" s="18"/>
      <c r="BJ115" s="18"/>
      <c r="BK115" s="18"/>
    </row>
    <row r="116" spans="1:63" ht="44.45" customHeight="1" x14ac:dyDescent="0.2">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c r="BI116" s="18"/>
      <c r="BJ116" s="18"/>
      <c r="BK116" s="18"/>
    </row>
    <row r="117" spans="1:63" ht="44.45" customHeight="1" x14ac:dyDescent="0.2">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c r="BI117" s="18"/>
      <c r="BJ117" s="18"/>
      <c r="BK117" s="18"/>
    </row>
    <row r="118" spans="1:63" ht="44.45" customHeight="1" x14ac:dyDescent="0.2">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c r="BI118" s="18"/>
      <c r="BJ118" s="18"/>
      <c r="BK118" s="18"/>
    </row>
    <row r="119" spans="1:63" ht="44.45" customHeight="1" x14ac:dyDescent="0.2">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c r="BI119" s="18"/>
      <c r="BJ119" s="18"/>
      <c r="BK119" s="18"/>
    </row>
    <row r="120" spans="1:63" ht="44.45" customHeight="1" x14ac:dyDescent="0.2">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c r="BI120" s="18"/>
      <c r="BJ120" s="18"/>
      <c r="BK120" s="18"/>
    </row>
    <row r="121" spans="1:63" ht="44.45" customHeight="1" x14ac:dyDescent="0.2">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c r="BI121" s="18"/>
      <c r="BJ121" s="18"/>
      <c r="BK121" s="18"/>
    </row>
    <row r="122" spans="1:63" ht="44.45" customHeight="1" x14ac:dyDescent="0.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c r="BI122" s="18"/>
      <c r="BJ122" s="18"/>
      <c r="BK122" s="18"/>
    </row>
    <row r="123" spans="1:63" ht="44.45" customHeight="1" x14ac:dyDescent="0.2">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c r="BI123" s="18"/>
      <c r="BJ123" s="18"/>
      <c r="BK123" s="18"/>
    </row>
    <row r="124" spans="1:63" ht="44.45" customHeight="1" x14ac:dyDescent="0.2">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c r="BI124" s="18"/>
      <c r="BJ124" s="18"/>
      <c r="BK124" s="18"/>
    </row>
    <row r="125" spans="1:63" ht="44.45" customHeight="1" x14ac:dyDescent="0.2">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c r="BI125" s="18"/>
      <c r="BJ125" s="18"/>
      <c r="BK125" s="18"/>
    </row>
    <row r="126" spans="1:63" ht="44.45" customHeight="1" x14ac:dyDescent="0.2">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c r="BI126" s="18"/>
      <c r="BJ126" s="18"/>
      <c r="BK126" s="18"/>
    </row>
    <row r="127" spans="1:63" ht="44.45" customHeight="1" x14ac:dyDescent="0.2">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c r="BI127" s="18"/>
      <c r="BJ127" s="18"/>
      <c r="BK127" s="18"/>
    </row>
    <row r="128" spans="1:63" ht="44.45" customHeight="1" x14ac:dyDescent="0.2">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c r="BI128" s="18"/>
      <c r="BJ128" s="18"/>
      <c r="BK128" s="18"/>
    </row>
    <row r="129" spans="1:63" ht="44.45" customHeight="1" x14ac:dyDescent="0.2">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c r="BI129" s="18"/>
      <c r="BJ129" s="18"/>
      <c r="BK129" s="18"/>
    </row>
    <row r="130" spans="1:63" ht="44.45" customHeight="1" x14ac:dyDescent="0.2">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c r="BI130" s="18"/>
      <c r="BJ130" s="18"/>
      <c r="BK130" s="18"/>
    </row>
    <row r="131" spans="1:63" ht="44.45" customHeight="1" x14ac:dyDescent="0.2">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c r="BI131" s="18"/>
      <c r="BJ131" s="18"/>
      <c r="BK131" s="18"/>
    </row>
    <row r="132" spans="1:63" ht="44.45" customHeight="1" x14ac:dyDescent="0.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c r="BI132" s="18"/>
      <c r="BJ132" s="18"/>
      <c r="BK132" s="18"/>
    </row>
    <row r="133" spans="1:63" ht="44.45" customHeight="1" x14ac:dyDescent="0.2">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c r="BI133" s="18"/>
      <c r="BJ133" s="18"/>
      <c r="BK133" s="18"/>
    </row>
    <row r="134" spans="1:63" ht="44.45" customHeight="1" x14ac:dyDescent="0.2">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c r="BI134" s="18"/>
      <c r="BJ134" s="18"/>
      <c r="BK134" s="18"/>
    </row>
    <row r="135" spans="1:63" ht="44.45" customHeight="1" x14ac:dyDescent="0.2">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c r="BI135" s="18"/>
      <c r="BJ135" s="18"/>
      <c r="BK135" s="18"/>
    </row>
    <row r="136" spans="1:63" ht="44.45" customHeight="1" x14ac:dyDescent="0.2">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c r="BI136" s="18"/>
      <c r="BJ136" s="18"/>
      <c r="BK136" s="18"/>
    </row>
    <row r="137" spans="1:63" ht="44.45" customHeight="1" x14ac:dyDescent="0.2">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c r="BI137" s="18"/>
      <c r="BJ137" s="18"/>
      <c r="BK137" s="18"/>
    </row>
    <row r="138" spans="1:63" ht="44.45" customHeight="1" x14ac:dyDescent="0.2">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c r="BI138" s="18"/>
      <c r="BJ138" s="18"/>
      <c r="BK138" s="18"/>
    </row>
    <row r="139" spans="1:63" ht="44.45" customHeight="1" x14ac:dyDescent="0.2">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c r="BI139" s="18"/>
      <c r="BJ139" s="18"/>
      <c r="BK139" s="18"/>
    </row>
    <row r="140" spans="1:63" ht="44.45" customHeight="1" x14ac:dyDescent="0.2">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c r="BI140" s="18"/>
      <c r="BJ140" s="18"/>
      <c r="BK140" s="18"/>
    </row>
    <row r="141" spans="1:63" ht="44.45" customHeight="1" x14ac:dyDescent="0.2">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c r="BI141" s="18"/>
      <c r="BJ141" s="18"/>
      <c r="BK141" s="18"/>
    </row>
    <row r="142" spans="1:63" ht="44.45" customHeight="1" x14ac:dyDescent="0.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c r="BI142" s="18"/>
      <c r="BJ142" s="18"/>
      <c r="BK142" s="18"/>
    </row>
    <row r="143" spans="1:63" ht="44.45" customHeight="1" x14ac:dyDescent="0.2">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c r="BI143" s="18"/>
      <c r="BJ143" s="18"/>
      <c r="BK143" s="18"/>
    </row>
    <row r="144" spans="1:63" ht="44.45" customHeight="1" x14ac:dyDescent="0.2">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c r="BI144" s="18"/>
      <c r="BJ144" s="18"/>
      <c r="BK144" s="18"/>
    </row>
    <row r="145" spans="1:63" ht="44.45" customHeight="1" x14ac:dyDescent="0.2">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c r="BI145" s="18"/>
      <c r="BJ145" s="18"/>
      <c r="BK145" s="18"/>
    </row>
    <row r="146" spans="1:63" ht="44.45" customHeight="1" x14ac:dyDescent="0.2">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c r="BI146" s="18"/>
      <c r="BJ146" s="18"/>
      <c r="BK146" s="18"/>
    </row>
    <row r="147" spans="1:63" ht="44.45" customHeight="1" x14ac:dyDescent="0.2">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c r="BI147" s="18"/>
      <c r="BJ147" s="18"/>
      <c r="BK147" s="18"/>
    </row>
    <row r="148" spans="1:63" ht="44.45" customHeight="1" x14ac:dyDescent="0.2">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c r="BI148" s="18"/>
      <c r="BJ148" s="18"/>
      <c r="BK148" s="18"/>
    </row>
    <row r="149" spans="1:63" ht="44.45" customHeight="1" x14ac:dyDescent="0.2">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c r="BI149" s="18"/>
      <c r="BJ149" s="18"/>
      <c r="BK149" s="18"/>
    </row>
    <row r="150" spans="1:63" ht="44.45" customHeight="1" x14ac:dyDescent="0.2">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c r="BI150" s="18"/>
      <c r="BJ150" s="18"/>
      <c r="BK150" s="18"/>
    </row>
    <row r="151" spans="1:63" ht="44.45" customHeight="1" x14ac:dyDescent="0.2">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c r="BI151" s="18"/>
      <c r="BJ151" s="18"/>
      <c r="BK151" s="18"/>
    </row>
    <row r="152" spans="1:63" ht="44.45" customHeight="1" x14ac:dyDescent="0.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c r="BI152" s="18"/>
      <c r="BJ152" s="18"/>
      <c r="BK152" s="18"/>
    </row>
    <row r="153" spans="1:63" ht="44.45" customHeight="1" x14ac:dyDescent="0.2">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c r="BI153" s="18"/>
      <c r="BJ153" s="18"/>
      <c r="BK153" s="18"/>
    </row>
    <row r="154" spans="1:63" ht="44.45" customHeight="1" x14ac:dyDescent="0.2">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c r="BI154" s="18"/>
      <c r="BJ154" s="18"/>
      <c r="BK154" s="18"/>
    </row>
    <row r="155" spans="1:63" ht="44.45" customHeight="1" x14ac:dyDescent="0.2">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c r="BI155" s="18"/>
      <c r="BJ155" s="18"/>
      <c r="BK155" s="18"/>
    </row>
    <row r="156" spans="1:63" ht="44.45" customHeight="1" x14ac:dyDescent="0.2">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c r="BI156" s="18"/>
      <c r="BJ156" s="18"/>
      <c r="BK156" s="18"/>
    </row>
    <row r="157" spans="1:63" ht="44.45" customHeight="1" x14ac:dyDescent="0.2">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c r="BI157" s="18"/>
      <c r="BJ157" s="18"/>
      <c r="BK157" s="18"/>
    </row>
    <row r="158" spans="1:63" ht="44.45" customHeight="1" x14ac:dyDescent="0.2">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c r="BI158" s="18"/>
      <c r="BJ158" s="18"/>
      <c r="BK158" s="18"/>
    </row>
    <row r="159" spans="1:63" ht="44.45" customHeight="1" x14ac:dyDescent="0.2">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c r="BI159" s="18"/>
      <c r="BJ159" s="18"/>
      <c r="BK159" s="18"/>
    </row>
    <row r="160" spans="1:63" ht="44.45" customHeight="1" x14ac:dyDescent="0.2">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c r="BI160" s="18"/>
      <c r="BJ160" s="18"/>
      <c r="BK160" s="18"/>
    </row>
    <row r="161" spans="1:63" ht="44.45" customHeight="1" x14ac:dyDescent="0.2">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c r="BI161" s="18"/>
      <c r="BJ161" s="18"/>
      <c r="BK161" s="18"/>
    </row>
    <row r="162" spans="1:63" ht="44.45" customHeight="1" x14ac:dyDescent="0.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c r="BI162" s="18"/>
      <c r="BJ162" s="18"/>
      <c r="BK162" s="18"/>
    </row>
    <row r="163" spans="1:63" ht="44.45" customHeight="1" x14ac:dyDescent="0.2">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c r="BI163" s="18"/>
      <c r="BJ163" s="18"/>
      <c r="BK163" s="18"/>
    </row>
    <row r="164" spans="1:63" ht="44.45" customHeight="1" x14ac:dyDescent="0.2">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c r="BI164" s="18"/>
      <c r="BJ164" s="18"/>
      <c r="BK164" s="18"/>
    </row>
    <row r="165" spans="1:63" ht="44.45" customHeight="1" x14ac:dyDescent="0.2">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c r="BI165" s="18"/>
      <c r="BJ165" s="18"/>
      <c r="BK165" s="18"/>
    </row>
    <row r="166" spans="1:63" ht="44.45" customHeight="1" x14ac:dyDescent="0.2">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c r="BI166" s="18"/>
      <c r="BJ166" s="18"/>
      <c r="BK166" s="18"/>
    </row>
    <row r="167" spans="1:63" ht="44.45" customHeight="1" x14ac:dyDescent="0.2">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c r="BI167" s="18"/>
      <c r="BJ167" s="18"/>
      <c r="BK167" s="18"/>
    </row>
    <row r="168" spans="1:63" ht="44.45" customHeight="1" x14ac:dyDescent="0.2">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c r="BI168" s="18"/>
      <c r="BJ168" s="18"/>
      <c r="BK168" s="18"/>
    </row>
    <row r="169" spans="1:63" ht="44.45" customHeight="1" x14ac:dyDescent="0.2">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c r="BI169" s="18"/>
      <c r="BJ169" s="18"/>
      <c r="BK169" s="18"/>
    </row>
    <row r="170" spans="1:63" ht="44.45" customHeight="1" x14ac:dyDescent="0.2">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c r="BI170" s="18"/>
      <c r="BJ170" s="18"/>
      <c r="BK170" s="18"/>
    </row>
    <row r="171" spans="1:63" ht="44.45" customHeight="1" x14ac:dyDescent="0.2">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c r="BI171" s="18"/>
      <c r="BJ171" s="18"/>
      <c r="BK171" s="18"/>
    </row>
    <row r="172" spans="1:63" ht="44.45" customHeight="1" x14ac:dyDescent="0.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c r="BI172" s="18"/>
      <c r="BJ172" s="18"/>
      <c r="BK172" s="18"/>
    </row>
    <row r="173" spans="1:63" ht="44.45" customHeight="1" x14ac:dyDescent="0.2">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c r="BI173" s="18"/>
      <c r="BJ173" s="18"/>
      <c r="BK173" s="18"/>
    </row>
    <row r="174" spans="1:63" ht="44.45" customHeight="1" x14ac:dyDescent="0.2">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c r="BI174" s="18"/>
      <c r="BJ174" s="18"/>
      <c r="BK174" s="18"/>
    </row>
    <row r="175" spans="1:63" ht="44.45" customHeight="1" x14ac:dyDescent="0.2">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c r="BI175" s="18"/>
      <c r="BJ175" s="18"/>
      <c r="BK175" s="18"/>
    </row>
    <row r="176" spans="1:63" ht="44.45" customHeight="1" x14ac:dyDescent="0.2">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c r="BI176" s="18"/>
      <c r="BJ176" s="18"/>
      <c r="BK176" s="18"/>
    </row>
    <row r="177" spans="1:63" ht="44.45" customHeight="1" x14ac:dyDescent="0.2">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c r="BI177" s="18"/>
      <c r="BJ177" s="18"/>
      <c r="BK177" s="18"/>
    </row>
    <row r="178" spans="1:63" ht="44.45" customHeight="1" x14ac:dyDescent="0.2">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c r="BI178" s="18"/>
      <c r="BJ178" s="18"/>
      <c r="BK178" s="18"/>
    </row>
    <row r="179" spans="1:63" ht="44.45" customHeight="1" x14ac:dyDescent="0.2">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c r="BI179" s="18"/>
      <c r="BJ179" s="18"/>
      <c r="BK179" s="18"/>
    </row>
    <row r="180" spans="1:63" ht="44.45" customHeight="1" x14ac:dyDescent="0.2">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c r="BI180" s="18"/>
      <c r="BJ180" s="18"/>
      <c r="BK180" s="18"/>
    </row>
    <row r="181" spans="1:63" ht="44.45" customHeight="1" x14ac:dyDescent="0.2">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c r="BI181" s="18"/>
      <c r="BJ181" s="18"/>
      <c r="BK181" s="18"/>
    </row>
    <row r="182" spans="1:63" ht="44.45" customHeight="1" x14ac:dyDescent="0.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c r="BI182" s="18"/>
      <c r="BJ182" s="18"/>
      <c r="BK182" s="18"/>
    </row>
    <row r="183" spans="1:63" ht="44.45" customHeight="1" x14ac:dyDescent="0.2">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c r="BI183" s="18"/>
      <c r="BJ183" s="18"/>
      <c r="BK183" s="18"/>
    </row>
    <row r="184" spans="1:63" ht="44.45" customHeight="1" x14ac:dyDescent="0.2">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c r="BI184" s="18"/>
      <c r="BJ184" s="18"/>
      <c r="BK184" s="18"/>
    </row>
    <row r="185" spans="1:63" ht="44.45" customHeight="1" x14ac:dyDescent="0.2">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c r="BI185" s="18"/>
      <c r="BJ185" s="18"/>
      <c r="BK185" s="18"/>
    </row>
    <row r="186" spans="1:63" ht="44.45" customHeight="1" x14ac:dyDescent="0.2">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c r="BI186" s="18"/>
      <c r="BJ186" s="18"/>
      <c r="BK186" s="18"/>
    </row>
    <row r="187" spans="1:63" ht="44.45" customHeight="1" x14ac:dyDescent="0.2">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c r="BI187" s="18"/>
      <c r="BJ187" s="18"/>
      <c r="BK187" s="18"/>
    </row>
    <row r="188" spans="1:63" ht="44.45" customHeight="1" x14ac:dyDescent="0.2">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c r="BI188" s="18"/>
      <c r="BJ188" s="18"/>
      <c r="BK188" s="18"/>
    </row>
    <row r="189" spans="1:63" ht="44.45" customHeight="1" x14ac:dyDescent="0.2">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c r="BI189" s="18"/>
      <c r="BJ189" s="18"/>
      <c r="BK189" s="18"/>
    </row>
    <row r="190" spans="1:63" ht="44.45" customHeight="1" x14ac:dyDescent="0.2">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c r="BI190" s="18"/>
      <c r="BJ190" s="18"/>
      <c r="BK190" s="18"/>
    </row>
    <row r="191" spans="1:63" ht="44.45" customHeight="1" x14ac:dyDescent="0.2">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c r="BI191" s="18"/>
      <c r="BJ191" s="18"/>
      <c r="BK191" s="18"/>
    </row>
    <row r="192" spans="1:63" ht="44.45" customHeight="1" x14ac:dyDescent="0.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c r="BI192" s="18"/>
      <c r="BJ192" s="18"/>
      <c r="BK192" s="18"/>
    </row>
    <row r="193" spans="1:63" ht="44.45" customHeight="1" x14ac:dyDescent="0.2">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c r="BI193" s="18"/>
      <c r="BJ193" s="18"/>
      <c r="BK193" s="18"/>
    </row>
    <row r="194" spans="1:63" ht="44.45" customHeight="1" x14ac:dyDescent="0.2">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c r="BI194" s="18"/>
      <c r="BJ194" s="18"/>
      <c r="BK194" s="18"/>
    </row>
    <row r="195" spans="1:63" ht="44.45" customHeight="1" x14ac:dyDescent="0.2">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c r="BI195" s="18"/>
      <c r="BJ195" s="18"/>
      <c r="BK195" s="18"/>
    </row>
    <row r="196" spans="1:63" ht="44.45" customHeight="1" x14ac:dyDescent="0.2">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c r="BI196" s="18"/>
      <c r="BJ196" s="18"/>
      <c r="BK196" s="18"/>
    </row>
    <row r="197" spans="1:63" ht="44.45" customHeight="1" x14ac:dyDescent="0.2">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c r="BI197" s="18"/>
      <c r="BJ197" s="18"/>
      <c r="BK197" s="18"/>
    </row>
    <row r="198" spans="1:63" ht="44.45" customHeight="1" x14ac:dyDescent="0.2">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c r="BI198" s="18"/>
      <c r="BJ198" s="18"/>
      <c r="BK198" s="18"/>
    </row>
    <row r="199" spans="1:63" ht="44.45" customHeight="1" x14ac:dyDescent="0.2">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c r="BI199" s="18"/>
      <c r="BJ199" s="18"/>
      <c r="BK199" s="18"/>
    </row>
  </sheetData>
  <pageMargins left="0.511811024" right="0.511811024" top="0.78740157499999996" bottom="0.78740157499999996" header="0.31496062000000002" footer="0.31496062000000002"/>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B1:H18"/>
  <sheetViews>
    <sheetView showGridLines="0" workbookViewId="0">
      <selection activeCell="G1" sqref="G1:G2"/>
    </sheetView>
  </sheetViews>
  <sheetFormatPr defaultRowHeight="15" x14ac:dyDescent="0.25"/>
  <cols>
    <col min="1" max="1" width="3.28515625" customWidth="1"/>
    <col min="2" max="2" width="46.5703125" customWidth="1"/>
    <col min="3" max="3" width="14" bestFit="1" customWidth="1"/>
    <col min="4" max="4" width="17.7109375" customWidth="1"/>
    <col min="5" max="5" width="4.42578125" customWidth="1"/>
    <col min="6" max="6" width="43.42578125" customWidth="1"/>
    <col min="7" max="7" width="24.42578125" customWidth="1"/>
    <col min="8" max="8" width="22.42578125" customWidth="1"/>
  </cols>
  <sheetData>
    <row r="1" spans="2:8" x14ac:dyDescent="0.25">
      <c r="G1" s="136" t="s">
        <v>7</v>
      </c>
    </row>
    <row r="2" spans="2:8" ht="43.5" customHeight="1" thickBot="1" x14ac:dyDescent="0.3">
      <c r="G2" s="137"/>
    </row>
    <row r="3" spans="2:8" x14ac:dyDescent="0.25">
      <c r="B3" s="133" t="s">
        <v>540</v>
      </c>
      <c r="C3" s="134"/>
      <c r="D3" s="134"/>
      <c r="E3" s="134"/>
      <c r="F3" s="134"/>
      <c r="G3" s="134"/>
      <c r="H3" s="135"/>
    </row>
    <row r="4" spans="2:8" ht="15.75" thickBot="1" x14ac:dyDescent="0.3">
      <c r="B4" s="118"/>
      <c r="C4" s="119"/>
      <c r="D4" s="119"/>
      <c r="E4" s="119"/>
      <c r="F4" s="119"/>
      <c r="G4" s="119"/>
      <c r="H4" s="120"/>
    </row>
    <row r="5" spans="2:8" ht="15.75" customHeight="1" thickBot="1" x14ac:dyDescent="0.3">
      <c r="B5" s="118" t="s">
        <v>541</v>
      </c>
      <c r="C5" s="119"/>
      <c r="D5" s="120"/>
      <c r="F5" s="118" t="s">
        <v>542</v>
      </c>
      <c r="G5" s="119"/>
      <c r="H5" s="120"/>
    </row>
    <row r="6" spans="2:8" ht="30" customHeight="1" thickBot="1" x14ac:dyDescent="0.3">
      <c r="B6" s="78" t="s">
        <v>543</v>
      </c>
      <c r="C6" s="78" t="s">
        <v>544</v>
      </c>
      <c r="D6" s="77" t="s">
        <v>545</v>
      </c>
      <c r="F6" s="138" t="s">
        <v>546</v>
      </c>
      <c r="G6" s="140" t="s">
        <v>547</v>
      </c>
      <c r="H6" s="141"/>
    </row>
    <row r="7" spans="2:8" ht="30.75" customHeight="1" thickBot="1" x14ac:dyDescent="0.3">
      <c r="B7" s="76" t="s">
        <v>548</v>
      </c>
      <c r="C7" s="75">
        <v>470</v>
      </c>
      <c r="D7" s="74">
        <v>665</v>
      </c>
      <c r="F7" s="139"/>
      <c r="G7" s="78" t="s">
        <v>549</v>
      </c>
      <c r="H7" s="77" t="s">
        <v>550</v>
      </c>
    </row>
    <row r="8" spans="2:8" ht="32.25" thickBot="1" x14ac:dyDescent="0.3">
      <c r="B8" s="76" t="s">
        <v>551</v>
      </c>
      <c r="C8" s="75">
        <v>362</v>
      </c>
      <c r="D8" s="74">
        <v>608</v>
      </c>
      <c r="F8" s="73" t="s">
        <v>552</v>
      </c>
      <c r="G8" s="72">
        <v>400</v>
      </c>
      <c r="H8" s="63">
        <v>550</v>
      </c>
    </row>
    <row r="9" spans="2:8" ht="32.25" thickBot="1" x14ac:dyDescent="0.3">
      <c r="B9" s="71" t="s">
        <v>553</v>
      </c>
      <c r="C9" s="70">
        <v>258</v>
      </c>
      <c r="D9" s="69">
        <v>354</v>
      </c>
      <c r="F9" s="68" t="s">
        <v>554</v>
      </c>
      <c r="G9" s="67">
        <v>350</v>
      </c>
      <c r="H9" s="66">
        <v>450</v>
      </c>
    </row>
    <row r="10" spans="2:8" ht="15" customHeight="1" x14ac:dyDescent="0.25">
      <c r="B10" s="121" t="s">
        <v>555</v>
      </c>
      <c r="C10" s="122"/>
      <c r="D10" s="123"/>
      <c r="F10" s="143" t="s">
        <v>556</v>
      </c>
      <c r="G10" s="146">
        <v>300</v>
      </c>
      <c r="H10" s="146">
        <v>400</v>
      </c>
    </row>
    <row r="11" spans="2:8" ht="15" customHeight="1" x14ac:dyDescent="0.25">
      <c r="B11" s="124"/>
      <c r="C11" s="125"/>
      <c r="D11" s="126"/>
      <c r="F11" s="144"/>
      <c r="G11" s="147"/>
      <c r="H11" s="147"/>
    </row>
    <row r="12" spans="2:8" ht="15" customHeight="1" x14ac:dyDescent="0.25">
      <c r="B12" s="124"/>
      <c r="C12" s="125"/>
      <c r="D12" s="126"/>
      <c r="F12" s="144"/>
      <c r="G12" s="147"/>
      <c r="H12" s="147"/>
    </row>
    <row r="13" spans="2:8" ht="15.75" customHeight="1" thickBot="1" x14ac:dyDescent="0.3">
      <c r="B13" s="127"/>
      <c r="C13" s="128"/>
      <c r="D13" s="129"/>
      <c r="F13" s="144"/>
      <c r="G13" s="147"/>
      <c r="H13" s="147"/>
    </row>
    <row r="14" spans="2:8" ht="123.75" customHeight="1" thickBot="1" x14ac:dyDescent="0.3">
      <c r="B14" s="130" t="s">
        <v>557</v>
      </c>
      <c r="C14" s="131"/>
      <c r="D14" s="132"/>
      <c r="F14" s="145"/>
      <c r="G14" s="148"/>
      <c r="H14" s="148"/>
    </row>
    <row r="15" spans="2:8" ht="16.5" customHeight="1" thickBot="1" x14ac:dyDescent="0.3">
      <c r="B15" s="121" t="s">
        <v>558</v>
      </c>
      <c r="C15" s="122"/>
      <c r="D15" s="123"/>
      <c r="E15" s="62"/>
      <c r="F15" s="65" t="s">
        <v>559</v>
      </c>
      <c r="G15" s="64">
        <v>300</v>
      </c>
      <c r="H15" s="63">
        <v>300</v>
      </c>
    </row>
    <row r="16" spans="2:8" ht="15.75" thickBot="1" x14ac:dyDescent="0.3">
      <c r="B16" s="127"/>
      <c r="C16" s="128"/>
      <c r="D16" s="129"/>
      <c r="E16" s="62"/>
    </row>
    <row r="17" spans="2:7" x14ac:dyDescent="0.25">
      <c r="B17" s="62"/>
      <c r="C17" s="62"/>
      <c r="D17" s="62"/>
    </row>
    <row r="18" spans="2:7" ht="15" customHeight="1" x14ac:dyDescent="0.25">
      <c r="B18" s="61" t="s">
        <v>560</v>
      </c>
      <c r="C18" s="142" t="s">
        <v>561</v>
      </c>
      <c r="D18" s="142"/>
      <c r="E18" s="142"/>
      <c r="F18" s="142"/>
      <c r="G18" s="142"/>
    </row>
  </sheetData>
  <mergeCells count="13">
    <mergeCell ref="C18:G18"/>
    <mergeCell ref="F10:F14"/>
    <mergeCell ref="G10:G14"/>
    <mergeCell ref="H10:H14"/>
    <mergeCell ref="B15:D16"/>
    <mergeCell ref="B5:D5"/>
    <mergeCell ref="B10:D13"/>
    <mergeCell ref="B14:D14"/>
    <mergeCell ref="B3:H4"/>
    <mergeCell ref="G1:G2"/>
    <mergeCell ref="F6:F7"/>
    <mergeCell ref="G6:H6"/>
    <mergeCell ref="F5:H5"/>
  </mergeCells>
  <hyperlinks>
    <hyperlink ref="C18" r:id="rId1"/>
    <hyperlink ref="G1:G2" location="INDICE!A1" display="INDICE"/>
  </hyperlinks>
  <pageMargins left="0.511811024" right="0.511811024" top="0.78740157499999996" bottom="0.78740157499999996" header="0.31496062000000002" footer="0.31496062000000002"/>
  <pageSetup paperSize="9" orientation="portrait" r:id="rId2"/>
  <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499984740745262"/>
  </sheetPr>
  <dimension ref="A1:AE316"/>
  <sheetViews>
    <sheetView showGridLines="0" tabSelected="1" topLeftCell="AD1" zoomScale="90" zoomScaleNormal="90" workbookViewId="0">
      <pane ySplit="2" topLeftCell="A3" activePane="bottomLeft" state="frozen"/>
      <selection activeCell="G1" sqref="G1:G2"/>
      <selection pane="bottomLeft" activeCell="AE3" sqref="AE3:AE316"/>
    </sheetView>
  </sheetViews>
  <sheetFormatPr defaultColWidth="8.85546875" defaultRowHeight="45" customHeight="1" x14ac:dyDescent="0.25"/>
  <cols>
    <col min="1" max="1" width="10.7109375" style="54" customWidth="1"/>
    <col min="2" max="3" width="23.28515625" style="54" customWidth="1"/>
    <col min="4" max="5" width="26.5703125" style="54" customWidth="1"/>
    <col min="6" max="7" width="15.5703125" style="54" customWidth="1"/>
    <col min="8" max="9" width="15.28515625" style="54" customWidth="1"/>
    <col min="10" max="10" width="43.85546875" style="54" customWidth="1"/>
    <col min="11" max="11" width="20.85546875" style="54" customWidth="1"/>
    <col min="12" max="13" width="12.28515625" style="54" customWidth="1"/>
    <col min="14" max="14" width="7.5703125" style="54" customWidth="1"/>
    <col min="15" max="15" width="26.28515625" style="54" customWidth="1"/>
    <col min="16" max="16" width="9.7109375" style="54" customWidth="1"/>
    <col min="17" max="17" width="18" style="54" bestFit="1" customWidth="1"/>
    <col min="18" max="18" width="8.5703125" style="54" bestFit="1" customWidth="1"/>
    <col min="19" max="19" width="18.7109375" style="54" bestFit="1" customWidth="1"/>
    <col min="20" max="20" width="15.7109375" style="88" bestFit="1" customWidth="1"/>
    <col min="21" max="21" width="13.85546875" style="54" customWidth="1"/>
    <col min="22" max="22" width="21.7109375" style="6" customWidth="1"/>
    <col min="23" max="23" width="22.7109375" style="54" bestFit="1" customWidth="1"/>
    <col min="24" max="24" width="22.140625" style="54" bestFit="1" customWidth="1"/>
    <col min="25" max="25" width="19" style="54" bestFit="1" customWidth="1"/>
    <col min="26" max="26" width="18.7109375" style="54" bestFit="1" customWidth="1"/>
    <col min="27" max="27" width="33.7109375" style="54" bestFit="1" customWidth="1"/>
    <col min="28" max="28" width="31.140625" style="54" bestFit="1" customWidth="1"/>
    <col min="29" max="29" width="26.5703125" style="54" bestFit="1" customWidth="1"/>
    <col min="30" max="16384" width="8.85546875" style="54"/>
  </cols>
  <sheetData>
    <row r="1" spans="1:31" s="56" customFormat="1" ht="45" customHeight="1" x14ac:dyDescent="0.25">
      <c r="F1" s="57" t="s">
        <v>7</v>
      </c>
      <c r="G1" s="57"/>
      <c r="H1" s="101" t="s">
        <v>8</v>
      </c>
      <c r="I1" s="107"/>
      <c r="J1" s="90"/>
      <c r="V1" s="44"/>
    </row>
    <row r="2" spans="1:31" s="15" customFormat="1" ht="45" customHeight="1" x14ac:dyDescent="0.25">
      <c r="A2" s="100" t="s">
        <v>9</v>
      </c>
      <c r="B2" s="100" t="s">
        <v>10</v>
      </c>
      <c r="C2" s="100" t="s">
        <v>11</v>
      </c>
      <c r="D2" s="100" t="s">
        <v>12</v>
      </c>
      <c r="E2" s="100" t="s">
        <v>13</v>
      </c>
      <c r="F2" s="100" t="s">
        <v>14</v>
      </c>
      <c r="G2" s="100" t="s">
        <v>15</v>
      </c>
      <c r="H2" s="100" t="s">
        <v>16</v>
      </c>
      <c r="I2" s="97" t="s">
        <v>17</v>
      </c>
      <c r="J2" s="97" t="s">
        <v>18</v>
      </c>
      <c r="K2" s="97" t="s">
        <v>19</v>
      </c>
      <c r="L2" s="97" t="s">
        <v>20</v>
      </c>
      <c r="M2" s="97" t="s">
        <v>21</v>
      </c>
      <c r="N2" s="97" t="s">
        <v>22</v>
      </c>
      <c r="O2" s="97" t="s">
        <v>23</v>
      </c>
      <c r="P2" s="97" t="s">
        <v>24</v>
      </c>
      <c r="Q2" s="80" t="s">
        <v>25</v>
      </c>
      <c r="R2" s="80" t="s">
        <v>26</v>
      </c>
      <c r="S2" s="80" t="s">
        <v>27</v>
      </c>
      <c r="T2" s="80" t="s">
        <v>28</v>
      </c>
      <c r="U2" s="80" t="s">
        <v>29</v>
      </c>
      <c r="V2" s="80" t="s">
        <v>30</v>
      </c>
      <c r="W2" s="98" t="s">
        <v>31</v>
      </c>
      <c r="X2" s="98" t="s">
        <v>32</v>
      </c>
      <c r="Y2" s="98" t="s">
        <v>33</v>
      </c>
      <c r="Z2" s="98" t="s">
        <v>34</v>
      </c>
      <c r="AA2" s="99" t="s">
        <v>35</v>
      </c>
      <c r="AB2" s="99" t="s">
        <v>36</v>
      </c>
      <c r="AC2" s="99" t="s">
        <v>37</v>
      </c>
      <c r="AD2" s="15" t="s">
        <v>3402</v>
      </c>
      <c r="AE2" s="15" t="s">
        <v>3403</v>
      </c>
    </row>
    <row r="3" spans="1:31" s="21" customFormat="1" ht="45" customHeight="1" x14ac:dyDescent="0.25">
      <c r="A3" s="86" t="s">
        <v>562</v>
      </c>
      <c r="B3" s="52" t="s">
        <v>563</v>
      </c>
      <c r="C3" s="52"/>
      <c r="D3" s="52" t="s">
        <v>563</v>
      </c>
      <c r="E3" s="52"/>
      <c r="F3" s="52" t="s">
        <v>564</v>
      </c>
      <c r="G3" s="52"/>
      <c r="H3" s="52" t="s">
        <v>565</v>
      </c>
      <c r="I3" s="52" t="s">
        <v>17</v>
      </c>
      <c r="J3" s="52" t="s">
        <v>566</v>
      </c>
      <c r="K3" s="22" t="str">
        <f>VLOOKUP(CONCATENATE(A3,LEFT(J3,4)),AGRUPAMENTO!$D$2:$E$6784,2,FALSE)</f>
        <v>Cursos de formação e capacitações</v>
      </c>
      <c r="L3" s="52" t="s">
        <v>45</v>
      </c>
      <c r="M3" s="52"/>
      <c r="N3" s="52">
        <v>10</v>
      </c>
      <c r="O3" s="86" t="s">
        <v>567</v>
      </c>
      <c r="P3" s="86" t="s">
        <v>47</v>
      </c>
      <c r="Q3" s="86" t="s">
        <v>568</v>
      </c>
      <c r="R3" s="86">
        <v>10</v>
      </c>
      <c r="S3" s="86" t="s">
        <v>568</v>
      </c>
      <c r="T3" s="86">
        <v>1000</v>
      </c>
      <c r="U3" s="86">
        <v>1</v>
      </c>
      <c r="V3" s="58">
        <f>R3*T3*U3</f>
        <v>10000</v>
      </c>
      <c r="W3" s="86" t="s">
        <v>50</v>
      </c>
      <c r="X3" s="86" t="s">
        <v>569</v>
      </c>
      <c r="Y3" s="86" t="s">
        <v>570</v>
      </c>
      <c r="Z3" s="86" t="s">
        <v>571</v>
      </c>
      <c r="AA3" s="52">
        <v>0</v>
      </c>
      <c r="AB3" s="52">
        <v>0</v>
      </c>
      <c r="AC3" s="52">
        <v>0</v>
      </c>
      <c r="AD3" s="21">
        <v>1</v>
      </c>
      <c r="AE3" s="21">
        <v>1</v>
      </c>
    </row>
    <row r="4" spans="1:31" s="21" customFormat="1" ht="45" customHeight="1" x14ac:dyDescent="0.25">
      <c r="A4" s="86" t="s">
        <v>562</v>
      </c>
      <c r="B4" s="52" t="s">
        <v>563</v>
      </c>
      <c r="C4" s="52"/>
      <c r="D4" s="52" t="s">
        <v>563</v>
      </c>
      <c r="E4" s="52"/>
      <c r="F4" s="52" t="s">
        <v>564</v>
      </c>
      <c r="G4" s="52"/>
      <c r="H4" s="52" t="s">
        <v>572</v>
      </c>
      <c r="I4" s="52" t="s">
        <v>17</v>
      </c>
      <c r="J4" s="52" t="s">
        <v>573</v>
      </c>
      <c r="K4" s="22" t="str">
        <f>VLOOKUP(CONCATENATE(A4,LEFT(J4,4)),AGRUPAMENTO!$D$2:$E$6784,2,FALSE)</f>
        <v>Diárias e viagens</v>
      </c>
      <c r="L4" s="52" t="s">
        <v>45</v>
      </c>
      <c r="M4" s="52"/>
      <c r="N4" s="52">
        <v>10</v>
      </c>
      <c r="O4" s="86" t="s">
        <v>574</v>
      </c>
      <c r="P4" s="86" t="s">
        <v>47</v>
      </c>
      <c r="Q4" s="86" t="s">
        <v>575</v>
      </c>
      <c r="R4" s="86">
        <v>200</v>
      </c>
      <c r="S4" s="86" t="s">
        <v>576</v>
      </c>
      <c r="T4" s="86">
        <v>500</v>
      </c>
      <c r="U4" s="86">
        <v>1</v>
      </c>
      <c r="V4" s="58">
        <f>R4*T4*U4</f>
        <v>100000</v>
      </c>
      <c r="W4" s="86" t="s">
        <v>50</v>
      </c>
      <c r="X4" s="86" t="s">
        <v>577</v>
      </c>
      <c r="Y4" s="86" t="s">
        <v>570</v>
      </c>
      <c r="Z4" s="86" t="s">
        <v>578</v>
      </c>
      <c r="AA4" s="52">
        <v>0</v>
      </c>
      <c r="AB4" s="52">
        <v>0</v>
      </c>
      <c r="AC4" s="52">
        <v>0</v>
      </c>
      <c r="AD4" s="21">
        <v>1</v>
      </c>
      <c r="AE4" s="21">
        <v>1</v>
      </c>
    </row>
    <row r="5" spans="1:31" s="55" customFormat="1" ht="45" customHeight="1" x14ac:dyDescent="0.25">
      <c r="A5" s="86" t="s">
        <v>562</v>
      </c>
      <c r="B5" s="52" t="s">
        <v>563</v>
      </c>
      <c r="C5" s="52"/>
      <c r="D5" s="52" t="s">
        <v>563</v>
      </c>
      <c r="E5" s="52"/>
      <c r="F5" s="52" t="s">
        <v>564</v>
      </c>
      <c r="G5" s="52"/>
      <c r="H5" s="52" t="s">
        <v>572</v>
      </c>
      <c r="I5" s="52" t="s">
        <v>17</v>
      </c>
      <c r="J5" s="52" t="s">
        <v>579</v>
      </c>
      <c r="K5" s="22" t="str">
        <f>VLOOKUP(CONCATENATE(A5,LEFT(J5,4)),AGRUPAMENTO!$D$2:$E$6784,2,FALSE)</f>
        <v>Diárias e viagens</v>
      </c>
      <c r="L5" s="52" t="s">
        <v>45</v>
      </c>
      <c r="M5" s="52"/>
      <c r="N5" s="52">
        <v>10</v>
      </c>
      <c r="O5" s="86" t="s">
        <v>580</v>
      </c>
      <c r="P5" s="86" t="s">
        <v>47</v>
      </c>
      <c r="Q5" s="86" t="s">
        <v>575</v>
      </c>
      <c r="R5" s="86">
        <v>150</v>
      </c>
      <c r="S5" s="86" t="s">
        <v>581</v>
      </c>
      <c r="T5" s="86">
        <v>300</v>
      </c>
      <c r="U5" s="86">
        <v>1</v>
      </c>
      <c r="V5" s="58">
        <f t="shared" ref="V5:V63" si="0">R5*T5*U5</f>
        <v>45000</v>
      </c>
      <c r="W5" s="86" t="s">
        <v>50</v>
      </c>
      <c r="X5" s="86" t="s">
        <v>582</v>
      </c>
      <c r="Y5" s="86" t="s">
        <v>570</v>
      </c>
      <c r="Z5" s="86" t="s">
        <v>583</v>
      </c>
      <c r="AA5" s="52">
        <v>0</v>
      </c>
      <c r="AB5" s="52">
        <v>0</v>
      </c>
      <c r="AC5" s="52">
        <v>0</v>
      </c>
      <c r="AD5" s="21">
        <v>1</v>
      </c>
      <c r="AE5" s="21">
        <v>1</v>
      </c>
    </row>
    <row r="6" spans="1:31" s="55" customFormat="1" ht="45" customHeight="1" x14ac:dyDescent="0.25">
      <c r="A6" s="86" t="s">
        <v>562</v>
      </c>
      <c r="B6" s="52" t="s">
        <v>563</v>
      </c>
      <c r="C6" s="52"/>
      <c r="D6" s="52" t="s">
        <v>563</v>
      </c>
      <c r="E6" s="52"/>
      <c r="F6" s="52" t="s">
        <v>564</v>
      </c>
      <c r="G6" s="52"/>
      <c r="H6" s="52" t="s">
        <v>572</v>
      </c>
      <c r="I6" s="52" t="s">
        <v>17</v>
      </c>
      <c r="J6" s="52" t="s">
        <v>573</v>
      </c>
      <c r="K6" s="22" t="str">
        <f>VLOOKUP(CONCATENATE(A6,LEFT(J6,4)),AGRUPAMENTO!$D$2:$E$6784,2,FALSE)</f>
        <v>Diárias e viagens</v>
      </c>
      <c r="L6" s="52" t="s">
        <v>45</v>
      </c>
      <c r="M6" s="52"/>
      <c r="N6" s="52">
        <v>10</v>
      </c>
      <c r="O6" s="86" t="s">
        <v>584</v>
      </c>
      <c r="P6" s="86" t="s">
        <v>47</v>
      </c>
      <c r="Q6" s="86" t="s">
        <v>585</v>
      </c>
      <c r="R6" s="86">
        <v>1</v>
      </c>
      <c r="S6" s="86" t="s">
        <v>576</v>
      </c>
      <c r="T6" s="86">
        <v>149000</v>
      </c>
      <c r="U6" s="86">
        <v>2</v>
      </c>
      <c r="V6" s="58">
        <f t="shared" si="0"/>
        <v>298000</v>
      </c>
      <c r="W6" s="86" t="s">
        <v>50</v>
      </c>
      <c r="X6" s="86" t="s">
        <v>586</v>
      </c>
      <c r="Y6" s="86" t="s">
        <v>570</v>
      </c>
      <c r="Z6" s="86" t="s">
        <v>583</v>
      </c>
      <c r="AA6" s="52">
        <v>0</v>
      </c>
      <c r="AB6" s="52">
        <v>0</v>
      </c>
      <c r="AC6" s="52">
        <v>0</v>
      </c>
      <c r="AD6" s="21">
        <v>1</v>
      </c>
      <c r="AE6" s="21">
        <v>1</v>
      </c>
    </row>
    <row r="7" spans="1:31" s="55" customFormat="1" ht="45" customHeight="1" x14ac:dyDescent="0.25">
      <c r="A7" s="86" t="s">
        <v>562</v>
      </c>
      <c r="B7" s="52" t="s">
        <v>563</v>
      </c>
      <c r="C7" s="52"/>
      <c r="D7" s="52" t="s">
        <v>563</v>
      </c>
      <c r="E7" s="52"/>
      <c r="F7" s="52" t="s">
        <v>564</v>
      </c>
      <c r="G7" s="52"/>
      <c r="H7" s="52" t="s">
        <v>572</v>
      </c>
      <c r="I7" s="52" t="s">
        <v>17</v>
      </c>
      <c r="J7" s="52" t="s">
        <v>587</v>
      </c>
      <c r="K7" s="22" t="str">
        <f>VLOOKUP(CONCATENATE(A7,LEFT(J7,4)),AGRUPAMENTO!$D$2:$E$6784,2,FALSE)</f>
        <v>Diárias e viagens</v>
      </c>
      <c r="L7" s="52" t="s">
        <v>45</v>
      </c>
      <c r="M7" s="52"/>
      <c r="N7" s="52">
        <v>10</v>
      </c>
      <c r="O7" s="86" t="s">
        <v>584</v>
      </c>
      <c r="P7" s="86" t="s">
        <v>47</v>
      </c>
      <c r="Q7" s="86" t="s">
        <v>588</v>
      </c>
      <c r="R7" s="86">
        <v>1</v>
      </c>
      <c r="S7" s="86" t="s">
        <v>589</v>
      </c>
      <c r="T7" s="86">
        <v>75680</v>
      </c>
      <c r="U7" s="86">
        <v>2</v>
      </c>
      <c r="V7" s="58">
        <f t="shared" si="0"/>
        <v>151360</v>
      </c>
      <c r="W7" s="86" t="s">
        <v>50</v>
      </c>
      <c r="X7" s="86" t="s">
        <v>586</v>
      </c>
      <c r="Y7" s="86" t="s">
        <v>570</v>
      </c>
      <c r="Z7" s="86" t="s">
        <v>583</v>
      </c>
      <c r="AA7" s="52">
        <v>0</v>
      </c>
      <c r="AB7" s="52">
        <v>0</v>
      </c>
      <c r="AC7" s="52">
        <v>0</v>
      </c>
      <c r="AD7" s="21">
        <v>1</v>
      </c>
      <c r="AE7" s="21">
        <v>1</v>
      </c>
    </row>
    <row r="8" spans="1:31" s="55" customFormat="1" ht="45" customHeight="1" x14ac:dyDescent="0.25">
      <c r="A8" s="86" t="s">
        <v>562</v>
      </c>
      <c r="B8" s="52" t="s">
        <v>563</v>
      </c>
      <c r="C8" s="52"/>
      <c r="D8" s="52" t="s">
        <v>563</v>
      </c>
      <c r="E8" s="52"/>
      <c r="F8" s="52" t="s">
        <v>564</v>
      </c>
      <c r="G8" s="52"/>
      <c r="H8" s="52" t="s">
        <v>572</v>
      </c>
      <c r="I8" s="52" t="s">
        <v>17</v>
      </c>
      <c r="J8" s="52" t="s">
        <v>573</v>
      </c>
      <c r="K8" s="22" t="str">
        <f>VLOOKUP(CONCATENATE(A8,LEFT(J8,4)),AGRUPAMENTO!$D$2:$E$6784,2,FALSE)</f>
        <v>Diárias e viagens</v>
      </c>
      <c r="L8" s="52" t="s">
        <v>45</v>
      </c>
      <c r="M8" s="52"/>
      <c r="N8" s="52">
        <v>10</v>
      </c>
      <c r="O8" s="86" t="s">
        <v>590</v>
      </c>
      <c r="P8" s="86" t="s">
        <v>47</v>
      </c>
      <c r="Q8" s="86" t="s">
        <v>591</v>
      </c>
      <c r="R8" s="86">
        <v>1</v>
      </c>
      <c r="S8" s="86" t="s">
        <v>576</v>
      </c>
      <c r="T8" s="86">
        <v>224400</v>
      </c>
      <c r="U8" s="86">
        <v>3</v>
      </c>
      <c r="V8" s="58">
        <f t="shared" si="0"/>
        <v>673200</v>
      </c>
      <c r="W8" s="86" t="s">
        <v>50</v>
      </c>
      <c r="X8" s="86" t="s">
        <v>577</v>
      </c>
      <c r="Y8" s="86" t="s">
        <v>570</v>
      </c>
      <c r="Z8" s="86" t="s">
        <v>583</v>
      </c>
      <c r="AA8" s="52">
        <v>0</v>
      </c>
      <c r="AB8" s="52">
        <v>0</v>
      </c>
      <c r="AC8" s="52">
        <v>0</v>
      </c>
      <c r="AD8" s="21">
        <v>1</v>
      </c>
      <c r="AE8" s="21">
        <v>1</v>
      </c>
    </row>
    <row r="9" spans="1:31" s="55" customFormat="1" ht="45" customHeight="1" x14ac:dyDescent="0.25">
      <c r="A9" s="86" t="s">
        <v>562</v>
      </c>
      <c r="B9" s="52" t="s">
        <v>563</v>
      </c>
      <c r="C9" s="52"/>
      <c r="D9" s="52" t="s">
        <v>563</v>
      </c>
      <c r="E9" s="52"/>
      <c r="F9" s="52" t="s">
        <v>564</v>
      </c>
      <c r="G9" s="52"/>
      <c r="H9" s="52" t="s">
        <v>572</v>
      </c>
      <c r="I9" s="52" t="s">
        <v>17</v>
      </c>
      <c r="J9" s="52" t="s">
        <v>579</v>
      </c>
      <c r="K9" s="22" t="str">
        <f>VLOOKUP(CONCATENATE(A9,LEFT(J9,4)),AGRUPAMENTO!$D$2:$E$6784,2,FALSE)</f>
        <v>Diárias e viagens</v>
      </c>
      <c r="L9" s="52" t="s">
        <v>45</v>
      </c>
      <c r="M9" s="52"/>
      <c r="N9" s="52">
        <v>10</v>
      </c>
      <c r="O9" s="86" t="s">
        <v>592</v>
      </c>
      <c r="P9" s="86" t="s">
        <v>47</v>
      </c>
      <c r="Q9" s="86" t="s">
        <v>591</v>
      </c>
      <c r="R9" s="86">
        <v>1</v>
      </c>
      <c r="S9" s="86" t="s">
        <v>593</v>
      </c>
      <c r="T9" s="86">
        <v>113520</v>
      </c>
      <c r="U9" s="86">
        <v>3</v>
      </c>
      <c r="V9" s="58">
        <f t="shared" si="0"/>
        <v>340560</v>
      </c>
      <c r="W9" s="86" t="s">
        <v>50</v>
      </c>
      <c r="X9" s="86" t="s">
        <v>582</v>
      </c>
      <c r="Y9" s="86" t="s">
        <v>570</v>
      </c>
      <c r="Z9" s="86" t="s">
        <v>583</v>
      </c>
      <c r="AA9" s="52">
        <v>0</v>
      </c>
      <c r="AB9" s="52">
        <v>0</v>
      </c>
      <c r="AC9" s="52">
        <v>0</v>
      </c>
      <c r="AD9" s="21">
        <v>1</v>
      </c>
      <c r="AE9" s="21">
        <v>1</v>
      </c>
    </row>
    <row r="10" spans="1:31" s="55" customFormat="1" ht="45" customHeight="1" x14ac:dyDescent="0.25">
      <c r="A10" s="86" t="s">
        <v>562</v>
      </c>
      <c r="B10" s="52" t="s">
        <v>563</v>
      </c>
      <c r="C10" s="52"/>
      <c r="D10" s="52" t="s">
        <v>563</v>
      </c>
      <c r="E10" s="52"/>
      <c r="F10" s="52" t="s">
        <v>564</v>
      </c>
      <c r="G10" s="52"/>
      <c r="H10" s="52" t="s">
        <v>572</v>
      </c>
      <c r="I10" s="52" t="s">
        <v>17</v>
      </c>
      <c r="J10" s="52" t="s">
        <v>573</v>
      </c>
      <c r="K10" s="22" t="str">
        <f>VLOOKUP(CONCATENATE(A10,LEFT(J10,4)),AGRUPAMENTO!$D$2:$E$6784,2,FALSE)</f>
        <v>Diárias e viagens</v>
      </c>
      <c r="L10" s="52" t="s">
        <v>45</v>
      </c>
      <c r="M10" s="52"/>
      <c r="N10" s="52">
        <v>10</v>
      </c>
      <c r="O10" s="86" t="s">
        <v>594</v>
      </c>
      <c r="P10" s="86" t="s">
        <v>47</v>
      </c>
      <c r="Q10" s="86" t="s">
        <v>595</v>
      </c>
      <c r="R10" s="86">
        <v>1</v>
      </c>
      <c r="S10" s="86" t="s">
        <v>576</v>
      </c>
      <c r="T10" s="86">
        <v>158400</v>
      </c>
      <c r="U10" s="86">
        <v>5</v>
      </c>
      <c r="V10" s="58">
        <f t="shared" si="0"/>
        <v>792000</v>
      </c>
      <c r="W10" s="86" t="s">
        <v>50</v>
      </c>
      <c r="X10" s="86" t="s">
        <v>577</v>
      </c>
      <c r="Y10" s="86" t="s">
        <v>570</v>
      </c>
      <c r="Z10" s="86" t="s">
        <v>583</v>
      </c>
      <c r="AA10" s="52">
        <v>0</v>
      </c>
      <c r="AB10" s="52">
        <v>0</v>
      </c>
      <c r="AC10" s="52">
        <v>0</v>
      </c>
      <c r="AD10" s="21">
        <v>1</v>
      </c>
      <c r="AE10" s="21">
        <v>1</v>
      </c>
    </row>
    <row r="11" spans="1:31" s="55" customFormat="1" ht="45" customHeight="1" x14ac:dyDescent="0.25">
      <c r="A11" s="86" t="s">
        <v>562</v>
      </c>
      <c r="B11" s="52" t="s">
        <v>563</v>
      </c>
      <c r="C11" s="52"/>
      <c r="D11" s="52" t="s">
        <v>563</v>
      </c>
      <c r="E11" s="52"/>
      <c r="F11" s="52" t="s">
        <v>564</v>
      </c>
      <c r="G11" s="52"/>
      <c r="H11" s="52" t="s">
        <v>572</v>
      </c>
      <c r="I11" s="52" t="s">
        <v>17</v>
      </c>
      <c r="J11" s="52" t="s">
        <v>579</v>
      </c>
      <c r="K11" s="22" t="str">
        <f>VLOOKUP(CONCATENATE(A11,LEFT(J11,4)),AGRUPAMENTO!$D$2:$E$6784,2,FALSE)</f>
        <v>Diárias e viagens</v>
      </c>
      <c r="L11" s="52" t="s">
        <v>45</v>
      </c>
      <c r="M11" s="52"/>
      <c r="N11" s="52">
        <v>10</v>
      </c>
      <c r="O11" s="86" t="s">
        <v>596</v>
      </c>
      <c r="P11" s="86" t="s">
        <v>47</v>
      </c>
      <c r="Q11" s="86" t="s">
        <v>595</v>
      </c>
      <c r="R11" s="86">
        <v>1</v>
      </c>
      <c r="S11" s="86" t="s">
        <v>593</v>
      </c>
      <c r="T11" s="86">
        <v>92400</v>
      </c>
      <c r="U11" s="86">
        <v>5</v>
      </c>
      <c r="V11" s="58">
        <f t="shared" si="0"/>
        <v>462000</v>
      </c>
      <c r="W11" s="86" t="s">
        <v>50</v>
      </c>
      <c r="X11" s="86" t="s">
        <v>582</v>
      </c>
      <c r="Y11" s="86" t="s">
        <v>570</v>
      </c>
      <c r="Z11" s="86" t="s">
        <v>583</v>
      </c>
      <c r="AA11" s="52">
        <v>0</v>
      </c>
      <c r="AB11" s="52">
        <v>0</v>
      </c>
      <c r="AC11" s="52">
        <v>0</v>
      </c>
      <c r="AD11" s="21">
        <v>1</v>
      </c>
      <c r="AE11" s="21">
        <v>1</v>
      </c>
    </row>
    <row r="12" spans="1:31" s="55" customFormat="1" ht="45" customHeight="1" x14ac:dyDescent="0.25">
      <c r="A12" s="86" t="s">
        <v>562</v>
      </c>
      <c r="B12" s="52" t="s">
        <v>563</v>
      </c>
      <c r="C12" s="52"/>
      <c r="D12" s="52" t="s">
        <v>563</v>
      </c>
      <c r="E12" s="52"/>
      <c r="F12" s="52" t="s">
        <v>564</v>
      </c>
      <c r="G12" s="52"/>
      <c r="H12" s="52" t="s">
        <v>572</v>
      </c>
      <c r="I12" s="52" t="s">
        <v>17</v>
      </c>
      <c r="J12" s="52" t="s">
        <v>573</v>
      </c>
      <c r="K12" s="22" t="str">
        <f>VLOOKUP(CONCATENATE(A12,LEFT(J12,4)),AGRUPAMENTO!$D$2:$E$6784,2,FALSE)</f>
        <v>Diárias e viagens</v>
      </c>
      <c r="L12" s="52" t="s">
        <v>45</v>
      </c>
      <c r="M12" s="52"/>
      <c r="N12" s="52">
        <v>10</v>
      </c>
      <c r="O12" s="86" t="s">
        <v>597</v>
      </c>
      <c r="P12" s="86" t="s">
        <v>47</v>
      </c>
      <c r="Q12" s="86" t="s">
        <v>598</v>
      </c>
      <c r="R12" s="86">
        <v>1</v>
      </c>
      <c r="S12" s="86" t="s">
        <v>576</v>
      </c>
      <c r="T12" s="86">
        <v>5000</v>
      </c>
      <c r="U12" s="86">
        <v>5</v>
      </c>
      <c r="V12" s="58">
        <f t="shared" si="0"/>
        <v>25000</v>
      </c>
      <c r="W12" s="86" t="s">
        <v>50</v>
      </c>
      <c r="X12" s="86" t="s">
        <v>577</v>
      </c>
      <c r="Y12" s="86" t="s">
        <v>570</v>
      </c>
      <c r="Z12" s="86" t="s">
        <v>583</v>
      </c>
      <c r="AA12" s="52">
        <v>0</v>
      </c>
      <c r="AB12" s="52">
        <v>0</v>
      </c>
      <c r="AC12" s="52">
        <v>0</v>
      </c>
      <c r="AD12" s="21">
        <v>1</v>
      </c>
      <c r="AE12" s="21">
        <v>1</v>
      </c>
    </row>
    <row r="13" spans="1:31" s="55" customFormat="1" ht="45" customHeight="1" x14ac:dyDescent="0.25">
      <c r="A13" s="86" t="s">
        <v>562</v>
      </c>
      <c r="B13" s="52" t="s">
        <v>563</v>
      </c>
      <c r="C13" s="52"/>
      <c r="D13" s="52" t="s">
        <v>563</v>
      </c>
      <c r="E13" s="52"/>
      <c r="F13" s="52" t="s">
        <v>564</v>
      </c>
      <c r="G13" s="52"/>
      <c r="H13" s="52" t="s">
        <v>572</v>
      </c>
      <c r="I13" s="52" t="s">
        <v>17</v>
      </c>
      <c r="J13" s="52" t="s">
        <v>573</v>
      </c>
      <c r="K13" s="22" t="str">
        <f>VLOOKUP(CONCATENATE(A13,LEFT(J13,4)),AGRUPAMENTO!$D$2:$E$6784,2,FALSE)</f>
        <v>Diárias e viagens</v>
      </c>
      <c r="L13" s="52" t="s">
        <v>45</v>
      </c>
      <c r="M13" s="52"/>
      <c r="N13" s="52">
        <v>10</v>
      </c>
      <c r="O13" s="86" t="s">
        <v>599</v>
      </c>
      <c r="P13" s="86" t="s">
        <v>47</v>
      </c>
      <c r="Q13" s="86" t="s">
        <v>600</v>
      </c>
      <c r="R13" s="86">
        <v>1</v>
      </c>
      <c r="S13" s="86" t="s">
        <v>601</v>
      </c>
      <c r="T13" s="86">
        <v>63000</v>
      </c>
      <c r="U13" s="86">
        <v>1</v>
      </c>
      <c r="V13" s="58">
        <f t="shared" si="0"/>
        <v>63000</v>
      </c>
      <c r="W13" s="86" t="s">
        <v>50</v>
      </c>
      <c r="X13" s="86" t="s">
        <v>577</v>
      </c>
      <c r="Y13" s="86" t="s">
        <v>570</v>
      </c>
      <c r="Z13" s="86" t="s">
        <v>583</v>
      </c>
      <c r="AA13" s="52">
        <v>0</v>
      </c>
      <c r="AB13" s="52">
        <v>0</v>
      </c>
      <c r="AC13" s="52">
        <v>0</v>
      </c>
      <c r="AD13" s="21">
        <v>1</v>
      </c>
      <c r="AE13" s="21">
        <v>1</v>
      </c>
    </row>
    <row r="14" spans="1:31" s="55" customFormat="1" ht="45" customHeight="1" x14ac:dyDescent="0.25">
      <c r="A14" s="86" t="s">
        <v>562</v>
      </c>
      <c r="B14" s="52" t="s">
        <v>563</v>
      </c>
      <c r="C14" s="52"/>
      <c r="D14" s="52" t="s">
        <v>563</v>
      </c>
      <c r="E14" s="52"/>
      <c r="F14" s="52" t="s">
        <v>564</v>
      </c>
      <c r="G14" s="52"/>
      <c r="H14" s="52" t="s">
        <v>572</v>
      </c>
      <c r="I14" s="52" t="s">
        <v>17</v>
      </c>
      <c r="J14" s="52" t="s">
        <v>579</v>
      </c>
      <c r="K14" s="22" t="str">
        <f>VLOOKUP(CONCATENATE(A14,LEFT(J14,4)),AGRUPAMENTO!$D$2:$E$6784,2,FALSE)</f>
        <v>Diárias e viagens</v>
      </c>
      <c r="L14" s="52" t="s">
        <v>45</v>
      </c>
      <c r="M14" s="52"/>
      <c r="N14" s="52">
        <v>10</v>
      </c>
      <c r="O14" s="86" t="s">
        <v>602</v>
      </c>
      <c r="P14" s="86" t="s">
        <v>47</v>
      </c>
      <c r="Q14" s="86" t="s">
        <v>600</v>
      </c>
      <c r="R14" s="86">
        <v>1</v>
      </c>
      <c r="S14" s="86" t="s">
        <v>603</v>
      </c>
      <c r="T14" s="86">
        <v>27000</v>
      </c>
      <c r="U14" s="86">
        <v>1</v>
      </c>
      <c r="V14" s="58">
        <f t="shared" si="0"/>
        <v>27000</v>
      </c>
      <c r="W14" s="86" t="s">
        <v>50</v>
      </c>
      <c r="X14" s="86" t="s">
        <v>582</v>
      </c>
      <c r="Y14" s="86" t="s">
        <v>570</v>
      </c>
      <c r="Z14" s="86" t="s">
        <v>583</v>
      </c>
      <c r="AA14" s="52">
        <v>0</v>
      </c>
      <c r="AB14" s="52">
        <v>0</v>
      </c>
      <c r="AC14" s="52">
        <v>0</v>
      </c>
      <c r="AD14" s="21">
        <v>1</v>
      </c>
      <c r="AE14" s="21">
        <v>1</v>
      </c>
    </row>
    <row r="15" spans="1:31" s="55" customFormat="1" ht="45" customHeight="1" x14ac:dyDescent="0.25">
      <c r="A15" s="86" t="s">
        <v>562</v>
      </c>
      <c r="B15" s="52" t="s">
        <v>563</v>
      </c>
      <c r="C15" s="52"/>
      <c r="D15" s="52" t="s">
        <v>563</v>
      </c>
      <c r="E15" s="52"/>
      <c r="F15" s="52" t="s">
        <v>564</v>
      </c>
      <c r="G15" s="52"/>
      <c r="H15" s="52" t="s">
        <v>572</v>
      </c>
      <c r="I15" s="52" t="s">
        <v>17</v>
      </c>
      <c r="J15" s="52" t="s">
        <v>573</v>
      </c>
      <c r="K15" s="22" t="str">
        <f>VLOOKUP(CONCATENATE(A15,LEFT(J15,4)),AGRUPAMENTO!$D$2:$E$6784,2,FALSE)</f>
        <v>Diárias e viagens</v>
      </c>
      <c r="L15" s="52" t="s">
        <v>45</v>
      </c>
      <c r="M15" s="52"/>
      <c r="N15" s="52">
        <v>10</v>
      </c>
      <c r="O15" s="86" t="s">
        <v>604</v>
      </c>
      <c r="P15" s="86" t="s">
        <v>47</v>
      </c>
      <c r="Q15" s="86" t="s">
        <v>605</v>
      </c>
      <c r="R15" s="86">
        <v>1</v>
      </c>
      <c r="S15" s="86" t="s">
        <v>601</v>
      </c>
      <c r="T15" s="86">
        <v>10000</v>
      </c>
      <c r="U15" s="86">
        <v>5</v>
      </c>
      <c r="V15" s="58">
        <f t="shared" si="0"/>
        <v>50000</v>
      </c>
      <c r="W15" s="86" t="s">
        <v>50</v>
      </c>
      <c r="X15" s="86" t="s">
        <v>577</v>
      </c>
      <c r="Y15" s="86" t="s">
        <v>570</v>
      </c>
      <c r="Z15" s="86" t="s">
        <v>583</v>
      </c>
      <c r="AA15" s="52">
        <v>0</v>
      </c>
      <c r="AB15" s="52">
        <v>0</v>
      </c>
      <c r="AC15" s="52">
        <v>0</v>
      </c>
      <c r="AD15" s="21">
        <v>1</v>
      </c>
      <c r="AE15" s="21">
        <v>1</v>
      </c>
    </row>
    <row r="16" spans="1:31" s="55" customFormat="1" ht="45" customHeight="1" x14ac:dyDescent="0.25">
      <c r="A16" s="86" t="s">
        <v>562</v>
      </c>
      <c r="B16" s="52" t="s">
        <v>563</v>
      </c>
      <c r="C16" s="52"/>
      <c r="D16" s="52" t="s">
        <v>563</v>
      </c>
      <c r="E16" s="52"/>
      <c r="F16" s="52" t="s">
        <v>606</v>
      </c>
      <c r="G16" s="52"/>
      <c r="H16" s="52" t="s">
        <v>607</v>
      </c>
      <c r="I16" s="52" t="s">
        <v>17</v>
      </c>
      <c r="J16" s="52" t="s">
        <v>263</v>
      </c>
      <c r="K16" s="22" t="str">
        <f>VLOOKUP(CONCATENATE(A16,LEFT(J16,4)),AGRUPAMENTO!$D$2:$E$6784,2,FALSE)</f>
        <v>PRODEMGE</v>
      </c>
      <c r="L16" s="52" t="s">
        <v>45</v>
      </c>
      <c r="M16" s="52"/>
      <c r="N16" s="52">
        <v>10</v>
      </c>
      <c r="O16" s="86" t="s">
        <v>608</v>
      </c>
      <c r="P16" s="86" t="s">
        <v>47</v>
      </c>
      <c r="Q16" s="86" t="s">
        <v>609</v>
      </c>
      <c r="R16" s="86">
        <v>1</v>
      </c>
      <c r="S16" s="86" t="s">
        <v>610</v>
      </c>
      <c r="T16" s="86">
        <v>1050000</v>
      </c>
      <c r="U16" s="86">
        <v>12</v>
      </c>
      <c r="V16" s="58">
        <f t="shared" si="0"/>
        <v>12600000</v>
      </c>
      <c r="W16" s="86" t="s">
        <v>50</v>
      </c>
      <c r="X16" s="86" t="s">
        <v>611</v>
      </c>
      <c r="Y16" s="86" t="s">
        <v>612</v>
      </c>
      <c r="Z16" s="86" t="s">
        <v>613</v>
      </c>
      <c r="AA16" s="52">
        <v>0</v>
      </c>
      <c r="AB16" s="52">
        <v>0</v>
      </c>
      <c r="AC16" s="52">
        <v>0</v>
      </c>
      <c r="AD16" s="21">
        <v>1</v>
      </c>
      <c r="AE16" s="21">
        <v>1</v>
      </c>
    </row>
    <row r="17" spans="1:31" s="55" customFormat="1" ht="45" customHeight="1" x14ac:dyDescent="0.25">
      <c r="A17" s="86" t="s">
        <v>562</v>
      </c>
      <c r="B17" s="52" t="s">
        <v>563</v>
      </c>
      <c r="C17" s="52"/>
      <c r="D17" s="52" t="s">
        <v>563</v>
      </c>
      <c r="E17" s="52"/>
      <c r="F17" s="52" t="s">
        <v>606</v>
      </c>
      <c r="G17" s="52"/>
      <c r="H17" s="52" t="s">
        <v>607</v>
      </c>
      <c r="I17" s="52" t="s">
        <v>17</v>
      </c>
      <c r="J17" s="52" t="s">
        <v>263</v>
      </c>
      <c r="K17" s="22" t="str">
        <f>VLOOKUP(CONCATENATE(A17,LEFT(J17,4)),AGRUPAMENTO!$D$2:$E$6784,2,FALSE)</f>
        <v>PRODEMGE</v>
      </c>
      <c r="L17" s="52" t="s">
        <v>45</v>
      </c>
      <c r="M17" s="52"/>
      <c r="N17" s="52">
        <v>10</v>
      </c>
      <c r="O17" s="86" t="s">
        <v>614</v>
      </c>
      <c r="P17" s="86" t="s">
        <v>47</v>
      </c>
      <c r="Q17" s="86" t="s">
        <v>615</v>
      </c>
      <c r="R17" s="86">
        <v>1</v>
      </c>
      <c r="S17" s="86" t="s">
        <v>616</v>
      </c>
      <c r="T17" s="86">
        <v>250000</v>
      </c>
      <c r="U17" s="86">
        <v>12</v>
      </c>
      <c r="V17" s="58">
        <f t="shared" si="0"/>
        <v>3000000</v>
      </c>
      <c r="W17" s="86" t="s">
        <v>50</v>
      </c>
      <c r="X17" s="86" t="s">
        <v>617</v>
      </c>
      <c r="Y17" s="86" t="s">
        <v>618</v>
      </c>
      <c r="Z17" s="86" t="s">
        <v>619</v>
      </c>
      <c r="AA17" s="52">
        <v>0</v>
      </c>
      <c r="AB17" s="52">
        <v>0</v>
      </c>
      <c r="AC17" s="52">
        <v>0</v>
      </c>
      <c r="AD17" s="21">
        <v>1</v>
      </c>
      <c r="AE17" s="21">
        <v>1</v>
      </c>
    </row>
    <row r="18" spans="1:31" s="55" customFormat="1" ht="45" customHeight="1" x14ac:dyDescent="0.25">
      <c r="A18" s="86" t="s">
        <v>562</v>
      </c>
      <c r="B18" s="52" t="s">
        <v>563</v>
      </c>
      <c r="C18" s="52"/>
      <c r="D18" s="52" t="s">
        <v>563</v>
      </c>
      <c r="E18" s="52"/>
      <c r="F18" s="52" t="s">
        <v>606</v>
      </c>
      <c r="G18" s="52"/>
      <c r="H18" s="52" t="s">
        <v>607</v>
      </c>
      <c r="I18" s="52" t="s">
        <v>17</v>
      </c>
      <c r="J18" s="52" t="s">
        <v>263</v>
      </c>
      <c r="K18" s="22" t="str">
        <f>VLOOKUP(CONCATENATE(A18,LEFT(J18,4)),AGRUPAMENTO!$D$2:$E$6784,2,FALSE)</f>
        <v>PRODEMGE</v>
      </c>
      <c r="L18" s="52" t="s">
        <v>45</v>
      </c>
      <c r="M18" s="52"/>
      <c r="N18" s="52">
        <v>10</v>
      </c>
      <c r="O18" s="86" t="s">
        <v>620</v>
      </c>
      <c r="P18" s="86" t="s">
        <v>47</v>
      </c>
      <c r="Q18" s="86" t="s">
        <v>621</v>
      </c>
      <c r="R18" s="86">
        <v>1</v>
      </c>
      <c r="S18" s="86" t="s">
        <v>616</v>
      </c>
      <c r="T18" s="86">
        <v>240000</v>
      </c>
      <c r="U18" s="86">
        <v>12</v>
      </c>
      <c r="V18" s="58">
        <f t="shared" si="0"/>
        <v>2880000</v>
      </c>
      <c r="W18" s="86" t="s">
        <v>50</v>
      </c>
      <c r="X18" s="86" t="s">
        <v>622</v>
      </c>
      <c r="Y18" s="86" t="s">
        <v>623</v>
      </c>
      <c r="Z18" s="86" t="s">
        <v>624</v>
      </c>
      <c r="AA18" s="52">
        <v>0</v>
      </c>
      <c r="AB18" s="52">
        <v>0</v>
      </c>
      <c r="AC18" s="52">
        <v>0</v>
      </c>
      <c r="AD18" s="21">
        <v>1</v>
      </c>
      <c r="AE18" s="21">
        <v>1</v>
      </c>
    </row>
    <row r="19" spans="1:31" s="55" customFormat="1" ht="45" customHeight="1" x14ac:dyDescent="0.25">
      <c r="A19" s="86" t="s">
        <v>562</v>
      </c>
      <c r="B19" s="52" t="s">
        <v>563</v>
      </c>
      <c r="C19" s="52"/>
      <c r="D19" s="52" t="s">
        <v>563</v>
      </c>
      <c r="E19" s="52"/>
      <c r="F19" s="52" t="s">
        <v>606</v>
      </c>
      <c r="G19" s="52"/>
      <c r="H19" s="52" t="s">
        <v>607</v>
      </c>
      <c r="I19" s="52" t="s">
        <v>17</v>
      </c>
      <c r="J19" s="52" t="s">
        <v>237</v>
      </c>
      <c r="K19" s="22" t="str">
        <f>VLOOKUP(CONCATENATE(A19,LEFT(J19,4)),AGRUPAMENTO!$D$2:$E$6784,2,FALSE)</f>
        <v>SUBVENÇÕES SOCIAIS</v>
      </c>
      <c r="L19" s="52" t="s">
        <v>45</v>
      </c>
      <c r="M19" s="52"/>
      <c r="N19" s="52">
        <v>10</v>
      </c>
      <c r="O19" s="86" t="s">
        <v>625</v>
      </c>
      <c r="P19" s="86" t="s">
        <v>47</v>
      </c>
      <c r="Q19" s="86" t="s">
        <v>626</v>
      </c>
      <c r="R19" s="86">
        <v>1</v>
      </c>
      <c r="S19" s="86" t="s">
        <v>616</v>
      </c>
      <c r="T19" s="86">
        <v>2000000</v>
      </c>
      <c r="U19" s="86">
        <v>1</v>
      </c>
      <c r="V19" s="58">
        <f t="shared" si="0"/>
        <v>2000000</v>
      </c>
      <c r="W19" s="86" t="s">
        <v>50</v>
      </c>
      <c r="X19" s="86" t="s">
        <v>627</v>
      </c>
      <c r="Y19" s="86" t="s">
        <v>628</v>
      </c>
      <c r="Z19" s="86" t="s">
        <v>629</v>
      </c>
      <c r="AA19" s="52">
        <v>0</v>
      </c>
      <c r="AB19" s="52">
        <v>0</v>
      </c>
      <c r="AC19" s="52">
        <v>0</v>
      </c>
      <c r="AD19" s="21">
        <v>1</v>
      </c>
      <c r="AE19" s="21">
        <v>1</v>
      </c>
    </row>
    <row r="20" spans="1:31" s="55" customFormat="1" ht="45" customHeight="1" x14ac:dyDescent="0.25">
      <c r="A20" s="86" t="s">
        <v>562</v>
      </c>
      <c r="B20" s="52" t="s">
        <v>563</v>
      </c>
      <c r="C20" s="52"/>
      <c r="D20" s="52" t="s">
        <v>563</v>
      </c>
      <c r="E20" s="52"/>
      <c r="F20" s="52" t="s">
        <v>606</v>
      </c>
      <c r="G20" s="52"/>
      <c r="H20" s="52" t="s">
        <v>607</v>
      </c>
      <c r="I20" s="52" t="s">
        <v>17</v>
      </c>
      <c r="J20" s="52" t="s">
        <v>630</v>
      </c>
      <c r="K20" s="22" t="str">
        <f>VLOOKUP(CONCATENATE(A20,LEFT(J20,4)),AGRUPAMENTO!$D$2:$E$6784,2,FALSE)</f>
        <v>PRODEMGE</v>
      </c>
      <c r="L20" s="52" t="s">
        <v>95</v>
      </c>
      <c r="M20" s="52"/>
      <c r="N20" s="52">
        <v>10</v>
      </c>
      <c r="O20" s="86" t="s">
        <v>631</v>
      </c>
      <c r="P20" s="86" t="s">
        <v>47</v>
      </c>
      <c r="Q20" s="86" t="s">
        <v>632</v>
      </c>
      <c r="R20" s="86">
        <v>1</v>
      </c>
      <c r="S20" s="86" t="s">
        <v>610</v>
      </c>
      <c r="T20" s="86">
        <v>480000</v>
      </c>
      <c r="U20" s="86">
        <v>12</v>
      </c>
      <c r="V20" s="58">
        <f t="shared" si="0"/>
        <v>5760000</v>
      </c>
      <c r="W20" s="86" t="s">
        <v>50</v>
      </c>
      <c r="X20" s="86" t="s">
        <v>633</v>
      </c>
      <c r="Y20" s="86" t="s">
        <v>618</v>
      </c>
      <c r="Z20" s="86" t="s">
        <v>619</v>
      </c>
      <c r="AA20" s="52">
        <v>0</v>
      </c>
      <c r="AB20" s="52">
        <v>0</v>
      </c>
      <c r="AC20" s="52">
        <v>0</v>
      </c>
      <c r="AD20" s="21">
        <v>1</v>
      </c>
      <c r="AE20" s="21">
        <v>1</v>
      </c>
    </row>
    <row r="21" spans="1:31" s="55" customFormat="1" ht="45" customHeight="1" x14ac:dyDescent="0.25">
      <c r="A21" s="86" t="s">
        <v>562</v>
      </c>
      <c r="B21" s="52" t="s">
        <v>563</v>
      </c>
      <c r="C21" s="52"/>
      <c r="D21" s="52" t="s">
        <v>563</v>
      </c>
      <c r="E21" s="52"/>
      <c r="F21" s="52" t="s">
        <v>606</v>
      </c>
      <c r="G21" s="52"/>
      <c r="H21" s="52" t="s">
        <v>634</v>
      </c>
      <c r="I21" s="52" t="s">
        <v>17</v>
      </c>
      <c r="J21" s="52" t="s">
        <v>635</v>
      </c>
      <c r="K21" s="22" t="str">
        <f>VLOOKUP(CONCATENATE(A21,LEFT(J21,4)),AGRUPAMENTO!$D$2:$E$6784,2,FALSE)</f>
        <v>Concurso público</v>
      </c>
      <c r="L21" s="52" t="s">
        <v>45</v>
      </c>
      <c r="M21" s="52"/>
      <c r="N21" s="52">
        <v>10</v>
      </c>
      <c r="O21" s="86" t="s">
        <v>636</v>
      </c>
      <c r="P21" s="86" t="s">
        <v>47</v>
      </c>
      <c r="Q21" s="86" t="s">
        <v>637</v>
      </c>
      <c r="R21" s="86">
        <v>1</v>
      </c>
      <c r="S21" s="86" t="s">
        <v>638</v>
      </c>
      <c r="T21" s="86">
        <v>15000000</v>
      </c>
      <c r="U21" s="86">
        <v>1</v>
      </c>
      <c r="V21" s="58">
        <f t="shared" si="0"/>
        <v>15000000</v>
      </c>
      <c r="W21" s="86" t="s">
        <v>50</v>
      </c>
      <c r="X21" s="86" t="s">
        <v>639</v>
      </c>
      <c r="Y21" s="86" t="s">
        <v>640</v>
      </c>
      <c r="Z21" s="86" t="s">
        <v>641</v>
      </c>
      <c r="AA21" s="52">
        <v>0</v>
      </c>
      <c r="AB21" s="52">
        <v>0</v>
      </c>
      <c r="AC21" s="52">
        <v>0</v>
      </c>
      <c r="AD21" s="21">
        <v>1</v>
      </c>
      <c r="AE21" s="21">
        <v>1</v>
      </c>
    </row>
    <row r="22" spans="1:31" s="55" customFormat="1" ht="45" customHeight="1" x14ac:dyDescent="0.25">
      <c r="A22" s="86" t="s">
        <v>562</v>
      </c>
      <c r="B22" s="52" t="s">
        <v>563</v>
      </c>
      <c r="C22" s="52"/>
      <c r="D22" s="52" t="s">
        <v>563</v>
      </c>
      <c r="E22" s="52"/>
      <c r="F22" s="52" t="s">
        <v>606</v>
      </c>
      <c r="G22" s="52"/>
      <c r="H22" s="52" t="s">
        <v>642</v>
      </c>
      <c r="I22" s="52" t="s">
        <v>17</v>
      </c>
      <c r="J22" s="52" t="s">
        <v>643</v>
      </c>
      <c r="K22" s="22" t="str">
        <f>VLOOKUP(CONCATENATE(A22,LEFT(J22,4)),AGRUPAMENTO!$D$2:$E$6784,2,FALSE)</f>
        <v>Demais despesas de custeio</v>
      </c>
      <c r="L22" s="52" t="s">
        <v>45</v>
      </c>
      <c r="M22" s="52"/>
      <c r="N22" s="52">
        <v>10</v>
      </c>
      <c r="O22" s="86" t="s">
        <v>644</v>
      </c>
      <c r="P22" s="86" t="s">
        <v>47</v>
      </c>
      <c r="Q22" s="86" t="s">
        <v>645</v>
      </c>
      <c r="R22" s="86">
        <v>4</v>
      </c>
      <c r="S22" s="86" t="s">
        <v>646</v>
      </c>
      <c r="T22" s="86">
        <v>375000</v>
      </c>
      <c r="U22" s="86">
        <v>1</v>
      </c>
      <c r="V22" s="58">
        <f t="shared" si="0"/>
        <v>1500000</v>
      </c>
      <c r="W22" s="86" t="s">
        <v>50</v>
      </c>
      <c r="X22" s="86" t="s">
        <v>647</v>
      </c>
      <c r="Y22" s="86" t="s">
        <v>648</v>
      </c>
      <c r="Z22" s="86" t="s">
        <v>649</v>
      </c>
      <c r="AA22" s="52">
        <v>0</v>
      </c>
      <c r="AB22" s="52">
        <v>0</v>
      </c>
      <c r="AC22" s="52">
        <v>0</v>
      </c>
      <c r="AD22" s="21">
        <v>1</v>
      </c>
      <c r="AE22" s="21">
        <v>1</v>
      </c>
    </row>
    <row r="23" spans="1:31" s="55" customFormat="1" ht="45" customHeight="1" x14ac:dyDescent="0.25">
      <c r="A23" s="86" t="s">
        <v>562</v>
      </c>
      <c r="B23" s="52" t="s">
        <v>563</v>
      </c>
      <c r="C23" s="52"/>
      <c r="D23" s="52" t="s">
        <v>563</v>
      </c>
      <c r="E23" s="52"/>
      <c r="F23" s="52" t="s">
        <v>606</v>
      </c>
      <c r="G23" s="52"/>
      <c r="H23" s="52" t="s">
        <v>642</v>
      </c>
      <c r="I23" s="52" t="s">
        <v>17</v>
      </c>
      <c r="J23" s="52" t="s">
        <v>237</v>
      </c>
      <c r="K23" s="22" t="str">
        <f>VLOOKUP(CONCATENATE(A23,LEFT(J23,4)),AGRUPAMENTO!$D$2:$E$6784,2,FALSE)</f>
        <v>SUBVENÇÕES SOCIAIS</v>
      </c>
      <c r="L23" s="52" t="s">
        <v>45</v>
      </c>
      <c r="M23" s="52"/>
      <c r="N23" s="52">
        <v>10</v>
      </c>
      <c r="O23" s="86" t="s">
        <v>650</v>
      </c>
      <c r="P23" s="86" t="s">
        <v>47</v>
      </c>
      <c r="Q23" s="86" t="s">
        <v>651</v>
      </c>
      <c r="R23" s="86">
        <v>47</v>
      </c>
      <c r="S23" s="86" t="s">
        <v>652</v>
      </c>
      <c r="T23" s="86">
        <v>10300</v>
      </c>
      <c r="U23" s="86">
        <v>1</v>
      </c>
      <c r="V23" s="58">
        <f t="shared" si="0"/>
        <v>484100</v>
      </c>
      <c r="W23" s="86" t="s">
        <v>50</v>
      </c>
      <c r="X23" s="86" t="s">
        <v>653</v>
      </c>
      <c r="Y23" s="86" t="s">
        <v>654</v>
      </c>
      <c r="Z23" s="86" t="s">
        <v>655</v>
      </c>
      <c r="AA23" s="52">
        <v>0</v>
      </c>
      <c r="AB23" s="52">
        <v>0</v>
      </c>
      <c r="AC23" s="52">
        <v>0</v>
      </c>
      <c r="AD23" s="21">
        <v>1</v>
      </c>
      <c r="AE23" s="21">
        <v>1</v>
      </c>
    </row>
    <row r="24" spans="1:31" s="55" customFormat="1" ht="45" customHeight="1" x14ac:dyDescent="0.25">
      <c r="A24" s="86" t="s">
        <v>562</v>
      </c>
      <c r="B24" s="52" t="s">
        <v>563</v>
      </c>
      <c r="C24" s="52"/>
      <c r="D24" s="52" t="s">
        <v>563</v>
      </c>
      <c r="E24" s="52"/>
      <c r="F24" s="52" t="s">
        <v>606</v>
      </c>
      <c r="G24" s="52"/>
      <c r="H24" s="52" t="s">
        <v>642</v>
      </c>
      <c r="I24" s="52" t="s">
        <v>17</v>
      </c>
      <c r="J24" s="52" t="s">
        <v>643</v>
      </c>
      <c r="K24" s="22" t="str">
        <f>VLOOKUP(CONCATENATE(A24,LEFT(J24,4)),AGRUPAMENTO!$D$2:$E$6784,2,FALSE)</f>
        <v>Demais despesas de custeio</v>
      </c>
      <c r="L24" s="52" t="s">
        <v>45</v>
      </c>
      <c r="M24" s="52"/>
      <c r="N24" s="52">
        <v>10</v>
      </c>
      <c r="O24" s="86" t="s">
        <v>656</v>
      </c>
      <c r="P24" s="86" t="s">
        <v>47</v>
      </c>
      <c r="Q24" s="86" t="s">
        <v>645</v>
      </c>
      <c r="R24" s="86">
        <v>4</v>
      </c>
      <c r="S24" s="86" t="s">
        <v>646</v>
      </c>
      <c r="T24" s="86">
        <v>375000</v>
      </c>
      <c r="U24" s="86">
        <v>1</v>
      </c>
      <c r="V24" s="58">
        <f t="shared" si="0"/>
        <v>1500000</v>
      </c>
      <c r="W24" s="86" t="s">
        <v>50</v>
      </c>
      <c r="X24" s="86" t="s">
        <v>657</v>
      </c>
      <c r="Y24" s="86" t="s">
        <v>658</v>
      </c>
      <c r="Z24" s="86" t="s">
        <v>659</v>
      </c>
      <c r="AA24" s="52">
        <v>0</v>
      </c>
      <c r="AB24" s="52">
        <v>0</v>
      </c>
      <c r="AC24" s="52">
        <v>0</v>
      </c>
      <c r="AD24" s="21">
        <v>1</v>
      </c>
      <c r="AE24" s="21">
        <v>1</v>
      </c>
    </row>
    <row r="25" spans="1:31" s="55" customFormat="1" ht="45" customHeight="1" x14ac:dyDescent="0.25">
      <c r="A25" s="86" t="s">
        <v>562</v>
      </c>
      <c r="B25" s="52" t="s">
        <v>563</v>
      </c>
      <c r="C25" s="52"/>
      <c r="D25" s="52" t="s">
        <v>563</v>
      </c>
      <c r="E25" s="52"/>
      <c r="F25" s="52" t="s">
        <v>606</v>
      </c>
      <c r="G25" s="52"/>
      <c r="H25" s="52" t="s">
        <v>642</v>
      </c>
      <c r="I25" s="52" t="s">
        <v>17</v>
      </c>
      <c r="J25" s="52" t="s">
        <v>573</v>
      </c>
      <c r="K25" s="22" t="str">
        <f>VLOOKUP(CONCATENATE(A25,LEFT(J25,4)),AGRUPAMENTO!$D$2:$E$6784,2,FALSE)</f>
        <v>Diárias e viagens</v>
      </c>
      <c r="L25" s="52" t="s">
        <v>45</v>
      </c>
      <c r="M25" s="52"/>
      <c r="N25" s="52">
        <v>10</v>
      </c>
      <c r="O25" s="86" t="s">
        <v>660</v>
      </c>
      <c r="P25" s="86" t="s">
        <v>47</v>
      </c>
      <c r="Q25" s="86" t="s">
        <v>661</v>
      </c>
      <c r="R25" s="86">
        <v>1</v>
      </c>
      <c r="S25" s="86" t="s">
        <v>576</v>
      </c>
      <c r="T25" s="86">
        <v>2476080</v>
      </c>
      <c r="U25" s="86">
        <v>5</v>
      </c>
      <c r="V25" s="58">
        <f t="shared" si="0"/>
        <v>12380400</v>
      </c>
      <c r="W25" s="86" t="s">
        <v>50</v>
      </c>
      <c r="X25" s="86" t="s">
        <v>577</v>
      </c>
      <c r="Y25" s="86" t="s">
        <v>570</v>
      </c>
      <c r="Z25" s="86" t="s">
        <v>583</v>
      </c>
      <c r="AA25" s="52">
        <v>0</v>
      </c>
      <c r="AB25" s="52">
        <v>0</v>
      </c>
      <c r="AC25" s="52">
        <v>0</v>
      </c>
      <c r="AD25" s="21">
        <v>1</v>
      </c>
      <c r="AE25" s="21">
        <v>1</v>
      </c>
    </row>
    <row r="26" spans="1:31" s="55" customFormat="1" ht="45" customHeight="1" x14ac:dyDescent="0.25">
      <c r="A26" s="86" t="s">
        <v>562</v>
      </c>
      <c r="B26" s="52" t="s">
        <v>563</v>
      </c>
      <c r="C26" s="52"/>
      <c r="D26" s="52" t="s">
        <v>563</v>
      </c>
      <c r="E26" s="52"/>
      <c r="F26" s="52" t="s">
        <v>606</v>
      </c>
      <c r="G26" s="52"/>
      <c r="H26" s="52" t="s">
        <v>642</v>
      </c>
      <c r="I26" s="52" t="s">
        <v>17</v>
      </c>
      <c r="J26" s="52" t="s">
        <v>579</v>
      </c>
      <c r="K26" s="22" t="str">
        <f>VLOOKUP(CONCATENATE(A26,LEFT(J26,4)),AGRUPAMENTO!$D$2:$E$6784,2,FALSE)</f>
        <v>Diárias e viagens</v>
      </c>
      <c r="L26" s="52" t="s">
        <v>45</v>
      </c>
      <c r="M26" s="52"/>
      <c r="N26" s="52">
        <v>10</v>
      </c>
      <c r="O26" s="86" t="s">
        <v>662</v>
      </c>
      <c r="P26" s="86" t="s">
        <v>47</v>
      </c>
      <c r="Q26" s="86" t="s">
        <v>663</v>
      </c>
      <c r="R26" s="86">
        <v>1</v>
      </c>
      <c r="S26" s="86" t="s">
        <v>593</v>
      </c>
      <c r="T26" s="86">
        <v>513000</v>
      </c>
      <c r="U26" s="86">
        <v>5</v>
      </c>
      <c r="V26" s="58">
        <f t="shared" si="0"/>
        <v>2565000</v>
      </c>
      <c r="W26" s="86" t="s">
        <v>50</v>
      </c>
      <c r="X26" s="86" t="s">
        <v>582</v>
      </c>
      <c r="Y26" s="86" t="s">
        <v>570</v>
      </c>
      <c r="Z26" s="86" t="s">
        <v>583</v>
      </c>
      <c r="AA26" s="52">
        <v>0</v>
      </c>
      <c r="AB26" s="52">
        <v>0</v>
      </c>
      <c r="AC26" s="52">
        <v>0</v>
      </c>
      <c r="AD26" s="21">
        <v>1</v>
      </c>
      <c r="AE26" s="21">
        <v>1</v>
      </c>
    </row>
    <row r="27" spans="1:31" s="55" customFormat="1" ht="45" customHeight="1" x14ac:dyDescent="0.25">
      <c r="A27" s="86" t="s">
        <v>562</v>
      </c>
      <c r="B27" s="52" t="s">
        <v>563</v>
      </c>
      <c r="C27" s="52"/>
      <c r="D27" s="52" t="s">
        <v>563</v>
      </c>
      <c r="E27" s="52"/>
      <c r="F27" s="52" t="s">
        <v>606</v>
      </c>
      <c r="G27" s="52"/>
      <c r="H27" s="52" t="s">
        <v>642</v>
      </c>
      <c r="I27" s="52" t="s">
        <v>17</v>
      </c>
      <c r="J27" s="52" t="s">
        <v>664</v>
      </c>
      <c r="K27" s="22" t="str">
        <f>VLOOKUP(CONCATENATE(A27,LEFT(J27,4)),AGRUPAMENTO!$D$2:$E$6784,2,FALSE)</f>
        <v>Demais despesas de custeio</v>
      </c>
      <c r="L27" s="52" t="s">
        <v>45</v>
      </c>
      <c r="M27" s="52"/>
      <c r="N27" s="52">
        <v>10</v>
      </c>
      <c r="O27" s="86" t="s">
        <v>665</v>
      </c>
      <c r="P27" s="86" t="s">
        <v>59</v>
      </c>
      <c r="Q27" s="86" t="s">
        <v>666</v>
      </c>
      <c r="R27" s="86">
        <v>1</v>
      </c>
      <c r="S27" s="86" t="s">
        <v>667</v>
      </c>
      <c r="T27" s="86">
        <v>750000</v>
      </c>
      <c r="U27" s="86">
        <v>4</v>
      </c>
      <c r="V27" s="58">
        <f t="shared" si="0"/>
        <v>3000000</v>
      </c>
      <c r="W27" s="86" t="s">
        <v>50</v>
      </c>
      <c r="X27" s="86" t="s">
        <v>668</v>
      </c>
      <c r="Y27" s="86" t="s">
        <v>669</v>
      </c>
      <c r="Z27" s="86" t="s">
        <v>670</v>
      </c>
      <c r="AA27" s="52">
        <v>0</v>
      </c>
      <c r="AB27" s="52">
        <v>0</v>
      </c>
      <c r="AC27" s="52">
        <v>0</v>
      </c>
      <c r="AD27" s="21">
        <v>1</v>
      </c>
      <c r="AE27" s="21">
        <v>1</v>
      </c>
    </row>
    <row r="28" spans="1:31" s="55" customFormat="1" ht="45" customHeight="1" x14ac:dyDescent="0.25">
      <c r="A28" s="86" t="s">
        <v>562</v>
      </c>
      <c r="B28" s="52" t="s">
        <v>563</v>
      </c>
      <c r="C28" s="52"/>
      <c r="D28" s="52" t="s">
        <v>563</v>
      </c>
      <c r="E28" s="52"/>
      <c r="F28" s="52" t="s">
        <v>606</v>
      </c>
      <c r="G28" s="52"/>
      <c r="H28" s="52" t="s">
        <v>642</v>
      </c>
      <c r="I28" s="52" t="s">
        <v>17</v>
      </c>
      <c r="J28" s="52" t="s">
        <v>664</v>
      </c>
      <c r="K28" s="22" t="str">
        <f>VLOOKUP(CONCATENATE(A28,LEFT(J28,4)),AGRUPAMENTO!$D$2:$E$6784,2,FALSE)</f>
        <v>Demais despesas de custeio</v>
      </c>
      <c r="L28" s="52" t="s">
        <v>45</v>
      </c>
      <c r="M28" s="52"/>
      <c r="N28" s="52">
        <v>10</v>
      </c>
      <c r="O28" s="86" t="s">
        <v>671</v>
      </c>
      <c r="P28" s="86" t="s">
        <v>59</v>
      </c>
      <c r="Q28" s="86" t="s">
        <v>672</v>
      </c>
      <c r="R28" s="86">
        <v>51300</v>
      </c>
      <c r="S28" s="86" t="s">
        <v>673</v>
      </c>
      <c r="T28" s="86">
        <v>200</v>
      </c>
      <c r="U28" s="86">
        <v>1</v>
      </c>
      <c r="V28" s="58">
        <f t="shared" si="0"/>
        <v>10260000</v>
      </c>
      <c r="W28" s="86" t="s">
        <v>50</v>
      </c>
      <c r="X28" s="86" t="s">
        <v>668</v>
      </c>
      <c r="Y28" s="86" t="s">
        <v>669</v>
      </c>
      <c r="Z28" s="86" t="s">
        <v>670</v>
      </c>
      <c r="AA28" s="52">
        <v>0</v>
      </c>
      <c r="AB28" s="52">
        <v>0</v>
      </c>
      <c r="AC28" s="52">
        <v>0</v>
      </c>
      <c r="AD28" s="21">
        <v>1</v>
      </c>
      <c r="AE28" s="21">
        <v>1</v>
      </c>
    </row>
    <row r="29" spans="1:31" s="55" customFormat="1" ht="45" customHeight="1" x14ac:dyDescent="0.25">
      <c r="A29" s="86" t="s">
        <v>562</v>
      </c>
      <c r="B29" s="52" t="s">
        <v>563</v>
      </c>
      <c r="C29" s="52"/>
      <c r="D29" s="52" t="s">
        <v>563</v>
      </c>
      <c r="E29" s="52"/>
      <c r="F29" s="52" t="s">
        <v>606</v>
      </c>
      <c r="G29" s="52"/>
      <c r="H29" s="52" t="s">
        <v>642</v>
      </c>
      <c r="I29" s="52" t="s">
        <v>17</v>
      </c>
      <c r="J29" s="52" t="s">
        <v>573</v>
      </c>
      <c r="K29" s="22" t="str">
        <f>VLOOKUP(CONCATENATE(A29,LEFT(J29,4)),AGRUPAMENTO!$D$2:$E$6784,2,FALSE)</f>
        <v>Diárias e viagens</v>
      </c>
      <c r="L29" s="52" t="s">
        <v>45</v>
      </c>
      <c r="M29" s="52"/>
      <c r="N29" s="52">
        <v>10</v>
      </c>
      <c r="O29" s="86" t="s">
        <v>674</v>
      </c>
      <c r="P29" s="86" t="s">
        <v>47</v>
      </c>
      <c r="Q29" s="86" t="s">
        <v>675</v>
      </c>
      <c r="R29" s="86">
        <v>1</v>
      </c>
      <c r="S29" s="86" t="s">
        <v>576</v>
      </c>
      <c r="T29" s="86">
        <v>149600</v>
      </c>
      <c r="U29" s="86">
        <v>2</v>
      </c>
      <c r="V29" s="58">
        <f t="shared" si="0"/>
        <v>299200</v>
      </c>
      <c r="W29" s="86" t="s">
        <v>50</v>
      </c>
      <c r="X29" s="86" t="s">
        <v>577</v>
      </c>
      <c r="Y29" s="86" t="s">
        <v>570</v>
      </c>
      <c r="Z29" s="86" t="s">
        <v>583</v>
      </c>
      <c r="AA29" s="52">
        <v>0</v>
      </c>
      <c r="AB29" s="52">
        <v>0</v>
      </c>
      <c r="AC29" s="52">
        <v>0</v>
      </c>
      <c r="AD29" s="21">
        <v>1</v>
      </c>
      <c r="AE29" s="21">
        <v>1</v>
      </c>
    </row>
    <row r="30" spans="1:31" s="55" customFormat="1" ht="45" customHeight="1" x14ac:dyDescent="0.25">
      <c r="A30" s="86" t="s">
        <v>562</v>
      </c>
      <c r="B30" s="52" t="s">
        <v>563</v>
      </c>
      <c r="C30" s="52"/>
      <c r="D30" s="52" t="s">
        <v>563</v>
      </c>
      <c r="E30" s="52"/>
      <c r="F30" s="52" t="s">
        <v>606</v>
      </c>
      <c r="G30" s="52"/>
      <c r="H30" s="52" t="s">
        <v>642</v>
      </c>
      <c r="I30" s="52" t="s">
        <v>17</v>
      </c>
      <c r="J30" s="52" t="s">
        <v>579</v>
      </c>
      <c r="K30" s="22" t="str">
        <f>VLOOKUP(CONCATENATE(A30,LEFT(J30,4)),AGRUPAMENTO!$D$2:$E$6784,2,FALSE)</f>
        <v>Diárias e viagens</v>
      </c>
      <c r="L30" s="52" t="s">
        <v>45</v>
      </c>
      <c r="M30" s="52"/>
      <c r="N30" s="52">
        <v>10</v>
      </c>
      <c r="O30" s="86" t="s">
        <v>674</v>
      </c>
      <c r="P30" s="86" t="s">
        <v>47</v>
      </c>
      <c r="Q30" s="86" t="s">
        <v>676</v>
      </c>
      <c r="R30" s="86">
        <v>1</v>
      </c>
      <c r="S30" s="86" t="s">
        <v>593</v>
      </c>
      <c r="T30" s="86">
        <v>75680</v>
      </c>
      <c r="U30" s="86">
        <v>2</v>
      </c>
      <c r="V30" s="58">
        <f t="shared" si="0"/>
        <v>151360</v>
      </c>
      <c r="W30" s="86" t="s">
        <v>50</v>
      </c>
      <c r="X30" s="86" t="s">
        <v>582</v>
      </c>
      <c r="Y30" s="86" t="s">
        <v>570</v>
      </c>
      <c r="Z30" s="86" t="s">
        <v>583</v>
      </c>
      <c r="AA30" s="52">
        <v>0</v>
      </c>
      <c r="AB30" s="52">
        <v>0</v>
      </c>
      <c r="AC30" s="52">
        <v>0</v>
      </c>
      <c r="AD30" s="21">
        <v>1</v>
      </c>
      <c r="AE30" s="21">
        <v>1</v>
      </c>
    </row>
    <row r="31" spans="1:31" s="55" customFormat="1" ht="45" customHeight="1" x14ac:dyDescent="0.25">
      <c r="A31" s="86" t="s">
        <v>562</v>
      </c>
      <c r="B31" s="52" t="s">
        <v>563</v>
      </c>
      <c r="C31" s="52"/>
      <c r="D31" s="52" t="s">
        <v>563</v>
      </c>
      <c r="E31" s="52"/>
      <c r="F31" s="52" t="s">
        <v>606</v>
      </c>
      <c r="G31" s="52"/>
      <c r="H31" s="52" t="s">
        <v>642</v>
      </c>
      <c r="I31" s="52" t="s">
        <v>17</v>
      </c>
      <c r="J31" s="52" t="s">
        <v>573</v>
      </c>
      <c r="K31" s="22" t="str">
        <f>VLOOKUP(CONCATENATE(A31,LEFT(J31,4)),AGRUPAMENTO!$D$2:$E$6784,2,FALSE)</f>
        <v>Diárias e viagens</v>
      </c>
      <c r="L31" s="52" t="s">
        <v>45</v>
      </c>
      <c r="M31" s="52"/>
      <c r="N31" s="52">
        <v>10</v>
      </c>
      <c r="O31" s="86" t="s">
        <v>677</v>
      </c>
      <c r="P31" s="86" t="s">
        <v>47</v>
      </c>
      <c r="Q31" s="86" t="s">
        <v>678</v>
      </c>
      <c r="R31" s="86">
        <v>1</v>
      </c>
      <c r="S31" s="86" t="s">
        <v>576</v>
      </c>
      <c r="T31" s="86">
        <v>7500</v>
      </c>
      <c r="U31" s="86">
        <v>5</v>
      </c>
      <c r="V31" s="58">
        <f t="shared" si="0"/>
        <v>37500</v>
      </c>
      <c r="W31" s="86" t="s">
        <v>50</v>
      </c>
      <c r="X31" s="86" t="s">
        <v>577</v>
      </c>
      <c r="Y31" s="86" t="s">
        <v>570</v>
      </c>
      <c r="Z31" s="86" t="s">
        <v>583</v>
      </c>
      <c r="AA31" s="52">
        <v>0</v>
      </c>
      <c r="AB31" s="52">
        <v>0</v>
      </c>
      <c r="AC31" s="52">
        <v>0</v>
      </c>
      <c r="AD31" s="21">
        <v>1</v>
      </c>
      <c r="AE31" s="21">
        <v>1</v>
      </c>
    </row>
    <row r="32" spans="1:31" s="55" customFormat="1" ht="45" customHeight="1" x14ac:dyDescent="0.25">
      <c r="A32" s="86" t="s">
        <v>562</v>
      </c>
      <c r="B32" s="52" t="s">
        <v>563</v>
      </c>
      <c r="C32" s="52"/>
      <c r="D32" s="52" t="s">
        <v>563</v>
      </c>
      <c r="E32" s="52"/>
      <c r="F32" s="52" t="s">
        <v>606</v>
      </c>
      <c r="G32" s="52"/>
      <c r="H32" s="52" t="s">
        <v>679</v>
      </c>
      <c r="I32" s="52" t="s">
        <v>17</v>
      </c>
      <c r="J32" s="52" t="s">
        <v>492</v>
      </c>
      <c r="K32" s="22" t="str">
        <f>VLOOKUP(CONCATENATE(A32,LEFT(J32,4)),AGRUPAMENTO!$D$2:$E$6784,2,FALSE)</f>
        <v>Cursos de formação e capacitações</v>
      </c>
      <c r="L32" s="52" t="s">
        <v>45</v>
      </c>
      <c r="M32" s="52"/>
      <c r="N32" s="52">
        <v>10</v>
      </c>
      <c r="O32" s="86" t="s">
        <v>680</v>
      </c>
      <c r="P32" s="86" t="s">
        <v>47</v>
      </c>
      <c r="Q32" s="86" t="s">
        <v>681</v>
      </c>
      <c r="R32" s="86">
        <v>1</v>
      </c>
      <c r="S32" s="86" t="s">
        <v>682</v>
      </c>
      <c r="T32" s="86">
        <v>211200</v>
      </c>
      <c r="U32" s="86">
        <v>5</v>
      </c>
      <c r="V32" s="58">
        <f t="shared" si="0"/>
        <v>1056000</v>
      </c>
      <c r="W32" s="86" t="s">
        <v>50</v>
      </c>
      <c r="X32" s="86" t="s">
        <v>683</v>
      </c>
      <c r="Y32" s="86" t="s">
        <v>684</v>
      </c>
      <c r="Z32" s="86" t="s">
        <v>685</v>
      </c>
      <c r="AA32" s="52">
        <v>0</v>
      </c>
      <c r="AB32" s="52">
        <v>0</v>
      </c>
      <c r="AC32" s="52">
        <v>0</v>
      </c>
      <c r="AD32" s="21">
        <v>1</v>
      </c>
      <c r="AE32" s="21">
        <v>1</v>
      </c>
    </row>
    <row r="33" spans="1:31" s="55" customFormat="1" ht="45" customHeight="1" x14ac:dyDescent="0.25">
      <c r="A33" s="86" t="s">
        <v>562</v>
      </c>
      <c r="B33" s="52" t="s">
        <v>563</v>
      </c>
      <c r="C33" s="52"/>
      <c r="D33" s="52" t="s">
        <v>563</v>
      </c>
      <c r="E33" s="52"/>
      <c r="F33" s="52" t="s">
        <v>606</v>
      </c>
      <c r="G33" s="52"/>
      <c r="H33" s="52" t="s">
        <v>679</v>
      </c>
      <c r="I33" s="52" t="s">
        <v>17</v>
      </c>
      <c r="J33" s="52" t="s">
        <v>573</v>
      </c>
      <c r="K33" s="22" t="str">
        <f>VLOOKUP(CONCATENATE(A33,LEFT(J33,4)),AGRUPAMENTO!$D$2:$E$6784,2,FALSE)</f>
        <v>Diárias e viagens</v>
      </c>
      <c r="L33" s="52" t="s">
        <v>45</v>
      </c>
      <c r="M33" s="52"/>
      <c r="N33" s="52">
        <v>10</v>
      </c>
      <c r="O33" s="86" t="s">
        <v>686</v>
      </c>
      <c r="P33" s="86" t="s">
        <v>47</v>
      </c>
      <c r="Q33" s="86" t="s">
        <v>687</v>
      </c>
      <c r="R33" s="86">
        <v>1</v>
      </c>
      <c r="S33" s="86" t="s">
        <v>601</v>
      </c>
      <c r="T33" s="86">
        <v>21000</v>
      </c>
      <c r="U33" s="86">
        <v>5</v>
      </c>
      <c r="V33" s="58">
        <f t="shared" si="0"/>
        <v>105000</v>
      </c>
      <c r="W33" s="86" t="s">
        <v>50</v>
      </c>
      <c r="X33" s="86" t="s">
        <v>688</v>
      </c>
      <c r="Y33" s="86" t="s">
        <v>689</v>
      </c>
      <c r="Z33" s="86" t="s">
        <v>690</v>
      </c>
      <c r="AA33" s="52">
        <v>0</v>
      </c>
      <c r="AB33" s="52">
        <v>0</v>
      </c>
      <c r="AC33" s="52">
        <v>0</v>
      </c>
      <c r="AD33" s="21">
        <v>1</v>
      </c>
      <c r="AE33" s="21">
        <v>1</v>
      </c>
    </row>
    <row r="34" spans="1:31" s="55" customFormat="1" ht="45" customHeight="1" x14ac:dyDescent="0.25">
      <c r="A34" s="86" t="s">
        <v>562</v>
      </c>
      <c r="B34" s="52" t="s">
        <v>563</v>
      </c>
      <c r="C34" s="52"/>
      <c r="D34" s="52" t="s">
        <v>563</v>
      </c>
      <c r="E34" s="52"/>
      <c r="F34" s="52" t="s">
        <v>606</v>
      </c>
      <c r="G34" s="52"/>
      <c r="H34" s="52" t="s">
        <v>679</v>
      </c>
      <c r="I34" s="52" t="s">
        <v>17</v>
      </c>
      <c r="J34" s="52" t="s">
        <v>579</v>
      </c>
      <c r="K34" s="22" t="str">
        <f>VLOOKUP(CONCATENATE(A34,LEFT(J34,4)),AGRUPAMENTO!$D$2:$E$6784,2,FALSE)</f>
        <v>Diárias e viagens</v>
      </c>
      <c r="L34" s="52" t="s">
        <v>45</v>
      </c>
      <c r="M34" s="52"/>
      <c r="N34" s="52">
        <v>10</v>
      </c>
      <c r="O34" s="86" t="s">
        <v>691</v>
      </c>
      <c r="P34" s="86" t="s">
        <v>47</v>
      </c>
      <c r="Q34" s="86" t="s">
        <v>692</v>
      </c>
      <c r="R34" s="86">
        <v>1</v>
      </c>
      <c r="S34" s="86" t="s">
        <v>603</v>
      </c>
      <c r="T34" s="86">
        <v>9000</v>
      </c>
      <c r="U34" s="86">
        <v>5</v>
      </c>
      <c r="V34" s="58">
        <f t="shared" si="0"/>
        <v>45000</v>
      </c>
      <c r="W34" s="86" t="s">
        <v>50</v>
      </c>
      <c r="X34" s="86" t="s">
        <v>693</v>
      </c>
      <c r="Y34" s="86" t="s">
        <v>689</v>
      </c>
      <c r="Z34" s="86" t="s">
        <v>690</v>
      </c>
      <c r="AA34" s="52">
        <v>0</v>
      </c>
      <c r="AB34" s="52">
        <v>0</v>
      </c>
      <c r="AC34" s="52">
        <v>0</v>
      </c>
      <c r="AD34" s="21">
        <v>1</v>
      </c>
      <c r="AE34" s="21">
        <v>1</v>
      </c>
    </row>
    <row r="35" spans="1:31" s="55" customFormat="1" ht="45" customHeight="1" x14ac:dyDescent="0.25">
      <c r="A35" s="86" t="s">
        <v>562</v>
      </c>
      <c r="B35" s="52" t="s">
        <v>563</v>
      </c>
      <c r="C35" s="52"/>
      <c r="D35" s="52" t="s">
        <v>563</v>
      </c>
      <c r="E35" s="52"/>
      <c r="F35" s="52" t="s">
        <v>606</v>
      </c>
      <c r="G35" s="52"/>
      <c r="H35" s="52" t="s">
        <v>679</v>
      </c>
      <c r="I35" s="52" t="s">
        <v>17</v>
      </c>
      <c r="J35" s="52" t="s">
        <v>492</v>
      </c>
      <c r="K35" s="22" t="str">
        <f>VLOOKUP(CONCATENATE(A35,LEFT(J35,4)),AGRUPAMENTO!$D$2:$E$6784,2,FALSE)</f>
        <v>Cursos de formação e capacitações</v>
      </c>
      <c r="L35" s="52" t="s">
        <v>45</v>
      </c>
      <c r="M35" s="52"/>
      <c r="N35" s="52">
        <v>10</v>
      </c>
      <c r="O35" s="86" t="s">
        <v>694</v>
      </c>
      <c r="P35" s="86" t="s">
        <v>47</v>
      </c>
      <c r="Q35" s="86" t="s">
        <v>681</v>
      </c>
      <c r="R35" s="86">
        <v>1</v>
      </c>
      <c r="S35" s="86" t="s">
        <v>682</v>
      </c>
      <c r="T35" s="86">
        <v>412000</v>
      </c>
      <c r="U35" s="86">
        <v>12</v>
      </c>
      <c r="V35" s="58">
        <f t="shared" si="0"/>
        <v>4944000</v>
      </c>
      <c r="W35" s="86" t="s">
        <v>50</v>
      </c>
      <c r="X35" s="86" t="s">
        <v>683</v>
      </c>
      <c r="Y35" s="86" t="s">
        <v>684</v>
      </c>
      <c r="Z35" s="86" t="s">
        <v>685</v>
      </c>
      <c r="AA35" s="52">
        <v>0</v>
      </c>
      <c r="AB35" s="52">
        <v>0</v>
      </c>
      <c r="AC35" s="52">
        <v>0</v>
      </c>
      <c r="AD35" s="21">
        <v>1</v>
      </c>
      <c r="AE35" s="21">
        <v>1</v>
      </c>
    </row>
    <row r="36" spans="1:31" s="55" customFormat="1" ht="45" customHeight="1" x14ac:dyDescent="0.25">
      <c r="A36" s="86" t="s">
        <v>562</v>
      </c>
      <c r="B36" s="52" t="s">
        <v>563</v>
      </c>
      <c r="C36" s="52"/>
      <c r="D36" s="52" t="s">
        <v>563</v>
      </c>
      <c r="E36" s="52"/>
      <c r="F36" s="52" t="s">
        <v>606</v>
      </c>
      <c r="G36" s="52"/>
      <c r="H36" s="52" t="s">
        <v>679</v>
      </c>
      <c r="I36" s="52" t="s">
        <v>17</v>
      </c>
      <c r="J36" s="52" t="s">
        <v>573</v>
      </c>
      <c r="K36" s="22" t="str">
        <f>VLOOKUP(CONCATENATE(A36,LEFT(J36,4)),AGRUPAMENTO!$D$2:$E$6784,2,FALSE)</f>
        <v>Diárias e viagens</v>
      </c>
      <c r="L36" s="52" t="s">
        <v>45</v>
      </c>
      <c r="M36" s="52"/>
      <c r="N36" s="52">
        <v>10</v>
      </c>
      <c r="O36" s="86" t="s">
        <v>695</v>
      </c>
      <c r="P36" s="86" t="s">
        <v>47</v>
      </c>
      <c r="Q36" s="86" t="s">
        <v>687</v>
      </c>
      <c r="R36" s="86">
        <v>1</v>
      </c>
      <c r="S36" s="86" t="s">
        <v>601</v>
      </c>
      <c r="T36" s="86">
        <v>58000</v>
      </c>
      <c r="U36" s="86">
        <v>12</v>
      </c>
      <c r="V36" s="58">
        <f t="shared" si="0"/>
        <v>696000</v>
      </c>
      <c r="W36" s="86" t="s">
        <v>50</v>
      </c>
      <c r="X36" s="86" t="s">
        <v>688</v>
      </c>
      <c r="Y36" s="86" t="s">
        <v>689</v>
      </c>
      <c r="Z36" s="86" t="s">
        <v>690</v>
      </c>
      <c r="AA36" s="52">
        <v>0</v>
      </c>
      <c r="AB36" s="52">
        <v>0</v>
      </c>
      <c r="AC36" s="52">
        <v>0</v>
      </c>
      <c r="AD36" s="21">
        <v>1</v>
      </c>
      <c r="AE36" s="21">
        <v>1</v>
      </c>
    </row>
    <row r="37" spans="1:31" s="55" customFormat="1" ht="45" customHeight="1" x14ac:dyDescent="0.25">
      <c r="A37" s="86" t="s">
        <v>562</v>
      </c>
      <c r="B37" s="52" t="s">
        <v>563</v>
      </c>
      <c r="C37" s="52"/>
      <c r="D37" s="52" t="s">
        <v>563</v>
      </c>
      <c r="E37" s="52"/>
      <c r="F37" s="52" t="s">
        <v>606</v>
      </c>
      <c r="G37" s="52"/>
      <c r="H37" s="52" t="s">
        <v>679</v>
      </c>
      <c r="I37" s="52" t="s">
        <v>17</v>
      </c>
      <c r="J37" s="52" t="s">
        <v>579</v>
      </c>
      <c r="K37" s="22" t="str">
        <f>VLOOKUP(CONCATENATE(A37,LEFT(J37,4)),AGRUPAMENTO!$D$2:$E$6784,2,FALSE)</f>
        <v>Diárias e viagens</v>
      </c>
      <c r="L37" s="52" t="s">
        <v>45</v>
      </c>
      <c r="M37" s="52"/>
      <c r="N37" s="52">
        <v>10</v>
      </c>
      <c r="O37" s="86" t="s">
        <v>696</v>
      </c>
      <c r="P37" s="86" t="s">
        <v>47</v>
      </c>
      <c r="Q37" s="86" t="s">
        <v>692</v>
      </c>
      <c r="R37" s="86">
        <v>1</v>
      </c>
      <c r="S37" s="86" t="s">
        <v>603</v>
      </c>
      <c r="T37" s="86">
        <v>25000</v>
      </c>
      <c r="U37" s="86">
        <v>12</v>
      </c>
      <c r="V37" s="58">
        <f t="shared" si="0"/>
        <v>300000</v>
      </c>
      <c r="W37" s="86" t="s">
        <v>50</v>
      </c>
      <c r="X37" s="86" t="s">
        <v>693</v>
      </c>
      <c r="Y37" s="86" t="s">
        <v>689</v>
      </c>
      <c r="Z37" s="86" t="s">
        <v>690</v>
      </c>
      <c r="AA37" s="52">
        <v>0</v>
      </c>
      <c r="AB37" s="52">
        <v>0</v>
      </c>
      <c r="AC37" s="52">
        <v>0</v>
      </c>
      <c r="AD37" s="21">
        <v>1</v>
      </c>
      <c r="AE37" s="21">
        <v>1</v>
      </c>
    </row>
    <row r="38" spans="1:31" s="55" customFormat="1" ht="45" customHeight="1" x14ac:dyDescent="0.25">
      <c r="A38" s="86" t="s">
        <v>562</v>
      </c>
      <c r="B38" s="52" t="s">
        <v>563</v>
      </c>
      <c r="C38" s="52"/>
      <c r="D38" s="52" t="s">
        <v>563</v>
      </c>
      <c r="E38" s="52"/>
      <c r="F38" s="52" t="s">
        <v>606</v>
      </c>
      <c r="G38" s="52"/>
      <c r="H38" s="52" t="s">
        <v>679</v>
      </c>
      <c r="I38" s="52" t="s">
        <v>17</v>
      </c>
      <c r="J38" s="52" t="s">
        <v>492</v>
      </c>
      <c r="K38" s="22" t="str">
        <f>VLOOKUP(CONCATENATE(A38,LEFT(J38,4)),AGRUPAMENTO!$D$2:$E$6784,2,FALSE)</f>
        <v>Cursos de formação e capacitações</v>
      </c>
      <c r="L38" s="52" t="s">
        <v>45</v>
      </c>
      <c r="M38" s="52"/>
      <c r="N38" s="52">
        <v>10</v>
      </c>
      <c r="O38" s="86" t="s">
        <v>697</v>
      </c>
      <c r="P38" s="86" t="s">
        <v>47</v>
      </c>
      <c r="Q38" s="86" t="s">
        <v>681</v>
      </c>
      <c r="R38" s="86">
        <v>1</v>
      </c>
      <c r="S38" s="86" t="s">
        <v>682</v>
      </c>
      <c r="T38" s="86">
        <v>676600</v>
      </c>
      <c r="U38" s="86">
        <v>12</v>
      </c>
      <c r="V38" s="58">
        <f t="shared" si="0"/>
        <v>8119200</v>
      </c>
      <c r="W38" s="86" t="s">
        <v>50</v>
      </c>
      <c r="X38" s="86" t="s">
        <v>683</v>
      </c>
      <c r="Y38" s="86" t="s">
        <v>684</v>
      </c>
      <c r="Z38" s="86" t="s">
        <v>685</v>
      </c>
      <c r="AA38" s="52">
        <v>0</v>
      </c>
      <c r="AB38" s="52">
        <v>0</v>
      </c>
      <c r="AC38" s="52">
        <v>0</v>
      </c>
      <c r="AD38" s="21">
        <v>1</v>
      </c>
      <c r="AE38" s="21">
        <v>1</v>
      </c>
    </row>
    <row r="39" spans="1:31" s="55" customFormat="1" ht="45" customHeight="1" x14ac:dyDescent="0.25">
      <c r="A39" s="86" t="s">
        <v>562</v>
      </c>
      <c r="B39" s="52" t="s">
        <v>563</v>
      </c>
      <c r="C39" s="52"/>
      <c r="D39" s="52" t="s">
        <v>563</v>
      </c>
      <c r="E39" s="52"/>
      <c r="F39" s="52" t="s">
        <v>606</v>
      </c>
      <c r="G39" s="52"/>
      <c r="H39" s="52" t="s">
        <v>679</v>
      </c>
      <c r="I39" s="52" t="s">
        <v>17</v>
      </c>
      <c r="J39" s="52" t="s">
        <v>573</v>
      </c>
      <c r="K39" s="22" t="str">
        <f>VLOOKUP(CONCATENATE(A39,LEFT(J39,4)),AGRUPAMENTO!$D$2:$E$6784,2,FALSE)</f>
        <v>Diárias e viagens</v>
      </c>
      <c r="L39" s="52" t="s">
        <v>45</v>
      </c>
      <c r="M39" s="52"/>
      <c r="N39" s="52">
        <v>10</v>
      </c>
      <c r="O39" s="86" t="s">
        <v>698</v>
      </c>
      <c r="P39" s="86" t="s">
        <v>47</v>
      </c>
      <c r="Q39" s="86" t="s">
        <v>687</v>
      </c>
      <c r="R39" s="86">
        <v>1</v>
      </c>
      <c r="S39" s="86" t="s">
        <v>601</v>
      </c>
      <c r="T39" s="86">
        <v>58000</v>
      </c>
      <c r="U39" s="86">
        <v>12</v>
      </c>
      <c r="V39" s="58">
        <f t="shared" si="0"/>
        <v>696000</v>
      </c>
      <c r="W39" s="86" t="s">
        <v>50</v>
      </c>
      <c r="X39" s="86" t="s">
        <v>688</v>
      </c>
      <c r="Y39" s="86" t="s">
        <v>689</v>
      </c>
      <c r="Z39" s="86" t="s">
        <v>690</v>
      </c>
      <c r="AA39" s="52">
        <v>0</v>
      </c>
      <c r="AB39" s="52">
        <v>0</v>
      </c>
      <c r="AC39" s="52">
        <v>0</v>
      </c>
      <c r="AD39" s="21">
        <v>1</v>
      </c>
      <c r="AE39" s="21">
        <v>1</v>
      </c>
    </row>
    <row r="40" spans="1:31" s="55" customFormat="1" ht="45" customHeight="1" x14ac:dyDescent="0.25">
      <c r="A40" s="86" t="s">
        <v>562</v>
      </c>
      <c r="B40" s="52" t="s">
        <v>563</v>
      </c>
      <c r="C40" s="52"/>
      <c r="D40" s="52" t="s">
        <v>563</v>
      </c>
      <c r="E40" s="52"/>
      <c r="F40" s="52" t="s">
        <v>606</v>
      </c>
      <c r="G40" s="52"/>
      <c r="H40" s="52" t="s">
        <v>679</v>
      </c>
      <c r="I40" s="52" t="s">
        <v>17</v>
      </c>
      <c r="J40" s="52" t="s">
        <v>579</v>
      </c>
      <c r="K40" s="22" t="str">
        <f>VLOOKUP(CONCATENATE(A40,LEFT(J40,4)),AGRUPAMENTO!$D$2:$E$6784,2,FALSE)</f>
        <v>Diárias e viagens</v>
      </c>
      <c r="L40" s="52" t="s">
        <v>45</v>
      </c>
      <c r="M40" s="52"/>
      <c r="N40" s="52">
        <v>10</v>
      </c>
      <c r="O40" s="86" t="s">
        <v>699</v>
      </c>
      <c r="P40" s="86" t="s">
        <v>47</v>
      </c>
      <c r="Q40" s="86" t="s">
        <v>692</v>
      </c>
      <c r="R40" s="86">
        <v>1</v>
      </c>
      <c r="S40" s="86" t="s">
        <v>603</v>
      </c>
      <c r="T40" s="86">
        <v>25000</v>
      </c>
      <c r="U40" s="86">
        <v>12</v>
      </c>
      <c r="V40" s="58">
        <f t="shared" si="0"/>
        <v>300000</v>
      </c>
      <c r="W40" s="86" t="s">
        <v>50</v>
      </c>
      <c r="X40" s="86" t="s">
        <v>693</v>
      </c>
      <c r="Y40" s="86" t="s">
        <v>689</v>
      </c>
      <c r="Z40" s="86" t="s">
        <v>690</v>
      </c>
      <c r="AA40" s="52">
        <v>0</v>
      </c>
      <c r="AB40" s="52">
        <v>0</v>
      </c>
      <c r="AC40" s="52">
        <v>0</v>
      </c>
      <c r="AD40" s="21">
        <v>1</v>
      </c>
      <c r="AE40" s="21">
        <v>1</v>
      </c>
    </row>
    <row r="41" spans="1:31" s="55" customFormat="1" ht="45" customHeight="1" x14ac:dyDescent="0.25">
      <c r="A41" s="86" t="s">
        <v>562</v>
      </c>
      <c r="B41" s="52" t="s">
        <v>563</v>
      </c>
      <c r="C41" s="52"/>
      <c r="D41" s="52" t="s">
        <v>563</v>
      </c>
      <c r="E41" s="52"/>
      <c r="F41" s="52" t="s">
        <v>606</v>
      </c>
      <c r="G41" s="52"/>
      <c r="H41" s="52" t="s">
        <v>679</v>
      </c>
      <c r="I41" s="52" t="s">
        <v>17</v>
      </c>
      <c r="J41" s="52" t="s">
        <v>492</v>
      </c>
      <c r="K41" s="22" t="str">
        <f>VLOOKUP(CONCATENATE(A41,LEFT(J41,4)),AGRUPAMENTO!$D$2:$E$6784,2,FALSE)</f>
        <v>Cursos de formação e capacitações</v>
      </c>
      <c r="L41" s="52" t="s">
        <v>45</v>
      </c>
      <c r="M41" s="52"/>
      <c r="N41" s="52">
        <v>10</v>
      </c>
      <c r="O41" s="86" t="s">
        <v>700</v>
      </c>
      <c r="P41" s="86" t="s">
        <v>47</v>
      </c>
      <c r="Q41" s="86" t="s">
        <v>681</v>
      </c>
      <c r="R41" s="86">
        <v>1</v>
      </c>
      <c r="S41" s="86" t="s">
        <v>682</v>
      </c>
      <c r="T41" s="86">
        <v>781250</v>
      </c>
      <c r="U41" s="86">
        <v>12</v>
      </c>
      <c r="V41" s="58">
        <f t="shared" si="0"/>
        <v>9375000</v>
      </c>
      <c r="W41" s="86" t="s">
        <v>50</v>
      </c>
      <c r="X41" s="86" t="s">
        <v>683</v>
      </c>
      <c r="Y41" s="86" t="s">
        <v>684</v>
      </c>
      <c r="Z41" s="86" t="s">
        <v>685</v>
      </c>
      <c r="AA41" s="52">
        <v>0</v>
      </c>
      <c r="AB41" s="52">
        <v>0</v>
      </c>
      <c r="AC41" s="52">
        <v>0</v>
      </c>
      <c r="AD41" s="21">
        <v>1</v>
      </c>
      <c r="AE41" s="21">
        <v>1</v>
      </c>
    </row>
    <row r="42" spans="1:31" s="55" customFormat="1" ht="45" customHeight="1" x14ac:dyDescent="0.25">
      <c r="A42" s="86" t="s">
        <v>562</v>
      </c>
      <c r="B42" s="52" t="s">
        <v>563</v>
      </c>
      <c r="C42" s="52"/>
      <c r="D42" s="52" t="s">
        <v>563</v>
      </c>
      <c r="E42" s="52"/>
      <c r="F42" s="52" t="s">
        <v>606</v>
      </c>
      <c r="G42" s="52"/>
      <c r="H42" s="52" t="s">
        <v>679</v>
      </c>
      <c r="I42" s="52" t="s">
        <v>17</v>
      </c>
      <c r="J42" s="52" t="s">
        <v>573</v>
      </c>
      <c r="K42" s="22" t="str">
        <f>VLOOKUP(CONCATENATE(A42,LEFT(J42,4)),AGRUPAMENTO!$D$2:$E$6784,2,FALSE)</f>
        <v>Diárias e viagens</v>
      </c>
      <c r="L42" s="52" t="s">
        <v>45</v>
      </c>
      <c r="M42" s="52"/>
      <c r="N42" s="52">
        <v>10</v>
      </c>
      <c r="O42" s="86" t="s">
        <v>701</v>
      </c>
      <c r="P42" s="86" t="s">
        <v>47</v>
      </c>
      <c r="Q42" s="86" t="s">
        <v>687</v>
      </c>
      <c r="R42" s="86">
        <v>1</v>
      </c>
      <c r="S42" s="86" t="s">
        <v>601</v>
      </c>
      <c r="T42" s="86">
        <v>15000</v>
      </c>
      <c r="U42" s="86">
        <v>12</v>
      </c>
      <c r="V42" s="58">
        <f t="shared" si="0"/>
        <v>180000</v>
      </c>
      <c r="W42" s="86" t="s">
        <v>50</v>
      </c>
      <c r="X42" s="86" t="s">
        <v>688</v>
      </c>
      <c r="Y42" s="86" t="s">
        <v>689</v>
      </c>
      <c r="Z42" s="86" t="s">
        <v>690</v>
      </c>
      <c r="AA42" s="52">
        <v>0</v>
      </c>
      <c r="AB42" s="52">
        <v>0</v>
      </c>
      <c r="AC42" s="52">
        <v>0</v>
      </c>
      <c r="AD42" s="21">
        <v>1</v>
      </c>
      <c r="AE42" s="21">
        <v>1</v>
      </c>
    </row>
    <row r="43" spans="1:31" s="55" customFormat="1" ht="45" customHeight="1" x14ac:dyDescent="0.25">
      <c r="A43" s="86" t="s">
        <v>562</v>
      </c>
      <c r="B43" s="52" t="s">
        <v>563</v>
      </c>
      <c r="C43" s="52"/>
      <c r="D43" s="52" t="s">
        <v>563</v>
      </c>
      <c r="E43" s="52"/>
      <c r="F43" s="52" t="s">
        <v>606</v>
      </c>
      <c r="G43" s="52"/>
      <c r="H43" s="52" t="s">
        <v>679</v>
      </c>
      <c r="I43" s="52" t="s">
        <v>17</v>
      </c>
      <c r="J43" s="52" t="s">
        <v>579</v>
      </c>
      <c r="K43" s="22" t="str">
        <f>VLOOKUP(CONCATENATE(A43,LEFT(J43,4)),AGRUPAMENTO!$D$2:$E$6784,2,FALSE)</f>
        <v>Diárias e viagens</v>
      </c>
      <c r="L43" s="52" t="s">
        <v>45</v>
      </c>
      <c r="M43" s="52"/>
      <c r="N43" s="52">
        <v>10</v>
      </c>
      <c r="O43" s="86" t="s">
        <v>702</v>
      </c>
      <c r="P43" s="86" t="s">
        <v>47</v>
      </c>
      <c r="Q43" s="86" t="s">
        <v>692</v>
      </c>
      <c r="R43" s="86">
        <v>1</v>
      </c>
      <c r="S43" s="86" t="s">
        <v>603</v>
      </c>
      <c r="T43" s="86">
        <v>5000</v>
      </c>
      <c r="U43" s="86">
        <v>12</v>
      </c>
      <c r="V43" s="58">
        <f t="shared" si="0"/>
        <v>60000</v>
      </c>
      <c r="W43" s="86" t="s">
        <v>50</v>
      </c>
      <c r="X43" s="86" t="s">
        <v>693</v>
      </c>
      <c r="Y43" s="86" t="s">
        <v>689</v>
      </c>
      <c r="Z43" s="86" t="s">
        <v>690</v>
      </c>
      <c r="AA43" s="52">
        <v>0</v>
      </c>
      <c r="AB43" s="52">
        <v>0</v>
      </c>
      <c r="AC43" s="52">
        <v>0</v>
      </c>
      <c r="AD43" s="21">
        <v>1</v>
      </c>
      <c r="AE43" s="21">
        <v>1</v>
      </c>
    </row>
    <row r="44" spans="1:31" s="55" customFormat="1" ht="45" customHeight="1" x14ac:dyDescent="0.25">
      <c r="A44" s="86" t="s">
        <v>562</v>
      </c>
      <c r="B44" s="52" t="s">
        <v>563</v>
      </c>
      <c r="C44" s="52"/>
      <c r="D44" s="52" t="s">
        <v>563</v>
      </c>
      <c r="E44" s="52"/>
      <c r="F44" s="52" t="s">
        <v>606</v>
      </c>
      <c r="G44" s="52"/>
      <c r="H44" s="52" t="s">
        <v>679</v>
      </c>
      <c r="I44" s="52" t="s">
        <v>17</v>
      </c>
      <c r="J44" s="52" t="s">
        <v>492</v>
      </c>
      <c r="K44" s="22" t="str">
        <f>VLOOKUP(CONCATENATE(A44,LEFT(J44,4)),AGRUPAMENTO!$D$2:$E$6784,2,FALSE)</f>
        <v>Cursos de formação e capacitações</v>
      </c>
      <c r="L44" s="52" t="s">
        <v>45</v>
      </c>
      <c r="M44" s="52"/>
      <c r="N44" s="52">
        <v>10</v>
      </c>
      <c r="O44" s="86" t="s">
        <v>703</v>
      </c>
      <c r="P44" s="86" t="s">
        <v>47</v>
      </c>
      <c r="Q44" s="86" t="s">
        <v>681</v>
      </c>
      <c r="R44" s="86">
        <v>1</v>
      </c>
      <c r="S44" s="86" t="s">
        <v>682</v>
      </c>
      <c r="T44" s="86">
        <v>784250</v>
      </c>
      <c r="U44" s="86">
        <v>5</v>
      </c>
      <c r="V44" s="58">
        <f t="shared" si="0"/>
        <v>3921250</v>
      </c>
      <c r="W44" s="86" t="s">
        <v>50</v>
      </c>
      <c r="X44" s="86" t="s">
        <v>683</v>
      </c>
      <c r="Y44" s="86" t="s">
        <v>684</v>
      </c>
      <c r="Z44" s="86" t="s">
        <v>685</v>
      </c>
      <c r="AA44" s="52">
        <v>0</v>
      </c>
      <c r="AB44" s="52">
        <v>0</v>
      </c>
      <c r="AC44" s="52">
        <v>0</v>
      </c>
      <c r="AD44" s="21">
        <v>1</v>
      </c>
      <c r="AE44" s="21">
        <v>1</v>
      </c>
    </row>
    <row r="45" spans="1:31" s="55" customFormat="1" ht="45" customHeight="1" x14ac:dyDescent="0.25">
      <c r="A45" s="86" t="s">
        <v>562</v>
      </c>
      <c r="B45" s="52" t="s">
        <v>563</v>
      </c>
      <c r="C45" s="52"/>
      <c r="D45" s="52" t="s">
        <v>563</v>
      </c>
      <c r="E45" s="52"/>
      <c r="F45" s="52" t="s">
        <v>606</v>
      </c>
      <c r="G45" s="52"/>
      <c r="H45" s="52" t="s">
        <v>679</v>
      </c>
      <c r="I45" s="52" t="s">
        <v>17</v>
      </c>
      <c r="J45" s="52" t="s">
        <v>573</v>
      </c>
      <c r="K45" s="22" t="str">
        <f>VLOOKUP(CONCATENATE(A45,LEFT(J45,4)),AGRUPAMENTO!$D$2:$E$6784,2,FALSE)</f>
        <v>Diárias e viagens</v>
      </c>
      <c r="L45" s="52" t="s">
        <v>45</v>
      </c>
      <c r="M45" s="52"/>
      <c r="N45" s="52">
        <v>10</v>
      </c>
      <c r="O45" s="86" t="s">
        <v>704</v>
      </c>
      <c r="P45" s="86" t="s">
        <v>47</v>
      </c>
      <c r="Q45" s="86" t="s">
        <v>687</v>
      </c>
      <c r="R45" s="86">
        <v>1</v>
      </c>
      <c r="S45" s="86" t="s">
        <v>601</v>
      </c>
      <c r="T45" s="86">
        <v>20000</v>
      </c>
      <c r="U45" s="86">
        <v>5</v>
      </c>
      <c r="V45" s="58">
        <f t="shared" si="0"/>
        <v>100000</v>
      </c>
      <c r="W45" s="86" t="s">
        <v>50</v>
      </c>
      <c r="X45" s="86" t="s">
        <v>688</v>
      </c>
      <c r="Y45" s="86" t="s">
        <v>689</v>
      </c>
      <c r="Z45" s="86" t="s">
        <v>690</v>
      </c>
      <c r="AA45" s="52">
        <v>0</v>
      </c>
      <c r="AB45" s="52">
        <v>0</v>
      </c>
      <c r="AC45" s="52">
        <v>0</v>
      </c>
      <c r="AD45" s="21">
        <v>1</v>
      </c>
      <c r="AE45" s="21">
        <v>1</v>
      </c>
    </row>
    <row r="46" spans="1:31" s="55" customFormat="1" ht="45" customHeight="1" x14ac:dyDescent="0.25">
      <c r="A46" s="86" t="s">
        <v>562</v>
      </c>
      <c r="B46" s="52" t="s">
        <v>563</v>
      </c>
      <c r="C46" s="52"/>
      <c r="D46" s="52" t="s">
        <v>563</v>
      </c>
      <c r="E46" s="52"/>
      <c r="F46" s="52" t="s">
        <v>606</v>
      </c>
      <c r="G46" s="52"/>
      <c r="H46" s="52" t="s">
        <v>679</v>
      </c>
      <c r="I46" s="52" t="s">
        <v>17</v>
      </c>
      <c r="J46" s="52" t="s">
        <v>579</v>
      </c>
      <c r="K46" s="22" t="str">
        <f>VLOOKUP(CONCATENATE(A46,LEFT(J46,4)),AGRUPAMENTO!$D$2:$E$6784,2,FALSE)</f>
        <v>Diárias e viagens</v>
      </c>
      <c r="L46" s="52" t="s">
        <v>45</v>
      </c>
      <c r="M46" s="52"/>
      <c r="N46" s="52">
        <v>10</v>
      </c>
      <c r="O46" s="86" t="s">
        <v>705</v>
      </c>
      <c r="P46" s="86" t="s">
        <v>47</v>
      </c>
      <c r="Q46" s="86" t="s">
        <v>692</v>
      </c>
      <c r="R46" s="86">
        <v>1</v>
      </c>
      <c r="S46" s="86" t="s">
        <v>603</v>
      </c>
      <c r="T46" s="86">
        <v>10000</v>
      </c>
      <c r="U46" s="86">
        <v>5</v>
      </c>
      <c r="V46" s="58">
        <f t="shared" si="0"/>
        <v>50000</v>
      </c>
      <c r="W46" s="86" t="s">
        <v>50</v>
      </c>
      <c r="X46" s="86" t="s">
        <v>693</v>
      </c>
      <c r="Y46" s="86" t="s">
        <v>689</v>
      </c>
      <c r="Z46" s="86" t="s">
        <v>690</v>
      </c>
      <c r="AA46" s="52">
        <v>0</v>
      </c>
      <c r="AB46" s="52">
        <v>0</v>
      </c>
      <c r="AC46" s="52">
        <v>0</v>
      </c>
      <c r="AD46" s="21">
        <v>1</v>
      </c>
      <c r="AE46" s="21">
        <v>1</v>
      </c>
    </row>
    <row r="47" spans="1:31" s="55" customFormat="1" ht="45" customHeight="1" x14ac:dyDescent="0.25">
      <c r="A47" s="86" t="s">
        <v>562</v>
      </c>
      <c r="B47" s="52" t="s">
        <v>563</v>
      </c>
      <c r="C47" s="52"/>
      <c r="D47" s="52" t="s">
        <v>563</v>
      </c>
      <c r="E47" s="52"/>
      <c r="F47" s="52" t="s">
        <v>606</v>
      </c>
      <c r="G47" s="52"/>
      <c r="H47" s="52" t="s">
        <v>679</v>
      </c>
      <c r="I47" s="52" t="s">
        <v>17</v>
      </c>
      <c r="J47" s="52" t="s">
        <v>496</v>
      </c>
      <c r="K47" s="22" t="str">
        <f>VLOOKUP(CONCATENATE(A47,LEFT(J47,4)),AGRUPAMENTO!$D$2:$E$6784,2,FALSE)</f>
        <v>Cursos de formação e capacitações</v>
      </c>
      <c r="L47" s="52" t="s">
        <v>45</v>
      </c>
      <c r="M47" s="52"/>
      <c r="N47" s="52">
        <v>10</v>
      </c>
      <c r="O47" s="86" t="s">
        <v>706</v>
      </c>
      <c r="P47" s="86" t="s">
        <v>47</v>
      </c>
      <c r="Q47" s="86" t="s">
        <v>707</v>
      </c>
      <c r="R47" s="86">
        <v>1</v>
      </c>
      <c r="S47" s="86" t="s">
        <v>637</v>
      </c>
      <c r="T47" s="86">
        <v>310000</v>
      </c>
      <c r="U47" s="86">
        <v>12</v>
      </c>
      <c r="V47" s="58">
        <f t="shared" si="0"/>
        <v>3720000</v>
      </c>
      <c r="W47" s="86" t="s">
        <v>50</v>
      </c>
      <c r="X47" s="86" t="s">
        <v>708</v>
      </c>
      <c r="Y47" s="86" t="s">
        <v>709</v>
      </c>
      <c r="Z47" s="86" t="s">
        <v>710</v>
      </c>
      <c r="AA47" s="52">
        <v>0</v>
      </c>
      <c r="AB47" s="52">
        <v>0</v>
      </c>
      <c r="AC47" s="52">
        <v>0</v>
      </c>
      <c r="AD47" s="21">
        <v>1</v>
      </c>
      <c r="AE47" s="21">
        <v>1</v>
      </c>
    </row>
    <row r="48" spans="1:31" s="55" customFormat="1" ht="45" customHeight="1" x14ac:dyDescent="0.25">
      <c r="A48" s="86" t="s">
        <v>562</v>
      </c>
      <c r="B48" s="52" t="s">
        <v>563</v>
      </c>
      <c r="C48" s="52"/>
      <c r="D48" s="52" t="s">
        <v>563</v>
      </c>
      <c r="E48" s="52"/>
      <c r="F48" s="52" t="s">
        <v>606</v>
      </c>
      <c r="G48" s="52"/>
      <c r="H48" s="52" t="s">
        <v>679</v>
      </c>
      <c r="I48" s="52" t="s">
        <v>17</v>
      </c>
      <c r="J48" s="52" t="s">
        <v>496</v>
      </c>
      <c r="K48" s="22" t="str">
        <f>VLOOKUP(CONCATENATE(A48,LEFT(J48,4)),AGRUPAMENTO!$D$2:$E$6784,2,FALSE)</f>
        <v>Cursos de formação e capacitações</v>
      </c>
      <c r="L48" s="52" t="s">
        <v>45</v>
      </c>
      <c r="M48" s="52"/>
      <c r="N48" s="52">
        <v>10</v>
      </c>
      <c r="O48" s="86" t="s">
        <v>711</v>
      </c>
      <c r="P48" s="86" t="s">
        <v>47</v>
      </c>
      <c r="Q48" s="86" t="s">
        <v>707</v>
      </c>
      <c r="R48" s="86">
        <v>1</v>
      </c>
      <c r="S48" s="86" t="s">
        <v>637</v>
      </c>
      <c r="T48" s="86">
        <v>250000</v>
      </c>
      <c r="U48" s="86">
        <v>12</v>
      </c>
      <c r="V48" s="58">
        <f t="shared" si="0"/>
        <v>3000000</v>
      </c>
      <c r="W48" s="86" t="s">
        <v>50</v>
      </c>
      <c r="X48" s="86" t="s">
        <v>708</v>
      </c>
      <c r="Y48" s="86" t="s">
        <v>709</v>
      </c>
      <c r="Z48" s="86" t="s">
        <v>710</v>
      </c>
      <c r="AA48" s="52">
        <v>0</v>
      </c>
      <c r="AB48" s="52">
        <v>0</v>
      </c>
      <c r="AC48" s="52">
        <v>0</v>
      </c>
      <c r="AD48" s="21">
        <v>1</v>
      </c>
      <c r="AE48" s="21">
        <v>1</v>
      </c>
    </row>
    <row r="49" spans="1:31" s="55" customFormat="1" ht="45" customHeight="1" x14ac:dyDescent="0.25">
      <c r="A49" s="86" t="s">
        <v>562</v>
      </c>
      <c r="B49" s="52" t="s">
        <v>712</v>
      </c>
      <c r="C49" s="52"/>
      <c r="D49" s="52" t="s">
        <v>713</v>
      </c>
      <c r="E49" s="52"/>
      <c r="F49" s="52" t="s">
        <v>714</v>
      </c>
      <c r="G49" s="52"/>
      <c r="H49" s="52" t="s">
        <v>715</v>
      </c>
      <c r="I49" s="52" t="s">
        <v>17</v>
      </c>
      <c r="J49" s="52" t="s">
        <v>236</v>
      </c>
      <c r="K49" s="22" t="str">
        <f>VLOOKUP(CONCATENATE(A49,LEFT(J49,4)),AGRUPAMENTO!$D$2:$E$6784,2,FALSE)</f>
        <v>Instrumentos de Saída</v>
      </c>
      <c r="L49" s="52" t="s">
        <v>95</v>
      </c>
      <c r="M49" s="52"/>
      <c r="N49" s="52">
        <v>10</v>
      </c>
      <c r="O49" s="86" t="s">
        <v>716</v>
      </c>
      <c r="P49" s="86" t="s">
        <v>47</v>
      </c>
      <c r="Q49" s="86" t="s">
        <v>717</v>
      </c>
      <c r="R49" s="86">
        <v>1</v>
      </c>
      <c r="S49" s="86" t="s">
        <v>718</v>
      </c>
      <c r="T49" s="86">
        <v>1000</v>
      </c>
      <c r="U49" s="86">
        <v>1</v>
      </c>
      <c r="V49" s="58">
        <f t="shared" si="0"/>
        <v>1000</v>
      </c>
      <c r="W49" s="86" t="s">
        <v>50</v>
      </c>
      <c r="X49" s="86" t="s">
        <v>719</v>
      </c>
      <c r="Y49" s="86" t="s">
        <v>720</v>
      </c>
      <c r="Z49" s="86" t="s">
        <v>721</v>
      </c>
      <c r="AA49" s="52">
        <v>0</v>
      </c>
      <c r="AB49" s="52">
        <v>0</v>
      </c>
      <c r="AC49" s="52">
        <v>0</v>
      </c>
      <c r="AD49" s="21">
        <v>1</v>
      </c>
      <c r="AE49" s="21">
        <v>1</v>
      </c>
    </row>
    <row r="50" spans="1:31" s="55" customFormat="1" ht="45" customHeight="1" thickBot="1" x14ac:dyDescent="0.3">
      <c r="A50" s="86" t="s">
        <v>562</v>
      </c>
      <c r="B50" s="52" t="s">
        <v>712</v>
      </c>
      <c r="C50" s="52"/>
      <c r="D50" s="52" t="s">
        <v>713</v>
      </c>
      <c r="E50" s="52"/>
      <c r="F50" s="52" t="s">
        <v>564</v>
      </c>
      <c r="G50" s="52"/>
      <c r="H50" s="52" t="s">
        <v>572</v>
      </c>
      <c r="I50" s="52" t="s">
        <v>17</v>
      </c>
      <c r="J50" s="52" t="s">
        <v>64</v>
      </c>
      <c r="K50" s="22" t="str">
        <f>VLOOKUP(CONCATENATE(A50,LEFT(J50,4)),AGRUPAMENTO!$D$2:$E$6784,2,FALSE)</f>
        <v>Estagiários</v>
      </c>
      <c r="L50" s="52" t="s">
        <v>45</v>
      </c>
      <c r="M50" s="52"/>
      <c r="N50" s="52">
        <v>10</v>
      </c>
      <c r="O50" s="86" t="s">
        <v>722</v>
      </c>
      <c r="P50" s="86" t="s">
        <v>47</v>
      </c>
      <c r="Q50" s="86" t="s">
        <v>723</v>
      </c>
      <c r="R50" s="86">
        <v>1</v>
      </c>
      <c r="S50" s="86" t="s">
        <v>724</v>
      </c>
      <c r="T50" s="86">
        <v>6297.35</v>
      </c>
      <c r="U50" s="86">
        <v>12</v>
      </c>
      <c r="V50" s="58">
        <f t="shared" si="0"/>
        <v>75568.200000000012</v>
      </c>
      <c r="W50" s="105" t="s">
        <v>50</v>
      </c>
      <c r="X50" s="103" t="s">
        <v>725</v>
      </c>
      <c r="Y50" s="103" t="s">
        <v>726</v>
      </c>
      <c r="Z50" s="103" t="s">
        <v>727</v>
      </c>
      <c r="AA50" s="104">
        <v>0</v>
      </c>
      <c r="AB50" s="52">
        <v>0</v>
      </c>
      <c r="AC50" s="52">
        <v>0</v>
      </c>
      <c r="AD50" s="21">
        <v>1</v>
      </c>
      <c r="AE50" s="21">
        <v>1</v>
      </c>
    </row>
    <row r="51" spans="1:31" s="55" customFormat="1" ht="45" customHeight="1" x14ac:dyDescent="0.25">
      <c r="A51" s="86" t="s">
        <v>562</v>
      </c>
      <c r="B51" s="52" t="s">
        <v>712</v>
      </c>
      <c r="C51" s="52"/>
      <c r="D51" s="52" t="s">
        <v>713</v>
      </c>
      <c r="E51" s="52"/>
      <c r="F51" s="52" t="s">
        <v>564</v>
      </c>
      <c r="G51" s="52"/>
      <c r="H51" s="52" t="s">
        <v>572</v>
      </c>
      <c r="I51" s="52" t="s">
        <v>17</v>
      </c>
      <c r="J51" s="52" t="s">
        <v>442</v>
      </c>
      <c r="K51" s="22" t="str">
        <f>VLOOKUP(CONCATENATE(A51,LEFT(J51,4)),AGRUPAMENTO!$D$2:$E$6784,2,FALSE)</f>
        <v>Demais despesas de custeio</v>
      </c>
      <c r="L51" s="52" t="s">
        <v>45</v>
      </c>
      <c r="M51" s="52"/>
      <c r="N51" s="52">
        <v>10</v>
      </c>
      <c r="O51" s="86" t="s">
        <v>728</v>
      </c>
      <c r="P51" s="86" t="s">
        <v>47</v>
      </c>
      <c r="Q51" s="86" t="s">
        <v>729</v>
      </c>
      <c r="R51" s="86">
        <v>1</v>
      </c>
      <c r="S51" s="86" t="s">
        <v>730</v>
      </c>
      <c r="T51" s="86">
        <v>3067.2</v>
      </c>
      <c r="U51" s="86">
        <v>75</v>
      </c>
      <c r="V51" s="58">
        <f t="shared" si="0"/>
        <v>230040</v>
      </c>
      <c r="W51" s="86" t="s">
        <v>50</v>
      </c>
      <c r="X51" s="86" t="s">
        <v>731</v>
      </c>
      <c r="Y51" s="86" t="s">
        <v>732</v>
      </c>
      <c r="Z51" s="86" t="s">
        <v>733</v>
      </c>
      <c r="AA51" s="52">
        <v>0</v>
      </c>
      <c r="AB51" s="52">
        <v>0</v>
      </c>
      <c r="AC51" s="52">
        <v>0</v>
      </c>
      <c r="AD51" s="21">
        <v>1</v>
      </c>
      <c r="AE51" s="21">
        <v>1</v>
      </c>
    </row>
    <row r="52" spans="1:31" s="55" customFormat="1" ht="45" customHeight="1" x14ac:dyDescent="0.25">
      <c r="A52" s="86" t="s">
        <v>562</v>
      </c>
      <c r="B52" s="52" t="s">
        <v>712</v>
      </c>
      <c r="C52" s="52"/>
      <c r="D52" s="52" t="s">
        <v>734</v>
      </c>
      <c r="E52" s="52"/>
      <c r="F52" s="52" t="s">
        <v>564</v>
      </c>
      <c r="G52" s="52"/>
      <c r="H52" s="52" t="s">
        <v>572</v>
      </c>
      <c r="I52" s="52" t="s">
        <v>17</v>
      </c>
      <c r="J52" s="52" t="s">
        <v>498</v>
      </c>
      <c r="K52" s="22" t="str">
        <f>VLOOKUP(CONCATENATE(A52,LEFT(J52,4)),AGRUPAMENTO!$D$2:$E$6784,2,FALSE)</f>
        <v>Demais despesas de custeio</v>
      </c>
      <c r="L52" s="52" t="s">
        <v>45</v>
      </c>
      <c r="M52" s="52"/>
      <c r="N52" s="52">
        <v>10</v>
      </c>
      <c r="O52" s="86" t="s">
        <v>735</v>
      </c>
      <c r="P52" s="86" t="s">
        <v>59</v>
      </c>
      <c r="Q52" s="86" t="s">
        <v>736</v>
      </c>
      <c r="R52" s="86">
        <v>1</v>
      </c>
      <c r="S52" s="86" t="s">
        <v>737</v>
      </c>
      <c r="T52" s="86">
        <v>11737005.800000001</v>
      </c>
      <c r="U52" s="86">
        <v>1</v>
      </c>
      <c r="V52" s="58">
        <f t="shared" si="0"/>
        <v>11737005.800000001</v>
      </c>
      <c r="W52" s="86" t="s">
        <v>50</v>
      </c>
      <c r="X52" s="86" t="s">
        <v>738</v>
      </c>
      <c r="Y52" s="86" t="s">
        <v>739</v>
      </c>
      <c r="Z52" s="86" t="s">
        <v>740</v>
      </c>
      <c r="AA52" s="52">
        <v>0</v>
      </c>
      <c r="AB52" s="52">
        <v>0</v>
      </c>
      <c r="AC52" s="52">
        <v>0</v>
      </c>
      <c r="AD52" s="21">
        <v>1</v>
      </c>
      <c r="AE52" s="21">
        <v>1</v>
      </c>
    </row>
    <row r="53" spans="1:31" s="55" customFormat="1" ht="45" customHeight="1" x14ac:dyDescent="0.25">
      <c r="A53" s="86" t="s">
        <v>562</v>
      </c>
      <c r="B53" s="52" t="s">
        <v>712</v>
      </c>
      <c r="C53" s="52"/>
      <c r="D53" s="52" t="s">
        <v>734</v>
      </c>
      <c r="E53" s="52"/>
      <c r="F53" s="52" t="s">
        <v>564</v>
      </c>
      <c r="G53" s="52"/>
      <c r="H53" s="52" t="s">
        <v>572</v>
      </c>
      <c r="I53" s="52" t="s">
        <v>17</v>
      </c>
      <c r="J53" s="52" t="s">
        <v>314</v>
      </c>
      <c r="K53" s="22" t="str">
        <f>VLOOKUP(CONCATENATE(A53,LEFT(J53,4)),AGRUPAMENTO!$D$2:$E$6784,2,FALSE)</f>
        <v>Aquisições de itens de TIC</v>
      </c>
      <c r="L53" s="52" t="s">
        <v>45</v>
      </c>
      <c r="M53" s="52"/>
      <c r="N53" s="52">
        <v>10</v>
      </c>
      <c r="O53" s="86" t="s">
        <v>741</v>
      </c>
      <c r="P53" s="86" t="s">
        <v>47</v>
      </c>
      <c r="Q53" s="86" t="s">
        <v>742</v>
      </c>
      <c r="R53" s="86">
        <v>6</v>
      </c>
      <c r="S53" s="86" t="s">
        <v>737</v>
      </c>
      <c r="T53" s="86">
        <v>6755</v>
      </c>
      <c r="U53" s="86">
        <v>1</v>
      </c>
      <c r="V53" s="58">
        <f t="shared" si="0"/>
        <v>40530</v>
      </c>
      <c r="W53" s="86" t="s">
        <v>50</v>
      </c>
      <c r="X53" s="86" t="s">
        <v>743</v>
      </c>
      <c r="Y53" s="86" t="s">
        <v>744</v>
      </c>
      <c r="Z53" s="86" t="s">
        <v>745</v>
      </c>
      <c r="AA53" s="52">
        <v>0</v>
      </c>
      <c r="AB53" s="52">
        <v>0</v>
      </c>
      <c r="AC53" s="52">
        <v>0</v>
      </c>
      <c r="AD53" s="21">
        <v>1</v>
      </c>
      <c r="AE53" s="21">
        <v>1</v>
      </c>
    </row>
    <row r="54" spans="1:31" s="55" customFormat="1" ht="45" customHeight="1" x14ac:dyDescent="0.25">
      <c r="A54" s="86" t="s">
        <v>562</v>
      </c>
      <c r="B54" s="52" t="s">
        <v>712</v>
      </c>
      <c r="C54" s="52"/>
      <c r="D54" s="52" t="s">
        <v>734</v>
      </c>
      <c r="E54" s="52"/>
      <c r="F54" s="52" t="s">
        <v>564</v>
      </c>
      <c r="G54" s="52"/>
      <c r="H54" s="52" t="s">
        <v>572</v>
      </c>
      <c r="I54" s="52" t="s">
        <v>17</v>
      </c>
      <c r="J54" s="52" t="s">
        <v>234</v>
      </c>
      <c r="K54" s="22" t="str">
        <f>VLOOKUP(CONCATENATE(A54,LEFT(J54,4)),AGRUPAMENTO!$D$2:$E$6784,2,FALSE)</f>
        <v>Serviços de TIC</v>
      </c>
      <c r="L54" s="52" t="s">
        <v>45</v>
      </c>
      <c r="M54" s="52"/>
      <c r="N54" s="52">
        <v>10</v>
      </c>
      <c r="O54" s="86" t="s">
        <v>746</v>
      </c>
      <c r="P54" s="86" t="s">
        <v>59</v>
      </c>
      <c r="Q54" s="86" t="s">
        <v>747</v>
      </c>
      <c r="R54" s="86">
        <v>2</v>
      </c>
      <c r="S54" s="86" t="s">
        <v>737</v>
      </c>
      <c r="T54" s="86">
        <v>1911.76</v>
      </c>
      <c r="U54" s="86">
        <v>1</v>
      </c>
      <c r="V54" s="58">
        <f t="shared" si="0"/>
        <v>3823.52</v>
      </c>
      <c r="W54" s="86" t="s">
        <v>50</v>
      </c>
      <c r="X54" s="86" t="s">
        <v>748</v>
      </c>
      <c r="Y54" s="86" t="s">
        <v>749</v>
      </c>
      <c r="Z54" s="86" t="s">
        <v>750</v>
      </c>
      <c r="AA54" s="52">
        <v>0</v>
      </c>
      <c r="AB54" s="52">
        <v>0</v>
      </c>
      <c r="AC54" s="52">
        <v>0</v>
      </c>
      <c r="AD54" s="21">
        <v>1</v>
      </c>
      <c r="AE54" s="21">
        <v>1</v>
      </c>
    </row>
    <row r="55" spans="1:31" s="55" customFormat="1" ht="45" customHeight="1" x14ac:dyDescent="0.25">
      <c r="A55" s="86" t="s">
        <v>562</v>
      </c>
      <c r="B55" s="52" t="s">
        <v>712</v>
      </c>
      <c r="C55" s="52"/>
      <c r="D55" s="52" t="s">
        <v>734</v>
      </c>
      <c r="E55" s="52"/>
      <c r="F55" s="52" t="s">
        <v>564</v>
      </c>
      <c r="G55" s="52"/>
      <c r="H55" s="52" t="s">
        <v>572</v>
      </c>
      <c r="I55" s="52" t="s">
        <v>17</v>
      </c>
      <c r="J55" s="52" t="s">
        <v>635</v>
      </c>
      <c r="K55" s="22" t="str">
        <f>VLOOKUP(CONCATENATE(A55,LEFT(J55,4)),AGRUPAMENTO!$D$2:$E$6784,2,FALSE)</f>
        <v>Concurso público</v>
      </c>
      <c r="L55" s="52" t="s">
        <v>45</v>
      </c>
      <c r="M55" s="52"/>
      <c r="N55" s="52">
        <v>10</v>
      </c>
      <c r="O55" s="86" t="s">
        <v>751</v>
      </c>
      <c r="P55" s="86" t="s">
        <v>59</v>
      </c>
      <c r="Q55" s="86" t="s">
        <v>752</v>
      </c>
      <c r="R55" s="86">
        <v>1</v>
      </c>
      <c r="S55" s="86" t="s">
        <v>753</v>
      </c>
      <c r="T55" s="86">
        <v>15000000</v>
      </c>
      <c r="U55" s="86">
        <v>1</v>
      </c>
      <c r="V55" s="58">
        <f t="shared" si="0"/>
        <v>15000000</v>
      </c>
      <c r="W55" s="86" t="s">
        <v>50</v>
      </c>
      <c r="X55" s="86" t="s">
        <v>754</v>
      </c>
      <c r="Y55" s="86" t="s">
        <v>755</v>
      </c>
      <c r="Z55" s="86" t="s">
        <v>756</v>
      </c>
      <c r="AA55" s="52">
        <v>0</v>
      </c>
      <c r="AB55" s="52">
        <v>0</v>
      </c>
      <c r="AC55" s="52">
        <v>0</v>
      </c>
      <c r="AD55" s="21">
        <v>1</v>
      </c>
      <c r="AE55" s="21">
        <v>1</v>
      </c>
    </row>
    <row r="56" spans="1:31" s="55" customFormat="1" ht="45" customHeight="1" x14ac:dyDescent="0.25">
      <c r="A56" s="86" t="s">
        <v>562</v>
      </c>
      <c r="B56" s="52" t="s">
        <v>712</v>
      </c>
      <c r="C56" s="52"/>
      <c r="D56" s="52" t="s">
        <v>713</v>
      </c>
      <c r="E56" s="52"/>
      <c r="F56" s="52" t="s">
        <v>564</v>
      </c>
      <c r="G56" s="52"/>
      <c r="H56" s="52" t="s">
        <v>572</v>
      </c>
      <c r="I56" s="52" t="s">
        <v>17</v>
      </c>
      <c r="J56" s="52" t="s">
        <v>64</v>
      </c>
      <c r="K56" s="22" t="str">
        <f>VLOOKUP(CONCATENATE(A56,LEFT(J56,4)),AGRUPAMENTO!$D$2:$E$6784,2,FALSE)</f>
        <v>Estagiários</v>
      </c>
      <c r="L56" s="52" t="s">
        <v>45</v>
      </c>
      <c r="M56" s="52"/>
      <c r="N56" s="52">
        <v>10</v>
      </c>
      <c r="O56" s="86" t="s">
        <v>722</v>
      </c>
      <c r="P56" s="86" t="s">
        <v>47</v>
      </c>
      <c r="Q56" s="86">
        <v>12</v>
      </c>
      <c r="R56" s="86">
        <v>1</v>
      </c>
      <c r="S56" s="86" t="s">
        <v>724</v>
      </c>
      <c r="T56" s="86">
        <v>6297.35</v>
      </c>
      <c r="U56" s="86">
        <v>12</v>
      </c>
      <c r="V56" s="58">
        <f t="shared" si="0"/>
        <v>75568.200000000012</v>
      </c>
      <c r="W56" s="86" t="s">
        <v>50</v>
      </c>
      <c r="X56" s="86" t="s">
        <v>725</v>
      </c>
      <c r="Y56" s="86" t="s">
        <v>726</v>
      </c>
      <c r="Z56" s="86" t="s">
        <v>727</v>
      </c>
      <c r="AA56" s="52">
        <v>0</v>
      </c>
      <c r="AB56" s="52">
        <v>0</v>
      </c>
      <c r="AC56" s="52">
        <v>0</v>
      </c>
      <c r="AD56" s="21">
        <v>1</v>
      </c>
      <c r="AE56" s="21">
        <v>1</v>
      </c>
    </row>
    <row r="57" spans="1:31" s="55" customFormat="1" ht="45" customHeight="1" x14ac:dyDescent="0.25">
      <c r="A57" s="86" t="s">
        <v>562</v>
      </c>
      <c r="B57" s="52" t="s">
        <v>712</v>
      </c>
      <c r="C57" s="52"/>
      <c r="D57" s="52" t="s">
        <v>712</v>
      </c>
      <c r="E57" s="52"/>
      <c r="F57" s="52" t="s">
        <v>564</v>
      </c>
      <c r="G57" s="52"/>
      <c r="H57" s="52" t="s">
        <v>572</v>
      </c>
      <c r="I57" s="52" t="s">
        <v>17</v>
      </c>
      <c r="J57" s="52" t="s">
        <v>573</v>
      </c>
      <c r="K57" s="22" t="str">
        <f>VLOOKUP(CONCATENATE(A57,LEFT(J57,4)),AGRUPAMENTO!$D$2:$E$6784,2,FALSE)</f>
        <v>Diárias e viagens</v>
      </c>
      <c r="L57" s="52" t="s">
        <v>45</v>
      </c>
      <c r="M57" s="52"/>
      <c r="N57" s="52">
        <v>10</v>
      </c>
      <c r="O57" s="86" t="s">
        <v>757</v>
      </c>
      <c r="P57" s="86" t="s">
        <v>47</v>
      </c>
      <c r="Q57" s="86" t="s">
        <v>575</v>
      </c>
      <c r="R57" s="86">
        <v>500</v>
      </c>
      <c r="S57" s="86" t="s">
        <v>576</v>
      </c>
      <c r="T57" s="86">
        <v>2044.5</v>
      </c>
      <c r="U57" s="86">
        <v>1</v>
      </c>
      <c r="V57" s="58">
        <f t="shared" si="0"/>
        <v>1022250</v>
      </c>
      <c r="W57" s="86" t="s">
        <v>50</v>
      </c>
      <c r="X57" s="86" t="s">
        <v>758</v>
      </c>
      <c r="Y57" s="86" t="s">
        <v>759</v>
      </c>
      <c r="Z57" s="86" t="s">
        <v>760</v>
      </c>
      <c r="AA57" s="52">
        <v>0</v>
      </c>
      <c r="AB57" s="52">
        <v>0</v>
      </c>
      <c r="AC57" s="52">
        <v>0</v>
      </c>
      <c r="AD57" s="21">
        <v>1</v>
      </c>
      <c r="AE57" s="21">
        <v>1</v>
      </c>
    </row>
    <row r="58" spans="1:31" s="55" customFormat="1" ht="45" customHeight="1" x14ac:dyDescent="0.25">
      <c r="A58" s="86" t="s">
        <v>562</v>
      </c>
      <c r="B58" s="52" t="s">
        <v>712</v>
      </c>
      <c r="C58" s="52"/>
      <c r="D58" s="52" t="s">
        <v>712</v>
      </c>
      <c r="E58" s="52"/>
      <c r="F58" s="52" t="s">
        <v>564</v>
      </c>
      <c r="G58" s="52"/>
      <c r="H58" s="52" t="s">
        <v>572</v>
      </c>
      <c r="I58" s="52" t="s">
        <v>17</v>
      </c>
      <c r="J58" s="52" t="s">
        <v>587</v>
      </c>
      <c r="K58" s="22" t="str">
        <f>VLOOKUP(CONCATENATE(A58,LEFT(J58,4)),AGRUPAMENTO!$D$2:$E$6784,2,FALSE)</f>
        <v>Diárias e viagens</v>
      </c>
      <c r="L58" s="52" t="s">
        <v>45</v>
      </c>
      <c r="M58" s="52"/>
      <c r="N58" s="52">
        <v>10</v>
      </c>
      <c r="O58" s="86" t="s">
        <v>761</v>
      </c>
      <c r="P58" s="86" t="s">
        <v>47</v>
      </c>
      <c r="Q58" s="86" t="s">
        <v>575</v>
      </c>
      <c r="R58" s="86">
        <v>250</v>
      </c>
      <c r="S58" s="86" t="s">
        <v>762</v>
      </c>
      <c r="T58" s="86">
        <v>200</v>
      </c>
      <c r="U58" s="86">
        <v>1</v>
      </c>
      <c r="V58" s="58">
        <f t="shared" si="0"/>
        <v>50000</v>
      </c>
      <c r="W58" s="86" t="s">
        <v>50</v>
      </c>
      <c r="X58" s="86" t="s">
        <v>763</v>
      </c>
      <c r="Y58" s="86" t="s">
        <v>764</v>
      </c>
      <c r="Z58" s="86" t="s">
        <v>765</v>
      </c>
      <c r="AA58" s="52">
        <v>0</v>
      </c>
      <c r="AB58" s="52">
        <v>0</v>
      </c>
      <c r="AC58" s="52">
        <v>0</v>
      </c>
      <c r="AD58" s="21">
        <v>1</v>
      </c>
      <c r="AE58" s="21">
        <v>1</v>
      </c>
    </row>
    <row r="59" spans="1:31" s="55" customFormat="1" ht="45" customHeight="1" x14ac:dyDescent="0.25">
      <c r="A59" s="86" t="s">
        <v>562</v>
      </c>
      <c r="B59" s="52" t="s">
        <v>712</v>
      </c>
      <c r="C59" s="52"/>
      <c r="D59" s="52" t="s">
        <v>712</v>
      </c>
      <c r="E59" s="52"/>
      <c r="F59" s="52" t="s">
        <v>564</v>
      </c>
      <c r="G59" s="52"/>
      <c r="H59" s="52" t="s">
        <v>572</v>
      </c>
      <c r="I59" s="52" t="s">
        <v>17</v>
      </c>
      <c r="J59" s="52" t="s">
        <v>579</v>
      </c>
      <c r="K59" s="22" t="str">
        <f>VLOOKUP(CONCATENATE(A59,LEFT(J59,4)),AGRUPAMENTO!$D$2:$E$6784,2,FALSE)</f>
        <v>Diárias e viagens</v>
      </c>
      <c r="L59" s="52" t="s">
        <v>45</v>
      </c>
      <c r="M59" s="52"/>
      <c r="N59" s="52">
        <v>10</v>
      </c>
      <c r="O59" s="86" t="s">
        <v>580</v>
      </c>
      <c r="P59" s="86" t="s">
        <v>47</v>
      </c>
      <c r="Q59" s="86" t="s">
        <v>575</v>
      </c>
      <c r="R59" s="86">
        <v>250</v>
      </c>
      <c r="S59" s="86" t="s">
        <v>581</v>
      </c>
      <c r="T59" s="86">
        <v>400</v>
      </c>
      <c r="U59" s="86">
        <v>1</v>
      </c>
      <c r="V59" s="58">
        <f t="shared" si="0"/>
        <v>100000</v>
      </c>
      <c r="W59" s="86" t="s">
        <v>50</v>
      </c>
      <c r="X59" s="86" t="s">
        <v>763</v>
      </c>
      <c r="Y59" s="86" t="s">
        <v>764</v>
      </c>
      <c r="Z59" s="86" t="s">
        <v>765</v>
      </c>
      <c r="AA59" s="52">
        <v>0</v>
      </c>
      <c r="AB59" s="52">
        <v>0</v>
      </c>
      <c r="AC59" s="52">
        <v>0</v>
      </c>
      <c r="AD59" s="21">
        <v>1</v>
      </c>
      <c r="AE59" s="21">
        <v>1</v>
      </c>
    </row>
    <row r="60" spans="1:31" s="55" customFormat="1" ht="45" customHeight="1" x14ac:dyDescent="0.25">
      <c r="A60" s="86" t="s">
        <v>562</v>
      </c>
      <c r="B60" s="52" t="s">
        <v>712</v>
      </c>
      <c r="C60" s="52"/>
      <c r="D60" s="52" t="s">
        <v>713</v>
      </c>
      <c r="E60" s="52"/>
      <c r="F60" s="52" t="s">
        <v>564</v>
      </c>
      <c r="G60" s="52"/>
      <c r="H60" s="52" t="s">
        <v>572</v>
      </c>
      <c r="I60" s="52" t="s">
        <v>17</v>
      </c>
      <c r="J60" s="52" t="s">
        <v>442</v>
      </c>
      <c r="K60" s="22" t="str">
        <f>VLOOKUP(CONCATENATE(A60,LEFT(J60,4)),AGRUPAMENTO!$D$2:$E$6784,2,FALSE)</f>
        <v>Demais despesas de custeio</v>
      </c>
      <c r="L60" s="52" t="s">
        <v>45</v>
      </c>
      <c r="M60" s="52"/>
      <c r="N60" s="52">
        <v>10</v>
      </c>
      <c r="O60" s="86" t="s">
        <v>728</v>
      </c>
      <c r="P60" s="86" t="s">
        <v>47</v>
      </c>
      <c r="Q60" s="86" t="s">
        <v>766</v>
      </c>
      <c r="R60" s="86">
        <v>4</v>
      </c>
      <c r="S60" s="86" t="s">
        <v>767</v>
      </c>
      <c r="T60" s="86">
        <v>1550</v>
      </c>
      <c r="U60" s="86">
        <v>30</v>
      </c>
      <c r="V60" s="58">
        <f t="shared" si="0"/>
        <v>186000</v>
      </c>
      <c r="W60" s="86" t="s">
        <v>50</v>
      </c>
      <c r="X60" s="86" t="s">
        <v>731</v>
      </c>
      <c r="Y60" s="86" t="s">
        <v>732</v>
      </c>
      <c r="Z60" s="86" t="s">
        <v>733</v>
      </c>
      <c r="AA60" s="52">
        <v>0</v>
      </c>
      <c r="AB60" s="52">
        <v>0</v>
      </c>
      <c r="AC60" s="52">
        <v>0</v>
      </c>
      <c r="AD60" s="21">
        <v>1</v>
      </c>
      <c r="AE60" s="21">
        <v>1</v>
      </c>
    </row>
    <row r="61" spans="1:31" s="55" customFormat="1" ht="45" customHeight="1" x14ac:dyDescent="0.25">
      <c r="A61" s="86" t="s">
        <v>562</v>
      </c>
      <c r="B61" s="52" t="s">
        <v>712</v>
      </c>
      <c r="C61" s="52"/>
      <c r="D61" s="52" t="s">
        <v>712</v>
      </c>
      <c r="E61" s="52"/>
      <c r="F61" s="52" t="s">
        <v>564</v>
      </c>
      <c r="G61" s="52"/>
      <c r="H61" s="52" t="s">
        <v>572</v>
      </c>
      <c r="I61" s="52" t="s">
        <v>17</v>
      </c>
      <c r="J61" s="52" t="s">
        <v>149</v>
      </c>
      <c r="K61" s="22" t="str">
        <f>VLOOKUP(CONCATENATE(A61,LEFT(J61,4)),AGRUPAMENTO!$D$2:$E$6784,2,FALSE)</f>
        <v>Material de consumo</v>
      </c>
      <c r="L61" s="52" t="s">
        <v>45</v>
      </c>
      <c r="M61" s="52"/>
      <c r="N61" s="52">
        <v>10</v>
      </c>
      <c r="O61" s="86" t="s">
        <v>768</v>
      </c>
      <c r="P61" s="86" t="s">
        <v>47</v>
      </c>
      <c r="Q61" s="86" t="s">
        <v>769</v>
      </c>
      <c r="R61" s="86">
        <v>12</v>
      </c>
      <c r="S61" s="86" t="s">
        <v>770</v>
      </c>
      <c r="T61" s="86">
        <v>10000</v>
      </c>
      <c r="U61" s="86">
        <v>1</v>
      </c>
      <c r="V61" s="58">
        <f t="shared" si="0"/>
        <v>120000</v>
      </c>
      <c r="W61" s="86" t="s">
        <v>50</v>
      </c>
      <c r="X61" s="86" t="s">
        <v>771</v>
      </c>
      <c r="Y61" s="86" t="s">
        <v>772</v>
      </c>
      <c r="Z61" s="86" t="s">
        <v>773</v>
      </c>
      <c r="AA61" s="52">
        <v>0</v>
      </c>
      <c r="AB61" s="52">
        <v>0</v>
      </c>
      <c r="AC61" s="52">
        <v>0</v>
      </c>
      <c r="AD61" s="21">
        <v>1</v>
      </c>
      <c r="AE61" s="21">
        <v>1</v>
      </c>
    </row>
    <row r="62" spans="1:31" s="55" customFormat="1" ht="45" customHeight="1" x14ac:dyDescent="0.25">
      <c r="A62" s="86" t="s">
        <v>562</v>
      </c>
      <c r="B62" s="52" t="s">
        <v>712</v>
      </c>
      <c r="C62" s="52"/>
      <c r="D62" s="52" t="s">
        <v>712</v>
      </c>
      <c r="E62" s="52"/>
      <c r="F62" s="52" t="s">
        <v>564</v>
      </c>
      <c r="G62" s="52"/>
      <c r="H62" s="52" t="s">
        <v>572</v>
      </c>
      <c r="I62" s="52" t="s">
        <v>17</v>
      </c>
      <c r="J62" s="52" t="s">
        <v>355</v>
      </c>
      <c r="K62" s="22" t="str">
        <f>VLOOKUP(CONCATENATE(A62,LEFT(J62,4)),AGRUPAMENTO!$D$2:$E$6784,2,FALSE)</f>
        <v>Demais despesas de custeio</v>
      </c>
      <c r="L62" s="52" t="s">
        <v>45</v>
      </c>
      <c r="M62" s="52"/>
      <c r="N62" s="52">
        <v>10</v>
      </c>
      <c r="O62" s="86" t="s">
        <v>774</v>
      </c>
      <c r="P62" s="86" t="s">
        <v>47</v>
      </c>
      <c r="Q62" s="86">
        <v>12</v>
      </c>
      <c r="R62" s="86">
        <v>12</v>
      </c>
      <c r="S62" s="86" t="s">
        <v>775</v>
      </c>
      <c r="T62" s="86">
        <v>1000</v>
      </c>
      <c r="U62" s="86">
        <v>1</v>
      </c>
      <c r="V62" s="58">
        <f t="shared" si="0"/>
        <v>12000</v>
      </c>
      <c r="W62" s="86" t="s">
        <v>50</v>
      </c>
      <c r="X62" s="86" t="s">
        <v>776</v>
      </c>
      <c r="Y62" s="86" t="s">
        <v>777</v>
      </c>
      <c r="Z62" s="86" t="s">
        <v>778</v>
      </c>
      <c r="AA62" s="52">
        <v>0</v>
      </c>
      <c r="AB62" s="52">
        <v>0</v>
      </c>
      <c r="AC62" s="52">
        <v>0</v>
      </c>
      <c r="AD62" s="21">
        <v>1</v>
      </c>
      <c r="AE62" s="21">
        <v>1</v>
      </c>
    </row>
    <row r="63" spans="1:31" s="55" customFormat="1" ht="45" customHeight="1" x14ac:dyDescent="0.25">
      <c r="A63" s="86" t="s">
        <v>562</v>
      </c>
      <c r="B63" s="52" t="s">
        <v>712</v>
      </c>
      <c r="C63" s="52"/>
      <c r="D63" s="52" t="s">
        <v>712</v>
      </c>
      <c r="E63" s="52"/>
      <c r="F63" s="52" t="s">
        <v>564</v>
      </c>
      <c r="G63" s="52"/>
      <c r="H63" s="52" t="s">
        <v>572</v>
      </c>
      <c r="I63" s="52" t="s">
        <v>17</v>
      </c>
      <c r="J63" s="52" t="s">
        <v>370</v>
      </c>
      <c r="K63" s="22" t="str">
        <f>VLOOKUP(CONCATENATE(A63,LEFT(J63,4)),AGRUPAMENTO!$D$2:$E$6784,2,FALSE)</f>
        <v>Demais despesas de custeio</v>
      </c>
      <c r="L63" s="52" t="s">
        <v>45</v>
      </c>
      <c r="M63" s="52"/>
      <c r="N63" s="52">
        <v>10</v>
      </c>
      <c r="O63" s="86" t="s">
        <v>779</v>
      </c>
      <c r="P63" s="86" t="s">
        <v>47</v>
      </c>
      <c r="Q63" s="86">
        <v>12</v>
      </c>
      <c r="R63" s="86">
        <v>12</v>
      </c>
      <c r="S63" s="86" t="s">
        <v>775</v>
      </c>
      <c r="T63" s="86">
        <v>400</v>
      </c>
      <c r="U63" s="86">
        <v>1</v>
      </c>
      <c r="V63" s="58">
        <f t="shared" si="0"/>
        <v>4800</v>
      </c>
      <c r="W63" s="86" t="s">
        <v>50</v>
      </c>
      <c r="X63" s="86" t="s">
        <v>780</v>
      </c>
      <c r="Y63" s="86" t="s">
        <v>781</v>
      </c>
      <c r="Z63" s="86" t="s">
        <v>782</v>
      </c>
      <c r="AA63" s="52">
        <v>0</v>
      </c>
      <c r="AB63" s="52">
        <v>0</v>
      </c>
      <c r="AC63" s="52">
        <v>0</v>
      </c>
      <c r="AD63" s="21">
        <v>1</v>
      </c>
      <c r="AE63" s="21">
        <v>1</v>
      </c>
    </row>
    <row r="64" spans="1:31" s="55" customFormat="1" ht="45" customHeight="1" x14ac:dyDescent="0.25">
      <c r="A64" s="86" t="s">
        <v>562</v>
      </c>
      <c r="B64" s="52" t="s">
        <v>712</v>
      </c>
      <c r="C64" s="52"/>
      <c r="D64" s="52" t="s">
        <v>712</v>
      </c>
      <c r="E64" s="52"/>
      <c r="F64" s="52" t="s">
        <v>564</v>
      </c>
      <c r="G64" s="52"/>
      <c r="H64" s="52" t="s">
        <v>572</v>
      </c>
      <c r="I64" s="52" t="s">
        <v>17</v>
      </c>
      <c r="J64" s="52" t="s">
        <v>433</v>
      </c>
      <c r="K64" s="22" t="str">
        <f>VLOOKUP(CONCATENATE(A64,LEFT(J64,4)),AGRUPAMENTO!$D$2:$E$6784,2,FALSE)</f>
        <v>Cursos de formação e capacitações</v>
      </c>
      <c r="L64" s="52" t="s">
        <v>45</v>
      </c>
      <c r="M64" s="52"/>
      <c r="N64" s="52">
        <v>10</v>
      </c>
      <c r="O64" s="86" t="s">
        <v>783</v>
      </c>
      <c r="P64" s="86" t="s">
        <v>47</v>
      </c>
      <c r="Q64" s="86" t="s">
        <v>784</v>
      </c>
      <c r="R64" s="86">
        <v>1</v>
      </c>
      <c r="S64" s="86" t="s">
        <v>770</v>
      </c>
      <c r="T64" s="86">
        <v>5000</v>
      </c>
      <c r="U64" s="86">
        <v>10</v>
      </c>
      <c r="V64" s="58">
        <f t="shared" ref="V64:V127" si="1">R64*T64*U64</f>
        <v>50000</v>
      </c>
      <c r="W64" s="86" t="s">
        <v>50</v>
      </c>
      <c r="X64" s="86" t="s">
        <v>582</v>
      </c>
      <c r="Y64" s="86" t="s">
        <v>785</v>
      </c>
      <c r="Z64" s="86" t="s">
        <v>786</v>
      </c>
      <c r="AA64" s="52">
        <v>0</v>
      </c>
      <c r="AB64" s="52">
        <v>0</v>
      </c>
      <c r="AC64" s="52">
        <v>0</v>
      </c>
      <c r="AD64" s="21">
        <v>1</v>
      </c>
      <c r="AE64" s="21">
        <v>1</v>
      </c>
    </row>
    <row r="65" spans="1:31" s="55" customFormat="1" ht="45" customHeight="1" x14ac:dyDescent="0.25">
      <c r="A65" s="86" t="s">
        <v>562</v>
      </c>
      <c r="B65" s="52" t="s">
        <v>712</v>
      </c>
      <c r="C65" s="52"/>
      <c r="D65" s="52" t="s">
        <v>712</v>
      </c>
      <c r="E65" s="52"/>
      <c r="F65" s="52" t="s">
        <v>564</v>
      </c>
      <c r="G65" s="52"/>
      <c r="H65" s="52" t="s">
        <v>572</v>
      </c>
      <c r="I65" s="52" t="s">
        <v>17</v>
      </c>
      <c r="J65" s="52" t="s">
        <v>492</v>
      </c>
      <c r="K65" s="22" t="str">
        <f>VLOOKUP(CONCATENATE(A65,LEFT(J65,4)),AGRUPAMENTO!$D$2:$E$6784,2,FALSE)</f>
        <v>Cursos de formação e capacitações</v>
      </c>
      <c r="L65" s="52" t="s">
        <v>45</v>
      </c>
      <c r="M65" s="52"/>
      <c r="N65" s="52">
        <v>10</v>
      </c>
      <c r="O65" s="86" t="s">
        <v>787</v>
      </c>
      <c r="P65" s="86" t="s">
        <v>47</v>
      </c>
      <c r="Q65" s="86" t="s">
        <v>788</v>
      </c>
      <c r="R65" s="86">
        <v>1</v>
      </c>
      <c r="S65" s="86" t="s">
        <v>770</v>
      </c>
      <c r="T65" s="86">
        <v>5000</v>
      </c>
      <c r="U65" s="86">
        <v>10</v>
      </c>
      <c r="V65" s="58">
        <f t="shared" si="1"/>
        <v>50000</v>
      </c>
      <c r="W65" s="86" t="s">
        <v>50</v>
      </c>
      <c r="X65" s="86" t="s">
        <v>582</v>
      </c>
      <c r="Y65" s="86" t="s">
        <v>785</v>
      </c>
      <c r="Z65" s="86" t="s">
        <v>786</v>
      </c>
      <c r="AA65" s="52">
        <v>0</v>
      </c>
      <c r="AB65" s="52">
        <v>0</v>
      </c>
      <c r="AC65" s="52">
        <v>0</v>
      </c>
      <c r="AD65" s="21">
        <v>1</v>
      </c>
      <c r="AE65" s="21">
        <v>1</v>
      </c>
    </row>
    <row r="66" spans="1:31" s="55" customFormat="1" ht="45" customHeight="1" x14ac:dyDescent="0.25">
      <c r="A66" s="86" t="s">
        <v>562</v>
      </c>
      <c r="B66" s="52" t="s">
        <v>712</v>
      </c>
      <c r="C66" s="52"/>
      <c r="D66" s="52" t="s">
        <v>712</v>
      </c>
      <c r="E66" s="52"/>
      <c r="F66" s="52" t="s">
        <v>564</v>
      </c>
      <c r="G66" s="52"/>
      <c r="H66" s="52" t="s">
        <v>572</v>
      </c>
      <c r="I66" s="52" t="s">
        <v>17</v>
      </c>
      <c r="J66" s="52" t="s">
        <v>480</v>
      </c>
      <c r="K66" s="22" t="str">
        <f>VLOOKUP(CONCATENATE(A66,LEFT(J66,4)),AGRUPAMENTO!$D$2:$E$6784,2,FALSE)</f>
        <v>Demais despesas de custeio</v>
      </c>
      <c r="L66" s="52" t="s">
        <v>45</v>
      </c>
      <c r="M66" s="52"/>
      <c r="N66" s="52">
        <v>10</v>
      </c>
      <c r="O66" s="86" t="s">
        <v>789</v>
      </c>
      <c r="P66" s="86" t="s">
        <v>47</v>
      </c>
      <c r="Q66" s="86">
        <v>1</v>
      </c>
      <c r="R66" s="86">
        <v>1</v>
      </c>
      <c r="S66" s="86" t="s">
        <v>790</v>
      </c>
      <c r="T66" s="86">
        <v>395000</v>
      </c>
      <c r="U66" s="86">
        <v>1</v>
      </c>
      <c r="V66" s="58">
        <f t="shared" si="1"/>
        <v>395000</v>
      </c>
      <c r="W66" s="86" t="s">
        <v>50</v>
      </c>
      <c r="X66" s="86" t="s">
        <v>791</v>
      </c>
      <c r="Y66" s="86" t="s">
        <v>792</v>
      </c>
      <c r="Z66" s="86" t="s">
        <v>793</v>
      </c>
      <c r="AA66" s="52">
        <v>0</v>
      </c>
      <c r="AB66" s="52">
        <v>0</v>
      </c>
      <c r="AC66" s="52">
        <v>0</v>
      </c>
      <c r="AD66" s="21">
        <v>1</v>
      </c>
      <c r="AE66" s="21">
        <v>1</v>
      </c>
    </row>
    <row r="67" spans="1:31" s="55" customFormat="1" ht="45" customHeight="1" x14ac:dyDescent="0.25">
      <c r="A67" s="86" t="s">
        <v>562</v>
      </c>
      <c r="B67" s="52" t="s">
        <v>712</v>
      </c>
      <c r="C67" s="52"/>
      <c r="D67" s="52" t="s">
        <v>712</v>
      </c>
      <c r="E67" s="52"/>
      <c r="F67" s="52" t="s">
        <v>564</v>
      </c>
      <c r="G67" s="52"/>
      <c r="H67" s="52" t="s">
        <v>572</v>
      </c>
      <c r="I67" s="52" t="s">
        <v>17</v>
      </c>
      <c r="J67" s="52" t="s">
        <v>573</v>
      </c>
      <c r="K67" s="22" t="str">
        <f>VLOOKUP(CONCATENATE(A67,LEFT(J67,4)),AGRUPAMENTO!$D$2:$E$6784,2,FALSE)</f>
        <v>Diárias e viagens</v>
      </c>
      <c r="L67" s="52" t="s">
        <v>45</v>
      </c>
      <c r="M67" s="52"/>
      <c r="N67" s="52">
        <v>10</v>
      </c>
      <c r="O67" s="86" t="s">
        <v>794</v>
      </c>
      <c r="P67" s="86" t="s">
        <v>47</v>
      </c>
      <c r="Q67" s="86" t="s">
        <v>575</v>
      </c>
      <c r="R67" s="86">
        <v>4000</v>
      </c>
      <c r="S67" s="86" t="s">
        <v>576</v>
      </c>
      <c r="T67" s="86">
        <v>2044.5</v>
      </c>
      <c r="U67" s="86">
        <v>1</v>
      </c>
      <c r="V67" s="58">
        <f t="shared" si="1"/>
        <v>8178000</v>
      </c>
      <c r="W67" s="86" t="s">
        <v>50</v>
      </c>
      <c r="X67" s="86" t="s">
        <v>795</v>
      </c>
      <c r="Y67" s="86" t="s">
        <v>796</v>
      </c>
      <c r="Z67" s="86" t="s">
        <v>797</v>
      </c>
      <c r="AA67" s="52">
        <v>0</v>
      </c>
      <c r="AB67" s="52">
        <v>0</v>
      </c>
      <c r="AC67" s="52">
        <v>0</v>
      </c>
      <c r="AD67" s="21">
        <v>1</v>
      </c>
      <c r="AE67" s="21">
        <v>1</v>
      </c>
    </row>
    <row r="68" spans="1:31" s="55" customFormat="1" ht="45" customHeight="1" x14ac:dyDescent="0.25">
      <c r="A68" s="86" t="s">
        <v>562</v>
      </c>
      <c r="B68" s="52" t="s">
        <v>712</v>
      </c>
      <c r="C68" s="52"/>
      <c r="D68" s="52" t="s">
        <v>712</v>
      </c>
      <c r="E68" s="52"/>
      <c r="F68" s="52" t="s">
        <v>564</v>
      </c>
      <c r="G68" s="52"/>
      <c r="H68" s="52" t="s">
        <v>572</v>
      </c>
      <c r="I68" s="52" t="s">
        <v>17</v>
      </c>
      <c r="J68" s="52" t="s">
        <v>587</v>
      </c>
      <c r="K68" s="22" t="str">
        <f>VLOOKUP(CONCATENATE(A68,LEFT(J68,4)),AGRUPAMENTO!$D$2:$E$6784,2,FALSE)</f>
        <v>Diárias e viagens</v>
      </c>
      <c r="L68" s="52" t="s">
        <v>45</v>
      </c>
      <c r="M68" s="52"/>
      <c r="N68" s="52">
        <v>10</v>
      </c>
      <c r="O68" s="86" t="s">
        <v>798</v>
      </c>
      <c r="P68" s="86" t="s">
        <v>47</v>
      </c>
      <c r="Q68" s="86" t="s">
        <v>575</v>
      </c>
      <c r="R68" s="86">
        <v>4000</v>
      </c>
      <c r="S68" s="86" t="s">
        <v>762</v>
      </c>
      <c r="T68" s="86">
        <v>200</v>
      </c>
      <c r="U68" s="86">
        <v>1</v>
      </c>
      <c r="V68" s="58">
        <f t="shared" si="1"/>
        <v>800000</v>
      </c>
      <c r="W68" s="86" t="s">
        <v>50</v>
      </c>
      <c r="X68" s="86" t="s">
        <v>795</v>
      </c>
      <c r="Y68" s="86" t="s">
        <v>796</v>
      </c>
      <c r="Z68" s="86" t="s">
        <v>797</v>
      </c>
      <c r="AA68" s="52">
        <v>0</v>
      </c>
      <c r="AB68" s="52">
        <v>0</v>
      </c>
      <c r="AC68" s="52">
        <v>0</v>
      </c>
      <c r="AD68" s="21">
        <v>1</v>
      </c>
      <c r="AE68" s="21">
        <v>1</v>
      </c>
    </row>
    <row r="69" spans="1:31" s="55" customFormat="1" ht="45" customHeight="1" x14ac:dyDescent="0.25">
      <c r="A69" s="86" t="s">
        <v>562</v>
      </c>
      <c r="B69" s="52" t="s">
        <v>712</v>
      </c>
      <c r="C69" s="52"/>
      <c r="D69" s="52" t="s">
        <v>712</v>
      </c>
      <c r="E69" s="52"/>
      <c r="F69" s="52" t="s">
        <v>564</v>
      </c>
      <c r="G69" s="52"/>
      <c r="H69" s="52" t="s">
        <v>572</v>
      </c>
      <c r="I69" s="52" t="s">
        <v>17</v>
      </c>
      <c r="J69" s="52" t="s">
        <v>579</v>
      </c>
      <c r="K69" s="22" t="str">
        <f>VLOOKUP(CONCATENATE(A69,LEFT(J69,4)),AGRUPAMENTO!$D$2:$E$6784,2,FALSE)</f>
        <v>Diárias e viagens</v>
      </c>
      <c r="L69" s="52" t="s">
        <v>45</v>
      </c>
      <c r="M69" s="52"/>
      <c r="N69" s="52">
        <v>10</v>
      </c>
      <c r="O69" s="86" t="s">
        <v>799</v>
      </c>
      <c r="P69" s="86" t="s">
        <v>47</v>
      </c>
      <c r="Q69" s="86" t="s">
        <v>575</v>
      </c>
      <c r="R69" s="86">
        <v>4000</v>
      </c>
      <c r="S69" s="86" t="s">
        <v>581</v>
      </c>
      <c r="T69" s="86">
        <v>400</v>
      </c>
      <c r="U69" s="86">
        <v>1</v>
      </c>
      <c r="V69" s="58">
        <f t="shared" si="1"/>
        <v>1600000</v>
      </c>
      <c r="W69" s="86" t="s">
        <v>50</v>
      </c>
      <c r="X69" s="86" t="s">
        <v>795</v>
      </c>
      <c r="Y69" s="86" t="s">
        <v>796</v>
      </c>
      <c r="Z69" s="86" t="s">
        <v>797</v>
      </c>
      <c r="AA69" s="52">
        <v>0</v>
      </c>
      <c r="AB69" s="52">
        <v>0</v>
      </c>
      <c r="AC69" s="52">
        <v>0</v>
      </c>
      <c r="AD69" s="21">
        <v>1</v>
      </c>
      <c r="AE69" s="21">
        <v>1</v>
      </c>
    </row>
    <row r="70" spans="1:31" s="55" customFormat="1" ht="45" customHeight="1" x14ac:dyDescent="0.25">
      <c r="A70" s="86" t="s">
        <v>562</v>
      </c>
      <c r="B70" s="52" t="s">
        <v>712</v>
      </c>
      <c r="C70" s="52"/>
      <c r="D70" s="52" t="s">
        <v>800</v>
      </c>
      <c r="E70" s="52"/>
      <c r="F70" s="52" t="s">
        <v>564</v>
      </c>
      <c r="G70" s="52"/>
      <c r="H70" s="52" t="s">
        <v>572</v>
      </c>
      <c r="I70" s="52" t="s">
        <v>17</v>
      </c>
      <c r="J70" s="52" t="s">
        <v>492</v>
      </c>
      <c r="K70" s="22" t="str">
        <f>VLOOKUP(CONCATENATE(A70,LEFT(J70,4)),AGRUPAMENTO!$D$2:$E$6784,2,FALSE)</f>
        <v>Cursos de formação e capacitações</v>
      </c>
      <c r="L70" s="52" t="s">
        <v>45</v>
      </c>
      <c r="M70" s="52"/>
      <c r="N70" s="52">
        <v>10</v>
      </c>
      <c r="O70" s="86" t="s">
        <v>783</v>
      </c>
      <c r="P70" s="86" t="s">
        <v>47</v>
      </c>
      <c r="Q70" s="86" t="s">
        <v>788</v>
      </c>
      <c r="R70" s="86">
        <v>40</v>
      </c>
      <c r="S70" s="86" t="s">
        <v>770</v>
      </c>
      <c r="T70" s="86">
        <v>2500</v>
      </c>
      <c r="U70" s="86">
        <v>28</v>
      </c>
      <c r="V70" s="58">
        <f t="shared" si="1"/>
        <v>2800000</v>
      </c>
      <c r="W70" s="86" t="s">
        <v>50</v>
      </c>
      <c r="X70" s="86" t="s">
        <v>582</v>
      </c>
      <c r="Y70" s="86" t="s">
        <v>785</v>
      </c>
      <c r="Z70" s="86" t="s">
        <v>801</v>
      </c>
      <c r="AA70" s="52">
        <v>0</v>
      </c>
      <c r="AB70" s="52">
        <v>0</v>
      </c>
      <c r="AC70" s="52">
        <v>0</v>
      </c>
      <c r="AD70" s="21">
        <v>1</v>
      </c>
      <c r="AE70" s="21">
        <v>1</v>
      </c>
    </row>
    <row r="71" spans="1:31" s="55" customFormat="1" ht="45" customHeight="1" x14ac:dyDescent="0.25">
      <c r="A71" s="86" t="s">
        <v>562</v>
      </c>
      <c r="B71" s="52" t="s">
        <v>712</v>
      </c>
      <c r="C71" s="52"/>
      <c r="D71" s="52" t="s">
        <v>800</v>
      </c>
      <c r="E71" s="52"/>
      <c r="F71" s="52" t="s">
        <v>564</v>
      </c>
      <c r="G71" s="52"/>
      <c r="H71" s="52" t="s">
        <v>572</v>
      </c>
      <c r="I71" s="52" t="s">
        <v>17</v>
      </c>
      <c r="J71" s="52" t="s">
        <v>470</v>
      </c>
      <c r="K71" s="22" t="str">
        <f>VLOOKUP(CONCATENATE(A71,LEFT(J71,4)),AGRUPAMENTO!$D$2:$E$6784,2,FALSE)</f>
        <v>Material de consumo</v>
      </c>
      <c r="L71" s="52" t="s">
        <v>45</v>
      </c>
      <c r="M71" s="52"/>
      <c r="N71" s="52">
        <v>10</v>
      </c>
      <c r="O71" s="86" t="s">
        <v>802</v>
      </c>
      <c r="P71" s="86" t="s">
        <v>47</v>
      </c>
      <c r="Q71" s="86" t="s">
        <v>803</v>
      </c>
      <c r="R71" s="86">
        <v>40</v>
      </c>
      <c r="S71" s="86" t="s">
        <v>770</v>
      </c>
      <c r="T71" s="86">
        <v>9</v>
      </c>
      <c r="U71" s="86">
        <v>250</v>
      </c>
      <c r="V71" s="58">
        <f t="shared" si="1"/>
        <v>90000</v>
      </c>
      <c r="W71" s="86" t="s">
        <v>50</v>
      </c>
      <c r="X71" s="86" t="s">
        <v>804</v>
      </c>
      <c r="Y71" s="86" t="s">
        <v>805</v>
      </c>
      <c r="Z71" s="86" t="s">
        <v>801</v>
      </c>
      <c r="AA71" s="52">
        <v>0</v>
      </c>
      <c r="AB71" s="52">
        <v>0</v>
      </c>
      <c r="AC71" s="52">
        <v>0</v>
      </c>
      <c r="AD71" s="21">
        <v>1</v>
      </c>
      <c r="AE71" s="21">
        <v>1</v>
      </c>
    </row>
    <row r="72" spans="1:31" s="55" customFormat="1" ht="45" customHeight="1" x14ac:dyDescent="0.25">
      <c r="A72" s="86" t="s">
        <v>562</v>
      </c>
      <c r="B72" s="52" t="s">
        <v>712</v>
      </c>
      <c r="C72" s="52"/>
      <c r="D72" s="52" t="s">
        <v>806</v>
      </c>
      <c r="E72" s="52"/>
      <c r="F72" s="52" t="s">
        <v>564</v>
      </c>
      <c r="G72" s="52"/>
      <c r="H72" s="52" t="s">
        <v>572</v>
      </c>
      <c r="I72" s="52" t="s">
        <v>17</v>
      </c>
      <c r="J72" s="52" t="s">
        <v>234</v>
      </c>
      <c r="K72" s="22" t="str">
        <f>VLOOKUP(CONCATENATE(A72,LEFT(J72,4)),AGRUPAMENTO!$D$2:$E$6784,2,FALSE)</f>
        <v>Serviços de TIC</v>
      </c>
      <c r="L72" s="52" t="s">
        <v>45</v>
      </c>
      <c r="M72" s="52"/>
      <c r="N72" s="52">
        <v>10</v>
      </c>
      <c r="O72" s="86" t="s">
        <v>807</v>
      </c>
      <c r="P72" s="86" t="s">
        <v>59</v>
      </c>
      <c r="Q72" s="86" t="s">
        <v>808</v>
      </c>
      <c r="R72" s="86">
        <v>1</v>
      </c>
      <c r="S72" s="86" t="s">
        <v>809</v>
      </c>
      <c r="T72" s="86">
        <v>1878274.73</v>
      </c>
      <c r="U72" s="86">
        <v>1</v>
      </c>
      <c r="V72" s="58">
        <f t="shared" si="1"/>
        <v>1878274.73</v>
      </c>
      <c r="W72" s="86" t="s">
        <v>50</v>
      </c>
      <c r="X72" s="86" t="s">
        <v>810</v>
      </c>
      <c r="Y72" s="86" t="s">
        <v>811</v>
      </c>
      <c r="Z72" s="86" t="s">
        <v>812</v>
      </c>
      <c r="AA72" s="52">
        <v>0</v>
      </c>
      <c r="AB72" s="52">
        <v>0</v>
      </c>
      <c r="AC72" s="52">
        <v>0</v>
      </c>
      <c r="AD72" s="21">
        <v>1</v>
      </c>
      <c r="AE72" s="21">
        <v>1</v>
      </c>
    </row>
    <row r="73" spans="1:31" s="55" customFormat="1" ht="45" customHeight="1" x14ac:dyDescent="0.25">
      <c r="A73" s="86" t="s">
        <v>562</v>
      </c>
      <c r="B73" s="52" t="s">
        <v>712</v>
      </c>
      <c r="C73" s="52"/>
      <c r="D73" s="52" t="s">
        <v>806</v>
      </c>
      <c r="E73" s="52"/>
      <c r="F73" s="52" t="s">
        <v>564</v>
      </c>
      <c r="G73" s="52"/>
      <c r="H73" s="52" t="s">
        <v>572</v>
      </c>
      <c r="I73" s="52" t="s">
        <v>17</v>
      </c>
      <c r="J73" s="52" t="s">
        <v>813</v>
      </c>
      <c r="K73" s="22" t="str">
        <f>VLOOKUP(CONCATENATE(A73,LEFT(J73,4)),AGRUPAMENTO!$D$2:$E$6784,2,FALSE)</f>
        <v>Aquisições de itens de TIC</v>
      </c>
      <c r="L73" s="52" t="s">
        <v>95</v>
      </c>
      <c r="M73" s="52"/>
      <c r="N73" s="52">
        <v>10</v>
      </c>
      <c r="O73" s="86" t="s">
        <v>814</v>
      </c>
      <c r="P73" s="86" t="s">
        <v>59</v>
      </c>
      <c r="Q73" s="86" t="s">
        <v>808</v>
      </c>
      <c r="R73" s="86">
        <v>1</v>
      </c>
      <c r="S73" s="86" t="s">
        <v>106</v>
      </c>
      <c r="T73" s="86">
        <v>68170</v>
      </c>
      <c r="U73" s="86">
        <v>12</v>
      </c>
      <c r="V73" s="58">
        <f t="shared" si="1"/>
        <v>818040</v>
      </c>
      <c r="W73" s="86" t="s">
        <v>50</v>
      </c>
      <c r="X73" s="86" t="s">
        <v>815</v>
      </c>
      <c r="Y73" s="86" t="s">
        <v>811</v>
      </c>
      <c r="Z73" s="86" t="s">
        <v>812</v>
      </c>
      <c r="AA73" s="52">
        <v>0</v>
      </c>
      <c r="AB73" s="52">
        <v>0</v>
      </c>
      <c r="AC73" s="52">
        <v>0</v>
      </c>
      <c r="AD73" s="21">
        <v>1</v>
      </c>
      <c r="AE73" s="21">
        <v>1</v>
      </c>
    </row>
    <row r="74" spans="1:31" s="55" customFormat="1" ht="45" customHeight="1" x14ac:dyDescent="0.25">
      <c r="A74" s="86" t="s">
        <v>562</v>
      </c>
      <c r="B74" s="52" t="s">
        <v>712</v>
      </c>
      <c r="C74" s="52"/>
      <c r="D74" s="52" t="s">
        <v>806</v>
      </c>
      <c r="E74" s="52"/>
      <c r="F74" s="52" t="s">
        <v>564</v>
      </c>
      <c r="G74" s="52"/>
      <c r="H74" s="52" t="s">
        <v>572</v>
      </c>
      <c r="I74" s="52" t="s">
        <v>17</v>
      </c>
      <c r="J74" s="52" t="s">
        <v>234</v>
      </c>
      <c r="K74" s="22" t="str">
        <f>VLOOKUP(CONCATENATE(A74,LEFT(J74,4)),AGRUPAMENTO!$D$2:$E$6784,2,FALSE)</f>
        <v>Serviços de TIC</v>
      </c>
      <c r="L74" s="52" t="s">
        <v>45</v>
      </c>
      <c r="M74" s="52"/>
      <c r="N74" s="52">
        <v>10</v>
      </c>
      <c r="O74" s="86" t="s">
        <v>816</v>
      </c>
      <c r="P74" s="86" t="s">
        <v>59</v>
      </c>
      <c r="Q74" s="86" t="s">
        <v>808</v>
      </c>
      <c r="R74" s="86">
        <v>1</v>
      </c>
      <c r="S74" s="86" t="s">
        <v>809</v>
      </c>
      <c r="T74" s="86">
        <v>25836</v>
      </c>
      <c r="U74" s="86">
        <v>1</v>
      </c>
      <c r="V74" s="58">
        <f t="shared" si="1"/>
        <v>25836</v>
      </c>
      <c r="W74" s="86" t="s">
        <v>50</v>
      </c>
      <c r="X74" s="86" t="s">
        <v>817</v>
      </c>
      <c r="Y74" s="86" t="s">
        <v>818</v>
      </c>
      <c r="Z74" s="86" t="s">
        <v>819</v>
      </c>
      <c r="AA74" s="52">
        <v>0</v>
      </c>
      <c r="AB74" s="52">
        <v>0</v>
      </c>
      <c r="AC74" s="52">
        <v>0</v>
      </c>
      <c r="AD74" s="21">
        <v>1</v>
      </c>
      <c r="AE74" s="21">
        <v>1</v>
      </c>
    </row>
    <row r="75" spans="1:31" s="55" customFormat="1" ht="45" customHeight="1" x14ac:dyDescent="0.25">
      <c r="A75" s="86" t="s">
        <v>562</v>
      </c>
      <c r="B75" s="52" t="s">
        <v>712</v>
      </c>
      <c r="C75" s="52"/>
      <c r="D75" s="52" t="s">
        <v>806</v>
      </c>
      <c r="E75" s="52"/>
      <c r="F75" s="52" t="s">
        <v>564</v>
      </c>
      <c r="G75" s="52"/>
      <c r="H75" s="52" t="s">
        <v>572</v>
      </c>
      <c r="I75" s="52" t="s">
        <v>17</v>
      </c>
      <c r="J75" s="52" t="s">
        <v>234</v>
      </c>
      <c r="K75" s="22" t="str">
        <f>VLOOKUP(CONCATENATE(A75,LEFT(J75,4)),AGRUPAMENTO!$D$2:$E$6784,2,FALSE)</f>
        <v>Serviços de TIC</v>
      </c>
      <c r="L75" s="52" t="s">
        <v>45</v>
      </c>
      <c r="M75" s="52"/>
      <c r="N75" s="52">
        <v>10</v>
      </c>
      <c r="O75" s="86" t="s">
        <v>820</v>
      </c>
      <c r="P75" s="86" t="s">
        <v>59</v>
      </c>
      <c r="Q75" s="86" t="s">
        <v>808</v>
      </c>
      <c r="R75" s="86">
        <v>1</v>
      </c>
      <c r="S75" s="86" t="s">
        <v>106</v>
      </c>
      <c r="T75" s="86">
        <v>400141.84</v>
      </c>
      <c r="U75" s="86">
        <v>12</v>
      </c>
      <c r="V75" s="58">
        <f t="shared" si="1"/>
        <v>4801702.08</v>
      </c>
      <c r="W75" s="86" t="s">
        <v>50</v>
      </c>
      <c r="X75" s="86" t="s">
        <v>821</v>
      </c>
      <c r="Y75" s="86" t="s">
        <v>822</v>
      </c>
      <c r="Z75" s="86" t="s">
        <v>823</v>
      </c>
      <c r="AA75" s="52">
        <v>0</v>
      </c>
      <c r="AB75" s="52">
        <v>0</v>
      </c>
      <c r="AC75" s="52">
        <v>0</v>
      </c>
      <c r="AD75" s="21">
        <v>1</v>
      </c>
      <c r="AE75" s="21">
        <v>1</v>
      </c>
    </row>
    <row r="76" spans="1:31" s="55" customFormat="1" ht="45" customHeight="1" x14ac:dyDescent="0.25">
      <c r="A76" s="86" t="s">
        <v>562</v>
      </c>
      <c r="B76" s="52" t="s">
        <v>712</v>
      </c>
      <c r="C76" s="52"/>
      <c r="D76" s="52" t="s">
        <v>806</v>
      </c>
      <c r="E76" s="52"/>
      <c r="F76" s="52" t="s">
        <v>564</v>
      </c>
      <c r="G76" s="52"/>
      <c r="H76" s="52" t="s">
        <v>572</v>
      </c>
      <c r="I76" s="52" t="s">
        <v>17</v>
      </c>
      <c r="J76" s="52" t="s">
        <v>234</v>
      </c>
      <c r="K76" s="22" t="str">
        <f>VLOOKUP(CONCATENATE(A76,LEFT(J76,4)),AGRUPAMENTO!$D$2:$E$6784,2,FALSE)</f>
        <v>Serviços de TIC</v>
      </c>
      <c r="L76" s="52" t="s">
        <v>45</v>
      </c>
      <c r="M76" s="52"/>
      <c r="N76" s="52">
        <v>10</v>
      </c>
      <c r="O76" s="86" t="s">
        <v>824</v>
      </c>
      <c r="P76" s="86" t="s">
        <v>59</v>
      </c>
      <c r="Q76" s="86" t="s">
        <v>808</v>
      </c>
      <c r="R76" s="86">
        <v>1</v>
      </c>
      <c r="S76" s="86" t="s">
        <v>809</v>
      </c>
      <c r="T76" s="86">
        <v>2000</v>
      </c>
      <c r="U76" s="86">
        <v>1</v>
      </c>
      <c r="V76" s="58">
        <f t="shared" si="1"/>
        <v>2000</v>
      </c>
      <c r="W76" s="86" t="s">
        <v>50</v>
      </c>
      <c r="X76" s="86" t="s">
        <v>825</v>
      </c>
      <c r="Y76" s="86" t="s">
        <v>826</v>
      </c>
      <c r="Z76" s="86" t="s">
        <v>827</v>
      </c>
      <c r="AA76" s="52">
        <v>0</v>
      </c>
      <c r="AB76" s="52">
        <v>0</v>
      </c>
      <c r="AC76" s="52">
        <v>0</v>
      </c>
      <c r="AD76" s="21">
        <v>1</v>
      </c>
      <c r="AE76" s="21">
        <v>1</v>
      </c>
    </row>
    <row r="77" spans="1:31" s="55" customFormat="1" ht="45" customHeight="1" x14ac:dyDescent="0.25">
      <c r="A77" s="86" t="s">
        <v>562</v>
      </c>
      <c r="B77" s="52" t="s">
        <v>712</v>
      </c>
      <c r="C77" s="52"/>
      <c r="D77" s="52" t="s">
        <v>806</v>
      </c>
      <c r="E77" s="52"/>
      <c r="F77" s="52" t="s">
        <v>564</v>
      </c>
      <c r="G77" s="52"/>
      <c r="H77" s="52" t="s">
        <v>572</v>
      </c>
      <c r="I77" s="52" t="s">
        <v>17</v>
      </c>
      <c r="J77" s="52" t="s">
        <v>234</v>
      </c>
      <c r="K77" s="22" t="str">
        <f>VLOOKUP(CONCATENATE(A77,LEFT(J77,4)),AGRUPAMENTO!$D$2:$E$6784,2,FALSE)</f>
        <v>Serviços de TIC</v>
      </c>
      <c r="L77" s="52" t="s">
        <v>45</v>
      </c>
      <c r="M77" s="52"/>
      <c r="N77" s="52">
        <v>10</v>
      </c>
      <c r="O77" s="86" t="s">
        <v>828</v>
      </c>
      <c r="P77" s="86" t="s">
        <v>47</v>
      </c>
      <c r="Q77" s="86" t="s">
        <v>723</v>
      </c>
      <c r="R77" s="86">
        <v>1</v>
      </c>
      <c r="S77" s="86" t="s">
        <v>809</v>
      </c>
      <c r="T77" s="86">
        <v>30000</v>
      </c>
      <c r="U77" s="86">
        <v>1</v>
      </c>
      <c r="V77" s="58">
        <f t="shared" si="1"/>
        <v>30000</v>
      </c>
      <c r="W77" s="86" t="s">
        <v>50</v>
      </c>
      <c r="X77" s="86" t="s">
        <v>829</v>
      </c>
      <c r="Y77" s="86" t="s">
        <v>830</v>
      </c>
      <c r="Z77" s="86" t="s">
        <v>831</v>
      </c>
      <c r="AA77" s="52">
        <v>0</v>
      </c>
      <c r="AB77" s="52">
        <v>0</v>
      </c>
      <c r="AC77" s="52">
        <v>0</v>
      </c>
      <c r="AD77" s="21">
        <v>1</v>
      </c>
      <c r="AE77" s="21">
        <v>1</v>
      </c>
    </row>
    <row r="78" spans="1:31" s="55" customFormat="1" ht="45" customHeight="1" x14ac:dyDescent="0.25">
      <c r="A78" s="86" t="s">
        <v>562</v>
      </c>
      <c r="B78" s="52" t="s">
        <v>712</v>
      </c>
      <c r="C78" s="52"/>
      <c r="D78" s="52" t="s">
        <v>806</v>
      </c>
      <c r="E78" s="52"/>
      <c r="F78" s="52" t="s">
        <v>564</v>
      </c>
      <c r="G78" s="52"/>
      <c r="H78" s="52" t="s">
        <v>572</v>
      </c>
      <c r="I78" s="52" t="s">
        <v>17</v>
      </c>
      <c r="J78" s="52" t="s">
        <v>234</v>
      </c>
      <c r="K78" s="22" t="str">
        <f>VLOOKUP(CONCATENATE(A78,LEFT(J78,4)),AGRUPAMENTO!$D$2:$E$6784,2,FALSE)</f>
        <v>Serviços de TIC</v>
      </c>
      <c r="L78" s="52" t="s">
        <v>45</v>
      </c>
      <c r="M78" s="52"/>
      <c r="N78" s="52">
        <v>10</v>
      </c>
      <c r="O78" s="86" t="s">
        <v>832</v>
      </c>
      <c r="P78" s="86" t="s">
        <v>47</v>
      </c>
      <c r="Q78" s="86" t="s">
        <v>723</v>
      </c>
      <c r="R78" s="86">
        <v>1</v>
      </c>
      <c r="S78" s="86" t="s">
        <v>106</v>
      </c>
      <c r="T78" s="86">
        <v>231900</v>
      </c>
      <c r="U78" s="86">
        <v>12</v>
      </c>
      <c r="V78" s="58">
        <f t="shared" si="1"/>
        <v>2782800</v>
      </c>
      <c r="W78" s="86" t="s">
        <v>50</v>
      </c>
      <c r="X78" s="86" t="s">
        <v>832</v>
      </c>
      <c r="Y78" s="86" t="s">
        <v>833</v>
      </c>
      <c r="Z78" s="86" t="s">
        <v>834</v>
      </c>
      <c r="AA78" s="52">
        <v>0</v>
      </c>
      <c r="AB78" s="52">
        <v>0</v>
      </c>
      <c r="AC78" s="52">
        <v>0</v>
      </c>
      <c r="AD78" s="21">
        <v>1</v>
      </c>
      <c r="AE78" s="21">
        <v>1</v>
      </c>
    </row>
    <row r="79" spans="1:31" s="55" customFormat="1" ht="45" customHeight="1" x14ac:dyDescent="0.25">
      <c r="A79" s="86" t="s">
        <v>562</v>
      </c>
      <c r="B79" s="52" t="s">
        <v>712</v>
      </c>
      <c r="C79" s="52"/>
      <c r="D79" s="52" t="s">
        <v>806</v>
      </c>
      <c r="E79" s="52"/>
      <c r="F79" s="52" t="s">
        <v>564</v>
      </c>
      <c r="G79" s="52"/>
      <c r="H79" s="52" t="s">
        <v>572</v>
      </c>
      <c r="I79" s="52" t="s">
        <v>17</v>
      </c>
      <c r="J79" s="52" t="s">
        <v>234</v>
      </c>
      <c r="K79" s="22" t="str">
        <f>VLOOKUP(CONCATENATE(A79,LEFT(J79,4)),AGRUPAMENTO!$D$2:$E$6784,2,FALSE)</f>
        <v>Serviços de TIC</v>
      </c>
      <c r="L79" s="52" t="s">
        <v>45</v>
      </c>
      <c r="M79" s="52"/>
      <c r="N79" s="52">
        <v>10</v>
      </c>
      <c r="O79" s="86" t="s">
        <v>835</v>
      </c>
      <c r="P79" s="86" t="s">
        <v>47</v>
      </c>
      <c r="Q79" s="86" t="s">
        <v>723</v>
      </c>
      <c r="R79" s="86">
        <v>1</v>
      </c>
      <c r="S79" s="86" t="s">
        <v>106</v>
      </c>
      <c r="T79" s="86">
        <v>150447.32999999999</v>
      </c>
      <c r="U79" s="86">
        <v>12</v>
      </c>
      <c r="V79" s="58">
        <f t="shared" si="1"/>
        <v>1805367.96</v>
      </c>
      <c r="W79" s="86" t="s">
        <v>50</v>
      </c>
      <c r="X79" s="86" t="s">
        <v>836</v>
      </c>
      <c r="Y79" s="86" t="s">
        <v>837</v>
      </c>
      <c r="Z79" s="86" t="s">
        <v>838</v>
      </c>
      <c r="AA79" s="52">
        <v>0</v>
      </c>
      <c r="AB79" s="52">
        <v>0</v>
      </c>
      <c r="AC79" s="52">
        <v>0</v>
      </c>
      <c r="AD79" s="21">
        <v>1</v>
      </c>
      <c r="AE79" s="21">
        <v>1</v>
      </c>
    </row>
    <row r="80" spans="1:31" s="55" customFormat="1" ht="45" customHeight="1" x14ac:dyDescent="0.25">
      <c r="A80" s="86" t="s">
        <v>562</v>
      </c>
      <c r="B80" s="52" t="s">
        <v>712</v>
      </c>
      <c r="C80" s="52"/>
      <c r="D80" s="52" t="s">
        <v>806</v>
      </c>
      <c r="E80" s="52"/>
      <c r="F80" s="52" t="s">
        <v>564</v>
      </c>
      <c r="G80" s="52"/>
      <c r="H80" s="52" t="s">
        <v>572</v>
      </c>
      <c r="I80" s="52" t="s">
        <v>17</v>
      </c>
      <c r="J80" s="52" t="s">
        <v>813</v>
      </c>
      <c r="K80" s="22" t="str">
        <f>VLOOKUP(CONCATENATE(A80,LEFT(J80,4)),AGRUPAMENTO!$D$2:$E$6784,2,FALSE)</f>
        <v>Aquisições de itens de TIC</v>
      </c>
      <c r="L80" s="52" t="s">
        <v>95</v>
      </c>
      <c r="M80" s="52"/>
      <c r="N80" s="52">
        <v>10</v>
      </c>
      <c r="O80" s="86" t="s">
        <v>839</v>
      </c>
      <c r="P80" s="86" t="s">
        <v>47</v>
      </c>
      <c r="Q80" s="86" t="s">
        <v>723</v>
      </c>
      <c r="R80" s="86">
        <v>1</v>
      </c>
      <c r="S80" s="86" t="s">
        <v>106</v>
      </c>
      <c r="T80" s="86">
        <v>355000</v>
      </c>
      <c r="U80" s="86">
        <v>12</v>
      </c>
      <c r="V80" s="58">
        <f t="shared" si="1"/>
        <v>4260000</v>
      </c>
      <c r="W80" s="86" t="s">
        <v>50</v>
      </c>
      <c r="X80" s="86" t="s">
        <v>840</v>
      </c>
      <c r="Y80" s="86" t="s">
        <v>841</v>
      </c>
      <c r="Z80" s="86" t="s">
        <v>842</v>
      </c>
      <c r="AA80" s="52">
        <v>0</v>
      </c>
      <c r="AB80" s="52">
        <v>0</v>
      </c>
      <c r="AC80" s="52">
        <v>0</v>
      </c>
      <c r="AD80" s="21">
        <v>1</v>
      </c>
      <c r="AE80" s="21">
        <v>1</v>
      </c>
    </row>
    <row r="81" spans="1:31" s="55" customFormat="1" ht="45" customHeight="1" x14ac:dyDescent="0.25">
      <c r="A81" s="86" t="s">
        <v>562</v>
      </c>
      <c r="B81" s="52" t="s">
        <v>712</v>
      </c>
      <c r="C81" s="52"/>
      <c r="D81" s="52" t="s">
        <v>806</v>
      </c>
      <c r="E81" s="52"/>
      <c r="F81" s="52" t="s">
        <v>564</v>
      </c>
      <c r="G81" s="52"/>
      <c r="H81" s="52" t="s">
        <v>572</v>
      </c>
      <c r="I81" s="52" t="s">
        <v>17</v>
      </c>
      <c r="J81" s="52" t="s">
        <v>263</v>
      </c>
      <c r="K81" s="22" t="str">
        <f>VLOOKUP(CONCATENATE(A81,LEFT(J81,4)),AGRUPAMENTO!$D$2:$E$6784,2,FALSE)</f>
        <v>PRODEMGE</v>
      </c>
      <c r="L81" s="52" t="s">
        <v>45</v>
      </c>
      <c r="M81" s="52"/>
      <c r="N81" s="52">
        <v>10</v>
      </c>
      <c r="O81" s="86" t="s">
        <v>843</v>
      </c>
      <c r="P81" s="86" t="s">
        <v>47</v>
      </c>
      <c r="Q81" s="86" t="s">
        <v>723</v>
      </c>
      <c r="R81" s="86">
        <v>1</v>
      </c>
      <c r="S81" s="86" t="s">
        <v>106</v>
      </c>
      <c r="T81" s="86">
        <v>15020.75</v>
      </c>
      <c r="U81" s="86">
        <v>12</v>
      </c>
      <c r="V81" s="58">
        <f t="shared" si="1"/>
        <v>180249</v>
      </c>
      <c r="W81" s="86" t="s">
        <v>50</v>
      </c>
      <c r="X81" s="86" t="s">
        <v>844</v>
      </c>
      <c r="Y81" s="86" t="s">
        <v>845</v>
      </c>
      <c r="Z81" s="86" t="s">
        <v>846</v>
      </c>
      <c r="AA81" s="52">
        <v>0</v>
      </c>
      <c r="AB81" s="52">
        <v>0</v>
      </c>
      <c r="AC81" s="52">
        <v>0</v>
      </c>
      <c r="AD81" s="21">
        <v>1</v>
      </c>
      <c r="AE81" s="21">
        <v>1</v>
      </c>
    </row>
    <row r="82" spans="1:31" s="55" customFormat="1" ht="45" customHeight="1" x14ac:dyDescent="0.25">
      <c r="A82" s="86" t="s">
        <v>562</v>
      </c>
      <c r="B82" s="52" t="s">
        <v>712</v>
      </c>
      <c r="C82" s="52"/>
      <c r="D82" s="52" t="s">
        <v>806</v>
      </c>
      <c r="E82" s="52"/>
      <c r="F82" s="52" t="s">
        <v>564</v>
      </c>
      <c r="G82" s="52"/>
      <c r="H82" s="52" t="s">
        <v>572</v>
      </c>
      <c r="I82" s="52" t="s">
        <v>17</v>
      </c>
      <c r="J82" s="52" t="s">
        <v>263</v>
      </c>
      <c r="K82" s="22" t="str">
        <f>VLOOKUP(CONCATENATE(A82,LEFT(J82,4)),AGRUPAMENTO!$D$2:$E$6784,2,FALSE)</f>
        <v>PRODEMGE</v>
      </c>
      <c r="L82" s="52" t="s">
        <v>45</v>
      </c>
      <c r="M82" s="52"/>
      <c r="N82" s="52">
        <v>10</v>
      </c>
      <c r="O82" s="86" t="s">
        <v>847</v>
      </c>
      <c r="P82" s="86" t="s">
        <v>47</v>
      </c>
      <c r="Q82" s="86" t="s">
        <v>723</v>
      </c>
      <c r="R82" s="86">
        <v>1</v>
      </c>
      <c r="S82" s="86" t="s">
        <v>106</v>
      </c>
      <c r="T82" s="86">
        <v>33889.379999999997</v>
      </c>
      <c r="U82" s="86">
        <v>12</v>
      </c>
      <c r="V82" s="58">
        <f t="shared" si="1"/>
        <v>406672.55999999994</v>
      </c>
      <c r="W82" s="86" t="s">
        <v>50</v>
      </c>
      <c r="X82" s="86" t="s">
        <v>848</v>
      </c>
      <c r="Y82" s="86" t="s">
        <v>849</v>
      </c>
      <c r="Z82" s="86" t="s">
        <v>850</v>
      </c>
      <c r="AA82" s="52">
        <v>0</v>
      </c>
      <c r="AB82" s="52">
        <v>0</v>
      </c>
      <c r="AC82" s="52">
        <v>0</v>
      </c>
      <c r="AD82" s="21">
        <v>1</v>
      </c>
      <c r="AE82" s="21">
        <v>1</v>
      </c>
    </row>
    <row r="83" spans="1:31" s="55" customFormat="1" ht="45" customHeight="1" x14ac:dyDescent="0.25">
      <c r="A83" s="86" t="s">
        <v>562</v>
      </c>
      <c r="B83" s="52" t="s">
        <v>712</v>
      </c>
      <c r="C83" s="52"/>
      <c r="D83" s="52" t="s">
        <v>806</v>
      </c>
      <c r="E83" s="52"/>
      <c r="F83" s="52" t="s">
        <v>564</v>
      </c>
      <c r="G83" s="52"/>
      <c r="H83" s="52" t="s">
        <v>572</v>
      </c>
      <c r="I83" s="52" t="s">
        <v>17</v>
      </c>
      <c r="J83" s="52" t="s">
        <v>263</v>
      </c>
      <c r="K83" s="22" t="str">
        <f>VLOOKUP(CONCATENATE(A83,LEFT(J83,4)),AGRUPAMENTO!$D$2:$E$6784,2,FALSE)</f>
        <v>PRODEMGE</v>
      </c>
      <c r="L83" s="52" t="s">
        <v>45</v>
      </c>
      <c r="M83" s="52"/>
      <c r="N83" s="52">
        <v>10</v>
      </c>
      <c r="O83" s="86" t="s">
        <v>851</v>
      </c>
      <c r="P83" s="86" t="s">
        <v>47</v>
      </c>
      <c r="Q83" s="86" t="s">
        <v>723</v>
      </c>
      <c r="R83" s="86">
        <v>1</v>
      </c>
      <c r="S83" s="86" t="s">
        <v>106</v>
      </c>
      <c r="T83" s="86">
        <v>13341.5</v>
      </c>
      <c r="U83" s="86">
        <v>12</v>
      </c>
      <c r="V83" s="58">
        <f t="shared" si="1"/>
        <v>160098</v>
      </c>
      <c r="W83" s="86" t="s">
        <v>50</v>
      </c>
      <c r="X83" s="86" t="s">
        <v>852</v>
      </c>
      <c r="Y83" s="86" t="s">
        <v>853</v>
      </c>
      <c r="Z83" s="86" t="s">
        <v>854</v>
      </c>
      <c r="AA83" s="52">
        <v>0</v>
      </c>
      <c r="AB83" s="52">
        <v>0</v>
      </c>
      <c r="AC83" s="52">
        <v>0</v>
      </c>
      <c r="AD83" s="21">
        <v>1</v>
      </c>
      <c r="AE83" s="21">
        <v>1</v>
      </c>
    </row>
    <row r="84" spans="1:31" s="55" customFormat="1" ht="45" customHeight="1" x14ac:dyDescent="0.25">
      <c r="A84" s="86" t="s">
        <v>562</v>
      </c>
      <c r="B84" s="52" t="s">
        <v>712</v>
      </c>
      <c r="C84" s="52"/>
      <c r="D84" s="52" t="s">
        <v>806</v>
      </c>
      <c r="E84" s="52"/>
      <c r="F84" s="52" t="s">
        <v>564</v>
      </c>
      <c r="G84" s="52"/>
      <c r="H84" s="52" t="s">
        <v>572</v>
      </c>
      <c r="I84" s="52" t="s">
        <v>17</v>
      </c>
      <c r="J84" s="52" t="s">
        <v>263</v>
      </c>
      <c r="K84" s="22" t="str">
        <f>VLOOKUP(CONCATENATE(A84,LEFT(J84,4)),AGRUPAMENTO!$D$2:$E$6784,2,FALSE)</f>
        <v>PRODEMGE</v>
      </c>
      <c r="L84" s="52" t="s">
        <v>45</v>
      </c>
      <c r="M84" s="52"/>
      <c r="N84" s="52">
        <v>10</v>
      </c>
      <c r="O84" s="86" t="s">
        <v>855</v>
      </c>
      <c r="P84" s="86" t="s">
        <v>47</v>
      </c>
      <c r="Q84" s="86" t="s">
        <v>723</v>
      </c>
      <c r="R84" s="86">
        <v>1</v>
      </c>
      <c r="S84" s="86" t="s">
        <v>106</v>
      </c>
      <c r="T84" s="86">
        <v>673600.94</v>
      </c>
      <c r="U84" s="86">
        <v>12</v>
      </c>
      <c r="V84" s="58">
        <f t="shared" si="1"/>
        <v>8083211.2799999993</v>
      </c>
      <c r="W84" s="86" t="s">
        <v>50</v>
      </c>
      <c r="X84" s="86" t="s">
        <v>856</v>
      </c>
      <c r="Y84" s="86" t="s">
        <v>849</v>
      </c>
      <c r="Z84" s="86" t="s">
        <v>857</v>
      </c>
      <c r="AA84" s="52">
        <v>0</v>
      </c>
      <c r="AB84" s="52">
        <v>0</v>
      </c>
      <c r="AC84" s="52">
        <v>0</v>
      </c>
      <c r="AD84" s="21">
        <v>1</v>
      </c>
      <c r="AE84" s="21">
        <v>1</v>
      </c>
    </row>
    <row r="85" spans="1:31" s="55" customFormat="1" ht="45" customHeight="1" x14ac:dyDescent="0.25">
      <c r="A85" s="86" t="s">
        <v>562</v>
      </c>
      <c r="B85" s="52" t="s">
        <v>712</v>
      </c>
      <c r="C85" s="52"/>
      <c r="D85" s="52" t="s">
        <v>806</v>
      </c>
      <c r="E85" s="52"/>
      <c r="F85" s="52" t="s">
        <v>564</v>
      </c>
      <c r="G85" s="52"/>
      <c r="H85" s="52" t="s">
        <v>572</v>
      </c>
      <c r="I85" s="52" t="s">
        <v>17</v>
      </c>
      <c r="J85" s="52" t="s">
        <v>263</v>
      </c>
      <c r="K85" s="22" t="str">
        <f>VLOOKUP(CONCATENATE(A85,LEFT(J85,4)),AGRUPAMENTO!$D$2:$E$6784,2,FALSE)</f>
        <v>PRODEMGE</v>
      </c>
      <c r="L85" s="52" t="s">
        <v>45</v>
      </c>
      <c r="M85" s="52"/>
      <c r="N85" s="52">
        <v>10</v>
      </c>
      <c r="O85" s="86" t="s">
        <v>858</v>
      </c>
      <c r="P85" s="86" t="s">
        <v>47</v>
      </c>
      <c r="Q85" s="86" t="s">
        <v>723</v>
      </c>
      <c r="R85" s="86">
        <v>1</v>
      </c>
      <c r="S85" s="86" t="s">
        <v>106</v>
      </c>
      <c r="T85" s="86">
        <v>91057.22</v>
      </c>
      <c r="U85" s="86">
        <v>12</v>
      </c>
      <c r="V85" s="58">
        <f t="shared" si="1"/>
        <v>1092686.6400000001</v>
      </c>
      <c r="W85" s="86" t="s">
        <v>50</v>
      </c>
      <c r="X85" s="86" t="s">
        <v>859</v>
      </c>
      <c r="Y85" s="86" t="s">
        <v>860</v>
      </c>
      <c r="Z85" s="86" t="s">
        <v>861</v>
      </c>
      <c r="AA85" s="52">
        <v>0</v>
      </c>
      <c r="AB85" s="52">
        <v>0</v>
      </c>
      <c r="AC85" s="52">
        <v>0</v>
      </c>
      <c r="AD85" s="21">
        <v>1</v>
      </c>
      <c r="AE85" s="21">
        <v>1</v>
      </c>
    </row>
    <row r="86" spans="1:31" s="55" customFormat="1" ht="45" customHeight="1" x14ac:dyDescent="0.25">
      <c r="A86" s="86" t="s">
        <v>562</v>
      </c>
      <c r="B86" s="52" t="s">
        <v>712</v>
      </c>
      <c r="C86" s="52"/>
      <c r="D86" s="52" t="s">
        <v>806</v>
      </c>
      <c r="E86" s="52"/>
      <c r="F86" s="52" t="s">
        <v>564</v>
      </c>
      <c r="G86" s="52"/>
      <c r="H86" s="52" t="s">
        <v>572</v>
      </c>
      <c r="I86" s="52" t="s">
        <v>17</v>
      </c>
      <c r="J86" s="52" t="s">
        <v>93</v>
      </c>
      <c r="K86" s="22" t="str">
        <f>VLOOKUP(CONCATENATE(A86,LEFT(J86,4)),AGRUPAMENTO!$D$2:$E$6784,2,FALSE)</f>
        <v>PRODEMGE</v>
      </c>
      <c r="L86" s="52" t="s">
        <v>95</v>
      </c>
      <c r="M86" s="52"/>
      <c r="N86" s="52">
        <v>10</v>
      </c>
      <c r="O86" s="86" t="s">
        <v>862</v>
      </c>
      <c r="P86" s="86" t="s">
        <v>47</v>
      </c>
      <c r="Q86" s="86" t="s">
        <v>723</v>
      </c>
      <c r="R86" s="86">
        <v>1</v>
      </c>
      <c r="S86" s="86" t="s">
        <v>106</v>
      </c>
      <c r="T86" s="86">
        <v>2500000</v>
      </c>
      <c r="U86" s="86">
        <v>12</v>
      </c>
      <c r="V86" s="58">
        <f t="shared" si="1"/>
        <v>30000000</v>
      </c>
      <c r="W86" s="86" t="s">
        <v>50</v>
      </c>
      <c r="X86" s="86" t="s">
        <v>815</v>
      </c>
      <c r="Y86" s="86" t="s">
        <v>863</v>
      </c>
      <c r="Z86" s="86" t="s">
        <v>864</v>
      </c>
      <c r="AA86" s="52">
        <v>0</v>
      </c>
      <c r="AB86" s="52">
        <v>0</v>
      </c>
      <c r="AC86" s="52">
        <v>0</v>
      </c>
      <c r="AD86" s="21">
        <v>1</v>
      </c>
      <c r="AE86" s="21">
        <v>1</v>
      </c>
    </row>
    <row r="87" spans="1:31" s="55" customFormat="1" ht="45" customHeight="1" x14ac:dyDescent="0.25">
      <c r="A87" s="86" t="s">
        <v>562</v>
      </c>
      <c r="B87" s="52" t="s">
        <v>865</v>
      </c>
      <c r="C87" s="52"/>
      <c r="D87" s="52" t="s">
        <v>866</v>
      </c>
      <c r="E87" s="52"/>
      <c r="F87" s="52" t="s">
        <v>564</v>
      </c>
      <c r="G87" s="52"/>
      <c r="H87" s="52" t="s">
        <v>572</v>
      </c>
      <c r="I87" s="52" t="s">
        <v>17</v>
      </c>
      <c r="J87" s="52" t="s">
        <v>573</v>
      </c>
      <c r="K87" s="22" t="str">
        <f>VLOOKUP(CONCATENATE(A87,LEFT(J87,4)),AGRUPAMENTO!$D$2:$E$6784,2,FALSE)</f>
        <v>Diárias e viagens</v>
      </c>
      <c r="L87" s="52" t="s">
        <v>45</v>
      </c>
      <c r="M87" s="52"/>
      <c r="N87" s="52">
        <v>10</v>
      </c>
      <c r="O87" s="86" t="s">
        <v>867</v>
      </c>
      <c r="P87" s="86" t="s">
        <v>47</v>
      </c>
      <c r="Q87" s="86" t="s">
        <v>575</v>
      </c>
      <c r="R87" s="86">
        <v>400</v>
      </c>
      <c r="S87" s="86" t="s">
        <v>576</v>
      </c>
      <c r="T87" s="86">
        <v>1104.5</v>
      </c>
      <c r="U87" s="86">
        <v>1</v>
      </c>
      <c r="V87" s="58">
        <f t="shared" si="1"/>
        <v>441800</v>
      </c>
      <c r="W87" s="86" t="s">
        <v>50</v>
      </c>
      <c r="X87" s="86" t="s">
        <v>868</v>
      </c>
      <c r="Y87" s="86" t="s">
        <v>869</v>
      </c>
      <c r="Z87" s="86" t="s">
        <v>870</v>
      </c>
      <c r="AA87" s="52">
        <v>0</v>
      </c>
      <c r="AB87" s="52">
        <v>0</v>
      </c>
      <c r="AC87" s="52">
        <v>0</v>
      </c>
      <c r="AD87" s="21">
        <v>1</v>
      </c>
      <c r="AE87" s="21">
        <v>1</v>
      </c>
    </row>
    <row r="88" spans="1:31" s="55" customFormat="1" ht="45" customHeight="1" x14ac:dyDescent="0.25">
      <c r="A88" s="86" t="s">
        <v>562</v>
      </c>
      <c r="B88" s="52" t="s">
        <v>865</v>
      </c>
      <c r="C88" s="52"/>
      <c r="D88" s="52" t="s">
        <v>866</v>
      </c>
      <c r="E88" s="52"/>
      <c r="F88" s="52" t="s">
        <v>564</v>
      </c>
      <c r="G88" s="52"/>
      <c r="H88" s="52" t="s">
        <v>572</v>
      </c>
      <c r="I88" s="52" t="s">
        <v>17</v>
      </c>
      <c r="J88" s="52" t="s">
        <v>451</v>
      </c>
      <c r="K88" s="22" t="str">
        <f>VLOOKUP(CONCATENATE(A88,LEFT(J88,4)),AGRUPAMENTO!$D$2:$E$6784,2,FALSE)</f>
        <v>Frota</v>
      </c>
      <c r="L88" s="52" t="s">
        <v>45</v>
      </c>
      <c r="M88" s="52"/>
      <c r="N88" s="52">
        <v>10</v>
      </c>
      <c r="O88" s="86" t="s">
        <v>871</v>
      </c>
      <c r="P88" s="86" t="s">
        <v>47</v>
      </c>
      <c r="Q88" s="86" t="s">
        <v>872</v>
      </c>
      <c r="R88" s="86">
        <v>47</v>
      </c>
      <c r="S88" s="86" t="s">
        <v>873</v>
      </c>
      <c r="T88" s="86">
        <v>1000</v>
      </c>
      <c r="U88" s="86">
        <v>4</v>
      </c>
      <c r="V88" s="58">
        <f t="shared" si="1"/>
        <v>188000</v>
      </c>
      <c r="W88" s="86" t="s">
        <v>50</v>
      </c>
      <c r="X88" s="86" t="s">
        <v>874</v>
      </c>
      <c r="Y88" s="86" t="s">
        <v>875</v>
      </c>
      <c r="Z88" s="86" t="s">
        <v>876</v>
      </c>
      <c r="AA88" s="52">
        <v>0</v>
      </c>
      <c r="AB88" s="52">
        <v>0</v>
      </c>
      <c r="AC88" s="52">
        <v>0</v>
      </c>
      <c r="AD88" s="21">
        <v>1</v>
      </c>
      <c r="AE88" s="21">
        <v>1</v>
      </c>
    </row>
    <row r="89" spans="1:31" s="55" customFormat="1" ht="45" customHeight="1" x14ac:dyDescent="0.25">
      <c r="A89" s="86" t="s">
        <v>562</v>
      </c>
      <c r="B89" s="52" t="s">
        <v>865</v>
      </c>
      <c r="C89" s="52"/>
      <c r="D89" s="52" t="s">
        <v>866</v>
      </c>
      <c r="E89" s="52"/>
      <c r="F89" s="52" t="s">
        <v>564</v>
      </c>
      <c r="G89" s="52"/>
      <c r="H89" s="52" t="s">
        <v>572</v>
      </c>
      <c r="I89" s="52" t="s">
        <v>17</v>
      </c>
      <c r="J89" s="52" t="s">
        <v>587</v>
      </c>
      <c r="K89" s="22" t="str">
        <f>VLOOKUP(CONCATENATE(A89,LEFT(J89,4)),AGRUPAMENTO!$D$2:$E$6784,2,FALSE)</f>
        <v>Diárias e viagens</v>
      </c>
      <c r="L89" s="52" t="s">
        <v>45</v>
      </c>
      <c r="M89" s="52"/>
      <c r="N89" s="52">
        <v>10</v>
      </c>
      <c r="O89" s="86" t="s">
        <v>761</v>
      </c>
      <c r="P89" s="86" t="s">
        <v>47</v>
      </c>
      <c r="Q89" s="86" t="s">
        <v>575</v>
      </c>
      <c r="R89" s="86">
        <v>400</v>
      </c>
      <c r="S89" s="86" t="s">
        <v>762</v>
      </c>
      <c r="T89" s="86">
        <v>150</v>
      </c>
      <c r="U89" s="86">
        <v>1</v>
      </c>
      <c r="V89" s="58">
        <f t="shared" si="1"/>
        <v>60000</v>
      </c>
      <c r="W89" s="86" t="s">
        <v>50</v>
      </c>
      <c r="X89" s="86" t="s">
        <v>877</v>
      </c>
      <c r="Y89" s="86" t="s">
        <v>875</v>
      </c>
      <c r="Z89" s="86" t="s">
        <v>876</v>
      </c>
      <c r="AA89" s="52">
        <v>0</v>
      </c>
      <c r="AB89" s="52">
        <v>0</v>
      </c>
      <c r="AC89" s="52">
        <v>0</v>
      </c>
      <c r="AD89" s="21">
        <v>1</v>
      </c>
      <c r="AE89" s="21">
        <v>1</v>
      </c>
    </row>
    <row r="90" spans="1:31" s="55" customFormat="1" ht="45" customHeight="1" x14ac:dyDescent="0.25">
      <c r="A90" s="86" t="s">
        <v>562</v>
      </c>
      <c r="B90" s="52" t="s">
        <v>865</v>
      </c>
      <c r="C90" s="52"/>
      <c r="D90" s="52" t="s">
        <v>866</v>
      </c>
      <c r="E90" s="52"/>
      <c r="F90" s="52" t="s">
        <v>564</v>
      </c>
      <c r="G90" s="52"/>
      <c r="H90" s="52" t="s">
        <v>572</v>
      </c>
      <c r="I90" s="52" t="s">
        <v>17</v>
      </c>
      <c r="J90" s="52" t="s">
        <v>395</v>
      </c>
      <c r="K90" s="22" t="str">
        <f>VLOOKUP(CONCATENATE(A90,LEFT(J90,4)),AGRUPAMENTO!$D$2:$E$6784,2,FALSE)</f>
        <v>Frota</v>
      </c>
      <c r="L90" s="52" t="s">
        <v>45</v>
      </c>
      <c r="M90" s="52"/>
      <c r="N90" s="52">
        <v>10</v>
      </c>
      <c r="O90" s="86" t="s">
        <v>871</v>
      </c>
      <c r="P90" s="86" t="s">
        <v>47</v>
      </c>
      <c r="Q90" s="86" t="s">
        <v>878</v>
      </c>
      <c r="R90" s="86">
        <v>94</v>
      </c>
      <c r="S90" s="86" t="s">
        <v>873</v>
      </c>
      <c r="T90" s="86">
        <v>500</v>
      </c>
      <c r="U90" s="86">
        <v>1</v>
      </c>
      <c r="V90" s="58">
        <f t="shared" si="1"/>
        <v>47000</v>
      </c>
      <c r="W90" s="86" t="s">
        <v>50</v>
      </c>
      <c r="X90" s="86" t="s">
        <v>874</v>
      </c>
      <c r="Y90" s="86" t="s">
        <v>875</v>
      </c>
      <c r="Z90" s="86" t="s">
        <v>876</v>
      </c>
      <c r="AA90" s="52">
        <v>0</v>
      </c>
      <c r="AB90" s="52">
        <v>0</v>
      </c>
      <c r="AC90" s="52">
        <v>0</v>
      </c>
      <c r="AD90" s="21">
        <v>1</v>
      </c>
      <c r="AE90" s="21">
        <v>1</v>
      </c>
    </row>
    <row r="91" spans="1:31" s="55" customFormat="1" ht="45" customHeight="1" x14ac:dyDescent="0.25">
      <c r="A91" s="86" t="s">
        <v>562</v>
      </c>
      <c r="B91" s="52" t="s">
        <v>865</v>
      </c>
      <c r="C91" s="52"/>
      <c r="D91" s="52" t="s">
        <v>866</v>
      </c>
      <c r="E91" s="52"/>
      <c r="F91" s="52" t="s">
        <v>564</v>
      </c>
      <c r="G91" s="52"/>
      <c r="H91" s="52" t="s">
        <v>572</v>
      </c>
      <c r="I91" s="52" t="s">
        <v>17</v>
      </c>
      <c r="J91" s="52" t="s">
        <v>433</v>
      </c>
      <c r="K91" s="22" t="str">
        <f>VLOOKUP(CONCATENATE(A91,LEFT(J91,4)),AGRUPAMENTO!$D$2:$E$6784,2,FALSE)</f>
        <v>Cursos de formação e capacitações</v>
      </c>
      <c r="L91" s="52" t="s">
        <v>45</v>
      </c>
      <c r="M91" s="52"/>
      <c r="N91" s="52">
        <v>10</v>
      </c>
      <c r="O91" s="86" t="s">
        <v>879</v>
      </c>
      <c r="P91" s="86" t="s">
        <v>47</v>
      </c>
      <c r="Q91" s="86" t="s">
        <v>880</v>
      </c>
      <c r="R91" s="86">
        <v>20</v>
      </c>
      <c r="S91" s="86" t="s">
        <v>881</v>
      </c>
      <c r="T91" s="86">
        <v>2500</v>
      </c>
      <c r="U91" s="86">
        <v>1</v>
      </c>
      <c r="V91" s="58">
        <f t="shared" si="1"/>
        <v>50000</v>
      </c>
      <c r="W91" s="86" t="s">
        <v>50</v>
      </c>
      <c r="X91" s="86" t="s">
        <v>882</v>
      </c>
      <c r="Y91" s="86" t="s">
        <v>883</v>
      </c>
      <c r="Z91" s="86" t="s">
        <v>884</v>
      </c>
      <c r="AA91" s="52">
        <v>0</v>
      </c>
      <c r="AB91" s="52">
        <v>0</v>
      </c>
      <c r="AC91" s="52">
        <v>0</v>
      </c>
      <c r="AD91" s="21">
        <v>1</v>
      </c>
      <c r="AE91" s="21">
        <v>1</v>
      </c>
    </row>
    <row r="92" spans="1:31" s="55" customFormat="1" ht="45" customHeight="1" x14ac:dyDescent="0.25">
      <c r="A92" s="86" t="s">
        <v>562</v>
      </c>
      <c r="B92" s="52" t="s">
        <v>865</v>
      </c>
      <c r="C92" s="52"/>
      <c r="D92" s="52" t="s">
        <v>866</v>
      </c>
      <c r="E92" s="52"/>
      <c r="F92" s="52" t="s">
        <v>564</v>
      </c>
      <c r="G92" s="52"/>
      <c r="H92" s="52" t="s">
        <v>572</v>
      </c>
      <c r="I92" s="52" t="s">
        <v>17</v>
      </c>
      <c r="J92" s="52" t="s">
        <v>433</v>
      </c>
      <c r="K92" s="22" t="str">
        <f>VLOOKUP(CONCATENATE(A92,LEFT(J92,4)),AGRUPAMENTO!$D$2:$E$6784,2,FALSE)</f>
        <v>Cursos de formação e capacitações</v>
      </c>
      <c r="L92" s="52" t="s">
        <v>45</v>
      </c>
      <c r="M92" s="52"/>
      <c r="N92" s="52">
        <v>10</v>
      </c>
      <c r="O92" s="86" t="s">
        <v>885</v>
      </c>
      <c r="P92" s="86" t="s">
        <v>47</v>
      </c>
      <c r="Q92" s="86" t="s">
        <v>880</v>
      </c>
      <c r="R92" s="86">
        <v>20</v>
      </c>
      <c r="S92" s="86" t="s">
        <v>881</v>
      </c>
      <c r="T92" s="86">
        <v>6000</v>
      </c>
      <c r="U92" s="86">
        <v>1</v>
      </c>
      <c r="V92" s="58">
        <f t="shared" si="1"/>
        <v>120000</v>
      </c>
      <c r="W92" s="86" t="s">
        <v>50</v>
      </c>
      <c r="X92" s="86" t="s">
        <v>882</v>
      </c>
      <c r="Y92" s="86" t="s">
        <v>883</v>
      </c>
      <c r="Z92" s="86" t="s">
        <v>886</v>
      </c>
      <c r="AA92" s="52">
        <v>0</v>
      </c>
      <c r="AB92" s="52">
        <v>0</v>
      </c>
      <c r="AC92" s="52">
        <v>0</v>
      </c>
      <c r="AD92" s="21">
        <v>1</v>
      </c>
      <c r="AE92" s="21">
        <v>1</v>
      </c>
    </row>
    <row r="93" spans="1:31" s="55" customFormat="1" ht="45" customHeight="1" x14ac:dyDescent="0.25">
      <c r="A93" s="86" t="s">
        <v>562</v>
      </c>
      <c r="B93" s="52" t="s">
        <v>865</v>
      </c>
      <c r="C93" s="52"/>
      <c r="D93" s="52" t="s">
        <v>866</v>
      </c>
      <c r="E93" s="52"/>
      <c r="F93" s="52" t="s">
        <v>564</v>
      </c>
      <c r="G93" s="52"/>
      <c r="H93" s="52" t="s">
        <v>887</v>
      </c>
      <c r="I93" s="52" t="s">
        <v>17</v>
      </c>
      <c r="J93" s="52" t="s">
        <v>73</v>
      </c>
      <c r="K93" s="22" t="str">
        <f>VLOOKUP(CONCATENATE(A93,LEFT(J93,4)),AGRUPAMENTO!$D$2:$E$6784,2,FALSE)</f>
        <v>Material de consumo</v>
      </c>
      <c r="L93" s="52" t="s">
        <v>45</v>
      </c>
      <c r="M93" s="52"/>
      <c r="N93" s="52">
        <v>10</v>
      </c>
      <c r="O93" s="86" t="s">
        <v>888</v>
      </c>
      <c r="P93" s="86" t="s">
        <v>47</v>
      </c>
      <c r="Q93" s="86" t="s">
        <v>889</v>
      </c>
      <c r="R93" s="86">
        <v>1</v>
      </c>
      <c r="S93" s="86" t="s">
        <v>890</v>
      </c>
      <c r="T93" s="86">
        <v>400000</v>
      </c>
      <c r="U93" s="86">
        <v>1</v>
      </c>
      <c r="V93" s="58">
        <f t="shared" si="1"/>
        <v>400000</v>
      </c>
      <c r="W93" s="86" t="s">
        <v>50</v>
      </c>
      <c r="X93" s="86" t="s">
        <v>891</v>
      </c>
      <c r="Y93" s="86" t="s">
        <v>892</v>
      </c>
      <c r="Z93" s="86" t="s">
        <v>893</v>
      </c>
      <c r="AA93" s="52">
        <v>0</v>
      </c>
      <c r="AB93" s="52">
        <v>0</v>
      </c>
      <c r="AC93" s="52">
        <v>0</v>
      </c>
      <c r="AD93" s="21">
        <v>1</v>
      </c>
      <c r="AE93" s="21">
        <v>1</v>
      </c>
    </row>
    <row r="94" spans="1:31" s="55" customFormat="1" ht="45" customHeight="1" x14ac:dyDescent="0.25">
      <c r="A94" s="86" t="s">
        <v>562</v>
      </c>
      <c r="B94" s="52" t="s">
        <v>865</v>
      </c>
      <c r="C94" s="52"/>
      <c r="D94" s="52" t="s">
        <v>866</v>
      </c>
      <c r="E94" s="52"/>
      <c r="F94" s="52" t="s">
        <v>564</v>
      </c>
      <c r="G94" s="52"/>
      <c r="H94" s="52" t="s">
        <v>887</v>
      </c>
      <c r="I94" s="52" t="s">
        <v>17</v>
      </c>
      <c r="J94" s="52" t="s">
        <v>391</v>
      </c>
      <c r="K94" s="22" t="str">
        <f>VLOOKUP(CONCATENATE(A94,LEFT(J94,4)),AGRUPAMENTO!$D$2:$E$6784,2,FALSE)</f>
        <v>Demais despesas de capital</v>
      </c>
      <c r="L94" s="52" t="s">
        <v>95</v>
      </c>
      <c r="M94" s="52"/>
      <c r="N94" s="52">
        <v>10</v>
      </c>
      <c r="O94" s="86" t="s">
        <v>894</v>
      </c>
      <c r="P94" s="86" t="s">
        <v>47</v>
      </c>
      <c r="Q94" s="86" t="s">
        <v>889</v>
      </c>
      <c r="R94" s="86">
        <v>1</v>
      </c>
      <c r="S94" s="86" t="s">
        <v>890</v>
      </c>
      <c r="T94" s="86">
        <v>100000</v>
      </c>
      <c r="U94" s="86">
        <v>1</v>
      </c>
      <c r="V94" s="58">
        <f t="shared" si="1"/>
        <v>100000</v>
      </c>
      <c r="W94" s="86" t="s">
        <v>50</v>
      </c>
      <c r="X94" s="86" t="s">
        <v>891</v>
      </c>
      <c r="Y94" s="86" t="s">
        <v>892</v>
      </c>
      <c r="Z94" s="86" t="s">
        <v>893</v>
      </c>
      <c r="AA94" s="52">
        <v>0</v>
      </c>
      <c r="AB94" s="52">
        <v>0</v>
      </c>
      <c r="AC94" s="52">
        <v>0</v>
      </c>
      <c r="AD94" s="21">
        <v>1</v>
      </c>
      <c r="AE94" s="21">
        <v>1</v>
      </c>
    </row>
    <row r="95" spans="1:31" s="55" customFormat="1" ht="45" customHeight="1" x14ac:dyDescent="0.25">
      <c r="A95" s="86" t="s">
        <v>562</v>
      </c>
      <c r="B95" s="52" t="s">
        <v>865</v>
      </c>
      <c r="C95" s="52"/>
      <c r="D95" s="52" t="s">
        <v>866</v>
      </c>
      <c r="E95" s="52"/>
      <c r="F95" s="52" t="s">
        <v>564</v>
      </c>
      <c r="G95" s="52"/>
      <c r="H95" s="52" t="s">
        <v>887</v>
      </c>
      <c r="I95" s="52" t="s">
        <v>17</v>
      </c>
      <c r="J95" s="52" t="s">
        <v>587</v>
      </c>
      <c r="K95" s="22" t="str">
        <f>VLOOKUP(CONCATENATE(A95,LEFT(J95,4)),AGRUPAMENTO!$D$2:$E$6784,2,FALSE)</f>
        <v>Diárias e viagens</v>
      </c>
      <c r="L95" s="52" t="s">
        <v>45</v>
      </c>
      <c r="M95" s="52"/>
      <c r="N95" s="52">
        <v>10</v>
      </c>
      <c r="O95" s="86" t="s">
        <v>761</v>
      </c>
      <c r="P95" s="86" t="s">
        <v>47</v>
      </c>
      <c r="Q95" s="86" t="s">
        <v>895</v>
      </c>
      <c r="R95" s="86">
        <v>300</v>
      </c>
      <c r="S95" s="86" t="s">
        <v>896</v>
      </c>
      <c r="T95" s="86">
        <v>200</v>
      </c>
      <c r="U95" s="86">
        <v>1</v>
      </c>
      <c r="V95" s="58">
        <f t="shared" si="1"/>
        <v>60000</v>
      </c>
      <c r="W95" s="86" t="s">
        <v>50</v>
      </c>
      <c r="X95" s="86" t="s">
        <v>897</v>
      </c>
      <c r="Y95" s="86" t="s">
        <v>898</v>
      </c>
      <c r="Z95" s="86" t="s">
        <v>899</v>
      </c>
      <c r="AA95" s="52">
        <v>0</v>
      </c>
      <c r="AB95" s="52">
        <v>0</v>
      </c>
      <c r="AC95" s="52">
        <v>0</v>
      </c>
      <c r="AD95" s="21">
        <v>1</v>
      </c>
      <c r="AE95" s="21">
        <v>1</v>
      </c>
    </row>
    <row r="96" spans="1:31" s="55" customFormat="1" ht="45" customHeight="1" x14ac:dyDescent="0.25">
      <c r="A96" s="86" t="s">
        <v>562</v>
      </c>
      <c r="B96" s="52" t="s">
        <v>865</v>
      </c>
      <c r="C96" s="52"/>
      <c r="D96" s="52" t="s">
        <v>866</v>
      </c>
      <c r="E96" s="52"/>
      <c r="F96" s="52" t="s">
        <v>564</v>
      </c>
      <c r="G96" s="52"/>
      <c r="H96" s="52" t="s">
        <v>887</v>
      </c>
      <c r="I96" s="52" t="s">
        <v>17</v>
      </c>
      <c r="J96" s="52" t="s">
        <v>297</v>
      </c>
      <c r="K96" s="22" t="str">
        <f>VLOOKUP(CONCATENATE(A96,LEFT(J96,4)),AGRUPAMENTO!$D$2:$E$6784,2,FALSE)</f>
        <v>Diárias e viagens</v>
      </c>
      <c r="L96" s="52" t="s">
        <v>45</v>
      </c>
      <c r="M96" s="52"/>
      <c r="N96" s="52">
        <v>10</v>
      </c>
      <c r="O96" s="86" t="s">
        <v>900</v>
      </c>
      <c r="P96" s="86" t="s">
        <v>47</v>
      </c>
      <c r="Q96" s="86" t="s">
        <v>901</v>
      </c>
      <c r="R96" s="86">
        <v>300</v>
      </c>
      <c r="S96" s="86" t="s">
        <v>902</v>
      </c>
      <c r="T96" s="86">
        <v>1104.5</v>
      </c>
      <c r="U96" s="86">
        <v>1</v>
      </c>
      <c r="V96" s="58">
        <f t="shared" si="1"/>
        <v>331350</v>
      </c>
      <c r="W96" s="86" t="s">
        <v>50</v>
      </c>
      <c r="X96" s="86" t="s">
        <v>903</v>
      </c>
      <c r="Y96" s="86" t="s">
        <v>904</v>
      </c>
      <c r="Z96" s="86" t="s">
        <v>905</v>
      </c>
      <c r="AA96" s="52">
        <v>0</v>
      </c>
      <c r="AB96" s="52">
        <v>0</v>
      </c>
      <c r="AC96" s="52">
        <v>0</v>
      </c>
      <c r="AD96" s="21">
        <v>1</v>
      </c>
      <c r="AE96" s="21">
        <v>1</v>
      </c>
    </row>
    <row r="97" spans="1:31" s="55" customFormat="1" ht="45" customHeight="1" x14ac:dyDescent="0.25">
      <c r="A97" s="86" t="s">
        <v>562</v>
      </c>
      <c r="B97" s="52" t="s">
        <v>865</v>
      </c>
      <c r="C97" s="52"/>
      <c r="D97" s="52" t="s">
        <v>866</v>
      </c>
      <c r="E97" s="52"/>
      <c r="F97" s="52" t="s">
        <v>564</v>
      </c>
      <c r="G97" s="52"/>
      <c r="H97" s="52" t="s">
        <v>887</v>
      </c>
      <c r="I97" s="52" t="s">
        <v>17</v>
      </c>
      <c r="J97" s="52" t="s">
        <v>579</v>
      </c>
      <c r="K97" s="22" t="str">
        <f>VLOOKUP(CONCATENATE(A97,LEFT(J97,4)),AGRUPAMENTO!$D$2:$E$6784,2,FALSE)</f>
        <v>Diárias e viagens</v>
      </c>
      <c r="L97" s="52" t="s">
        <v>45</v>
      </c>
      <c r="M97" s="52"/>
      <c r="N97" s="52">
        <v>10</v>
      </c>
      <c r="O97" s="86" t="s">
        <v>580</v>
      </c>
      <c r="P97" s="86" t="s">
        <v>47</v>
      </c>
      <c r="Q97" s="86" t="s">
        <v>575</v>
      </c>
      <c r="R97" s="86">
        <v>300</v>
      </c>
      <c r="S97" s="86" t="s">
        <v>581</v>
      </c>
      <c r="T97" s="86">
        <v>300</v>
      </c>
      <c r="U97" s="86">
        <v>1</v>
      </c>
      <c r="V97" s="58">
        <f t="shared" si="1"/>
        <v>90000</v>
      </c>
      <c r="W97" s="86" t="s">
        <v>50</v>
      </c>
      <c r="X97" s="86" t="s">
        <v>763</v>
      </c>
      <c r="Y97" s="86" t="s">
        <v>764</v>
      </c>
      <c r="Z97" s="86" t="s">
        <v>765</v>
      </c>
      <c r="AA97" s="52">
        <v>0</v>
      </c>
      <c r="AB97" s="52">
        <v>0</v>
      </c>
      <c r="AC97" s="52">
        <v>0</v>
      </c>
      <c r="AD97" s="21">
        <v>1</v>
      </c>
      <c r="AE97" s="21">
        <v>1</v>
      </c>
    </row>
    <row r="98" spans="1:31" s="55" customFormat="1" ht="45" customHeight="1" x14ac:dyDescent="0.25">
      <c r="A98" s="86" t="s">
        <v>562</v>
      </c>
      <c r="B98" s="52" t="s">
        <v>865</v>
      </c>
      <c r="C98" s="52"/>
      <c r="D98" s="52" t="s">
        <v>866</v>
      </c>
      <c r="E98" s="52"/>
      <c r="F98" s="52" t="s">
        <v>564</v>
      </c>
      <c r="G98" s="52"/>
      <c r="H98" s="52" t="s">
        <v>887</v>
      </c>
      <c r="I98" s="52" t="s">
        <v>17</v>
      </c>
      <c r="J98" s="52" t="s">
        <v>370</v>
      </c>
      <c r="K98" s="22" t="str">
        <f>VLOOKUP(CONCATENATE(A98,LEFT(J98,4)),AGRUPAMENTO!$D$2:$E$6784,2,FALSE)</f>
        <v>Demais despesas de custeio</v>
      </c>
      <c r="L98" s="52" t="s">
        <v>45</v>
      </c>
      <c r="M98" s="52"/>
      <c r="N98" s="52">
        <v>10</v>
      </c>
      <c r="O98" s="86" t="s">
        <v>906</v>
      </c>
      <c r="P98" s="86" t="s">
        <v>47</v>
      </c>
      <c r="Q98" s="86" t="s">
        <v>907</v>
      </c>
      <c r="R98" s="86">
        <v>10</v>
      </c>
      <c r="S98" s="86" t="s">
        <v>908</v>
      </c>
      <c r="T98" s="86">
        <v>200</v>
      </c>
      <c r="U98" s="86">
        <v>1</v>
      </c>
      <c r="V98" s="58">
        <f t="shared" si="1"/>
        <v>2000</v>
      </c>
      <c r="W98" s="86" t="s">
        <v>50</v>
      </c>
      <c r="X98" s="86" t="s">
        <v>909</v>
      </c>
      <c r="Y98" s="86" t="s">
        <v>910</v>
      </c>
      <c r="Z98" s="86" t="s">
        <v>911</v>
      </c>
      <c r="AA98" s="52">
        <v>0</v>
      </c>
      <c r="AB98" s="52">
        <v>0</v>
      </c>
      <c r="AC98" s="52">
        <v>0</v>
      </c>
      <c r="AD98" s="21">
        <v>1</v>
      </c>
      <c r="AE98" s="21">
        <v>1</v>
      </c>
    </row>
    <row r="99" spans="1:31" s="55" customFormat="1" ht="45" customHeight="1" x14ac:dyDescent="0.25">
      <c r="A99" s="86" t="s">
        <v>562</v>
      </c>
      <c r="B99" s="52" t="s">
        <v>865</v>
      </c>
      <c r="C99" s="52"/>
      <c r="D99" s="52" t="s">
        <v>866</v>
      </c>
      <c r="E99" s="52"/>
      <c r="F99" s="52" t="s">
        <v>564</v>
      </c>
      <c r="G99" s="52"/>
      <c r="H99" s="52" t="s">
        <v>572</v>
      </c>
      <c r="I99" s="52" t="s">
        <v>17</v>
      </c>
      <c r="J99" s="52" t="s">
        <v>579</v>
      </c>
      <c r="K99" s="22" t="str">
        <f>VLOOKUP(CONCATENATE(A99,LEFT(J99,4)),AGRUPAMENTO!$D$2:$E$6784,2,FALSE)</f>
        <v>Diárias e viagens</v>
      </c>
      <c r="L99" s="52" t="s">
        <v>45</v>
      </c>
      <c r="M99" s="52"/>
      <c r="N99" s="52">
        <v>10</v>
      </c>
      <c r="O99" s="86" t="s">
        <v>580</v>
      </c>
      <c r="P99" s="86" t="s">
        <v>47</v>
      </c>
      <c r="Q99" s="86" t="s">
        <v>575</v>
      </c>
      <c r="R99" s="86">
        <v>300</v>
      </c>
      <c r="S99" s="86" t="s">
        <v>581</v>
      </c>
      <c r="T99" s="86">
        <v>300</v>
      </c>
      <c r="U99" s="86">
        <v>1</v>
      </c>
      <c r="V99" s="58">
        <f t="shared" si="1"/>
        <v>90000</v>
      </c>
      <c r="W99" s="86" t="s">
        <v>50</v>
      </c>
      <c r="X99" s="86" t="s">
        <v>912</v>
      </c>
      <c r="Y99" s="86" t="s">
        <v>913</v>
      </c>
      <c r="Z99" s="86" t="s">
        <v>914</v>
      </c>
      <c r="AA99" s="52">
        <v>0</v>
      </c>
      <c r="AB99" s="52">
        <v>0</v>
      </c>
      <c r="AC99" s="52">
        <v>0</v>
      </c>
      <c r="AD99" s="21">
        <v>1</v>
      </c>
      <c r="AE99" s="21">
        <v>1</v>
      </c>
    </row>
    <row r="100" spans="1:31" s="55" customFormat="1" ht="45" customHeight="1" x14ac:dyDescent="0.25">
      <c r="A100" s="86" t="s">
        <v>562</v>
      </c>
      <c r="B100" s="52" t="s">
        <v>865</v>
      </c>
      <c r="C100" s="52"/>
      <c r="D100" s="52" t="s">
        <v>915</v>
      </c>
      <c r="E100" s="52"/>
      <c r="F100" s="52" t="s">
        <v>564</v>
      </c>
      <c r="G100" s="52"/>
      <c r="H100" s="52" t="s">
        <v>887</v>
      </c>
      <c r="I100" s="52" t="s">
        <v>17</v>
      </c>
      <c r="J100" s="52" t="s">
        <v>573</v>
      </c>
      <c r="K100" s="22" t="str">
        <f>VLOOKUP(CONCATENATE(A100,LEFT(J100,4)),AGRUPAMENTO!$D$2:$E$6784,2,FALSE)</f>
        <v>Diárias e viagens</v>
      </c>
      <c r="L100" s="52" t="s">
        <v>45</v>
      </c>
      <c r="M100" s="52"/>
      <c r="N100" s="52">
        <v>10</v>
      </c>
      <c r="O100" s="86" t="s">
        <v>916</v>
      </c>
      <c r="P100" s="86" t="s">
        <v>47</v>
      </c>
      <c r="Q100" s="86" t="s">
        <v>917</v>
      </c>
      <c r="R100" s="86">
        <v>200</v>
      </c>
      <c r="S100" s="86" t="s">
        <v>576</v>
      </c>
      <c r="T100" s="86">
        <v>1104.5</v>
      </c>
      <c r="U100" s="86">
        <v>1</v>
      </c>
      <c r="V100" s="58">
        <f t="shared" si="1"/>
        <v>220900</v>
      </c>
      <c r="W100" s="86" t="s">
        <v>50</v>
      </c>
      <c r="X100" s="86" t="s">
        <v>918</v>
      </c>
      <c r="Y100" s="86" t="s">
        <v>919</v>
      </c>
      <c r="Z100" s="86" t="s">
        <v>920</v>
      </c>
      <c r="AA100" s="52">
        <v>0</v>
      </c>
      <c r="AB100" s="52">
        <v>0</v>
      </c>
      <c r="AC100" s="52">
        <v>0</v>
      </c>
      <c r="AD100" s="21">
        <v>1</v>
      </c>
      <c r="AE100" s="21">
        <v>1</v>
      </c>
    </row>
    <row r="101" spans="1:31" s="55" customFormat="1" ht="45" customHeight="1" x14ac:dyDescent="0.25">
      <c r="A101" s="86" t="s">
        <v>562</v>
      </c>
      <c r="B101" s="52" t="s">
        <v>865</v>
      </c>
      <c r="C101" s="52"/>
      <c r="D101" s="52" t="s">
        <v>915</v>
      </c>
      <c r="E101" s="52"/>
      <c r="F101" s="52" t="s">
        <v>564</v>
      </c>
      <c r="G101" s="52"/>
      <c r="H101" s="52" t="s">
        <v>887</v>
      </c>
      <c r="I101" s="52" t="s">
        <v>17</v>
      </c>
      <c r="J101" s="52" t="s">
        <v>297</v>
      </c>
      <c r="K101" s="22" t="str">
        <f>VLOOKUP(CONCATENATE(A101,LEFT(J101,4)),AGRUPAMENTO!$D$2:$E$6784,2,FALSE)</f>
        <v>Diárias e viagens</v>
      </c>
      <c r="L101" s="52" t="s">
        <v>45</v>
      </c>
      <c r="M101" s="52"/>
      <c r="N101" s="52">
        <v>10</v>
      </c>
      <c r="O101" s="86" t="s">
        <v>921</v>
      </c>
      <c r="P101" s="86" t="s">
        <v>47</v>
      </c>
      <c r="Q101" s="86" t="s">
        <v>917</v>
      </c>
      <c r="R101" s="86">
        <v>100</v>
      </c>
      <c r="S101" s="86" t="s">
        <v>576</v>
      </c>
      <c r="T101" s="86">
        <v>470</v>
      </c>
      <c r="U101" s="86">
        <v>1</v>
      </c>
      <c r="V101" s="58">
        <f t="shared" si="1"/>
        <v>47000</v>
      </c>
      <c r="W101" s="86" t="s">
        <v>50</v>
      </c>
      <c r="X101" s="86" t="s">
        <v>922</v>
      </c>
      <c r="Y101" s="86" t="s">
        <v>923</v>
      </c>
      <c r="Z101" s="86" t="s">
        <v>924</v>
      </c>
      <c r="AA101" s="52">
        <v>0</v>
      </c>
      <c r="AB101" s="52">
        <v>0</v>
      </c>
      <c r="AC101" s="52">
        <v>0</v>
      </c>
      <c r="AD101" s="21">
        <v>1</v>
      </c>
      <c r="AE101" s="21">
        <v>1</v>
      </c>
    </row>
    <row r="102" spans="1:31" s="55" customFormat="1" ht="45" customHeight="1" x14ac:dyDescent="0.25">
      <c r="A102" s="86" t="s">
        <v>562</v>
      </c>
      <c r="B102" s="52" t="s">
        <v>865</v>
      </c>
      <c r="C102" s="52"/>
      <c r="D102" s="52" t="s">
        <v>915</v>
      </c>
      <c r="E102" s="52"/>
      <c r="F102" s="52" t="s">
        <v>564</v>
      </c>
      <c r="G102" s="52"/>
      <c r="H102" s="52" t="s">
        <v>887</v>
      </c>
      <c r="I102" s="52" t="s">
        <v>17</v>
      </c>
      <c r="J102" s="52" t="s">
        <v>579</v>
      </c>
      <c r="K102" s="22" t="str">
        <f>VLOOKUP(CONCATENATE(A102,LEFT(J102,4)),AGRUPAMENTO!$D$2:$E$6784,2,FALSE)</f>
        <v>Diárias e viagens</v>
      </c>
      <c r="L102" s="52" t="s">
        <v>45</v>
      </c>
      <c r="M102" s="52"/>
      <c r="N102" s="52">
        <v>10</v>
      </c>
      <c r="O102" s="86" t="s">
        <v>580</v>
      </c>
      <c r="P102" s="86" t="s">
        <v>47</v>
      </c>
      <c r="Q102" s="86" t="s">
        <v>575</v>
      </c>
      <c r="R102" s="86">
        <v>100</v>
      </c>
      <c r="S102" s="86" t="s">
        <v>581</v>
      </c>
      <c r="T102" s="86">
        <v>300</v>
      </c>
      <c r="U102" s="86">
        <v>1</v>
      </c>
      <c r="V102" s="58">
        <f t="shared" si="1"/>
        <v>30000</v>
      </c>
      <c r="W102" s="86" t="s">
        <v>50</v>
      </c>
      <c r="X102" s="86" t="s">
        <v>763</v>
      </c>
      <c r="Y102" s="86" t="s">
        <v>764</v>
      </c>
      <c r="Z102" s="86" t="s">
        <v>765</v>
      </c>
      <c r="AA102" s="52">
        <v>0</v>
      </c>
      <c r="AB102" s="52">
        <v>0</v>
      </c>
      <c r="AC102" s="52">
        <v>0</v>
      </c>
      <c r="AD102" s="21">
        <v>1</v>
      </c>
      <c r="AE102" s="21">
        <v>1</v>
      </c>
    </row>
    <row r="103" spans="1:31" s="55" customFormat="1" ht="45" customHeight="1" x14ac:dyDescent="0.25">
      <c r="A103" s="86" t="s">
        <v>562</v>
      </c>
      <c r="B103" s="52" t="s">
        <v>865</v>
      </c>
      <c r="C103" s="52"/>
      <c r="D103" s="52" t="s">
        <v>915</v>
      </c>
      <c r="E103" s="52"/>
      <c r="F103" s="52" t="s">
        <v>564</v>
      </c>
      <c r="G103" s="52"/>
      <c r="H103" s="52" t="s">
        <v>887</v>
      </c>
      <c r="I103" s="52" t="s">
        <v>17</v>
      </c>
      <c r="J103" s="52" t="s">
        <v>73</v>
      </c>
      <c r="K103" s="22" t="str">
        <f>VLOOKUP(CONCATENATE(A103,LEFT(J103,4)),AGRUPAMENTO!$D$2:$E$6784,2,FALSE)</f>
        <v>Material de consumo</v>
      </c>
      <c r="L103" s="52" t="s">
        <v>45</v>
      </c>
      <c r="M103" s="52"/>
      <c r="N103" s="52">
        <v>10</v>
      </c>
      <c r="O103" s="86" t="s">
        <v>925</v>
      </c>
      <c r="P103" s="86" t="s">
        <v>47</v>
      </c>
      <c r="Q103" s="86" t="s">
        <v>926</v>
      </c>
      <c r="R103" s="86">
        <v>1</v>
      </c>
      <c r="S103" s="86" t="s">
        <v>927</v>
      </c>
      <c r="T103" s="86">
        <v>30000</v>
      </c>
      <c r="U103" s="86">
        <v>1</v>
      </c>
      <c r="V103" s="58">
        <f t="shared" si="1"/>
        <v>30000</v>
      </c>
      <c r="W103" s="86" t="s">
        <v>50</v>
      </c>
      <c r="X103" s="86" t="s">
        <v>928</v>
      </c>
      <c r="Y103" s="86" t="s">
        <v>929</v>
      </c>
      <c r="Z103" s="86" t="s">
        <v>930</v>
      </c>
      <c r="AA103" s="52">
        <v>0</v>
      </c>
      <c r="AB103" s="52">
        <v>0</v>
      </c>
      <c r="AC103" s="52">
        <v>0</v>
      </c>
      <c r="AD103" s="21">
        <v>1</v>
      </c>
      <c r="AE103" s="21">
        <v>1</v>
      </c>
    </row>
    <row r="104" spans="1:31" s="55" customFormat="1" ht="45" customHeight="1" x14ac:dyDescent="0.25">
      <c r="A104" s="86" t="s">
        <v>562</v>
      </c>
      <c r="B104" s="52" t="s">
        <v>865</v>
      </c>
      <c r="C104" s="52"/>
      <c r="D104" s="52" t="s">
        <v>915</v>
      </c>
      <c r="E104" s="52"/>
      <c r="F104" s="52" t="s">
        <v>564</v>
      </c>
      <c r="G104" s="52"/>
      <c r="H104" s="52" t="s">
        <v>887</v>
      </c>
      <c r="I104" s="52" t="s">
        <v>17</v>
      </c>
      <c r="J104" s="52" t="s">
        <v>86</v>
      </c>
      <c r="K104" s="22" t="str">
        <f>VLOOKUP(CONCATENATE(A104,LEFT(J104,4)),AGRUPAMENTO!$D$2:$E$6784,2,FALSE)</f>
        <v>Alimentação</v>
      </c>
      <c r="L104" s="52" t="s">
        <v>45</v>
      </c>
      <c r="M104" s="52"/>
      <c r="N104" s="52">
        <v>10</v>
      </c>
      <c r="O104" s="86" t="s">
        <v>931</v>
      </c>
      <c r="P104" s="86" t="s">
        <v>47</v>
      </c>
      <c r="Q104" s="86" t="s">
        <v>932</v>
      </c>
      <c r="R104" s="86">
        <v>1</v>
      </c>
      <c r="S104" s="86" t="s">
        <v>933</v>
      </c>
      <c r="T104" s="86">
        <v>25000</v>
      </c>
      <c r="U104" s="86">
        <v>1</v>
      </c>
      <c r="V104" s="58">
        <f t="shared" si="1"/>
        <v>25000</v>
      </c>
      <c r="W104" s="86" t="s">
        <v>50</v>
      </c>
      <c r="X104" s="86" t="s">
        <v>934</v>
      </c>
      <c r="Y104" s="86" t="s">
        <v>935</v>
      </c>
      <c r="Z104" s="86" t="s">
        <v>936</v>
      </c>
      <c r="AA104" s="52">
        <v>0</v>
      </c>
      <c r="AB104" s="52">
        <v>0</v>
      </c>
      <c r="AC104" s="52">
        <v>0</v>
      </c>
      <c r="AD104" s="21">
        <v>1</v>
      </c>
      <c r="AE104" s="21">
        <v>1</v>
      </c>
    </row>
    <row r="105" spans="1:31" s="55" customFormat="1" ht="45" customHeight="1" x14ac:dyDescent="0.25">
      <c r="A105" s="86" t="s">
        <v>562</v>
      </c>
      <c r="B105" s="52" t="s">
        <v>865</v>
      </c>
      <c r="C105" s="52"/>
      <c r="D105" s="52" t="s">
        <v>915</v>
      </c>
      <c r="E105" s="52"/>
      <c r="F105" s="52" t="s">
        <v>564</v>
      </c>
      <c r="G105" s="52"/>
      <c r="H105" s="52" t="s">
        <v>887</v>
      </c>
      <c r="I105" s="52" t="s">
        <v>17</v>
      </c>
      <c r="J105" s="52" t="s">
        <v>406</v>
      </c>
      <c r="K105" s="22" t="str">
        <f>VLOOKUP(CONCATENATE(A105,LEFT(J105,4)),AGRUPAMENTO!$D$2:$E$6784,2,FALSE)</f>
        <v>Material de consumo</v>
      </c>
      <c r="L105" s="52" t="s">
        <v>45</v>
      </c>
      <c r="M105" s="52"/>
      <c r="N105" s="52">
        <v>10</v>
      </c>
      <c r="O105" s="86" t="s">
        <v>937</v>
      </c>
      <c r="P105" s="86" t="s">
        <v>47</v>
      </c>
      <c r="Q105" s="86" t="s">
        <v>938</v>
      </c>
      <c r="R105" s="86">
        <v>1</v>
      </c>
      <c r="S105" s="86" t="s">
        <v>927</v>
      </c>
      <c r="T105" s="86">
        <v>25000</v>
      </c>
      <c r="U105" s="86">
        <v>1</v>
      </c>
      <c r="V105" s="58">
        <f t="shared" si="1"/>
        <v>25000</v>
      </c>
      <c r="W105" s="86" t="s">
        <v>50</v>
      </c>
      <c r="X105" s="86" t="s">
        <v>939</v>
      </c>
      <c r="Y105" s="86" t="s">
        <v>929</v>
      </c>
      <c r="Z105" s="86" t="s">
        <v>940</v>
      </c>
      <c r="AA105" s="52">
        <v>0</v>
      </c>
      <c r="AB105" s="52">
        <v>0</v>
      </c>
      <c r="AC105" s="52">
        <v>0</v>
      </c>
      <c r="AD105" s="21">
        <v>1</v>
      </c>
      <c r="AE105" s="21">
        <v>1</v>
      </c>
    </row>
    <row r="106" spans="1:31" s="55" customFormat="1" ht="45" customHeight="1" x14ac:dyDescent="0.25">
      <c r="A106" s="86" t="s">
        <v>562</v>
      </c>
      <c r="B106" s="52" t="s">
        <v>865</v>
      </c>
      <c r="C106" s="52"/>
      <c r="D106" s="52" t="s">
        <v>915</v>
      </c>
      <c r="E106" s="52"/>
      <c r="F106" s="52" t="s">
        <v>564</v>
      </c>
      <c r="G106" s="52"/>
      <c r="H106" s="52" t="s">
        <v>887</v>
      </c>
      <c r="I106" s="52" t="s">
        <v>17</v>
      </c>
      <c r="J106" s="52" t="s">
        <v>391</v>
      </c>
      <c r="K106" s="22" t="str">
        <f>VLOOKUP(CONCATENATE(A106,LEFT(J106,4)),AGRUPAMENTO!$D$2:$E$6784,2,FALSE)</f>
        <v>Demais despesas de capital</v>
      </c>
      <c r="L106" s="52" t="s">
        <v>95</v>
      </c>
      <c r="M106" s="52"/>
      <c r="N106" s="52">
        <v>10</v>
      </c>
      <c r="O106" s="86" t="s">
        <v>941</v>
      </c>
      <c r="P106" s="86" t="s">
        <v>47</v>
      </c>
      <c r="Q106" s="86" t="s">
        <v>932</v>
      </c>
      <c r="R106" s="86">
        <v>1</v>
      </c>
      <c r="S106" s="86" t="s">
        <v>933</v>
      </c>
      <c r="T106" s="86">
        <v>70000</v>
      </c>
      <c r="U106" s="86">
        <v>1</v>
      </c>
      <c r="V106" s="58">
        <f t="shared" si="1"/>
        <v>70000</v>
      </c>
      <c r="W106" s="86" t="s">
        <v>50</v>
      </c>
      <c r="X106" s="86" t="s">
        <v>942</v>
      </c>
      <c r="Y106" s="86" t="s">
        <v>943</v>
      </c>
      <c r="Z106" s="86" t="s">
        <v>944</v>
      </c>
      <c r="AA106" s="52">
        <v>0</v>
      </c>
      <c r="AB106" s="52">
        <v>0</v>
      </c>
      <c r="AC106" s="52">
        <v>0</v>
      </c>
      <c r="AD106" s="21">
        <v>1</v>
      </c>
      <c r="AE106" s="21">
        <v>1</v>
      </c>
    </row>
    <row r="107" spans="1:31" s="55" customFormat="1" ht="45" customHeight="1" x14ac:dyDescent="0.25">
      <c r="A107" s="86" t="s">
        <v>562</v>
      </c>
      <c r="B107" s="52" t="s">
        <v>865</v>
      </c>
      <c r="C107" s="52"/>
      <c r="D107" s="52" t="s">
        <v>915</v>
      </c>
      <c r="E107" s="52"/>
      <c r="F107" s="52" t="s">
        <v>564</v>
      </c>
      <c r="G107" s="52"/>
      <c r="H107" s="52" t="s">
        <v>887</v>
      </c>
      <c r="I107" s="52" t="s">
        <v>17</v>
      </c>
      <c r="J107" s="52" t="s">
        <v>86</v>
      </c>
      <c r="K107" s="22" t="str">
        <f>VLOOKUP(CONCATENATE(A107,LEFT(J107,4)),AGRUPAMENTO!$D$2:$E$6784,2,FALSE)</f>
        <v>Alimentação</v>
      </c>
      <c r="L107" s="52" t="s">
        <v>45</v>
      </c>
      <c r="M107" s="52"/>
      <c r="N107" s="52">
        <v>10</v>
      </c>
      <c r="O107" s="86" t="s">
        <v>945</v>
      </c>
      <c r="P107" s="86" t="s">
        <v>47</v>
      </c>
      <c r="Q107" s="86" t="s">
        <v>946</v>
      </c>
      <c r="R107" s="86">
        <v>1</v>
      </c>
      <c r="S107" s="86" t="s">
        <v>927</v>
      </c>
      <c r="T107" s="86">
        <v>15000</v>
      </c>
      <c r="U107" s="86">
        <v>1</v>
      </c>
      <c r="V107" s="58">
        <f t="shared" si="1"/>
        <v>15000</v>
      </c>
      <c r="W107" s="86" t="s">
        <v>50</v>
      </c>
      <c r="X107" s="86" t="s">
        <v>947</v>
      </c>
      <c r="Y107" s="86" t="s">
        <v>948</v>
      </c>
      <c r="Z107" s="86" t="s">
        <v>949</v>
      </c>
      <c r="AA107" s="52">
        <v>0</v>
      </c>
      <c r="AB107" s="52">
        <v>0</v>
      </c>
      <c r="AC107" s="52">
        <v>0</v>
      </c>
      <c r="AD107" s="21">
        <v>1</v>
      </c>
      <c r="AE107" s="21">
        <v>1</v>
      </c>
    </row>
    <row r="108" spans="1:31" s="55" customFormat="1" ht="45" customHeight="1" x14ac:dyDescent="0.25">
      <c r="A108" s="86" t="s">
        <v>562</v>
      </c>
      <c r="B108" s="52" t="s">
        <v>865</v>
      </c>
      <c r="C108" s="52"/>
      <c r="D108" s="52" t="s">
        <v>915</v>
      </c>
      <c r="E108" s="52"/>
      <c r="F108" s="52" t="s">
        <v>564</v>
      </c>
      <c r="G108" s="52"/>
      <c r="H108" s="52" t="s">
        <v>887</v>
      </c>
      <c r="I108" s="52" t="s">
        <v>17</v>
      </c>
      <c r="J108" s="52" t="s">
        <v>459</v>
      </c>
      <c r="K108" s="22" t="str">
        <f>VLOOKUP(CONCATENATE(A108,LEFT(J108,4)),AGRUPAMENTO!$D$2:$E$6784,2,FALSE)</f>
        <v>Demais despesas de capital</v>
      </c>
      <c r="L108" s="52" t="s">
        <v>95</v>
      </c>
      <c r="M108" s="52"/>
      <c r="N108" s="52">
        <v>10</v>
      </c>
      <c r="O108" s="86" t="s">
        <v>950</v>
      </c>
      <c r="P108" s="86" t="s">
        <v>47</v>
      </c>
      <c r="Q108" s="86" t="s">
        <v>932</v>
      </c>
      <c r="R108" s="86">
        <v>24</v>
      </c>
      <c r="S108" s="86" t="s">
        <v>951</v>
      </c>
      <c r="T108" s="86">
        <v>1000</v>
      </c>
      <c r="U108" s="86">
        <v>1</v>
      </c>
      <c r="V108" s="58">
        <f t="shared" si="1"/>
        <v>24000</v>
      </c>
      <c r="W108" s="86" t="s">
        <v>50</v>
      </c>
      <c r="X108" s="86" t="s">
        <v>952</v>
      </c>
      <c r="Y108" s="86" t="s">
        <v>953</v>
      </c>
      <c r="Z108" s="86" t="s">
        <v>954</v>
      </c>
      <c r="AA108" s="52">
        <v>0</v>
      </c>
      <c r="AB108" s="52">
        <v>0</v>
      </c>
      <c r="AC108" s="52">
        <v>0</v>
      </c>
      <c r="AD108" s="21">
        <v>1</v>
      </c>
      <c r="AE108" s="21">
        <v>1</v>
      </c>
    </row>
    <row r="109" spans="1:31" s="55" customFormat="1" ht="45" customHeight="1" x14ac:dyDescent="0.25">
      <c r="A109" s="86" t="s">
        <v>562</v>
      </c>
      <c r="B109" s="52" t="s">
        <v>865</v>
      </c>
      <c r="C109" s="52"/>
      <c r="D109" s="52" t="s">
        <v>915</v>
      </c>
      <c r="E109" s="52"/>
      <c r="F109" s="52" t="s">
        <v>564</v>
      </c>
      <c r="G109" s="52"/>
      <c r="H109" s="52" t="s">
        <v>887</v>
      </c>
      <c r="I109" s="52" t="s">
        <v>17</v>
      </c>
      <c r="J109" s="52" t="s">
        <v>356</v>
      </c>
      <c r="K109" s="22" t="str">
        <f>VLOOKUP(CONCATENATE(A109,LEFT(J109,4)),AGRUPAMENTO!$D$2:$E$6784,2,FALSE)</f>
        <v>Demais despesas de custeio</v>
      </c>
      <c r="L109" s="52" t="s">
        <v>45</v>
      </c>
      <c r="M109" s="52"/>
      <c r="N109" s="52">
        <v>10</v>
      </c>
      <c r="O109" s="86" t="s">
        <v>955</v>
      </c>
      <c r="P109" s="86" t="s">
        <v>47</v>
      </c>
      <c r="Q109" s="86" t="s">
        <v>932</v>
      </c>
      <c r="R109" s="86">
        <v>1</v>
      </c>
      <c r="S109" s="86" t="s">
        <v>933</v>
      </c>
      <c r="T109" s="86">
        <v>50000</v>
      </c>
      <c r="U109" s="86">
        <v>1</v>
      </c>
      <c r="V109" s="58">
        <f t="shared" si="1"/>
        <v>50000</v>
      </c>
      <c r="W109" s="86" t="s">
        <v>50</v>
      </c>
      <c r="X109" s="86" t="s">
        <v>956</v>
      </c>
      <c r="Y109" s="86" t="s">
        <v>957</v>
      </c>
      <c r="Z109" s="86" t="s">
        <v>958</v>
      </c>
      <c r="AA109" s="52">
        <v>0</v>
      </c>
      <c r="AB109" s="52">
        <v>0</v>
      </c>
      <c r="AC109" s="52">
        <v>0</v>
      </c>
      <c r="AD109" s="21">
        <v>1</v>
      </c>
      <c r="AE109" s="21">
        <v>1</v>
      </c>
    </row>
    <row r="110" spans="1:31" s="55" customFormat="1" ht="45" customHeight="1" x14ac:dyDescent="0.25">
      <c r="A110" s="86" t="s">
        <v>562</v>
      </c>
      <c r="B110" s="52" t="s">
        <v>865</v>
      </c>
      <c r="C110" s="52"/>
      <c r="D110" s="52" t="s">
        <v>915</v>
      </c>
      <c r="E110" s="52"/>
      <c r="F110" s="52" t="s">
        <v>564</v>
      </c>
      <c r="G110" s="52"/>
      <c r="H110" s="52" t="s">
        <v>887</v>
      </c>
      <c r="I110" s="52" t="s">
        <v>17</v>
      </c>
      <c r="J110" s="52" t="s">
        <v>496</v>
      </c>
      <c r="K110" s="22" t="str">
        <f>VLOOKUP(CONCATENATE(A110,LEFT(J110,4)),AGRUPAMENTO!$D$2:$E$6784,2,FALSE)</f>
        <v>Cursos de formação e capacitações</v>
      </c>
      <c r="L110" s="52" t="s">
        <v>45</v>
      </c>
      <c r="M110" s="52"/>
      <c r="N110" s="52">
        <v>10</v>
      </c>
      <c r="O110" s="86" t="s">
        <v>959</v>
      </c>
      <c r="P110" s="86" t="s">
        <v>47</v>
      </c>
      <c r="Q110" s="86" t="s">
        <v>960</v>
      </c>
      <c r="R110" s="86">
        <v>4</v>
      </c>
      <c r="S110" s="86" t="s">
        <v>933</v>
      </c>
      <c r="T110" s="86">
        <v>100000</v>
      </c>
      <c r="U110" s="86">
        <v>1</v>
      </c>
      <c r="V110" s="58">
        <f t="shared" si="1"/>
        <v>400000</v>
      </c>
      <c r="W110" s="86" t="s">
        <v>50</v>
      </c>
      <c r="X110" s="86" t="s">
        <v>961</v>
      </c>
      <c r="Y110" s="86" t="s">
        <v>962</v>
      </c>
      <c r="Z110" s="86" t="s">
        <v>963</v>
      </c>
      <c r="AA110" s="52">
        <v>0</v>
      </c>
      <c r="AB110" s="52">
        <v>0</v>
      </c>
      <c r="AC110" s="52">
        <v>0</v>
      </c>
      <c r="AD110" s="21">
        <v>1</v>
      </c>
      <c r="AE110" s="21">
        <v>1</v>
      </c>
    </row>
    <row r="111" spans="1:31" s="55" customFormat="1" ht="45" customHeight="1" x14ac:dyDescent="0.25">
      <c r="A111" s="86" t="s">
        <v>562</v>
      </c>
      <c r="B111" s="52" t="s">
        <v>865</v>
      </c>
      <c r="C111" s="52"/>
      <c r="D111" s="52" t="s">
        <v>915</v>
      </c>
      <c r="E111" s="52"/>
      <c r="F111" s="52" t="s">
        <v>564</v>
      </c>
      <c r="G111" s="52"/>
      <c r="H111" s="52" t="s">
        <v>887</v>
      </c>
      <c r="I111" s="52" t="s">
        <v>17</v>
      </c>
      <c r="J111" s="52" t="s">
        <v>504</v>
      </c>
      <c r="K111" s="22" t="str">
        <f>VLOOKUP(CONCATENATE(A111,LEFT(J111,4)),AGRUPAMENTO!$D$2:$E$6784,2,FALSE)</f>
        <v>Terceirizados - Demais empresas</v>
      </c>
      <c r="L111" s="52" t="s">
        <v>45</v>
      </c>
      <c r="M111" s="52"/>
      <c r="N111" s="52">
        <v>10</v>
      </c>
      <c r="O111" s="86" t="s">
        <v>964</v>
      </c>
      <c r="P111" s="86" t="s">
        <v>47</v>
      </c>
      <c r="Q111" s="86" t="s">
        <v>932</v>
      </c>
      <c r="R111" s="86">
        <v>1</v>
      </c>
      <c r="S111" s="86" t="s">
        <v>933</v>
      </c>
      <c r="T111" s="86">
        <v>24000</v>
      </c>
      <c r="U111" s="86">
        <v>1</v>
      </c>
      <c r="V111" s="58">
        <f t="shared" si="1"/>
        <v>24000</v>
      </c>
      <c r="W111" s="86" t="s">
        <v>50</v>
      </c>
      <c r="X111" s="86" t="s">
        <v>965</v>
      </c>
      <c r="Y111" s="86" t="s">
        <v>966</v>
      </c>
      <c r="Z111" s="86" t="s">
        <v>967</v>
      </c>
      <c r="AA111" s="52">
        <v>0</v>
      </c>
      <c r="AB111" s="52">
        <v>0</v>
      </c>
      <c r="AC111" s="52">
        <v>0</v>
      </c>
      <c r="AD111" s="21">
        <v>1</v>
      </c>
      <c r="AE111" s="21">
        <v>1</v>
      </c>
    </row>
    <row r="112" spans="1:31" s="55" customFormat="1" ht="45" customHeight="1" x14ac:dyDescent="0.25">
      <c r="A112" s="86" t="s">
        <v>562</v>
      </c>
      <c r="B112" s="52" t="s">
        <v>865</v>
      </c>
      <c r="C112" s="52"/>
      <c r="D112" s="52" t="s">
        <v>915</v>
      </c>
      <c r="E112" s="52"/>
      <c r="F112" s="52" t="s">
        <v>564</v>
      </c>
      <c r="G112" s="52"/>
      <c r="H112" s="52" t="s">
        <v>887</v>
      </c>
      <c r="I112" s="52" t="s">
        <v>17</v>
      </c>
      <c r="J112" s="52" t="s">
        <v>283</v>
      </c>
      <c r="K112" s="22" t="str">
        <f>VLOOKUP(CONCATENATE(A112,LEFT(J112,4)),AGRUPAMENTO!$D$2:$E$6784,2,FALSE)</f>
        <v>Serviços de TIC</v>
      </c>
      <c r="L112" s="52" t="s">
        <v>45</v>
      </c>
      <c r="M112" s="52"/>
      <c r="N112" s="52">
        <v>10</v>
      </c>
      <c r="O112" s="86" t="s">
        <v>968</v>
      </c>
      <c r="P112" s="86" t="s">
        <v>47</v>
      </c>
      <c r="Q112" s="86" t="s">
        <v>932</v>
      </c>
      <c r="R112" s="86">
        <v>12</v>
      </c>
      <c r="S112" s="86" t="s">
        <v>933</v>
      </c>
      <c r="T112" s="86">
        <v>600</v>
      </c>
      <c r="U112" s="86">
        <v>1</v>
      </c>
      <c r="V112" s="58">
        <f t="shared" si="1"/>
        <v>7200</v>
      </c>
      <c r="W112" s="86" t="s">
        <v>50</v>
      </c>
      <c r="X112" s="86" t="s">
        <v>969</v>
      </c>
      <c r="Y112" s="86" t="s">
        <v>970</v>
      </c>
      <c r="Z112" s="86" t="s">
        <v>971</v>
      </c>
      <c r="AA112" s="52">
        <v>0</v>
      </c>
      <c r="AB112" s="52">
        <v>0</v>
      </c>
      <c r="AC112" s="52">
        <v>0</v>
      </c>
      <c r="AD112" s="21">
        <v>1</v>
      </c>
      <c r="AE112" s="21">
        <v>1</v>
      </c>
    </row>
    <row r="113" spans="1:31" s="55" customFormat="1" ht="45" customHeight="1" x14ac:dyDescent="0.25">
      <c r="A113" s="86" t="s">
        <v>562</v>
      </c>
      <c r="B113" s="52" t="s">
        <v>865</v>
      </c>
      <c r="C113" s="52"/>
      <c r="D113" s="52" t="s">
        <v>972</v>
      </c>
      <c r="E113" s="52"/>
      <c r="F113" s="52" t="s">
        <v>564</v>
      </c>
      <c r="G113" s="52"/>
      <c r="H113" s="52" t="s">
        <v>572</v>
      </c>
      <c r="I113" s="52" t="s">
        <v>17</v>
      </c>
      <c r="J113" s="52" t="s">
        <v>573</v>
      </c>
      <c r="K113" s="22" t="str">
        <f>VLOOKUP(CONCATENATE(A113,LEFT(J113,4)),AGRUPAMENTO!$D$2:$E$6784,2,FALSE)</f>
        <v>Diárias e viagens</v>
      </c>
      <c r="L113" s="52" t="s">
        <v>45</v>
      </c>
      <c r="M113" s="52"/>
      <c r="N113" s="52">
        <v>10</v>
      </c>
      <c r="O113" s="86" t="s">
        <v>973</v>
      </c>
      <c r="P113" s="86" t="s">
        <v>47</v>
      </c>
      <c r="Q113" s="86" t="s">
        <v>974</v>
      </c>
      <c r="R113" s="86">
        <v>1</v>
      </c>
      <c r="S113" s="86" t="s">
        <v>975</v>
      </c>
      <c r="T113" s="86">
        <v>15000</v>
      </c>
      <c r="U113" s="86">
        <v>12</v>
      </c>
      <c r="V113" s="58">
        <f t="shared" si="1"/>
        <v>180000</v>
      </c>
      <c r="W113" s="52" t="s">
        <v>50</v>
      </c>
      <c r="X113" s="52" t="s">
        <v>976</v>
      </c>
      <c r="Y113" s="52" t="s">
        <v>977</v>
      </c>
      <c r="Z113" s="52" t="s">
        <v>978</v>
      </c>
      <c r="AA113" s="52">
        <v>0</v>
      </c>
      <c r="AB113" s="52">
        <v>0</v>
      </c>
      <c r="AC113" s="52">
        <v>0</v>
      </c>
      <c r="AD113" s="21">
        <v>1</v>
      </c>
      <c r="AE113" s="21">
        <v>1</v>
      </c>
    </row>
    <row r="114" spans="1:31" s="55" customFormat="1" ht="45" customHeight="1" x14ac:dyDescent="0.25">
      <c r="A114" s="86" t="s">
        <v>562</v>
      </c>
      <c r="B114" s="52" t="s">
        <v>865</v>
      </c>
      <c r="C114" s="52"/>
      <c r="D114" s="52" t="s">
        <v>972</v>
      </c>
      <c r="E114" s="52"/>
      <c r="F114" s="52" t="s">
        <v>564</v>
      </c>
      <c r="G114" s="52"/>
      <c r="H114" s="52" t="s">
        <v>572</v>
      </c>
      <c r="I114" s="52" t="s">
        <v>17</v>
      </c>
      <c r="J114" s="52" t="s">
        <v>979</v>
      </c>
      <c r="K114" s="22" t="str">
        <f>VLOOKUP(CONCATENATE(A114,LEFT(J114,4)),AGRUPAMENTO!$D$2:$E$6784,2,FALSE)</f>
        <v>Material de consumo</v>
      </c>
      <c r="L114" s="52" t="s">
        <v>45</v>
      </c>
      <c r="M114" s="52"/>
      <c r="N114" s="52">
        <v>10</v>
      </c>
      <c r="O114" s="86" t="s">
        <v>980</v>
      </c>
      <c r="P114" s="86" t="s">
        <v>47</v>
      </c>
      <c r="Q114" s="86" t="s">
        <v>981</v>
      </c>
      <c r="R114" s="86">
        <v>17000</v>
      </c>
      <c r="S114" s="86" t="s">
        <v>982</v>
      </c>
      <c r="T114" s="86">
        <v>5</v>
      </c>
      <c r="U114" s="86">
        <v>1</v>
      </c>
      <c r="V114" s="58">
        <f t="shared" si="1"/>
        <v>85000</v>
      </c>
      <c r="W114" s="52" t="s">
        <v>69</v>
      </c>
      <c r="X114" s="52" t="s">
        <v>983</v>
      </c>
      <c r="Y114" s="52" t="s">
        <v>984</v>
      </c>
      <c r="Z114" s="52" t="s">
        <v>985</v>
      </c>
      <c r="AA114" s="52">
        <v>3</v>
      </c>
      <c r="AB114" s="52">
        <v>3</v>
      </c>
      <c r="AC114" s="52">
        <v>3</v>
      </c>
      <c r="AD114" s="21">
        <v>1</v>
      </c>
      <c r="AE114" s="21">
        <v>1</v>
      </c>
    </row>
    <row r="115" spans="1:31" s="55" customFormat="1" ht="45" customHeight="1" x14ac:dyDescent="0.25">
      <c r="A115" s="86" t="s">
        <v>562</v>
      </c>
      <c r="B115" s="52" t="s">
        <v>865</v>
      </c>
      <c r="C115" s="52"/>
      <c r="D115" s="52" t="s">
        <v>972</v>
      </c>
      <c r="E115" s="52"/>
      <c r="F115" s="52" t="s">
        <v>564</v>
      </c>
      <c r="G115" s="52"/>
      <c r="H115" s="52" t="s">
        <v>572</v>
      </c>
      <c r="I115" s="52" t="s">
        <v>17</v>
      </c>
      <c r="J115" s="52" t="s">
        <v>344</v>
      </c>
      <c r="K115" s="22" t="str">
        <f>VLOOKUP(CONCATENATE(A115,LEFT(J115,4)),AGRUPAMENTO!$D$2:$E$6784,2,FALSE)</f>
        <v>Material de consumo</v>
      </c>
      <c r="L115" s="52" t="s">
        <v>45</v>
      </c>
      <c r="M115" s="52"/>
      <c r="N115" s="52">
        <v>10</v>
      </c>
      <c r="O115" s="86" t="s">
        <v>986</v>
      </c>
      <c r="P115" s="86" t="s">
        <v>47</v>
      </c>
      <c r="Q115" s="86" t="s">
        <v>987</v>
      </c>
      <c r="R115" s="86">
        <v>8000</v>
      </c>
      <c r="S115" s="86" t="s">
        <v>982</v>
      </c>
      <c r="T115" s="86">
        <v>48</v>
      </c>
      <c r="U115" s="86">
        <v>2</v>
      </c>
      <c r="V115" s="58">
        <f t="shared" si="1"/>
        <v>768000</v>
      </c>
      <c r="W115" s="52" t="s">
        <v>50</v>
      </c>
      <c r="X115" s="52" t="s">
        <v>988</v>
      </c>
      <c r="Y115" s="52" t="s">
        <v>989</v>
      </c>
      <c r="Z115" s="52" t="s">
        <v>985</v>
      </c>
      <c r="AA115" s="52">
        <v>0</v>
      </c>
      <c r="AB115" s="52">
        <v>0</v>
      </c>
      <c r="AC115" s="52">
        <v>0</v>
      </c>
      <c r="AD115" s="21">
        <v>1</v>
      </c>
      <c r="AE115" s="21">
        <v>1</v>
      </c>
    </row>
    <row r="116" spans="1:31" s="55" customFormat="1" ht="45" customHeight="1" x14ac:dyDescent="0.25">
      <c r="A116" s="86" t="s">
        <v>562</v>
      </c>
      <c r="B116" s="52" t="s">
        <v>865</v>
      </c>
      <c r="C116" s="52"/>
      <c r="D116" s="52" t="s">
        <v>972</v>
      </c>
      <c r="E116" s="52"/>
      <c r="F116" s="52" t="s">
        <v>564</v>
      </c>
      <c r="G116" s="52"/>
      <c r="H116" s="52" t="s">
        <v>572</v>
      </c>
      <c r="I116" s="52" t="s">
        <v>17</v>
      </c>
      <c r="J116" s="52" t="s">
        <v>406</v>
      </c>
      <c r="K116" s="22" t="str">
        <f>VLOOKUP(CONCATENATE(A116,LEFT(J116,4)),AGRUPAMENTO!$D$2:$E$6784,2,FALSE)</f>
        <v>Material de consumo</v>
      </c>
      <c r="L116" s="52" t="s">
        <v>45</v>
      </c>
      <c r="M116" s="52"/>
      <c r="N116" s="52">
        <v>10</v>
      </c>
      <c r="O116" s="86" t="s">
        <v>990</v>
      </c>
      <c r="P116" s="86" t="s">
        <v>47</v>
      </c>
      <c r="Q116" s="86" t="s">
        <v>981</v>
      </c>
      <c r="R116" s="86">
        <v>20000</v>
      </c>
      <c r="S116" s="86" t="s">
        <v>982</v>
      </c>
      <c r="T116" s="86">
        <v>12</v>
      </c>
      <c r="U116" s="86">
        <v>2</v>
      </c>
      <c r="V116" s="58">
        <f t="shared" si="1"/>
        <v>480000</v>
      </c>
      <c r="W116" s="52" t="s">
        <v>50</v>
      </c>
      <c r="X116" s="52" t="s">
        <v>991</v>
      </c>
      <c r="Y116" s="52" t="s">
        <v>992</v>
      </c>
      <c r="Z116" s="52" t="s">
        <v>993</v>
      </c>
      <c r="AA116" s="52">
        <v>0</v>
      </c>
      <c r="AB116" s="52">
        <v>0</v>
      </c>
      <c r="AC116" s="52">
        <v>0</v>
      </c>
      <c r="AD116" s="21">
        <v>1</v>
      </c>
      <c r="AE116" s="21">
        <v>1</v>
      </c>
    </row>
    <row r="117" spans="1:31" s="55" customFormat="1" ht="45" customHeight="1" x14ac:dyDescent="0.25">
      <c r="A117" s="86" t="s">
        <v>562</v>
      </c>
      <c r="B117" s="52" t="s">
        <v>865</v>
      </c>
      <c r="C117" s="52"/>
      <c r="D117" s="52" t="s">
        <v>972</v>
      </c>
      <c r="E117" s="52"/>
      <c r="F117" s="52" t="s">
        <v>564</v>
      </c>
      <c r="G117" s="52"/>
      <c r="H117" s="52" t="s">
        <v>572</v>
      </c>
      <c r="I117" s="52" t="s">
        <v>17</v>
      </c>
      <c r="J117" s="52" t="s">
        <v>416</v>
      </c>
      <c r="K117" s="22" t="str">
        <f>VLOOKUP(CONCATENATE(A117,LEFT(J117,4)),AGRUPAMENTO!$D$2:$E$6784,2,FALSE)</f>
        <v>Reparo de imóveis</v>
      </c>
      <c r="L117" s="52" t="s">
        <v>45</v>
      </c>
      <c r="M117" s="52"/>
      <c r="N117" s="52">
        <v>10</v>
      </c>
      <c r="O117" s="86" t="s">
        <v>994</v>
      </c>
      <c r="P117" s="86" t="s">
        <v>47</v>
      </c>
      <c r="Q117" s="86" t="s">
        <v>981</v>
      </c>
      <c r="R117" s="86">
        <v>150</v>
      </c>
      <c r="S117" s="86" t="s">
        <v>982</v>
      </c>
      <c r="T117" s="86">
        <v>98</v>
      </c>
      <c r="U117" s="86">
        <v>1</v>
      </c>
      <c r="V117" s="58">
        <f t="shared" si="1"/>
        <v>14700</v>
      </c>
      <c r="W117" s="52" t="s">
        <v>50</v>
      </c>
      <c r="X117" s="52" t="s">
        <v>995</v>
      </c>
      <c r="Y117" s="52" t="s">
        <v>996</v>
      </c>
      <c r="Z117" s="52" t="s">
        <v>997</v>
      </c>
      <c r="AA117" s="52">
        <v>0</v>
      </c>
      <c r="AB117" s="52">
        <v>0</v>
      </c>
      <c r="AC117" s="52">
        <v>0</v>
      </c>
      <c r="AD117" s="21">
        <v>1</v>
      </c>
      <c r="AE117" s="21">
        <v>1</v>
      </c>
    </row>
    <row r="118" spans="1:31" s="55" customFormat="1" ht="45" customHeight="1" x14ac:dyDescent="0.25">
      <c r="A118" s="86" t="s">
        <v>562</v>
      </c>
      <c r="B118" s="52" t="s">
        <v>865</v>
      </c>
      <c r="C118" s="52"/>
      <c r="D118" s="52" t="s">
        <v>972</v>
      </c>
      <c r="E118" s="52"/>
      <c r="F118" s="52" t="s">
        <v>564</v>
      </c>
      <c r="G118" s="52"/>
      <c r="H118" s="52" t="s">
        <v>572</v>
      </c>
      <c r="I118" s="52" t="s">
        <v>17</v>
      </c>
      <c r="J118" s="52" t="s">
        <v>421</v>
      </c>
      <c r="K118" s="22" t="str">
        <f>VLOOKUP(CONCATENATE(A118,LEFT(J118,4)),AGRUPAMENTO!$D$2:$E$6784,2,FALSE)</f>
        <v>Material de consumo</v>
      </c>
      <c r="L118" s="52" t="s">
        <v>45</v>
      </c>
      <c r="M118" s="52"/>
      <c r="N118" s="52">
        <v>10</v>
      </c>
      <c r="O118" s="86" t="s">
        <v>998</v>
      </c>
      <c r="P118" s="86" t="s">
        <v>47</v>
      </c>
      <c r="Q118" s="86" t="s">
        <v>981</v>
      </c>
      <c r="R118" s="86">
        <v>200</v>
      </c>
      <c r="S118" s="86" t="s">
        <v>982</v>
      </c>
      <c r="T118" s="86">
        <v>227.65</v>
      </c>
      <c r="U118" s="86">
        <v>1</v>
      </c>
      <c r="V118" s="58">
        <f t="shared" si="1"/>
        <v>45530</v>
      </c>
      <c r="W118" s="52" t="s">
        <v>50</v>
      </c>
      <c r="X118" s="52" t="s">
        <v>999</v>
      </c>
      <c r="Y118" s="52" t="s">
        <v>996</v>
      </c>
      <c r="Z118" s="52" t="s">
        <v>997</v>
      </c>
      <c r="AA118" s="52">
        <v>0</v>
      </c>
      <c r="AB118" s="52">
        <v>0</v>
      </c>
      <c r="AC118" s="52">
        <v>0</v>
      </c>
      <c r="AD118" s="21">
        <v>1</v>
      </c>
      <c r="AE118" s="21">
        <v>1</v>
      </c>
    </row>
    <row r="119" spans="1:31" s="55" customFormat="1" ht="45" customHeight="1" x14ac:dyDescent="0.25">
      <c r="A119" s="86" t="s">
        <v>562</v>
      </c>
      <c r="B119" s="52" t="s">
        <v>865</v>
      </c>
      <c r="C119" s="52"/>
      <c r="D119" s="52" t="s">
        <v>972</v>
      </c>
      <c r="E119" s="52"/>
      <c r="F119" s="52" t="s">
        <v>564</v>
      </c>
      <c r="G119" s="52"/>
      <c r="H119" s="52" t="s">
        <v>572</v>
      </c>
      <c r="I119" s="52" t="s">
        <v>17</v>
      </c>
      <c r="J119" s="52" t="s">
        <v>431</v>
      </c>
      <c r="K119" s="22" t="str">
        <f>VLOOKUP(CONCATENATE(A119,LEFT(J119,4)),AGRUPAMENTO!$D$2:$E$6784,2,FALSE)</f>
        <v>Material de consumo</v>
      </c>
      <c r="L119" s="52" t="s">
        <v>45</v>
      </c>
      <c r="M119" s="52"/>
      <c r="N119" s="52">
        <v>10</v>
      </c>
      <c r="O119" s="86" t="s">
        <v>1000</v>
      </c>
      <c r="P119" s="86" t="s">
        <v>47</v>
      </c>
      <c r="Q119" s="86" t="s">
        <v>981</v>
      </c>
      <c r="R119" s="86">
        <v>100</v>
      </c>
      <c r="S119" s="86" t="s">
        <v>982</v>
      </c>
      <c r="T119" s="86">
        <v>80.459999999999994</v>
      </c>
      <c r="U119" s="86">
        <v>1</v>
      </c>
      <c r="V119" s="58">
        <f t="shared" si="1"/>
        <v>8045.9999999999991</v>
      </c>
      <c r="W119" s="52" t="s">
        <v>69</v>
      </c>
      <c r="X119" s="52" t="s">
        <v>1001</v>
      </c>
      <c r="Y119" s="52" t="s">
        <v>1002</v>
      </c>
      <c r="Z119" s="52" t="s">
        <v>1003</v>
      </c>
      <c r="AA119" s="52">
        <v>3</v>
      </c>
      <c r="AB119" s="52">
        <v>3</v>
      </c>
      <c r="AC119" s="52">
        <v>3</v>
      </c>
      <c r="AD119" s="21">
        <v>1</v>
      </c>
      <c r="AE119" s="21">
        <v>1</v>
      </c>
    </row>
    <row r="120" spans="1:31" s="55" customFormat="1" ht="45" customHeight="1" x14ac:dyDescent="0.25">
      <c r="A120" s="86" t="s">
        <v>562</v>
      </c>
      <c r="B120" s="52" t="s">
        <v>865</v>
      </c>
      <c r="C120" s="52"/>
      <c r="D120" s="52" t="s">
        <v>972</v>
      </c>
      <c r="E120" s="52"/>
      <c r="F120" s="52" t="s">
        <v>564</v>
      </c>
      <c r="G120" s="52"/>
      <c r="H120" s="52" t="s">
        <v>572</v>
      </c>
      <c r="I120" s="52" t="s">
        <v>17</v>
      </c>
      <c r="J120" s="52" t="s">
        <v>436</v>
      </c>
      <c r="K120" s="22" t="str">
        <f>VLOOKUP(CONCATENATE(A120,LEFT(J120,4)),AGRUPAMENTO!$D$2:$E$6784,2,FALSE)</f>
        <v>Frota</v>
      </c>
      <c r="L120" s="52" t="s">
        <v>45</v>
      </c>
      <c r="M120" s="52"/>
      <c r="N120" s="52">
        <v>10</v>
      </c>
      <c r="O120" s="86" t="s">
        <v>1004</v>
      </c>
      <c r="P120" s="86" t="s">
        <v>47</v>
      </c>
      <c r="Q120" s="86" t="s">
        <v>981</v>
      </c>
      <c r="R120" s="86">
        <v>500</v>
      </c>
      <c r="S120" s="86" t="s">
        <v>982</v>
      </c>
      <c r="T120" s="86">
        <v>990</v>
      </c>
      <c r="U120" s="86">
        <v>1</v>
      </c>
      <c r="V120" s="58">
        <f t="shared" si="1"/>
        <v>495000</v>
      </c>
      <c r="W120" s="52" t="s">
        <v>50</v>
      </c>
      <c r="X120" s="52" t="s">
        <v>1005</v>
      </c>
      <c r="Y120" s="52" t="s">
        <v>1006</v>
      </c>
      <c r="Z120" s="52" t="s">
        <v>1007</v>
      </c>
      <c r="AA120" s="52">
        <v>0</v>
      </c>
      <c r="AB120" s="52">
        <v>0</v>
      </c>
      <c r="AC120" s="52">
        <v>0</v>
      </c>
      <c r="AD120" s="21">
        <v>1</v>
      </c>
      <c r="AE120" s="21">
        <v>1</v>
      </c>
    </row>
    <row r="121" spans="1:31" s="55" customFormat="1" ht="45" customHeight="1" x14ac:dyDescent="0.25">
      <c r="A121" s="86" t="s">
        <v>562</v>
      </c>
      <c r="B121" s="52" t="s">
        <v>865</v>
      </c>
      <c r="C121" s="52"/>
      <c r="D121" s="52" t="s">
        <v>972</v>
      </c>
      <c r="E121" s="52"/>
      <c r="F121" s="52" t="s">
        <v>564</v>
      </c>
      <c r="G121" s="52"/>
      <c r="H121" s="52" t="s">
        <v>572</v>
      </c>
      <c r="I121" s="52" t="s">
        <v>17</v>
      </c>
      <c r="J121" s="52" t="s">
        <v>451</v>
      </c>
      <c r="K121" s="22" t="str">
        <f>VLOOKUP(CONCATENATE(A121,LEFT(J121,4)),AGRUPAMENTO!$D$2:$E$6784,2,FALSE)</f>
        <v>Frota</v>
      </c>
      <c r="L121" s="52" t="s">
        <v>45</v>
      </c>
      <c r="M121" s="52"/>
      <c r="N121" s="52">
        <v>10</v>
      </c>
      <c r="O121" s="86" t="s">
        <v>1008</v>
      </c>
      <c r="P121" s="86" t="s">
        <v>47</v>
      </c>
      <c r="Q121" s="86" t="s">
        <v>1009</v>
      </c>
      <c r="R121" s="86">
        <v>1</v>
      </c>
      <c r="S121" s="86" t="s">
        <v>1010</v>
      </c>
      <c r="T121" s="86">
        <v>125093.6</v>
      </c>
      <c r="U121" s="86">
        <v>12</v>
      </c>
      <c r="V121" s="58">
        <f t="shared" si="1"/>
        <v>1501123.2000000002</v>
      </c>
      <c r="W121" s="52" t="s">
        <v>50</v>
      </c>
      <c r="X121" s="52" t="s">
        <v>1011</v>
      </c>
      <c r="Y121" s="52" t="s">
        <v>1012</v>
      </c>
      <c r="Z121" s="52" t="s">
        <v>978</v>
      </c>
      <c r="AA121" s="52">
        <v>0</v>
      </c>
      <c r="AB121" s="52">
        <v>0</v>
      </c>
      <c r="AC121" s="52">
        <v>0</v>
      </c>
      <c r="AD121" s="21">
        <v>1</v>
      </c>
      <c r="AE121" s="21">
        <v>1</v>
      </c>
    </row>
    <row r="122" spans="1:31" s="55" customFormat="1" ht="45" customHeight="1" x14ac:dyDescent="0.25">
      <c r="A122" s="86" t="s">
        <v>562</v>
      </c>
      <c r="B122" s="52" t="s">
        <v>865</v>
      </c>
      <c r="C122" s="52"/>
      <c r="D122" s="52" t="s">
        <v>972</v>
      </c>
      <c r="E122" s="52"/>
      <c r="F122" s="52" t="s">
        <v>564</v>
      </c>
      <c r="G122" s="52"/>
      <c r="H122" s="52" t="s">
        <v>572</v>
      </c>
      <c r="I122" s="52" t="s">
        <v>17</v>
      </c>
      <c r="J122" s="52" t="s">
        <v>456</v>
      </c>
      <c r="K122" s="22" t="str">
        <f>VLOOKUP(CONCATENATE(A122,LEFT(J122,4)),AGRUPAMENTO!$D$2:$E$6784,2,FALSE)</f>
        <v>Material de consumo</v>
      </c>
      <c r="L122" s="52" t="s">
        <v>45</v>
      </c>
      <c r="M122" s="52"/>
      <c r="N122" s="52">
        <v>10</v>
      </c>
      <c r="O122" s="86" t="s">
        <v>1013</v>
      </c>
      <c r="P122" s="86" t="s">
        <v>47</v>
      </c>
      <c r="Q122" s="86" t="s">
        <v>981</v>
      </c>
      <c r="R122" s="86">
        <v>15</v>
      </c>
      <c r="S122" s="86" t="s">
        <v>982</v>
      </c>
      <c r="T122" s="86">
        <v>130</v>
      </c>
      <c r="U122" s="86">
        <v>1</v>
      </c>
      <c r="V122" s="58">
        <f t="shared" si="1"/>
        <v>1950</v>
      </c>
      <c r="W122" s="52" t="s">
        <v>50</v>
      </c>
      <c r="X122" s="52" t="s">
        <v>1013</v>
      </c>
      <c r="Y122" s="52" t="s">
        <v>1014</v>
      </c>
      <c r="Z122" s="52" t="s">
        <v>1015</v>
      </c>
      <c r="AA122" s="52">
        <v>0</v>
      </c>
      <c r="AB122" s="52">
        <v>0</v>
      </c>
      <c r="AC122" s="52">
        <v>0</v>
      </c>
      <c r="AD122" s="21">
        <v>1</v>
      </c>
      <c r="AE122" s="21">
        <v>1</v>
      </c>
    </row>
    <row r="123" spans="1:31" s="55" customFormat="1" ht="45" customHeight="1" x14ac:dyDescent="0.25">
      <c r="A123" s="86" t="s">
        <v>562</v>
      </c>
      <c r="B123" s="52" t="s">
        <v>865</v>
      </c>
      <c r="C123" s="52"/>
      <c r="D123" s="52" t="s">
        <v>972</v>
      </c>
      <c r="E123" s="52"/>
      <c r="F123" s="52" t="s">
        <v>564</v>
      </c>
      <c r="G123" s="52"/>
      <c r="H123" s="52" t="s">
        <v>572</v>
      </c>
      <c r="I123" s="52" t="s">
        <v>17</v>
      </c>
      <c r="J123" s="52" t="s">
        <v>295</v>
      </c>
      <c r="K123" s="22" t="str">
        <f>VLOOKUP(CONCATENATE(A123,LEFT(J123,4)),AGRUPAMENTO!$D$2:$E$6784,2,FALSE)</f>
        <v>Diárias e viagens</v>
      </c>
      <c r="L123" s="52" t="s">
        <v>45</v>
      </c>
      <c r="M123" s="52"/>
      <c r="N123" s="52">
        <v>10</v>
      </c>
      <c r="O123" s="86" t="s">
        <v>1016</v>
      </c>
      <c r="P123" s="86" t="s">
        <v>47</v>
      </c>
      <c r="Q123" s="86" t="s">
        <v>1017</v>
      </c>
      <c r="R123" s="86">
        <v>1</v>
      </c>
      <c r="S123" s="86" t="s">
        <v>1018</v>
      </c>
      <c r="T123" s="86">
        <v>500000</v>
      </c>
      <c r="U123" s="86">
        <v>1</v>
      </c>
      <c r="V123" s="58">
        <f t="shared" si="1"/>
        <v>500000</v>
      </c>
      <c r="W123" s="52" t="s">
        <v>50</v>
      </c>
      <c r="X123" s="52" t="s">
        <v>1019</v>
      </c>
      <c r="Y123" s="52" t="s">
        <v>1012</v>
      </c>
      <c r="Z123" s="52" t="s">
        <v>1020</v>
      </c>
      <c r="AA123" s="52">
        <v>0</v>
      </c>
      <c r="AB123" s="52">
        <v>0</v>
      </c>
      <c r="AC123" s="52">
        <v>0</v>
      </c>
      <c r="AD123" s="21">
        <v>1</v>
      </c>
      <c r="AE123" s="21">
        <v>1</v>
      </c>
    </row>
    <row r="124" spans="1:31" s="55" customFormat="1" ht="45" customHeight="1" x14ac:dyDescent="0.25">
      <c r="A124" s="86" t="s">
        <v>562</v>
      </c>
      <c r="B124" s="52" t="s">
        <v>865</v>
      </c>
      <c r="C124" s="52"/>
      <c r="D124" s="52" t="s">
        <v>972</v>
      </c>
      <c r="E124" s="52"/>
      <c r="F124" s="52" t="s">
        <v>564</v>
      </c>
      <c r="G124" s="52"/>
      <c r="H124" s="52" t="s">
        <v>572</v>
      </c>
      <c r="I124" s="52" t="s">
        <v>17</v>
      </c>
      <c r="J124" s="52" t="s">
        <v>309</v>
      </c>
      <c r="K124" s="22" t="str">
        <f>VLOOKUP(CONCATENATE(A124,LEFT(J124,4)),AGRUPAMENTO!$D$2:$E$6784,2,FALSE)</f>
        <v>Demais despesas de custeio</v>
      </c>
      <c r="L124" s="52" t="s">
        <v>45</v>
      </c>
      <c r="M124" s="52"/>
      <c r="N124" s="52">
        <v>10</v>
      </c>
      <c r="O124" s="86" t="s">
        <v>1021</v>
      </c>
      <c r="P124" s="86" t="s">
        <v>47</v>
      </c>
      <c r="Q124" s="86" t="s">
        <v>1022</v>
      </c>
      <c r="R124" s="86">
        <v>1</v>
      </c>
      <c r="S124" s="86" t="s">
        <v>1023</v>
      </c>
      <c r="T124" s="86">
        <v>87860.83</v>
      </c>
      <c r="U124" s="86">
        <v>12</v>
      </c>
      <c r="V124" s="58">
        <f t="shared" si="1"/>
        <v>1054329.96</v>
      </c>
      <c r="W124" s="52" t="s">
        <v>69</v>
      </c>
      <c r="X124" s="52" t="s">
        <v>1024</v>
      </c>
      <c r="Y124" s="52" t="s">
        <v>1025</v>
      </c>
      <c r="Z124" s="52" t="s">
        <v>1026</v>
      </c>
      <c r="AA124" s="52">
        <v>3</v>
      </c>
      <c r="AB124" s="52">
        <v>3</v>
      </c>
      <c r="AC124" s="52">
        <v>3</v>
      </c>
      <c r="AD124" s="21">
        <v>1</v>
      </c>
      <c r="AE124" s="21">
        <v>1</v>
      </c>
    </row>
    <row r="125" spans="1:31" s="55" customFormat="1" ht="45" customHeight="1" x14ac:dyDescent="0.25">
      <c r="A125" s="86" t="s">
        <v>562</v>
      </c>
      <c r="B125" s="52" t="s">
        <v>865</v>
      </c>
      <c r="C125" s="52"/>
      <c r="D125" s="52" t="s">
        <v>972</v>
      </c>
      <c r="E125" s="52"/>
      <c r="F125" s="52" t="s">
        <v>564</v>
      </c>
      <c r="G125" s="52"/>
      <c r="H125" s="52" t="s">
        <v>572</v>
      </c>
      <c r="I125" s="52" t="s">
        <v>17</v>
      </c>
      <c r="J125" s="52" t="s">
        <v>370</v>
      </c>
      <c r="K125" s="22" t="str">
        <f>VLOOKUP(CONCATENATE(A125,LEFT(J125,4)),AGRUPAMENTO!$D$2:$E$6784,2,FALSE)</f>
        <v>Demais despesas de custeio</v>
      </c>
      <c r="L125" s="52" t="s">
        <v>45</v>
      </c>
      <c r="M125" s="52"/>
      <c r="N125" s="52">
        <v>10</v>
      </c>
      <c r="O125" s="86" t="s">
        <v>1027</v>
      </c>
      <c r="P125" s="86" t="s">
        <v>47</v>
      </c>
      <c r="Q125" s="86" t="s">
        <v>1028</v>
      </c>
      <c r="R125" s="86">
        <v>1</v>
      </c>
      <c r="S125" s="86" t="s">
        <v>1028</v>
      </c>
      <c r="T125" s="86">
        <v>400</v>
      </c>
      <c r="U125" s="86">
        <v>12</v>
      </c>
      <c r="V125" s="58">
        <f t="shared" si="1"/>
        <v>4800</v>
      </c>
      <c r="W125" s="52" t="s">
        <v>69</v>
      </c>
      <c r="X125" s="52" t="s">
        <v>1029</v>
      </c>
      <c r="Y125" s="52" t="s">
        <v>1030</v>
      </c>
      <c r="Z125" s="52" t="s">
        <v>1031</v>
      </c>
      <c r="AA125" s="52">
        <v>3</v>
      </c>
      <c r="AB125" s="52">
        <v>3</v>
      </c>
      <c r="AC125" s="52">
        <v>3</v>
      </c>
      <c r="AD125" s="21">
        <v>1</v>
      </c>
      <c r="AE125" s="21">
        <v>1</v>
      </c>
    </row>
    <row r="126" spans="1:31" s="55" customFormat="1" ht="45" customHeight="1" x14ac:dyDescent="0.25">
      <c r="A126" s="86" t="s">
        <v>562</v>
      </c>
      <c r="B126" s="52" t="s">
        <v>865</v>
      </c>
      <c r="C126" s="52"/>
      <c r="D126" s="52" t="s">
        <v>972</v>
      </c>
      <c r="E126" s="52"/>
      <c r="F126" s="52" t="s">
        <v>564</v>
      </c>
      <c r="G126" s="52"/>
      <c r="H126" s="52" t="s">
        <v>572</v>
      </c>
      <c r="I126" s="52" t="s">
        <v>17</v>
      </c>
      <c r="J126" s="52" t="s">
        <v>116</v>
      </c>
      <c r="K126" s="22" t="str">
        <f>VLOOKUP(CONCATENATE(A126,LEFT(J126,4)),AGRUPAMENTO!$D$2:$E$6784,2,FALSE)</f>
        <v>Terceirizados - MGS</v>
      </c>
      <c r="L126" s="52" t="s">
        <v>45</v>
      </c>
      <c r="M126" s="52"/>
      <c r="N126" s="52">
        <v>10</v>
      </c>
      <c r="O126" s="86" t="s">
        <v>1032</v>
      </c>
      <c r="P126" s="86" t="s">
        <v>47</v>
      </c>
      <c r="Q126" s="86" t="s">
        <v>1033</v>
      </c>
      <c r="R126" s="86">
        <v>1</v>
      </c>
      <c r="S126" s="86" t="s">
        <v>1034</v>
      </c>
      <c r="T126" s="86">
        <v>160186.82</v>
      </c>
      <c r="U126" s="86">
        <v>12</v>
      </c>
      <c r="V126" s="58">
        <f t="shared" si="1"/>
        <v>1922241.84</v>
      </c>
      <c r="W126" s="52" t="s">
        <v>50</v>
      </c>
      <c r="X126" s="52" t="s">
        <v>1035</v>
      </c>
      <c r="Y126" s="52" t="s">
        <v>1036</v>
      </c>
      <c r="Z126" s="52" t="s">
        <v>1037</v>
      </c>
      <c r="AA126" s="52">
        <v>0</v>
      </c>
      <c r="AB126" s="52">
        <v>0</v>
      </c>
      <c r="AC126" s="52">
        <v>0</v>
      </c>
      <c r="AD126" s="21">
        <v>1</v>
      </c>
      <c r="AE126" s="21">
        <v>1</v>
      </c>
    </row>
    <row r="127" spans="1:31" s="55" customFormat="1" ht="45" customHeight="1" x14ac:dyDescent="0.25">
      <c r="A127" s="86" t="s">
        <v>562</v>
      </c>
      <c r="B127" s="52" t="s">
        <v>865</v>
      </c>
      <c r="C127" s="52"/>
      <c r="D127" s="52" t="s">
        <v>972</v>
      </c>
      <c r="E127" s="52"/>
      <c r="F127" s="52" t="s">
        <v>564</v>
      </c>
      <c r="G127" s="52"/>
      <c r="H127" s="52" t="s">
        <v>572</v>
      </c>
      <c r="I127" s="52" t="s">
        <v>17</v>
      </c>
      <c r="J127" s="52" t="s">
        <v>298</v>
      </c>
      <c r="K127" s="22" t="str">
        <f>VLOOKUP(CONCATENATE(A127,LEFT(J127,4)),AGRUPAMENTO!$D$2:$E$6784,2,FALSE)</f>
        <v>Terceirizados - MGS</v>
      </c>
      <c r="L127" s="52" t="s">
        <v>45</v>
      </c>
      <c r="M127" s="52"/>
      <c r="N127" s="52">
        <v>10</v>
      </c>
      <c r="O127" s="86" t="s">
        <v>1032</v>
      </c>
      <c r="P127" s="86" t="s">
        <v>47</v>
      </c>
      <c r="Q127" s="86" t="s">
        <v>1038</v>
      </c>
      <c r="R127" s="86">
        <v>1</v>
      </c>
      <c r="S127" s="86" t="s">
        <v>1039</v>
      </c>
      <c r="T127" s="86">
        <v>1811182.12</v>
      </c>
      <c r="U127" s="86">
        <v>12</v>
      </c>
      <c r="V127" s="58">
        <f t="shared" si="1"/>
        <v>21734185.440000001</v>
      </c>
      <c r="W127" s="52" t="s">
        <v>50</v>
      </c>
      <c r="X127" s="52" t="s">
        <v>1040</v>
      </c>
      <c r="Y127" s="52" t="s">
        <v>1036</v>
      </c>
      <c r="Z127" s="52" t="s">
        <v>1037</v>
      </c>
      <c r="AA127" s="52">
        <v>0</v>
      </c>
      <c r="AB127" s="52">
        <v>0</v>
      </c>
      <c r="AC127" s="52">
        <v>0</v>
      </c>
      <c r="AD127" s="21">
        <v>1</v>
      </c>
      <c r="AE127" s="21">
        <v>1</v>
      </c>
    </row>
    <row r="128" spans="1:31" s="55" customFormat="1" ht="45" customHeight="1" x14ac:dyDescent="0.25">
      <c r="A128" s="86" t="s">
        <v>562</v>
      </c>
      <c r="B128" s="52" t="s">
        <v>865</v>
      </c>
      <c r="C128" s="52"/>
      <c r="D128" s="52" t="s">
        <v>972</v>
      </c>
      <c r="E128" s="52"/>
      <c r="F128" s="52" t="s">
        <v>564</v>
      </c>
      <c r="G128" s="52"/>
      <c r="H128" s="52" t="s">
        <v>572</v>
      </c>
      <c r="I128" s="52" t="s">
        <v>17</v>
      </c>
      <c r="J128" s="52" t="s">
        <v>312</v>
      </c>
      <c r="K128" s="22" t="str">
        <f>VLOOKUP(CONCATENATE(A128,LEFT(J128,4)),AGRUPAMENTO!$D$2:$E$6784,2,FALSE)</f>
        <v>Terceirizados - MGS</v>
      </c>
      <c r="L128" s="52" t="s">
        <v>45</v>
      </c>
      <c r="M128" s="52"/>
      <c r="N128" s="52">
        <v>10</v>
      </c>
      <c r="O128" s="86" t="s">
        <v>1041</v>
      </c>
      <c r="P128" s="86" t="s">
        <v>47</v>
      </c>
      <c r="Q128" s="86" t="s">
        <v>1038</v>
      </c>
      <c r="R128" s="86">
        <v>1</v>
      </c>
      <c r="S128" s="86" t="s">
        <v>1039</v>
      </c>
      <c r="T128" s="86">
        <v>224722.32</v>
      </c>
      <c r="U128" s="86">
        <v>12</v>
      </c>
      <c r="V128" s="58">
        <f t="shared" ref="V128:V191" si="2">R128*T128*U128</f>
        <v>2696667.84</v>
      </c>
      <c r="W128" s="52" t="s">
        <v>50</v>
      </c>
      <c r="X128" s="52" t="s">
        <v>1040</v>
      </c>
      <c r="Y128" s="52" t="s">
        <v>1036</v>
      </c>
      <c r="Z128" s="52" t="s">
        <v>1037</v>
      </c>
      <c r="AA128" s="52">
        <v>0</v>
      </c>
      <c r="AB128" s="52">
        <v>0</v>
      </c>
      <c r="AC128" s="52">
        <v>0</v>
      </c>
      <c r="AD128" s="21">
        <v>1</v>
      </c>
      <c r="AE128" s="21">
        <v>1</v>
      </c>
    </row>
    <row r="129" spans="1:31" s="55" customFormat="1" ht="45" customHeight="1" x14ac:dyDescent="0.25">
      <c r="A129" s="86" t="s">
        <v>562</v>
      </c>
      <c r="B129" s="52" t="s">
        <v>865</v>
      </c>
      <c r="C129" s="52"/>
      <c r="D129" s="52" t="s">
        <v>972</v>
      </c>
      <c r="E129" s="52"/>
      <c r="F129" s="52" t="s">
        <v>564</v>
      </c>
      <c r="G129" s="52"/>
      <c r="H129" s="52" t="s">
        <v>572</v>
      </c>
      <c r="I129" s="52" t="s">
        <v>17</v>
      </c>
      <c r="J129" s="52" t="s">
        <v>299</v>
      </c>
      <c r="K129" s="22" t="str">
        <f>VLOOKUP(CONCATENATE(A129,LEFT(J129,4)),AGRUPAMENTO!$D$2:$E$6784,2,FALSE)</f>
        <v>Demais despesas de custeio</v>
      </c>
      <c r="L129" s="52" t="s">
        <v>45</v>
      </c>
      <c r="M129" s="52"/>
      <c r="N129" s="52">
        <v>10</v>
      </c>
      <c r="O129" s="86" t="s">
        <v>1042</v>
      </c>
      <c r="P129" s="86" t="s">
        <v>47</v>
      </c>
      <c r="Q129" s="86" t="s">
        <v>1043</v>
      </c>
      <c r="R129" s="86">
        <v>1</v>
      </c>
      <c r="S129" s="86" t="s">
        <v>1044</v>
      </c>
      <c r="T129" s="86">
        <v>2500</v>
      </c>
      <c r="U129" s="86">
        <v>12</v>
      </c>
      <c r="V129" s="58">
        <f t="shared" si="2"/>
        <v>30000</v>
      </c>
      <c r="W129" s="52" t="s">
        <v>50</v>
      </c>
      <c r="X129" s="52" t="s">
        <v>1045</v>
      </c>
      <c r="Y129" s="52" t="s">
        <v>1046</v>
      </c>
      <c r="Z129" s="52" t="s">
        <v>1047</v>
      </c>
      <c r="AA129" s="52">
        <v>0</v>
      </c>
      <c r="AB129" s="52">
        <v>0</v>
      </c>
      <c r="AC129" s="52">
        <v>0</v>
      </c>
      <c r="AD129" s="21">
        <v>1</v>
      </c>
      <c r="AE129" s="21">
        <v>1</v>
      </c>
    </row>
    <row r="130" spans="1:31" s="55" customFormat="1" ht="45" customHeight="1" x14ac:dyDescent="0.25">
      <c r="A130" s="86" t="s">
        <v>562</v>
      </c>
      <c r="B130" s="52" t="s">
        <v>865</v>
      </c>
      <c r="C130" s="52"/>
      <c r="D130" s="52" t="s">
        <v>972</v>
      </c>
      <c r="E130" s="52"/>
      <c r="F130" s="52" t="s">
        <v>564</v>
      </c>
      <c r="G130" s="52"/>
      <c r="H130" s="52" t="s">
        <v>572</v>
      </c>
      <c r="I130" s="52" t="s">
        <v>17</v>
      </c>
      <c r="J130" s="52" t="s">
        <v>326</v>
      </c>
      <c r="K130" s="22" t="str">
        <f>VLOOKUP(CONCATENATE(A130,LEFT(J130,4)),AGRUPAMENTO!$D$2:$E$6784,2,FALSE)</f>
        <v>Demais despesas de custeio</v>
      </c>
      <c r="L130" s="52" t="s">
        <v>45</v>
      </c>
      <c r="M130" s="52"/>
      <c r="N130" s="52">
        <v>10</v>
      </c>
      <c r="O130" s="86" t="s">
        <v>1048</v>
      </c>
      <c r="P130" s="86" t="s">
        <v>47</v>
      </c>
      <c r="Q130" s="86" t="s">
        <v>1049</v>
      </c>
      <c r="R130" s="86">
        <v>1</v>
      </c>
      <c r="S130" s="86" t="s">
        <v>1044</v>
      </c>
      <c r="T130" s="86">
        <v>1920000</v>
      </c>
      <c r="U130" s="86">
        <v>1</v>
      </c>
      <c r="V130" s="58">
        <f t="shared" si="2"/>
        <v>1920000</v>
      </c>
      <c r="W130" s="52" t="s">
        <v>50</v>
      </c>
      <c r="X130" s="52" t="s">
        <v>1050</v>
      </c>
      <c r="Y130" s="52" t="s">
        <v>1051</v>
      </c>
      <c r="Z130" s="52" t="s">
        <v>1037</v>
      </c>
      <c r="AA130" s="52">
        <v>0</v>
      </c>
      <c r="AB130" s="52">
        <v>0</v>
      </c>
      <c r="AC130" s="52">
        <v>0</v>
      </c>
      <c r="AD130" s="21">
        <v>1</v>
      </c>
      <c r="AE130" s="21">
        <v>1</v>
      </c>
    </row>
    <row r="131" spans="1:31" s="55" customFormat="1" ht="45" customHeight="1" x14ac:dyDescent="0.25">
      <c r="A131" s="86" t="s">
        <v>562</v>
      </c>
      <c r="B131" s="52" t="s">
        <v>865</v>
      </c>
      <c r="C131" s="52"/>
      <c r="D131" s="52" t="s">
        <v>972</v>
      </c>
      <c r="E131" s="52"/>
      <c r="F131" s="52" t="s">
        <v>564</v>
      </c>
      <c r="G131" s="52"/>
      <c r="H131" s="52" t="s">
        <v>572</v>
      </c>
      <c r="I131" s="52" t="s">
        <v>17</v>
      </c>
      <c r="J131" s="52" t="s">
        <v>356</v>
      </c>
      <c r="K131" s="22" t="str">
        <f>VLOOKUP(CONCATENATE(A131,LEFT(J131,4)),AGRUPAMENTO!$D$2:$E$6784,2,FALSE)</f>
        <v>Demais despesas de custeio</v>
      </c>
      <c r="L131" s="52" t="s">
        <v>45</v>
      </c>
      <c r="M131" s="52"/>
      <c r="N131" s="52">
        <v>10</v>
      </c>
      <c r="O131" s="86" t="s">
        <v>1052</v>
      </c>
      <c r="P131" s="86" t="s">
        <v>47</v>
      </c>
      <c r="Q131" s="86" t="s">
        <v>1053</v>
      </c>
      <c r="R131" s="86">
        <v>2</v>
      </c>
      <c r="S131" s="86" t="s">
        <v>1054</v>
      </c>
      <c r="T131" s="86">
        <v>17500</v>
      </c>
      <c r="U131" s="86">
        <v>1</v>
      </c>
      <c r="V131" s="58">
        <f t="shared" si="2"/>
        <v>35000</v>
      </c>
      <c r="W131" s="52" t="s">
        <v>69</v>
      </c>
      <c r="X131" s="52" t="s">
        <v>1055</v>
      </c>
      <c r="Y131" s="52" t="s">
        <v>1056</v>
      </c>
      <c r="Z131" s="52" t="s">
        <v>1057</v>
      </c>
      <c r="AA131" s="52">
        <v>3</v>
      </c>
      <c r="AB131" s="52">
        <v>3</v>
      </c>
      <c r="AC131" s="52">
        <v>3</v>
      </c>
      <c r="AD131" s="21">
        <v>1</v>
      </c>
      <c r="AE131" s="21">
        <v>1</v>
      </c>
    </row>
    <row r="132" spans="1:31" s="55" customFormat="1" ht="45" customHeight="1" x14ac:dyDescent="0.25">
      <c r="A132" s="86" t="s">
        <v>562</v>
      </c>
      <c r="B132" s="52" t="s">
        <v>865</v>
      </c>
      <c r="C132" s="52"/>
      <c r="D132" s="52" t="s">
        <v>972</v>
      </c>
      <c r="E132" s="52"/>
      <c r="F132" s="52" t="s">
        <v>564</v>
      </c>
      <c r="G132" s="52"/>
      <c r="H132" s="52" t="s">
        <v>1058</v>
      </c>
      <c r="I132" s="52" t="s">
        <v>17</v>
      </c>
      <c r="J132" s="52" t="s">
        <v>166</v>
      </c>
      <c r="K132" s="22" t="str">
        <f>VLOOKUP(CONCATENATE(A132,LEFT(J132,4)),AGRUPAMENTO!$D$2:$E$6784,2,FALSE)</f>
        <v>Utilidade Pública</v>
      </c>
      <c r="L132" s="52" t="s">
        <v>45</v>
      </c>
      <c r="M132" s="52"/>
      <c r="N132" s="52">
        <v>10</v>
      </c>
      <c r="O132" s="86" t="s">
        <v>1059</v>
      </c>
      <c r="P132" s="86" t="s">
        <v>47</v>
      </c>
      <c r="Q132" s="86" t="s">
        <v>1060</v>
      </c>
      <c r="R132" s="86">
        <v>44</v>
      </c>
      <c r="S132" s="86" t="s">
        <v>770</v>
      </c>
      <c r="T132" s="86">
        <v>8350</v>
      </c>
      <c r="U132" s="86">
        <v>12</v>
      </c>
      <c r="V132" s="58">
        <f t="shared" si="2"/>
        <v>4408800</v>
      </c>
      <c r="W132" s="52" t="s">
        <v>50</v>
      </c>
      <c r="X132" s="52" t="s">
        <v>1061</v>
      </c>
      <c r="Y132" s="52" t="s">
        <v>1062</v>
      </c>
      <c r="Z132" s="52" t="s">
        <v>1063</v>
      </c>
      <c r="AA132" s="52">
        <v>0</v>
      </c>
      <c r="AB132" s="52">
        <v>0</v>
      </c>
      <c r="AC132" s="52">
        <v>0</v>
      </c>
      <c r="AD132" s="21">
        <v>1</v>
      </c>
      <c r="AE132" s="21">
        <v>1</v>
      </c>
    </row>
    <row r="133" spans="1:31" s="55" customFormat="1" ht="45" customHeight="1" x14ac:dyDescent="0.25">
      <c r="A133" s="86" t="s">
        <v>562</v>
      </c>
      <c r="B133" s="52" t="s">
        <v>865</v>
      </c>
      <c r="C133" s="52"/>
      <c r="D133" s="52" t="s">
        <v>972</v>
      </c>
      <c r="E133" s="52"/>
      <c r="F133" s="52" t="s">
        <v>564</v>
      </c>
      <c r="G133" s="52"/>
      <c r="H133" s="52" t="s">
        <v>572</v>
      </c>
      <c r="I133" s="52" t="s">
        <v>17</v>
      </c>
      <c r="J133" s="52" t="s">
        <v>166</v>
      </c>
      <c r="K133" s="22" t="str">
        <f>VLOOKUP(CONCATENATE(A133,LEFT(J133,4)),AGRUPAMENTO!$D$2:$E$6784,2,FALSE)</f>
        <v>Utilidade Pública</v>
      </c>
      <c r="L133" s="52" t="s">
        <v>45</v>
      </c>
      <c r="M133" s="52"/>
      <c r="N133" s="52">
        <v>10</v>
      </c>
      <c r="O133" s="86" t="s">
        <v>1064</v>
      </c>
      <c r="P133" s="86" t="s">
        <v>47</v>
      </c>
      <c r="Q133" s="86" t="s">
        <v>1065</v>
      </c>
      <c r="R133" s="86">
        <v>1</v>
      </c>
      <c r="S133" s="86" t="s">
        <v>770</v>
      </c>
      <c r="T133" s="86">
        <v>30000</v>
      </c>
      <c r="U133" s="86">
        <v>12</v>
      </c>
      <c r="V133" s="58">
        <f t="shared" si="2"/>
        <v>360000</v>
      </c>
      <c r="W133" s="52" t="s">
        <v>50</v>
      </c>
      <c r="X133" s="52" t="s">
        <v>1066</v>
      </c>
      <c r="Y133" s="52" t="s">
        <v>1067</v>
      </c>
      <c r="Z133" s="52" t="s">
        <v>1068</v>
      </c>
      <c r="AA133" s="52">
        <v>0</v>
      </c>
      <c r="AB133" s="52">
        <v>0</v>
      </c>
      <c r="AC133" s="52">
        <v>0</v>
      </c>
      <c r="AD133" s="21">
        <v>1</v>
      </c>
      <c r="AE133" s="21">
        <v>1</v>
      </c>
    </row>
    <row r="134" spans="1:31" s="55" customFormat="1" ht="45" customHeight="1" x14ac:dyDescent="0.25">
      <c r="A134" s="86" t="s">
        <v>562</v>
      </c>
      <c r="B134" s="52" t="s">
        <v>865</v>
      </c>
      <c r="C134" s="52"/>
      <c r="D134" s="52" t="s">
        <v>972</v>
      </c>
      <c r="E134" s="52"/>
      <c r="F134" s="52" t="s">
        <v>714</v>
      </c>
      <c r="G134" s="52"/>
      <c r="H134" s="52" t="s">
        <v>1069</v>
      </c>
      <c r="I134" s="52" t="s">
        <v>17</v>
      </c>
      <c r="J134" s="52" t="s">
        <v>166</v>
      </c>
      <c r="K134" s="22" t="str">
        <f>VLOOKUP(CONCATENATE(A134,LEFT(J134,4)),AGRUPAMENTO!$D$2:$E$6784,2,FALSE)</f>
        <v>Utilidade Pública</v>
      </c>
      <c r="L134" s="52" t="s">
        <v>45</v>
      </c>
      <c r="M134" s="52"/>
      <c r="N134" s="52">
        <v>10</v>
      </c>
      <c r="O134" s="86" t="s">
        <v>1070</v>
      </c>
      <c r="P134" s="86" t="s">
        <v>47</v>
      </c>
      <c r="Q134" s="86" t="s">
        <v>1071</v>
      </c>
      <c r="R134" s="86">
        <v>3420</v>
      </c>
      <c r="S134" s="86" t="s">
        <v>770</v>
      </c>
      <c r="T134" s="86">
        <v>2600</v>
      </c>
      <c r="U134" s="86">
        <v>12</v>
      </c>
      <c r="V134" s="58">
        <f t="shared" si="2"/>
        <v>106704000</v>
      </c>
      <c r="W134" s="52" t="s">
        <v>50</v>
      </c>
      <c r="X134" s="52" t="s">
        <v>1072</v>
      </c>
      <c r="Y134" s="52" t="s">
        <v>1073</v>
      </c>
      <c r="Z134" s="52" t="s">
        <v>1074</v>
      </c>
      <c r="AA134" s="52">
        <v>0</v>
      </c>
      <c r="AB134" s="52">
        <v>0</v>
      </c>
      <c r="AC134" s="52">
        <v>0</v>
      </c>
      <c r="AD134" s="21">
        <v>1</v>
      </c>
      <c r="AE134" s="21">
        <v>1</v>
      </c>
    </row>
    <row r="135" spans="1:31" s="55" customFormat="1" ht="45" customHeight="1" x14ac:dyDescent="0.25">
      <c r="A135" s="86" t="s">
        <v>562</v>
      </c>
      <c r="B135" s="52" t="s">
        <v>865</v>
      </c>
      <c r="C135" s="52"/>
      <c r="D135" s="52" t="s">
        <v>972</v>
      </c>
      <c r="E135" s="52"/>
      <c r="F135" s="52" t="s">
        <v>564</v>
      </c>
      <c r="G135" s="52"/>
      <c r="H135" s="52" t="s">
        <v>1058</v>
      </c>
      <c r="I135" s="52" t="s">
        <v>17</v>
      </c>
      <c r="J135" s="52" t="s">
        <v>371</v>
      </c>
      <c r="K135" s="22" t="str">
        <f>VLOOKUP(CONCATENATE(A135,LEFT(J135,4)),AGRUPAMENTO!$D$2:$E$6784,2,FALSE)</f>
        <v>Utilidade Pública</v>
      </c>
      <c r="L135" s="52" t="s">
        <v>45</v>
      </c>
      <c r="M135" s="52"/>
      <c r="N135" s="52">
        <v>10</v>
      </c>
      <c r="O135" s="86" t="s">
        <v>1075</v>
      </c>
      <c r="P135" s="86" t="s">
        <v>47</v>
      </c>
      <c r="Q135" s="86" t="s">
        <v>1060</v>
      </c>
      <c r="R135" s="86">
        <v>47</v>
      </c>
      <c r="S135" s="86" t="s">
        <v>770</v>
      </c>
      <c r="T135" s="86">
        <v>2350</v>
      </c>
      <c r="U135" s="86">
        <v>12</v>
      </c>
      <c r="V135" s="58">
        <f t="shared" si="2"/>
        <v>1325400</v>
      </c>
      <c r="W135" s="52" t="s">
        <v>50</v>
      </c>
      <c r="X135" s="52" t="s">
        <v>1076</v>
      </c>
      <c r="Y135" s="52" t="s">
        <v>1062</v>
      </c>
      <c r="Z135" s="52" t="s">
        <v>1063</v>
      </c>
      <c r="AA135" s="52">
        <v>0</v>
      </c>
      <c r="AB135" s="52">
        <v>0</v>
      </c>
      <c r="AC135" s="52">
        <v>0</v>
      </c>
      <c r="AD135" s="21">
        <v>1</v>
      </c>
      <c r="AE135" s="21">
        <v>1</v>
      </c>
    </row>
    <row r="136" spans="1:31" s="55" customFormat="1" ht="45" customHeight="1" x14ac:dyDescent="0.25">
      <c r="A136" s="86" t="s">
        <v>562</v>
      </c>
      <c r="B136" s="52" t="s">
        <v>865</v>
      </c>
      <c r="C136" s="52"/>
      <c r="D136" s="52" t="s">
        <v>972</v>
      </c>
      <c r="E136" s="52"/>
      <c r="F136" s="52" t="s">
        <v>564</v>
      </c>
      <c r="G136" s="52"/>
      <c r="H136" s="52" t="s">
        <v>572</v>
      </c>
      <c r="I136" s="52" t="s">
        <v>17</v>
      </c>
      <c r="J136" s="52" t="s">
        <v>371</v>
      </c>
      <c r="K136" s="22" t="str">
        <f>VLOOKUP(CONCATENATE(A136,LEFT(J136,4)),AGRUPAMENTO!$D$2:$E$6784,2,FALSE)</f>
        <v>Utilidade Pública</v>
      </c>
      <c r="L136" s="52" t="s">
        <v>45</v>
      </c>
      <c r="M136" s="52"/>
      <c r="N136" s="52">
        <v>10</v>
      </c>
      <c r="O136" s="86" t="s">
        <v>1077</v>
      </c>
      <c r="P136" s="86" t="s">
        <v>47</v>
      </c>
      <c r="Q136" s="86" t="s">
        <v>1060</v>
      </c>
      <c r="R136" s="86">
        <v>5</v>
      </c>
      <c r="S136" s="86" t="s">
        <v>770</v>
      </c>
      <c r="T136" s="86">
        <v>14000</v>
      </c>
      <c r="U136" s="86">
        <v>12</v>
      </c>
      <c r="V136" s="58">
        <f t="shared" si="2"/>
        <v>840000</v>
      </c>
      <c r="W136" s="52" t="s">
        <v>50</v>
      </c>
      <c r="X136" s="52" t="s">
        <v>1077</v>
      </c>
      <c r="Y136" s="52" t="s">
        <v>1067</v>
      </c>
      <c r="Z136" s="52" t="s">
        <v>1068</v>
      </c>
      <c r="AA136" s="52">
        <v>0</v>
      </c>
      <c r="AB136" s="52">
        <v>0</v>
      </c>
      <c r="AC136" s="52">
        <v>0</v>
      </c>
      <c r="AD136" s="21">
        <v>1</v>
      </c>
      <c r="AE136" s="21">
        <v>1</v>
      </c>
    </row>
    <row r="137" spans="1:31" s="55" customFormat="1" ht="45" customHeight="1" x14ac:dyDescent="0.25">
      <c r="A137" s="86" t="s">
        <v>562</v>
      </c>
      <c r="B137" s="52" t="s">
        <v>865</v>
      </c>
      <c r="C137" s="52"/>
      <c r="D137" s="52" t="s">
        <v>972</v>
      </c>
      <c r="E137" s="52"/>
      <c r="F137" s="52" t="s">
        <v>714</v>
      </c>
      <c r="G137" s="52"/>
      <c r="H137" s="52" t="s">
        <v>1069</v>
      </c>
      <c r="I137" s="52" t="s">
        <v>17</v>
      </c>
      <c r="J137" s="52" t="s">
        <v>371</v>
      </c>
      <c r="K137" s="22" t="str">
        <f>VLOOKUP(CONCATENATE(A137,LEFT(J137,4)),AGRUPAMENTO!$D$2:$E$6784,2,FALSE)</f>
        <v>Utilidade Pública</v>
      </c>
      <c r="L137" s="52" t="s">
        <v>45</v>
      </c>
      <c r="M137" s="52"/>
      <c r="N137" s="52">
        <v>10</v>
      </c>
      <c r="O137" s="86" t="s">
        <v>1078</v>
      </c>
      <c r="P137" s="86" t="s">
        <v>47</v>
      </c>
      <c r="Q137" s="86" t="s">
        <v>1071</v>
      </c>
      <c r="R137" s="86">
        <v>3460</v>
      </c>
      <c r="S137" s="86" t="s">
        <v>770</v>
      </c>
      <c r="T137" s="86">
        <v>2800</v>
      </c>
      <c r="U137" s="86">
        <v>12</v>
      </c>
      <c r="V137" s="58">
        <f t="shared" si="2"/>
        <v>116256000</v>
      </c>
      <c r="W137" s="52" t="s">
        <v>50</v>
      </c>
      <c r="X137" s="52" t="s">
        <v>1078</v>
      </c>
      <c r="Y137" s="52" t="s">
        <v>1073</v>
      </c>
      <c r="Z137" s="52" t="s">
        <v>1074</v>
      </c>
      <c r="AA137" s="52">
        <v>0</v>
      </c>
      <c r="AB137" s="52">
        <v>0</v>
      </c>
      <c r="AC137" s="52">
        <v>0</v>
      </c>
      <c r="AD137" s="21">
        <v>1</v>
      </c>
      <c r="AE137" s="21">
        <v>1</v>
      </c>
    </row>
    <row r="138" spans="1:31" s="55" customFormat="1" ht="45" customHeight="1" x14ac:dyDescent="0.25">
      <c r="A138" s="86" t="s">
        <v>562</v>
      </c>
      <c r="B138" s="52" t="s">
        <v>865</v>
      </c>
      <c r="C138" s="52"/>
      <c r="D138" s="52" t="s">
        <v>972</v>
      </c>
      <c r="E138" s="52"/>
      <c r="F138" s="52" t="s">
        <v>564</v>
      </c>
      <c r="G138" s="52"/>
      <c r="H138" s="52" t="s">
        <v>572</v>
      </c>
      <c r="I138" s="52" t="s">
        <v>17</v>
      </c>
      <c r="J138" s="52" t="s">
        <v>384</v>
      </c>
      <c r="K138" s="22" t="str">
        <f>VLOOKUP(CONCATENATE(A138,LEFT(J138,4)),AGRUPAMENTO!$D$2:$E$6784,2,FALSE)</f>
        <v>Utilidade Pública</v>
      </c>
      <c r="L138" s="52" t="s">
        <v>45</v>
      </c>
      <c r="M138" s="52"/>
      <c r="N138" s="52">
        <v>10</v>
      </c>
      <c r="O138" s="86" t="s">
        <v>973</v>
      </c>
      <c r="P138" s="86" t="s">
        <v>47</v>
      </c>
      <c r="Q138" s="86" t="s">
        <v>1079</v>
      </c>
      <c r="R138" s="86">
        <v>1</v>
      </c>
      <c r="S138" s="86" t="s">
        <v>1080</v>
      </c>
      <c r="T138" s="86">
        <v>6340.75</v>
      </c>
      <c r="U138" s="86">
        <v>12</v>
      </c>
      <c r="V138" s="58">
        <f t="shared" si="2"/>
        <v>76089</v>
      </c>
      <c r="W138" s="52" t="s">
        <v>69</v>
      </c>
      <c r="X138" s="52" t="s">
        <v>1081</v>
      </c>
      <c r="Y138" s="52" t="s">
        <v>1082</v>
      </c>
      <c r="Z138" s="52" t="s">
        <v>1020</v>
      </c>
      <c r="AA138" s="52">
        <v>3</v>
      </c>
      <c r="AB138" s="52">
        <v>3</v>
      </c>
      <c r="AC138" s="52">
        <v>3</v>
      </c>
      <c r="AD138" s="21">
        <v>1</v>
      </c>
      <c r="AE138" s="21">
        <v>1</v>
      </c>
    </row>
    <row r="139" spans="1:31" s="55" customFormat="1" ht="45" customHeight="1" x14ac:dyDescent="0.25">
      <c r="A139" s="86" t="s">
        <v>562</v>
      </c>
      <c r="B139" s="52" t="s">
        <v>865</v>
      </c>
      <c r="C139" s="52"/>
      <c r="D139" s="52" t="s">
        <v>972</v>
      </c>
      <c r="E139" s="52"/>
      <c r="F139" s="52" t="s">
        <v>564</v>
      </c>
      <c r="G139" s="52"/>
      <c r="H139" s="52" t="s">
        <v>572</v>
      </c>
      <c r="I139" s="52" t="s">
        <v>17</v>
      </c>
      <c r="J139" s="52" t="s">
        <v>396</v>
      </c>
      <c r="K139" s="22" t="str">
        <f>VLOOKUP(CONCATENATE(A139,LEFT(J139,4)),AGRUPAMENTO!$D$2:$E$6784,2,FALSE)</f>
        <v>Frota</v>
      </c>
      <c r="L139" s="52" t="s">
        <v>45</v>
      </c>
      <c r="M139" s="52"/>
      <c r="N139" s="52">
        <v>10</v>
      </c>
      <c r="O139" s="86" t="s">
        <v>973</v>
      </c>
      <c r="P139" s="86" t="s">
        <v>47</v>
      </c>
      <c r="Q139" s="86" t="s">
        <v>1083</v>
      </c>
      <c r="R139" s="86">
        <v>13</v>
      </c>
      <c r="S139" s="86" t="s">
        <v>1084</v>
      </c>
      <c r="T139" s="86">
        <v>2538.85</v>
      </c>
      <c r="U139" s="86">
        <v>12</v>
      </c>
      <c r="V139" s="58">
        <f t="shared" si="2"/>
        <v>396060.6</v>
      </c>
      <c r="W139" s="52" t="s">
        <v>50</v>
      </c>
      <c r="X139" s="52" t="s">
        <v>1085</v>
      </c>
      <c r="Y139" s="52" t="s">
        <v>1086</v>
      </c>
      <c r="Z139" s="52" t="s">
        <v>1087</v>
      </c>
      <c r="AA139" s="52">
        <v>0</v>
      </c>
      <c r="AB139" s="52">
        <v>0</v>
      </c>
      <c r="AC139" s="52">
        <v>0</v>
      </c>
      <c r="AD139" s="21">
        <v>1</v>
      </c>
      <c r="AE139" s="21">
        <v>1</v>
      </c>
    </row>
    <row r="140" spans="1:31" s="55" customFormat="1" ht="45" customHeight="1" x14ac:dyDescent="0.25">
      <c r="A140" s="86" t="s">
        <v>562</v>
      </c>
      <c r="B140" s="52" t="s">
        <v>865</v>
      </c>
      <c r="C140" s="52"/>
      <c r="D140" s="52" t="s">
        <v>972</v>
      </c>
      <c r="E140" s="52"/>
      <c r="F140" s="52" t="s">
        <v>564</v>
      </c>
      <c r="G140" s="52"/>
      <c r="H140" s="52" t="s">
        <v>572</v>
      </c>
      <c r="I140" s="52" t="s">
        <v>17</v>
      </c>
      <c r="J140" s="52" t="s">
        <v>402</v>
      </c>
      <c r="K140" s="22" t="str">
        <f>VLOOKUP(CONCATENATE(A140,LEFT(J140,4)),AGRUPAMENTO!$D$2:$E$6784,2,FALSE)</f>
        <v>Frota</v>
      </c>
      <c r="L140" s="52" t="s">
        <v>45</v>
      </c>
      <c r="M140" s="52"/>
      <c r="N140" s="52">
        <v>10</v>
      </c>
      <c r="O140" s="86" t="s">
        <v>1088</v>
      </c>
      <c r="P140" s="86" t="s">
        <v>47</v>
      </c>
      <c r="Q140" s="86" t="s">
        <v>981</v>
      </c>
      <c r="R140" s="86">
        <v>1</v>
      </c>
      <c r="S140" s="86" t="s">
        <v>982</v>
      </c>
      <c r="T140" s="86">
        <v>30000</v>
      </c>
      <c r="U140" s="86">
        <v>1</v>
      </c>
      <c r="V140" s="58">
        <f t="shared" si="2"/>
        <v>30000</v>
      </c>
      <c r="W140" s="52" t="s">
        <v>50</v>
      </c>
      <c r="X140" s="52" t="s">
        <v>1089</v>
      </c>
      <c r="Y140" s="52" t="s">
        <v>1090</v>
      </c>
      <c r="Z140" s="52" t="s">
        <v>1091</v>
      </c>
      <c r="AA140" s="52">
        <v>0</v>
      </c>
      <c r="AB140" s="52">
        <v>0</v>
      </c>
      <c r="AC140" s="52">
        <v>0</v>
      </c>
      <c r="AD140" s="21">
        <v>1</v>
      </c>
      <c r="AE140" s="21">
        <v>1</v>
      </c>
    </row>
    <row r="141" spans="1:31" s="55" customFormat="1" ht="45" customHeight="1" x14ac:dyDescent="0.25">
      <c r="A141" s="86" t="s">
        <v>562</v>
      </c>
      <c r="B141" s="52" t="s">
        <v>865</v>
      </c>
      <c r="C141" s="52"/>
      <c r="D141" s="52" t="s">
        <v>972</v>
      </c>
      <c r="E141" s="52"/>
      <c r="F141" s="52" t="s">
        <v>564</v>
      </c>
      <c r="G141" s="52"/>
      <c r="H141" s="52" t="s">
        <v>572</v>
      </c>
      <c r="I141" s="52" t="s">
        <v>17</v>
      </c>
      <c r="J141" s="52" t="s">
        <v>402</v>
      </c>
      <c r="K141" s="22" t="str">
        <f>VLOOKUP(CONCATENATE(A141,LEFT(J141,4)),AGRUPAMENTO!$D$2:$E$6784,2,FALSE)</f>
        <v>Frota</v>
      </c>
      <c r="L141" s="52" t="s">
        <v>45</v>
      </c>
      <c r="M141" s="52"/>
      <c r="N141" s="52">
        <v>10</v>
      </c>
      <c r="O141" s="86" t="s">
        <v>1092</v>
      </c>
      <c r="P141" s="86" t="s">
        <v>47</v>
      </c>
      <c r="Q141" s="86" t="s">
        <v>1093</v>
      </c>
      <c r="R141" s="86">
        <v>8</v>
      </c>
      <c r="S141" s="86" t="s">
        <v>1094</v>
      </c>
      <c r="T141" s="86">
        <v>150</v>
      </c>
      <c r="U141" s="86">
        <v>12</v>
      </c>
      <c r="V141" s="58">
        <f t="shared" si="2"/>
        <v>14400</v>
      </c>
      <c r="W141" s="52" t="s">
        <v>50</v>
      </c>
      <c r="X141" s="52" t="s">
        <v>1095</v>
      </c>
      <c r="Y141" s="52" t="s">
        <v>1096</v>
      </c>
      <c r="Z141" s="52" t="s">
        <v>1097</v>
      </c>
      <c r="AA141" s="52">
        <v>0</v>
      </c>
      <c r="AB141" s="52">
        <v>0</v>
      </c>
      <c r="AC141" s="52">
        <v>0</v>
      </c>
      <c r="AD141" s="21">
        <v>1</v>
      </c>
      <c r="AE141" s="21">
        <v>1</v>
      </c>
    </row>
    <row r="142" spans="1:31" s="55" customFormat="1" ht="45" customHeight="1" x14ac:dyDescent="0.25">
      <c r="A142" s="86" t="s">
        <v>562</v>
      </c>
      <c r="B142" s="52" t="s">
        <v>865</v>
      </c>
      <c r="C142" s="52"/>
      <c r="D142" s="52" t="s">
        <v>972</v>
      </c>
      <c r="E142" s="52"/>
      <c r="F142" s="52" t="s">
        <v>564</v>
      </c>
      <c r="G142" s="52"/>
      <c r="H142" s="52" t="s">
        <v>572</v>
      </c>
      <c r="I142" s="52" t="s">
        <v>17</v>
      </c>
      <c r="J142" s="52" t="s">
        <v>408</v>
      </c>
      <c r="K142" s="22" t="str">
        <f>VLOOKUP(CONCATENATE(A142,LEFT(J142,4)),AGRUPAMENTO!$D$2:$E$6784,2,FALSE)</f>
        <v>Gestão de equipamentos</v>
      </c>
      <c r="L142" s="52" t="s">
        <v>45</v>
      </c>
      <c r="M142" s="52"/>
      <c r="N142" s="52">
        <v>10</v>
      </c>
      <c r="O142" s="86" t="s">
        <v>973</v>
      </c>
      <c r="P142" s="86" t="s">
        <v>47</v>
      </c>
      <c r="Q142" s="86" t="s">
        <v>1098</v>
      </c>
      <c r="R142" s="86">
        <v>250</v>
      </c>
      <c r="S142" s="86" t="s">
        <v>1099</v>
      </c>
      <c r="T142" s="86">
        <v>45</v>
      </c>
      <c r="U142" s="86">
        <v>12</v>
      </c>
      <c r="V142" s="58">
        <f t="shared" si="2"/>
        <v>135000</v>
      </c>
      <c r="W142" s="52" t="s">
        <v>50</v>
      </c>
      <c r="X142" s="52" t="s">
        <v>1100</v>
      </c>
      <c r="Y142" s="52" t="s">
        <v>1101</v>
      </c>
      <c r="Z142" s="52" t="s">
        <v>1102</v>
      </c>
      <c r="AA142" s="52">
        <v>0</v>
      </c>
      <c r="AB142" s="52">
        <v>0</v>
      </c>
      <c r="AC142" s="52">
        <v>0</v>
      </c>
      <c r="AD142" s="21">
        <v>1</v>
      </c>
      <c r="AE142" s="21">
        <v>1</v>
      </c>
    </row>
    <row r="143" spans="1:31" s="55" customFormat="1" ht="45" customHeight="1" x14ac:dyDescent="0.25">
      <c r="A143" s="86" t="s">
        <v>562</v>
      </c>
      <c r="B143" s="52" t="s">
        <v>865</v>
      </c>
      <c r="C143" s="52"/>
      <c r="D143" s="52" t="s">
        <v>972</v>
      </c>
      <c r="E143" s="52"/>
      <c r="F143" s="52" t="s">
        <v>564</v>
      </c>
      <c r="G143" s="52"/>
      <c r="H143" s="52" t="s">
        <v>572</v>
      </c>
      <c r="I143" s="52" t="s">
        <v>17</v>
      </c>
      <c r="J143" s="52" t="s">
        <v>418</v>
      </c>
      <c r="K143" s="22" t="str">
        <f>VLOOKUP(CONCATENATE(A143,LEFT(J143,4)),AGRUPAMENTO!$D$2:$E$6784,2,FALSE)</f>
        <v>Gestão de equipamentos</v>
      </c>
      <c r="L143" s="52" t="s">
        <v>45</v>
      </c>
      <c r="M143" s="52"/>
      <c r="N143" s="52">
        <v>10</v>
      </c>
      <c r="O143" s="86" t="s">
        <v>1103</v>
      </c>
      <c r="P143" s="86" t="s">
        <v>47</v>
      </c>
      <c r="Q143" s="86" t="s">
        <v>1104</v>
      </c>
      <c r="R143" s="86">
        <v>1</v>
      </c>
      <c r="S143" s="86" t="s">
        <v>1105</v>
      </c>
      <c r="T143" s="86">
        <v>4583.34</v>
      </c>
      <c r="U143" s="86">
        <v>12</v>
      </c>
      <c r="V143" s="58">
        <f t="shared" si="2"/>
        <v>55000.08</v>
      </c>
      <c r="W143" s="52" t="s">
        <v>50</v>
      </c>
      <c r="X143" s="52" t="s">
        <v>1106</v>
      </c>
      <c r="Y143" s="52" t="s">
        <v>1107</v>
      </c>
      <c r="Z143" s="52" t="s">
        <v>1108</v>
      </c>
      <c r="AA143" s="52">
        <v>0</v>
      </c>
      <c r="AB143" s="52">
        <v>0</v>
      </c>
      <c r="AC143" s="52">
        <v>0</v>
      </c>
      <c r="AD143" s="21">
        <v>1</v>
      </c>
      <c r="AE143" s="21">
        <v>1</v>
      </c>
    </row>
    <row r="144" spans="1:31" s="55" customFormat="1" ht="45" customHeight="1" x14ac:dyDescent="0.25">
      <c r="A144" s="86" t="s">
        <v>562</v>
      </c>
      <c r="B144" s="52" t="s">
        <v>865</v>
      </c>
      <c r="C144" s="52"/>
      <c r="D144" s="52" t="s">
        <v>972</v>
      </c>
      <c r="E144" s="52"/>
      <c r="F144" s="52" t="s">
        <v>564</v>
      </c>
      <c r="G144" s="52"/>
      <c r="H144" s="52" t="s">
        <v>572</v>
      </c>
      <c r="I144" s="52" t="s">
        <v>17</v>
      </c>
      <c r="J144" s="52" t="s">
        <v>418</v>
      </c>
      <c r="K144" s="22" t="str">
        <f>VLOOKUP(CONCATENATE(A144,LEFT(J144,4)),AGRUPAMENTO!$D$2:$E$6784,2,FALSE)</f>
        <v>Gestão de equipamentos</v>
      </c>
      <c r="L144" s="52" t="s">
        <v>45</v>
      </c>
      <c r="M144" s="52"/>
      <c r="N144" s="52">
        <v>10</v>
      </c>
      <c r="O144" s="86" t="s">
        <v>1103</v>
      </c>
      <c r="P144" s="86" t="s">
        <v>47</v>
      </c>
      <c r="Q144" s="86" t="s">
        <v>1109</v>
      </c>
      <c r="R144" s="86">
        <v>1</v>
      </c>
      <c r="S144" s="86" t="s">
        <v>1110</v>
      </c>
      <c r="T144" s="86">
        <v>15000</v>
      </c>
      <c r="U144" s="86">
        <v>1</v>
      </c>
      <c r="V144" s="58">
        <f t="shared" si="2"/>
        <v>15000</v>
      </c>
      <c r="W144" s="52" t="s">
        <v>50</v>
      </c>
      <c r="X144" s="52" t="s">
        <v>1111</v>
      </c>
      <c r="Y144" s="52" t="s">
        <v>1112</v>
      </c>
      <c r="Z144" s="52" t="s">
        <v>1113</v>
      </c>
      <c r="AA144" s="52">
        <v>0</v>
      </c>
      <c r="AB144" s="52">
        <v>0</v>
      </c>
      <c r="AC144" s="52">
        <v>0</v>
      </c>
      <c r="AD144" s="21">
        <v>1</v>
      </c>
      <c r="AE144" s="21">
        <v>1</v>
      </c>
    </row>
    <row r="145" spans="1:31" s="55" customFormat="1" ht="45" customHeight="1" x14ac:dyDescent="0.25">
      <c r="A145" s="86" t="s">
        <v>562</v>
      </c>
      <c r="B145" s="52" t="s">
        <v>865</v>
      </c>
      <c r="C145" s="52"/>
      <c r="D145" s="52" t="s">
        <v>972</v>
      </c>
      <c r="E145" s="52"/>
      <c r="F145" s="52" t="s">
        <v>564</v>
      </c>
      <c r="G145" s="52"/>
      <c r="H145" s="52" t="s">
        <v>572</v>
      </c>
      <c r="I145" s="52" t="s">
        <v>17</v>
      </c>
      <c r="J145" s="52" t="s">
        <v>418</v>
      </c>
      <c r="K145" s="22" t="str">
        <f>VLOOKUP(CONCATENATE(A145,LEFT(J145,4)),AGRUPAMENTO!$D$2:$E$6784,2,FALSE)</f>
        <v>Gestão de equipamentos</v>
      </c>
      <c r="L145" s="52" t="s">
        <v>45</v>
      </c>
      <c r="M145" s="52"/>
      <c r="N145" s="52">
        <v>10</v>
      </c>
      <c r="O145" s="86" t="s">
        <v>1103</v>
      </c>
      <c r="P145" s="86" t="s">
        <v>47</v>
      </c>
      <c r="Q145" s="86" t="s">
        <v>1114</v>
      </c>
      <c r="R145" s="86">
        <v>1</v>
      </c>
      <c r="S145" s="86" t="s">
        <v>1115</v>
      </c>
      <c r="T145" s="86">
        <v>3876.59</v>
      </c>
      <c r="U145" s="86">
        <v>12</v>
      </c>
      <c r="V145" s="58">
        <f t="shared" si="2"/>
        <v>46519.08</v>
      </c>
      <c r="W145" s="52" t="s">
        <v>50</v>
      </c>
      <c r="X145" s="52" t="s">
        <v>1116</v>
      </c>
      <c r="Y145" s="52" t="s">
        <v>1117</v>
      </c>
      <c r="Z145" s="52" t="s">
        <v>1118</v>
      </c>
      <c r="AA145" s="52">
        <v>0</v>
      </c>
      <c r="AB145" s="52">
        <v>0</v>
      </c>
      <c r="AC145" s="52">
        <v>0</v>
      </c>
      <c r="AD145" s="21">
        <v>1</v>
      </c>
      <c r="AE145" s="21">
        <v>1</v>
      </c>
    </row>
    <row r="146" spans="1:31" s="55" customFormat="1" ht="45" customHeight="1" x14ac:dyDescent="0.25">
      <c r="A146" s="86" t="s">
        <v>562</v>
      </c>
      <c r="B146" s="52" t="s">
        <v>865</v>
      </c>
      <c r="C146" s="52"/>
      <c r="D146" s="52" t="s">
        <v>972</v>
      </c>
      <c r="E146" s="52"/>
      <c r="F146" s="52" t="s">
        <v>564</v>
      </c>
      <c r="G146" s="52"/>
      <c r="H146" s="52" t="s">
        <v>572</v>
      </c>
      <c r="I146" s="52" t="s">
        <v>17</v>
      </c>
      <c r="J146" s="52" t="s">
        <v>458</v>
      </c>
      <c r="K146" s="22" t="str">
        <f>VLOOKUP(CONCATENATE(A146,LEFT(J146,4)),AGRUPAMENTO!$D$2:$E$6784,2,FALSE)</f>
        <v>Demais despesas de custeio</v>
      </c>
      <c r="L146" s="52" t="s">
        <v>45</v>
      </c>
      <c r="M146" s="52"/>
      <c r="N146" s="52">
        <v>10</v>
      </c>
      <c r="O146" s="86" t="s">
        <v>1119</v>
      </c>
      <c r="P146" s="86" t="s">
        <v>47</v>
      </c>
      <c r="Q146" s="86" t="s">
        <v>981</v>
      </c>
      <c r="R146" s="86">
        <v>1</v>
      </c>
      <c r="S146" s="86" t="s">
        <v>1120</v>
      </c>
      <c r="T146" s="86">
        <v>6000</v>
      </c>
      <c r="U146" s="86">
        <v>1</v>
      </c>
      <c r="V146" s="58">
        <f t="shared" si="2"/>
        <v>6000</v>
      </c>
      <c r="W146" s="52" t="s">
        <v>50</v>
      </c>
      <c r="X146" s="52" t="s">
        <v>1121</v>
      </c>
      <c r="Y146" s="52" t="s">
        <v>1122</v>
      </c>
      <c r="Z146" s="52" t="s">
        <v>1123</v>
      </c>
      <c r="AA146" s="52">
        <v>0</v>
      </c>
      <c r="AB146" s="52">
        <v>0</v>
      </c>
      <c r="AC146" s="52">
        <v>0</v>
      </c>
      <c r="AD146" s="21">
        <v>1</v>
      </c>
      <c r="AE146" s="21">
        <v>1</v>
      </c>
    </row>
    <row r="147" spans="1:31" s="55" customFormat="1" ht="45" customHeight="1" x14ac:dyDescent="0.25">
      <c r="A147" s="86" t="s">
        <v>562</v>
      </c>
      <c r="B147" s="52" t="s">
        <v>865</v>
      </c>
      <c r="C147" s="52"/>
      <c r="D147" s="52" t="s">
        <v>972</v>
      </c>
      <c r="E147" s="52"/>
      <c r="F147" s="52" t="s">
        <v>564</v>
      </c>
      <c r="G147" s="52"/>
      <c r="H147" s="52" t="s">
        <v>572</v>
      </c>
      <c r="I147" s="52" t="s">
        <v>17</v>
      </c>
      <c r="J147" s="52" t="s">
        <v>484</v>
      </c>
      <c r="K147" s="22" t="str">
        <f>VLOOKUP(CONCATENATE(A147,LEFT(J147,4)),AGRUPAMENTO!$D$2:$E$6784,2,FALSE)</f>
        <v>Frota</v>
      </c>
      <c r="L147" s="52" t="s">
        <v>45</v>
      </c>
      <c r="M147" s="52"/>
      <c r="N147" s="52">
        <v>10</v>
      </c>
      <c r="O147" s="86" t="s">
        <v>1124</v>
      </c>
      <c r="P147" s="86" t="s">
        <v>47</v>
      </c>
      <c r="Q147" s="86" t="s">
        <v>1125</v>
      </c>
      <c r="R147" s="86">
        <v>1</v>
      </c>
      <c r="S147" s="86" t="s">
        <v>1126</v>
      </c>
      <c r="T147" s="86">
        <v>183468.72</v>
      </c>
      <c r="U147" s="86">
        <v>12</v>
      </c>
      <c r="V147" s="58">
        <f t="shared" si="2"/>
        <v>2201624.64</v>
      </c>
      <c r="W147" s="52" t="s">
        <v>50</v>
      </c>
      <c r="X147" s="52" t="s">
        <v>1127</v>
      </c>
      <c r="Y147" s="52" t="s">
        <v>1090</v>
      </c>
      <c r="Z147" s="52" t="s">
        <v>1128</v>
      </c>
      <c r="AA147" s="52">
        <v>0</v>
      </c>
      <c r="AB147" s="52">
        <v>0</v>
      </c>
      <c r="AC147" s="52">
        <v>0</v>
      </c>
      <c r="AD147" s="21">
        <v>1</v>
      </c>
      <c r="AE147" s="21">
        <v>1</v>
      </c>
    </row>
    <row r="148" spans="1:31" s="55" customFormat="1" ht="45" customHeight="1" x14ac:dyDescent="0.25">
      <c r="A148" s="86" t="s">
        <v>562</v>
      </c>
      <c r="B148" s="52" t="s">
        <v>865</v>
      </c>
      <c r="C148" s="52"/>
      <c r="D148" s="52" t="s">
        <v>972</v>
      </c>
      <c r="E148" s="52"/>
      <c r="F148" s="52" t="s">
        <v>564</v>
      </c>
      <c r="G148" s="52"/>
      <c r="H148" s="52" t="s">
        <v>572</v>
      </c>
      <c r="I148" s="52" t="s">
        <v>17</v>
      </c>
      <c r="J148" s="52" t="s">
        <v>484</v>
      </c>
      <c r="K148" s="22" t="str">
        <f>VLOOKUP(CONCATENATE(A148,LEFT(J148,4)),AGRUPAMENTO!$D$2:$E$6784,2,FALSE)</f>
        <v>Frota</v>
      </c>
      <c r="L148" s="52" t="s">
        <v>45</v>
      </c>
      <c r="M148" s="52"/>
      <c r="N148" s="52">
        <v>10</v>
      </c>
      <c r="O148" s="86" t="s">
        <v>973</v>
      </c>
      <c r="P148" s="86" t="s">
        <v>47</v>
      </c>
      <c r="Q148" s="86" t="s">
        <v>1129</v>
      </c>
      <c r="R148" s="86">
        <v>1</v>
      </c>
      <c r="S148" s="86" t="s">
        <v>1130</v>
      </c>
      <c r="T148" s="86">
        <v>184003.56</v>
      </c>
      <c r="U148" s="86">
        <v>12</v>
      </c>
      <c r="V148" s="58">
        <f t="shared" si="2"/>
        <v>2208042.7199999997</v>
      </c>
      <c r="W148" s="52" t="s">
        <v>50</v>
      </c>
      <c r="X148" s="52" t="s">
        <v>1131</v>
      </c>
      <c r="Y148" s="52" t="s">
        <v>1132</v>
      </c>
      <c r="Z148" s="52" t="s">
        <v>1047</v>
      </c>
      <c r="AA148" s="52">
        <v>0</v>
      </c>
      <c r="AB148" s="52">
        <v>0</v>
      </c>
      <c r="AC148" s="52">
        <v>0</v>
      </c>
      <c r="AD148" s="21">
        <v>1</v>
      </c>
      <c r="AE148" s="21">
        <v>1</v>
      </c>
    </row>
    <row r="149" spans="1:31" s="55" customFormat="1" ht="45" customHeight="1" x14ac:dyDescent="0.25">
      <c r="A149" s="86" t="s">
        <v>562</v>
      </c>
      <c r="B149" s="52" t="s">
        <v>865</v>
      </c>
      <c r="C149" s="52"/>
      <c r="D149" s="52" t="s">
        <v>972</v>
      </c>
      <c r="E149" s="52"/>
      <c r="F149" s="52" t="s">
        <v>564</v>
      </c>
      <c r="G149" s="52"/>
      <c r="H149" s="52" t="s">
        <v>572</v>
      </c>
      <c r="I149" s="52" t="s">
        <v>17</v>
      </c>
      <c r="J149" s="52" t="s">
        <v>492</v>
      </c>
      <c r="K149" s="22" t="str">
        <f>VLOOKUP(CONCATENATE(A149,LEFT(J149,4)),AGRUPAMENTO!$D$2:$E$6784,2,FALSE)</f>
        <v>Cursos de formação e capacitações</v>
      </c>
      <c r="L149" s="52" t="s">
        <v>45</v>
      </c>
      <c r="M149" s="52"/>
      <c r="N149" s="52">
        <v>10</v>
      </c>
      <c r="O149" s="86" t="s">
        <v>1133</v>
      </c>
      <c r="P149" s="86" t="s">
        <v>47</v>
      </c>
      <c r="Q149" s="86" t="s">
        <v>1134</v>
      </c>
      <c r="R149" s="86">
        <v>1</v>
      </c>
      <c r="S149" s="86" t="s">
        <v>1135</v>
      </c>
      <c r="T149" s="86">
        <v>100000</v>
      </c>
      <c r="U149" s="86">
        <v>1</v>
      </c>
      <c r="V149" s="58">
        <f t="shared" si="2"/>
        <v>100000</v>
      </c>
      <c r="W149" s="52" t="s">
        <v>69</v>
      </c>
      <c r="X149" s="52" t="s">
        <v>1136</v>
      </c>
      <c r="Y149" s="52" t="s">
        <v>1137</v>
      </c>
      <c r="Z149" s="52" t="s">
        <v>1138</v>
      </c>
      <c r="AA149" s="52">
        <v>3</v>
      </c>
      <c r="AB149" s="52">
        <v>3</v>
      </c>
      <c r="AC149" s="52">
        <v>3</v>
      </c>
      <c r="AD149" s="21">
        <v>1</v>
      </c>
      <c r="AE149" s="21">
        <v>1</v>
      </c>
    </row>
    <row r="150" spans="1:31" s="55" customFormat="1" ht="45" customHeight="1" x14ac:dyDescent="0.25">
      <c r="A150" s="86" t="s">
        <v>562</v>
      </c>
      <c r="B150" s="52" t="s">
        <v>865</v>
      </c>
      <c r="C150" s="52"/>
      <c r="D150" s="52" t="s">
        <v>972</v>
      </c>
      <c r="E150" s="52"/>
      <c r="F150" s="52" t="s">
        <v>564</v>
      </c>
      <c r="G150" s="52"/>
      <c r="H150" s="52" t="s">
        <v>572</v>
      </c>
      <c r="I150" s="52" t="s">
        <v>17</v>
      </c>
      <c r="J150" s="52" t="s">
        <v>502</v>
      </c>
      <c r="K150" s="22" t="str">
        <f>VLOOKUP(CONCATENATE(A150,LEFT(J150,4)),AGRUPAMENTO!$D$2:$E$6784,2,FALSE)</f>
        <v>Demais despesas de custeio</v>
      </c>
      <c r="L150" s="52" t="s">
        <v>45</v>
      </c>
      <c r="M150" s="52"/>
      <c r="N150" s="52">
        <v>10</v>
      </c>
      <c r="O150" s="86" t="s">
        <v>973</v>
      </c>
      <c r="P150" s="86" t="s">
        <v>47</v>
      </c>
      <c r="Q150" s="86" t="s">
        <v>1139</v>
      </c>
      <c r="R150" s="86">
        <v>1</v>
      </c>
      <c r="S150" s="86" t="s">
        <v>1140</v>
      </c>
      <c r="T150" s="86">
        <v>761.92</v>
      </c>
      <c r="U150" s="86">
        <v>12</v>
      </c>
      <c r="V150" s="58">
        <f t="shared" si="2"/>
        <v>9143.0399999999991</v>
      </c>
      <c r="W150" s="52" t="s">
        <v>50</v>
      </c>
      <c r="X150" s="52" t="s">
        <v>1141</v>
      </c>
      <c r="Y150" s="52" t="s">
        <v>1142</v>
      </c>
      <c r="Z150" s="52" t="s">
        <v>1143</v>
      </c>
      <c r="AA150" s="52">
        <v>0</v>
      </c>
      <c r="AB150" s="52">
        <v>0</v>
      </c>
      <c r="AC150" s="52">
        <v>0</v>
      </c>
      <c r="AD150" s="21">
        <v>1</v>
      </c>
      <c r="AE150" s="21">
        <v>1</v>
      </c>
    </row>
    <row r="151" spans="1:31" s="55" customFormat="1" ht="45" customHeight="1" x14ac:dyDescent="0.25">
      <c r="A151" s="86" t="s">
        <v>562</v>
      </c>
      <c r="B151" s="52" t="s">
        <v>865</v>
      </c>
      <c r="C151" s="52"/>
      <c r="D151" s="52" t="s">
        <v>972</v>
      </c>
      <c r="E151" s="52"/>
      <c r="F151" s="52" t="s">
        <v>564</v>
      </c>
      <c r="G151" s="52"/>
      <c r="H151" s="52" t="s">
        <v>572</v>
      </c>
      <c r="I151" s="52" t="s">
        <v>17</v>
      </c>
      <c r="J151" s="52" t="s">
        <v>504</v>
      </c>
      <c r="K151" s="22" t="str">
        <f>VLOOKUP(CONCATENATE(A151,LEFT(J151,4)),AGRUPAMENTO!$D$2:$E$6784,2,FALSE)</f>
        <v>Terceirizados - Demais empresas</v>
      </c>
      <c r="L151" s="52" t="s">
        <v>45</v>
      </c>
      <c r="M151" s="52"/>
      <c r="N151" s="52">
        <v>10</v>
      </c>
      <c r="O151" s="86" t="s">
        <v>973</v>
      </c>
      <c r="P151" s="86" t="s">
        <v>47</v>
      </c>
      <c r="Q151" s="86" t="s">
        <v>1144</v>
      </c>
      <c r="R151" s="86">
        <v>1</v>
      </c>
      <c r="S151" s="86" t="s">
        <v>1145</v>
      </c>
      <c r="T151" s="86">
        <v>15000</v>
      </c>
      <c r="U151" s="86">
        <v>2</v>
      </c>
      <c r="V151" s="58">
        <f t="shared" si="2"/>
        <v>30000</v>
      </c>
      <c r="W151" s="52" t="s">
        <v>50</v>
      </c>
      <c r="X151" s="52" t="s">
        <v>1146</v>
      </c>
      <c r="Y151" s="52" t="s">
        <v>1147</v>
      </c>
      <c r="Z151" s="52" t="s">
        <v>1148</v>
      </c>
      <c r="AA151" s="52">
        <v>0</v>
      </c>
      <c r="AB151" s="52">
        <v>0</v>
      </c>
      <c r="AC151" s="52">
        <v>0</v>
      </c>
      <c r="AD151" s="21">
        <v>1</v>
      </c>
      <c r="AE151" s="21">
        <v>1</v>
      </c>
    </row>
    <row r="152" spans="1:31" s="55" customFormat="1" ht="45" customHeight="1" x14ac:dyDescent="0.25">
      <c r="A152" s="86" t="s">
        <v>562</v>
      </c>
      <c r="B152" s="52" t="s">
        <v>865</v>
      </c>
      <c r="C152" s="52"/>
      <c r="D152" s="52" t="s">
        <v>972</v>
      </c>
      <c r="E152" s="52"/>
      <c r="F152" s="52" t="s">
        <v>564</v>
      </c>
      <c r="G152" s="52"/>
      <c r="H152" s="52" t="s">
        <v>572</v>
      </c>
      <c r="I152" s="52" t="s">
        <v>17</v>
      </c>
      <c r="J152" s="52" t="s">
        <v>504</v>
      </c>
      <c r="K152" s="22" t="str">
        <f>VLOOKUP(CONCATENATE(A152,LEFT(J152,4)),AGRUPAMENTO!$D$2:$E$6784,2,FALSE)</f>
        <v>Terceirizados - Demais empresas</v>
      </c>
      <c r="L152" s="52" t="s">
        <v>45</v>
      </c>
      <c r="M152" s="52"/>
      <c r="N152" s="52">
        <v>10</v>
      </c>
      <c r="O152" s="86" t="s">
        <v>1149</v>
      </c>
      <c r="P152" s="86" t="s">
        <v>47</v>
      </c>
      <c r="Q152" s="86" t="s">
        <v>1134</v>
      </c>
      <c r="R152" s="86">
        <v>1</v>
      </c>
      <c r="S152" s="86" t="s">
        <v>1150</v>
      </c>
      <c r="T152" s="86">
        <v>35000</v>
      </c>
      <c r="U152" s="86">
        <v>1</v>
      </c>
      <c r="V152" s="58">
        <f t="shared" si="2"/>
        <v>35000</v>
      </c>
      <c r="W152" s="52" t="s">
        <v>50</v>
      </c>
      <c r="X152" s="52" t="s">
        <v>1151</v>
      </c>
      <c r="Y152" s="52" t="s">
        <v>1152</v>
      </c>
      <c r="Z152" s="52" t="s">
        <v>1153</v>
      </c>
      <c r="AA152" s="52">
        <v>0</v>
      </c>
      <c r="AB152" s="52">
        <v>0</v>
      </c>
      <c r="AC152" s="52">
        <v>0</v>
      </c>
      <c r="AD152" s="21">
        <v>1</v>
      </c>
      <c r="AE152" s="21">
        <v>1</v>
      </c>
    </row>
    <row r="153" spans="1:31" s="55" customFormat="1" ht="45" customHeight="1" x14ac:dyDescent="0.25">
      <c r="A153" s="86" t="s">
        <v>562</v>
      </c>
      <c r="B153" s="52" t="s">
        <v>865</v>
      </c>
      <c r="C153" s="52"/>
      <c r="D153" s="52" t="s">
        <v>972</v>
      </c>
      <c r="E153" s="52"/>
      <c r="F153" s="52" t="s">
        <v>564</v>
      </c>
      <c r="G153" s="52"/>
      <c r="H153" s="52" t="s">
        <v>1058</v>
      </c>
      <c r="I153" s="52" t="s">
        <v>17</v>
      </c>
      <c r="J153" s="52" t="s">
        <v>1154</v>
      </c>
      <c r="K153" s="22" t="str">
        <f>VLOOKUP(CONCATENATE(A153,LEFT(J153,4)),AGRUPAMENTO!$D$2:$E$6784,2,FALSE)</f>
        <v>Utilidade Pública</v>
      </c>
      <c r="L153" s="52" t="s">
        <v>45</v>
      </c>
      <c r="M153" s="52"/>
      <c r="N153" s="52">
        <v>10</v>
      </c>
      <c r="O153" s="86" t="s">
        <v>1155</v>
      </c>
      <c r="P153" s="86" t="s">
        <v>47</v>
      </c>
      <c r="Q153" s="86" t="s">
        <v>1065</v>
      </c>
      <c r="R153" s="86">
        <v>2</v>
      </c>
      <c r="S153" s="86" t="s">
        <v>770</v>
      </c>
      <c r="T153" s="86">
        <v>6000</v>
      </c>
      <c r="U153" s="86">
        <v>12</v>
      </c>
      <c r="V153" s="58">
        <f t="shared" si="2"/>
        <v>144000</v>
      </c>
      <c r="W153" s="52" t="s">
        <v>50</v>
      </c>
      <c r="X153" s="52" t="s">
        <v>1061</v>
      </c>
      <c r="Y153" s="52" t="s">
        <v>1062</v>
      </c>
      <c r="Z153" s="52" t="s">
        <v>1063</v>
      </c>
      <c r="AA153" s="52">
        <v>0</v>
      </c>
      <c r="AB153" s="52">
        <v>0</v>
      </c>
      <c r="AC153" s="52">
        <v>0</v>
      </c>
      <c r="AD153" s="21">
        <v>1</v>
      </c>
      <c r="AE153" s="21">
        <v>1</v>
      </c>
    </row>
    <row r="154" spans="1:31" s="55" customFormat="1" ht="45" customHeight="1" x14ac:dyDescent="0.25">
      <c r="A154" s="86" t="s">
        <v>562</v>
      </c>
      <c r="B154" s="52" t="s">
        <v>865</v>
      </c>
      <c r="C154" s="52"/>
      <c r="D154" s="52" t="s">
        <v>972</v>
      </c>
      <c r="E154" s="52"/>
      <c r="F154" s="52" t="s">
        <v>564</v>
      </c>
      <c r="G154" s="52"/>
      <c r="H154" s="52" t="s">
        <v>572</v>
      </c>
      <c r="I154" s="52" t="s">
        <v>17</v>
      </c>
      <c r="J154" s="52" t="s">
        <v>1154</v>
      </c>
      <c r="K154" s="22" t="str">
        <f>VLOOKUP(CONCATENATE(A154,LEFT(J154,4)),AGRUPAMENTO!$D$2:$E$6784,2,FALSE)</f>
        <v>Utilidade Pública</v>
      </c>
      <c r="L154" s="52" t="s">
        <v>45</v>
      </c>
      <c r="M154" s="52"/>
      <c r="N154" s="52">
        <v>10</v>
      </c>
      <c r="O154" s="86" t="s">
        <v>1156</v>
      </c>
      <c r="P154" s="86" t="s">
        <v>47</v>
      </c>
      <c r="Q154" s="86" t="s">
        <v>1065</v>
      </c>
      <c r="R154" s="86">
        <v>1</v>
      </c>
      <c r="S154" s="86" t="s">
        <v>770</v>
      </c>
      <c r="T154" s="86">
        <v>61750</v>
      </c>
      <c r="U154" s="86">
        <v>12</v>
      </c>
      <c r="V154" s="58">
        <f t="shared" si="2"/>
        <v>741000</v>
      </c>
      <c r="W154" s="52" t="s">
        <v>50</v>
      </c>
      <c r="X154" s="52" t="s">
        <v>1066</v>
      </c>
      <c r="Y154" s="52" t="s">
        <v>1062</v>
      </c>
      <c r="Z154" s="52" t="s">
        <v>1063</v>
      </c>
      <c r="AA154" s="52">
        <v>0</v>
      </c>
      <c r="AB154" s="52">
        <v>0</v>
      </c>
      <c r="AC154" s="52">
        <v>0</v>
      </c>
      <c r="AD154" s="21">
        <v>1</v>
      </c>
      <c r="AE154" s="21">
        <v>1</v>
      </c>
    </row>
    <row r="155" spans="1:31" s="55" customFormat="1" ht="45" customHeight="1" x14ac:dyDescent="0.25">
      <c r="A155" s="86" t="s">
        <v>562</v>
      </c>
      <c r="B155" s="52" t="s">
        <v>865</v>
      </c>
      <c r="C155" s="52"/>
      <c r="D155" s="52" t="s">
        <v>972</v>
      </c>
      <c r="E155" s="52"/>
      <c r="F155" s="52" t="s">
        <v>714</v>
      </c>
      <c r="G155" s="52"/>
      <c r="H155" s="52" t="s">
        <v>1069</v>
      </c>
      <c r="I155" s="52" t="s">
        <v>17</v>
      </c>
      <c r="J155" s="52" t="s">
        <v>1154</v>
      </c>
      <c r="K155" s="22" t="str">
        <f>VLOOKUP(CONCATENATE(A155,LEFT(J155,4)),AGRUPAMENTO!$D$2:$E$6784,2,FALSE)</f>
        <v>Utilidade Pública</v>
      </c>
      <c r="L155" s="52" t="s">
        <v>45</v>
      </c>
      <c r="M155" s="52"/>
      <c r="N155" s="52">
        <v>10</v>
      </c>
      <c r="O155" s="86" t="s">
        <v>1157</v>
      </c>
      <c r="P155" s="86" t="s">
        <v>47</v>
      </c>
      <c r="Q155" s="86" t="s">
        <v>1071</v>
      </c>
      <c r="R155" s="86">
        <v>40</v>
      </c>
      <c r="S155" s="86" t="s">
        <v>770</v>
      </c>
      <c r="T155" s="86">
        <v>4700</v>
      </c>
      <c r="U155" s="86">
        <v>12</v>
      </c>
      <c r="V155" s="58">
        <f t="shared" si="2"/>
        <v>2256000</v>
      </c>
      <c r="W155" s="52" t="s">
        <v>50</v>
      </c>
      <c r="X155" s="52" t="s">
        <v>1158</v>
      </c>
      <c r="Y155" s="52" t="s">
        <v>1073</v>
      </c>
      <c r="Z155" s="52" t="s">
        <v>1074</v>
      </c>
      <c r="AA155" s="52">
        <v>0</v>
      </c>
      <c r="AB155" s="52">
        <v>0</v>
      </c>
      <c r="AC155" s="52">
        <v>0</v>
      </c>
      <c r="AD155" s="21">
        <v>1</v>
      </c>
      <c r="AE155" s="21">
        <v>1</v>
      </c>
    </row>
    <row r="156" spans="1:31" s="55" customFormat="1" ht="45" customHeight="1" x14ac:dyDescent="0.25">
      <c r="A156" s="86" t="s">
        <v>562</v>
      </c>
      <c r="B156" s="52" t="s">
        <v>865</v>
      </c>
      <c r="C156" s="52"/>
      <c r="D156" s="52" t="s">
        <v>972</v>
      </c>
      <c r="E156" s="52"/>
      <c r="F156" s="52" t="s">
        <v>564</v>
      </c>
      <c r="G156" s="52"/>
      <c r="H156" s="52" t="s">
        <v>572</v>
      </c>
      <c r="I156" s="52" t="s">
        <v>17</v>
      </c>
      <c r="J156" s="52" t="s">
        <v>520</v>
      </c>
      <c r="K156" s="22" t="str">
        <f>VLOOKUP(CONCATENATE(A156,LEFT(J156,4)),AGRUPAMENTO!$D$2:$E$6784,2,FALSE)</f>
        <v>Terceirizados - Demais empresas</v>
      </c>
      <c r="L156" s="52" t="s">
        <v>45</v>
      </c>
      <c r="M156" s="52"/>
      <c r="N156" s="52">
        <v>10</v>
      </c>
      <c r="O156" s="86" t="s">
        <v>973</v>
      </c>
      <c r="P156" s="86" t="s">
        <v>47</v>
      </c>
      <c r="Q156" s="86" t="s">
        <v>1159</v>
      </c>
      <c r="R156" s="86">
        <v>1</v>
      </c>
      <c r="S156" s="86" t="s">
        <v>1160</v>
      </c>
      <c r="T156" s="86">
        <v>74327.649999999994</v>
      </c>
      <c r="U156" s="86">
        <v>12</v>
      </c>
      <c r="V156" s="58">
        <f t="shared" si="2"/>
        <v>891931.79999999993</v>
      </c>
      <c r="W156" s="52" t="s">
        <v>50</v>
      </c>
      <c r="X156" s="52" t="s">
        <v>1161</v>
      </c>
      <c r="Y156" s="52" t="s">
        <v>1162</v>
      </c>
      <c r="Z156" s="52" t="s">
        <v>1163</v>
      </c>
      <c r="AA156" s="52">
        <v>0</v>
      </c>
      <c r="AB156" s="52">
        <v>0</v>
      </c>
      <c r="AC156" s="52">
        <v>0</v>
      </c>
      <c r="AD156" s="21">
        <v>1</v>
      </c>
      <c r="AE156" s="21">
        <v>1</v>
      </c>
    </row>
    <row r="157" spans="1:31" s="55" customFormat="1" ht="45" customHeight="1" x14ac:dyDescent="0.25">
      <c r="A157" s="86" t="s">
        <v>562</v>
      </c>
      <c r="B157" s="52" t="s">
        <v>865</v>
      </c>
      <c r="C157" s="52"/>
      <c r="D157" s="52" t="s">
        <v>972</v>
      </c>
      <c r="E157" s="52"/>
      <c r="F157" s="52" t="s">
        <v>564</v>
      </c>
      <c r="G157" s="52"/>
      <c r="H157" s="52" t="s">
        <v>572</v>
      </c>
      <c r="I157" s="52" t="s">
        <v>17</v>
      </c>
      <c r="J157" s="52" t="s">
        <v>527</v>
      </c>
      <c r="K157" s="22" t="str">
        <f>VLOOKUP(CONCATENATE(A157,LEFT(J157,4)),AGRUPAMENTO!$D$2:$E$6784,2,FALSE)</f>
        <v>Frota</v>
      </c>
      <c r="L157" s="52" t="s">
        <v>45</v>
      </c>
      <c r="M157" s="52"/>
      <c r="N157" s="52">
        <v>10</v>
      </c>
      <c r="O157" s="86" t="s">
        <v>973</v>
      </c>
      <c r="P157" s="86" t="s">
        <v>47</v>
      </c>
      <c r="Q157" s="86" t="s">
        <v>1164</v>
      </c>
      <c r="R157" s="86">
        <v>1</v>
      </c>
      <c r="S157" s="86" t="s">
        <v>1165</v>
      </c>
      <c r="T157" s="86">
        <v>15000</v>
      </c>
      <c r="U157" s="86">
        <v>12</v>
      </c>
      <c r="V157" s="58">
        <f t="shared" si="2"/>
        <v>180000</v>
      </c>
      <c r="W157" s="52" t="s">
        <v>50</v>
      </c>
      <c r="X157" s="52" t="s">
        <v>1165</v>
      </c>
      <c r="Y157" s="52" t="s">
        <v>1166</v>
      </c>
      <c r="Z157" s="52" t="s">
        <v>1047</v>
      </c>
      <c r="AA157" s="52">
        <v>0</v>
      </c>
      <c r="AB157" s="52">
        <v>0</v>
      </c>
      <c r="AC157" s="52">
        <v>0</v>
      </c>
      <c r="AD157" s="21">
        <v>1</v>
      </c>
      <c r="AE157" s="21">
        <v>1</v>
      </c>
    </row>
    <row r="158" spans="1:31" s="55" customFormat="1" ht="45" customHeight="1" x14ac:dyDescent="0.25">
      <c r="A158" s="86" t="s">
        <v>562</v>
      </c>
      <c r="B158" s="52" t="s">
        <v>865</v>
      </c>
      <c r="C158" s="52"/>
      <c r="D158" s="52" t="s">
        <v>972</v>
      </c>
      <c r="E158" s="52"/>
      <c r="F158" s="52" t="s">
        <v>564</v>
      </c>
      <c r="G158" s="52"/>
      <c r="H158" s="52" t="s">
        <v>572</v>
      </c>
      <c r="I158" s="52" t="s">
        <v>17</v>
      </c>
      <c r="J158" s="52" t="s">
        <v>664</v>
      </c>
      <c r="K158" s="22" t="str">
        <f>VLOOKUP(CONCATENATE(A158,LEFT(J158,4)),AGRUPAMENTO!$D$2:$E$6784,2,FALSE)</f>
        <v>Demais despesas de custeio</v>
      </c>
      <c r="L158" s="52" t="s">
        <v>45</v>
      </c>
      <c r="M158" s="52"/>
      <c r="N158" s="52">
        <v>10</v>
      </c>
      <c r="O158" s="86" t="s">
        <v>1167</v>
      </c>
      <c r="P158" s="86" t="s">
        <v>47</v>
      </c>
      <c r="Q158" s="86" t="s">
        <v>1168</v>
      </c>
      <c r="R158" s="86">
        <v>1</v>
      </c>
      <c r="S158" s="86" t="s">
        <v>1167</v>
      </c>
      <c r="T158" s="86">
        <v>1031485.73</v>
      </c>
      <c r="U158" s="86">
        <v>12</v>
      </c>
      <c r="V158" s="58">
        <f t="shared" si="2"/>
        <v>12377828.76</v>
      </c>
      <c r="W158" s="52" t="s">
        <v>50</v>
      </c>
      <c r="X158" s="52" t="s">
        <v>1169</v>
      </c>
      <c r="Y158" s="52" t="s">
        <v>1036</v>
      </c>
      <c r="Z158" s="52" t="s">
        <v>1037</v>
      </c>
      <c r="AA158" s="52">
        <v>0</v>
      </c>
      <c r="AB158" s="52">
        <v>0</v>
      </c>
      <c r="AC158" s="52">
        <v>0</v>
      </c>
      <c r="AD158" s="21">
        <v>1</v>
      </c>
      <c r="AE158" s="21">
        <v>1</v>
      </c>
    </row>
    <row r="159" spans="1:31" s="55" customFormat="1" ht="45" customHeight="1" x14ac:dyDescent="0.25">
      <c r="A159" s="86" t="s">
        <v>562</v>
      </c>
      <c r="B159" s="52" t="s">
        <v>865</v>
      </c>
      <c r="C159" s="52"/>
      <c r="D159" s="52" t="s">
        <v>972</v>
      </c>
      <c r="E159" s="52"/>
      <c r="F159" s="52" t="s">
        <v>564</v>
      </c>
      <c r="G159" s="52"/>
      <c r="H159" s="52" t="s">
        <v>572</v>
      </c>
      <c r="I159" s="52" t="s">
        <v>17</v>
      </c>
      <c r="J159" s="52" t="s">
        <v>234</v>
      </c>
      <c r="K159" s="22" t="str">
        <f>VLOOKUP(CONCATENATE(A159,LEFT(J159,4)),AGRUPAMENTO!$D$2:$E$6784,2,FALSE)</f>
        <v>Serviços de TIC</v>
      </c>
      <c r="L159" s="52" t="s">
        <v>45</v>
      </c>
      <c r="M159" s="52"/>
      <c r="N159" s="52">
        <v>10</v>
      </c>
      <c r="O159" s="86" t="s">
        <v>973</v>
      </c>
      <c r="P159" s="86" t="s">
        <v>47</v>
      </c>
      <c r="Q159" s="86" t="s">
        <v>1170</v>
      </c>
      <c r="R159" s="86">
        <v>1</v>
      </c>
      <c r="S159" s="86" t="s">
        <v>1171</v>
      </c>
      <c r="T159" s="86">
        <v>429800.35</v>
      </c>
      <c r="U159" s="86">
        <v>12</v>
      </c>
      <c r="V159" s="58">
        <f t="shared" si="2"/>
        <v>5157604.1999999993</v>
      </c>
      <c r="W159" s="52" t="s">
        <v>50</v>
      </c>
      <c r="X159" s="52" t="s">
        <v>1172</v>
      </c>
      <c r="Y159" s="52" t="s">
        <v>1173</v>
      </c>
      <c r="Z159" s="52" t="s">
        <v>1174</v>
      </c>
      <c r="AA159" s="52">
        <v>0</v>
      </c>
      <c r="AB159" s="52">
        <v>0</v>
      </c>
      <c r="AC159" s="52">
        <v>0</v>
      </c>
      <c r="AD159" s="21">
        <v>1</v>
      </c>
      <c r="AE159" s="21">
        <v>1</v>
      </c>
    </row>
    <row r="160" spans="1:31" s="55" customFormat="1" ht="45" customHeight="1" x14ac:dyDescent="0.25">
      <c r="A160" s="86" t="s">
        <v>562</v>
      </c>
      <c r="B160" s="52" t="s">
        <v>865</v>
      </c>
      <c r="C160" s="52"/>
      <c r="D160" s="52" t="s">
        <v>972</v>
      </c>
      <c r="E160" s="52"/>
      <c r="F160" s="52" t="s">
        <v>564</v>
      </c>
      <c r="G160" s="52"/>
      <c r="H160" s="52" t="s">
        <v>572</v>
      </c>
      <c r="I160" s="52" t="s">
        <v>17</v>
      </c>
      <c r="J160" s="52" t="s">
        <v>234</v>
      </c>
      <c r="K160" s="22" t="str">
        <f>VLOOKUP(CONCATENATE(A160,LEFT(J160,4)),AGRUPAMENTO!$D$2:$E$6784,2,FALSE)</f>
        <v>Serviços de TIC</v>
      </c>
      <c r="L160" s="52" t="s">
        <v>45</v>
      </c>
      <c r="M160" s="52"/>
      <c r="N160" s="52">
        <v>10</v>
      </c>
      <c r="O160" s="86" t="s">
        <v>973</v>
      </c>
      <c r="P160" s="86" t="s">
        <v>47</v>
      </c>
      <c r="Q160" s="86" t="s">
        <v>1175</v>
      </c>
      <c r="R160" s="86">
        <v>14065</v>
      </c>
      <c r="S160" s="86" t="s">
        <v>1176</v>
      </c>
      <c r="T160" s="86">
        <v>0.25</v>
      </c>
      <c r="U160" s="86">
        <v>12</v>
      </c>
      <c r="V160" s="58">
        <f t="shared" si="2"/>
        <v>42195</v>
      </c>
      <c r="W160" s="52" t="s">
        <v>50</v>
      </c>
      <c r="X160" s="52" t="s">
        <v>1177</v>
      </c>
      <c r="Y160" s="52" t="s">
        <v>1178</v>
      </c>
      <c r="Z160" s="52" t="s">
        <v>1179</v>
      </c>
      <c r="AA160" s="52">
        <v>0</v>
      </c>
      <c r="AB160" s="52">
        <v>0</v>
      </c>
      <c r="AC160" s="52">
        <v>0</v>
      </c>
      <c r="AD160" s="21">
        <v>1</v>
      </c>
      <c r="AE160" s="21">
        <v>1</v>
      </c>
    </row>
    <row r="161" spans="1:31" s="55" customFormat="1" ht="45" customHeight="1" x14ac:dyDescent="0.25">
      <c r="A161" s="86" t="s">
        <v>562</v>
      </c>
      <c r="B161" s="52" t="s">
        <v>865</v>
      </c>
      <c r="C161" s="52"/>
      <c r="D161" s="52" t="s">
        <v>972</v>
      </c>
      <c r="E161" s="52"/>
      <c r="F161" s="52" t="s">
        <v>564</v>
      </c>
      <c r="G161" s="52"/>
      <c r="H161" s="52" t="s">
        <v>572</v>
      </c>
      <c r="I161" s="52" t="s">
        <v>17</v>
      </c>
      <c r="J161" s="52" t="s">
        <v>234</v>
      </c>
      <c r="K161" s="22" t="str">
        <f>VLOOKUP(CONCATENATE(A161,LEFT(J161,4)),AGRUPAMENTO!$D$2:$E$6784,2,FALSE)</f>
        <v>Serviços de TIC</v>
      </c>
      <c r="L161" s="52" t="s">
        <v>45</v>
      </c>
      <c r="M161" s="52"/>
      <c r="N161" s="52">
        <v>10</v>
      </c>
      <c r="O161" s="86" t="s">
        <v>1103</v>
      </c>
      <c r="P161" s="86" t="s">
        <v>47</v>
      </c>
      <c r="Q161" s="86" t="s">
        <v>1180</v>
      </c>
      <c r="R161" s="86">
        <v>1</v>
      </c>
      <c r="S161" s="86" t="s">
        <v>1181</v>
      </c>
      <c r="T161" s="86">
        <v>11700</v>
      </c>
      <c r="U161" s="86">
        <v>12</v>
      </c>
      <c r="V161" s="58">
        <f t="shared" si="2"/>
        <v>140400</v>
      </c>
      <c r="W161" s="52" t="s">
        <v>50</v>
      </c>
      <c r="X161" s="52" t="s">
        <v>1182</v>
      </c>
      <c r="Y161" s="52" t="s">
        <v>1183</v>
      </c>
      <c r="Z161" s="52" t="s">
        <v>1184</v>
      </c>
      <c r="AA161" s="52">
        <v>0</v>
      </c>
      <c r="AB161" s="52">
        <v>0</v>
      </c>
      <c r="AC161" s="52">
        <v>0</v>
      </c>
      <c r="AD161" s="21">
        <v>1</v>
      </c>
      <c r="AE161" s="21">
        <v>1</v>
      </c>
    </row>
    <row r="162" spans="1:31" s="55" customFormat="1" ht="45" customHeight="1" x14ac:dyDescent="0.25">
      <c r="A162" s="86" t="s">
        <v>562</v>
      </c>
      <c r="B162" s="52" t="s">
        <v>865</v>
      </c>
      <c r="C162" s="52"/>
      <c r="D162" s="52" t="s">
        <v>972</v>
      </c>
      <c r="E162" s="52"/>
      <c r="F162" s="52" t="s">
        <v>564</v>
      </c>
      <c r="G162" s="52"/>
      <c r="H162" s="52" t="s">
        <v>572</v>
      </c>
      <c r="I162" s="52" t="s">
        <v>17</v>
      </c>
      <c r="J162" s="52" t="s">
        <v>263</v>
      </c>
      <c r="K162" s="22" t="str">
        <f>VLOOKUP(CONCATENATE(A162,LEFT(J162,4)),AGRUPAMENTO!$D$2:$E$6784,2,FALSE)</f>
        <v>PRODEMGE</v>
      </c>
      <c r="L162" s="52" t="s">
        <v>45</v>
      </c>
      <c r="M162" s="52"/>
      <c r="N162" s="52">
        <v>10</v>
      </c>
      <c r="O162" s="86" t="s">
        <v>1185</v>
      </c>
      <c r="P162" s="86" t="s">
        <v>47</v>
      </c>
      <c r="Q162" s="86" t="s">
        <v>1168</v>
      </c>
      <c r="R162" s="86">
        <v>1</v>
      </c>
      <c r="S162" s="86" t="s">
        <v>1167</v>
      </c>
      <c r="T162" s="86">
        <v>188119.35</v>
      </c>
      <c r="U162" s="86">
        <v>12</v>
      </c>
      <c r="V162" s="58">
        <f t="shared" si="2"/>
        <v>2257432.2000000002</v>
      </c>
      <c r="W162" s="52" t="s">
        <v>50</v>
      </c>
      <c r="X162" s="52" t="s">
        <v>1185</v>
      </c>
      <c r="Y162" s="52" t="s">
        <v>1186</v>
      </c>
      <c r="Z162" s="52" t="s">
        <v>1187</v>
      </c>
      <c r="AA162" s="52">
        <v>0</v>
      </c>
      <c r="AB162" s="52">
        <v>0</v>
      </c>
      <c r="AC162" s="52">
        <v>0</v>
      </c>
      <c r="AD162" s="21">
        <v>1</v>
      </c>
      <c r="AE162" s="21">
        <v>1</v>
      </c>
    </row>
    <row r="163" spans="1:31" s="55" customFormat="1" ht="45" customHeight="1" x14ac:dyDescent="0.25">
      <c r="A163" s="86" t="s">
        <v>562</v>
      </c>
      <c r="B163" s="52" t="s">
        <v>865</v>
      </c>
      <c r="C163" s="52"/>
      <c r="D163" s="52" t="s">
        <v>972</v>
      </c>
      <c r="E163" s="52"/>
      <c r="F163" s="52" t="s">
        <v>564</v>
      </c>
      <c r="G163" s="52"/>
      <c r="H163" s="52" t="s">
        <v>572</v>
      </c>
      <c r="I163" s="52" t="s">
        <v>17</v>
      </c>
      <c r="J163" s="52" t="s">
        <v>379</v>
      </c>
      <c r="K163" s="22" t="str">
        <f>VLOOKUP(CONCATENATE(A163,LEFT(J163,4)),AGRUPAMENTO!$D$2:$E$6784,2,FALSE)</f>
        <v>Demais despesas de capital</v>
      </c>
      <c r="L163" s="52" t="s">
        <v>95</v>
      </c>
      <c r="M163" s="52"/>
      <c r="N163" s="52">
        <v>10</v>
      </c>
      <c r="O163" s="86" t="s">
        <v>1188</v>
      </c>
      <c r="P163" s="86" t="s">
        <v>47</v>
      </c>
      <c r="Q163" s="86" t="s">
        <v>1189</v>
      </c>
      <c r="R163" s="86">
        <v>14</v>
      </c>
      <c r="S163" s="86" t="s">
        <v>982</v>
      </c>
      <c r="T163" s="86">
        <v>7650</v>
      </c>
      <c r="U163" s="86">
        <v>12</v>
      </c>
      <c r="V163" s="58">
        <f t="shared" si="2"/>
        <v>1285200</v>
      </c>
      <c r="W163" s="52" t="s">
        <v>69</v>
      </c>
      <c r="X163" s="52" t="s">
        <v>1190</v>
      </c>
      <c r="Y163" s="52" t="s">
        <v>1191</v>
      </c>
      <c r="Z163" s="52" t="s">
        <v>1192</v>
      </c>
      <c r="AA163" s="52">
        <v>3</v>
      </c>
      <c r="AB163" s="52">
        <v>3</v>
      </c>
      <c r="AC163" s="52">
        <v>3</v>
      </c>
      <c r="AD163" s="21">
        <v>1</v>
      </c>
      <c r="AE163" s="21">
        <v>1</v>
      </c>
    </row>
    <row r="164" spans="1:31" s="55" customFormat="1" ht="45" customHeight="1" x14ac:dyDescent="0.25">
      <c r="A164" s="86" t="s">
        <v>562</v>
      </c>
      <c r="B164" s="52" t="s">
        <v>865</v>
      </c>
      <c r="C164" s="52"/>
      <c r="D164" s="52" t="s">
        <v>972</v>
      </c>
      <c r="E164" s="52"/>
      <c r="F164" s="52" t="s">
        <v>564</v>
      </c>
      <c r="G164" s="52"/>
      <c r="H164" s="52" t="s">
        <v>572</v>
      </c>
      <c r="I164" s="52" t="s">
        <v>17</v>
      </c>
      <c r="J164" s="52" t="s">
        <v>409</v>
      </c>
      <c r="K164" s="22" t="str">
        <f>VLOOKUP(CONCATENATE(A164,LEFT(J164,4)),AGRUPAMENTO!$D$2:$E$6784,2,FALSE)</f>
        <v>Demais despesas de capital</v>
      </c>
      <c r="L164" s="52" t="s">
        <v>95</v>
      </c>
      <c r="M164" s="52"/>
      <c r="N164" s="52">
        <v>10</v>
      </c>
      <c r="O164" s="86" t="s">
        <v>1193</v>
      </c>
      <c r="P164" s="86" t="s">
        <v>47</v>
      </c>
      <c r="Q164" s="86" t="s">
        <v>1194</v>
      </c>
      <c r="R164" s="86">
        <v>4</v>
      </c>
      <c r="S164" s="86" t="s">
        <v>1195</v>
      </c>
      <c r="T164" s="86">
        <v>400000</v>
      </c>
      <c r="U164" s="86">
        <v>1</v>
      </c>
      <c r="V164" s="58">
        <f t="shared" si="2"/>
        <v>1600000</v>
      </c>
      <c r="W164" s="52" t="s">
        <v>69</v>
      </c>
      <c r="X164" s="52" t="s">
        <v>1196</v>
      </c>
      <c r="Y164" s="52" t="s">
        <v>1197</v>
      </c>
      <c r="Z164" s="52" t="s">
        <v>1198</v>
      </c>
      <c r="AA164" s="52">
        <v>3</v>
      </c>
      <c r="AB164" s="52">
        <v>3</v>
      </c>
      <c r="AC164" s="52">
        <v>3</v>
      </c>
      <c r="AD164" s="21">
        <v>1</v>
      </c>
      <c r="AE164" s="21">
        <v>1</v>
      </c>
    </row>
    <row r="165" spans="1:31" s="55" customFormat="1" ht="45" customHeight="1" x14ac:dyDescent="0.25">
      <c r="A165" s="86" t="s">
        <v>562</v>
      </c>
      <c r="B165" s="52" t="s">
        <v>865</v>
      </c>
      <c r="C165" s="52"/>
      <c r="D165" s="52" t="s">
        <v>972</v>
      </c>
      <c r="E165" s="52"/>
      <c r="F165" s="52" t="s">
        <v>564</v>
      </c>
      <c r="G165" s="52"/>
      <c r="H165" s="52" t="s">
        <v>572</v>
      </c>
      <c r="I165" s="52" t="s">
        <v>17</v>
      </c>
      <c r="J165" s="52" t="s">
        <v>449</v>
      </c>
      <c r="K165" s="22" t="str">
        <f>VLOOKUP(CONCATENATE(A165,LEFT(J165,4)),AGRUPAMENTO!$D$2:$E$6784,2,FALSE)</f>
        <v>Demais despesas de capital</v>
      </c>
      <c r="L165" s="52" t="s">
        <v>95</v>
      </c>
      <c r="M165" s="52"/>
      <c r="N165" s="52">
        <v>10</v>
      </c>
      <c r="O165" s="86" t="s">
        <v>1199</v>
      </c>
      <c r="P165" s="86" t="s">
        <v>47</v>
      </c>
      <c r="Q165" s="86" t="s">
        <v>1189</v>
      </c>
      <c r="R165" s="86">
        <v>50</v>
      </c>
      <c r="S165" s="86" t="s">
        <v>982</v>
      </c>
      <c r="T165" s="86">
        <v>900</v>
      </c>
      <c r="U165" s="86">
        <v>1</v>
      </c>
      <c r="V165" s="58">
        <f t="shared" si="2"/>
        <v>45000</v>
      </c>
      <c r="W165" s="52" t="s">
        <v>69</v>
      </c>
      <c r="X165" s="52" t="s">
        <v>1200</v>
      </c>
      <c r="Y165" s="52" t="s">
        <v>1191</v>
      </c>
      <c r="Z165" s="52" t="s">
        <v>1192</v>
      </c>
      <c r="AA165" s="52">
        <v>3</v>
      </c>
      <c r="AB165" s="52">
        <v>3</v>
      </c>
      <c r="AC165" s="52">
        <v>3</v>
      </c>
      <c r="AD165" s="21">
        <v>1</v>
      </c>
      <c r="AE165" s="21">
        <v>1</v>
      </c>
    </row>
    <row r="166" spans="1:31" s="55" customFormat="1" ht="45" customHeight="1" x14ac:dyDescent="0.25">
      <c r="A166" s="86" t="s">
        <v>562</v>
      </c>
      <c r="B166" s="52" t="s">
        <v>865</v>
      </c>
      <c r="C166" s="52"/>
      <c r="D166" s="52" t="s">
        <v>1201</v>
      </c>
      <c r="E166" s="52"/>
      <c r="F166" s="52" t="s">
        <v>1202</v>
      </c>
      <c r="G166" s="52"/>
      <c r="H166" s="52" t="s">
        <v>1203</v>
      </c>
      <c r="I166" s="52" t="s">
        <v>17</v>
      </c>
      <c r="J166" s="52" t="s">
        <v>499</v>
      </c>
      <c r="K166" s="22" t="str">
        <f>VLOOKUP(CONCATENATE(A166,LEFT(J166,4)),AGRUPAMENTO!$D$2:$E$6784,2,FALSE)</f>
        <v>Demais despesas de custeio</v>
      </c>
      <c r="L166" s="52" t="s">
        <v>45</v>
      </c>
      <c r="M166" s="52"/>
      <c r="N166" s="52">
        <v>10</v>
      </c>
      <c r="O166" s="86" t="s">
        <v>1204</v>
      </c>
      <c r="P166" s="86" t="s">
        <v>47</v>
      </c>
      <c r="Q166" s="86" t="s">
        <v>1205</v>
      </c>
      <c r="R166" s="86">
        <v>1</v>
      </c>
      <c r="S166" s="86" t="s">
        <v>1206</v>
      </c>
      <c r="T166" s="86">
        <v>4200000</v>
      </c>
      <c r="U166" s="86">
        <v>12</v>
      </c>
      <c r="V166" s="58">
        <f t="shared" si="2"/>
        <v>50400000</v>
      </c>
      <c r="W166" s="52" t="s">
        <v>50</v>
      </c>
      <c r="X166" s="52" t="s">
        <v>1207</v>
      </c>
      <c r="Y166" s="52" t="s">
        <v>1208</v>
      </c>
      <c r="Z166" s="52" t="s">
        <v>1209</v>
      </c>
      <c r="AA166" s="52">
        <v>0</v>
      </c>
      <c r="AB166" s="52">
        <v>0</v>
      </c>
      <c r="AC166" s="52">
        <v>0</v>
      </c>
      <c r="AD166" s="21">
        <v>1</v>
      </c>
      <c r="AE166" s="21">
        <v>1</v>
      </c>
    </row>
    <row r="167" spans="1:31" s="55" customFormat="1" ht="45" customHeight="1" x14ac:dyDescent="0.25">
      <c r="A167" s="86" t="s">
        <v>562</v>
      </c>
      <c r="B167" s="52" t="s">
        <v>865</v>
      </c>
      <c r="C167" s="52"/>
      <c r="D167" s="52" t="s">
        <v>1201</v>
      </c>
      <c r="E167" s="52"/>
      <c r="F167" s="52" t="s">
        <v>1202</v>
      </c>
      <c r="G167" s="52"/>
      <c r="H167" s="52" t="s">
        <v>1203</v>
      </c>
      <c r="I167" s="52" t="s">
        <v>17</v>
      </c>
      <c r="J167" s="52" t="s">
        <v>237</v>
      </c>
      <c r="K167" s="22" t="str">
        <f>VLOOKUP(CONCATENATE(A167,LEFT(J167,4)),AGRUPAMENTO!$D$2:$E$6784,2,FALSE)</f>
        <v>SUBVENÇÕES SOCIAIS</v>
      </c>
      <c r="L167" s="52" t="s">
        <v>45</v>
      </c>
      <c r="M167" s="52"/>
      <c r="N167" s="52">
        <v>21</v>
      </c>
      <c r="O167" s="86" t="s">
        <v>1210</v>
      </c>
      <c r="P167" s="86" t="s">
        <v>47</v>
      </c>
      <c r="Q167" s="86" t="s">
        <v>1211</v>
      </c>
      <c r="R167" s="86">
        <v>1600000</v>
      </c>
      <c r="S167" s="86" t="s">
        <v>1212</v>
      </c>
      <c r="T167" s="86">
        <v>1.75</v>
      </c>
      <c r="U167" s="86">
        <v>200</v>
      </c>
      <c r="V167" s="58">
        <f t="shared" si="2"/>
        <v>560000000</v>
      </c>
      <c r="W167" s="52" t="s">
        <v>50</v>
      </c>
      <c r="X167" s="52" t="s">
        <v>1213</v>
      </c>
      <c r="Y167" s="52" t="s">
        <v>1208</v>
      </c>
      <c r="Z167" s="52" t="s">
        <v>1209</v>
      </c>
      <c r="AA167" s="52">
        <v>0</v>
      </c>
      <c r="AB167" s="52">
        <v>0</v>
      </c>
      <c r="AC167" s="52">
        <v>0</v>
      </c>
      <c r="AD167" s="21">
        <v>1</v>
      </c>
      <c r="AE167" s="21">
        <v>1</v>
      </c>
    </row>
    <row r="168" spans="1:31" s="55" customFormat="1" ht="45" customHeight="1" x14ac:dyDescent="0.25">
      <c r="A168" s="86" t="s">
        <v>562</v>
      </c>
      <c r="B168" s="52" t="s">
        <v>865</v>
      </c>
      <c r="C168" s="52"/>
      <c r="D168" s="52" t="s">
        <v>1201</v>
      </c>
      <c r="E168" s="52"/>
      <c r="F168" s="52" t="s">
        <v>714</v>
      </c>
      <c r="G168" s="52"/>
      <c r="H168" s="52" t="s">
        <v>1069</v>
      </c>
      <c r="I168" s="52" t="s">
        <v>17</v>
      </c>
      <c r="J168" s="52" t="s">
        <v>237</v>
      </c>
      <c r="K168" s="22" t="str">
        <f>VLOOKUP(CONCATENATE(A168,LEFT(J168,4)),AGRUPAMENTO!$D$2:$E$6784,2,FALSE)</f>
        <v>SUBVENÇÕES SOCIAIS</v>
      </c>
      <c r="L168" s="52" t="s">
        <v>45</v>
      </c>
      <c r="M168" s="52"/>
      <c r="N168" s="52">
        <v>10</v>
      </c>
      <c r="O168" s="86" t="s">
        <v>1214</v>
      </c>
      <c r="P168" s="86" t="s">
        <v>47</v>
      </c>
      <c r="Q168" s="86" t="s">
        <v>1215</v>
      </c>
      <c r="R168" s="86">
        <v>3460</v>
      </c>
      <c r="S168" s="86" t="s">
        <v>1216</v>
      </c>
      <c r="T168" s="86">
        <v>15000</v>
      </c>
      <c r="U168" s="86">
        <v>1</v>
      </c>
      <c r="V168" s="58">
        <f t="shared" si="2"/>
        <v>51900000</v>
      </c>
      <c r="W168" s="52" t="s">
        <v>50</v>
      </c>
      <c r="X168" s="52" t="s">
        <v>1217</v>
      </c>
      <c r="Y168" s="52" t="s">
        <v>1218</v>
      </c>
      <c r="Z168" s="52" t="s">
        <v>1219</v>
      </c>
      <c r="AA168" s="52">
        <v>0</v>
      </c>
      <c r="AB168" s="52">
        <v>0</v>
      </c>
      <c r="AC168" s="52">
        <v>0</v>
      </c>
      <c r="AD168" s="21">
        <v>1</v>
      </c>
      <c r="AE168" s="21">
        <v>1</v>
      </c>
    </row>
    <row r="169" spans="1:31" s="55" customFormat="1" ht="45" customHeight="1" x14ac:dyDescent="0.25">
      <c r="A169" s="86" t="s">
        <v>562</v>
      </c>
      <c r="B169" s="52" t="s">
        <v>865</v>
      </c>
      <c r="C169" s="52"/>
      <c r="D169" s="52" t="s">
        <v>1201</v>
      </c>
      <c r="E169" s="52"/>
      <c r="F169" s="52" t="s">
        <v>714</v>
      </c>
      <c r="G169" s="52"/>
      <c r="H169" s="52" t="s">
        <v>1220</v>
      </c>
      <c r="I169" s="52" t="s">
        <v>17</v>
      </c>
      <c r="J169" s="52" t="s">
        <v>236</v>
      </c>
      <c r="K169" s="22" t="str">
        <f>VLOOKUP(CONCATENATE(A169,LEFT(J169,4)),AGRUPAMENTO!$D$2:$E$6784,2,FALSE)</f>
        <v>Instrumentos de Saída</v>
      </c>
      <c r="L169" s="52" t="s">
        <v>95</v>
      </c>
      <c r="M169" s="52"/>
      <c r="N169" s="52">
        <v>10</v>
      </c>
      <c r="O169" s="86" t="s">
        <v>1221</v>
      </c>
      <c r="P169" s="86" t="s">
        <v>47</v>
      </c>
      <c r="Q169" s="86" t="s">
        <v>1215</v>
      </c>
      <c r="R169" s="86">
        <v>2000</v>
      </c>
      <c r="S169" s="86" t="s">
        <v>1216</v>
      </c>
      <c r="T169" s="86">
        <v>100000</v>
      </c>
      <c r="U169" s="86">
        <v>1</v>
      </c>
      <c r="V169" s="58">
        <f t="shared" si="2"/>
        <v>200000000</v>
      </c>
      <c r="W169" s="52" t="s">
        <v>50</v>
      </c>
      <c r="X169" s="52" t="s">
        <v>1222</v>
      </c>
      <c r="Y169" s="52" t="s">
        <v>1223</v>
      </c>
      <c r="Z169" s="52" t="s">
        <v>1224</v>
      </c>
      <c r="AA169" s="52">
        <v>0</v>
      </c>
      <c r="AB169" s="52">
        <v>0</v>
      </c>
      <c r="AC169" s="52">
        <v>0</v>
      </c>
      <c r="AD169" s="21">
        <v>1</v>
      </c>
      <c r="AE169" s="21">
        <v>1</v>
      </c>
    </row>
    <row r="170" spans="1:31" s="55" customFormat="1" ht="45" customHeight="1" x14ac:dyDescent="0.25">
      <c r="A170" s="86" t="s">
        <v>562</v>
      </c>
      <c r="B170" s="52" t="s">
        <v>865</v>
      </c>
      <c r="C170" s="52"/>
      <c r="D170" s="52" t="s">
        <v>1201</v>
      </c>
      <c r="E170" s="52"/>
      <c r="F170" s="52" t="s">
        <v>714</v>
      </c>
      <c r="G170" s="52"/>
      <c r="H170" s="52" t="s">
        <v>1225</v>
      </c>
      <c r="I170" s="52" t="s">
        <v>17</v>
      </c>
      <c r="J170" s="52" t="s">
        <v>236</v>
      </c>
      <c r="K170" s="22" t="str">
        <f>VLOOKUP(CONCATENATE(A170,LEFT(J170,4)),AGRUPAMENTO!$D$2:$E$6784,2,FALSE)</f>
        <v>Instrumentos de Saída</v>
      </c>
      <c r="L170" s="52" t="s">
        <v>95</v>
      </c>
      <c r="M170" s="52"/>
      <c r="N170" s="52">
        <v>10</v>
      </c>
      <c r="O170" s="86" t="s">
        <v>1226</v>
      </c>
      <c r="P170" s="86" t="s">
        <v>47</v>
      </c>
      <c r="Q170" s="86" t="s">
        <v>1227</v>
      </c>
      <c r="R170" s="86">
        <v>1500</v>
      </c>
      <c r="S170" s="86" t="s">
        <v>1228</v>
      </c>
      <c r="T170" s="86">
        <v>200000</v>
      </c>
      <c r="U170" s="86">
        <v>1</v>
      </c>
      <c r="V170" s="58">
        <f t="shared" si="2"/>
        <v>300000000</v>
      </c>
      <c r="W170" s="52" t="s">
        <v>50</v>
      </c>
      <c r="X170" s="52" t="s">
        <v>1229</v>
      </c>
      <c r="Y170" s="52" t="s">
        <v>1230</v>
      </c>
      <c r="Z170" s="52" t="s">
        <v>1231</v>
      </c>
      <c r="AA170" s="52">
        <v>0</v>
      </c>
      <c r="AB170" s="52">
        <v>0</v>
      </c>
      <c r="AC170" s="52">
        <v>0</v>
      </c>
      <c r="AD170" s="21">
        <v>1</v>
      </c>
      <c r="AE170" s="21">
        <v>1</v>
      </c>
    </row>
    <row r="171" spans="1:31" s="55" customFormat="1" ht="45" customHeight="1" x14ac:dyDescent="0.25">
      <c r="A171" s="86" t="s">
        <v>562</v>
      </c>
      <c r="B171" s="52" t="s">
        <v>865</v>
      </c>
      <c r="C171" s="52"/>
      <c r="D171" s="52" t="s">
        <v>1201</v>
      </c>
      <c r="E171" s="52"/>
      <c r="F171" s="52" t="s">
        <v>714</v>
      </c>
      <c r="G171" s="52"/>
      <c r="H171" s="52" t="s">
        <v>1069</v>
      </c>
      <c r="I171" s="52" t="s">
        <v>17</v>
      </c>
      <c r="J171" s="52" t="s">
        <v>413</v>
      </c>
      <c r="K171" s="22" t="str">
        <f>VLOOKUP(CONCATENATE(A171,LEFT(J171,4)),AGRUPAMENTO!$D$2:$E$6784,2,FALSE)</f>
        <v>Aluguéis e condomínios</v>
      </c>
      <c r="L171" s="52" t="s">
        <v>45</v>
      </c>
      <c r="M171" s="52"/>
      <c r="N171" s="52">
        <v>10</v>
      </c>
      <c r="O171" s="86" t="s">
        <v>1232</v>
      </c>
      <c r="P171" s="86" t="s">
        <v>47</v>
      </c>
      <c r="Q171" s="86" t="s">
        <v>932</v>
      </c>
      <c r="R171" s="86">
        <v>1</v>
      </c>
      <c r="S171" s="86" t="s">
        <v>1233</v>
      </c>
      <c r="T171" s="86">
        <v>900000</v>
      </c>
      <c r="U171" s="86">
        <v>12</v>
      </c>
      <c r="V171" s="58">
        <f t="shared" si="2"/>
        <v>10800000</v>
      </c>
      <c r="W171" s="52" t="s">
        <v>50</v>
      </c>
      <c r="X171" s="52" t="s">
        <v>1234</v>
      </c>
      <c r="Y171" s="52" t="s">
        <v>1235</v>
      </c>
      <c r="Z171" s="52" t="s">
        <v>1236</v>
      </c>
      <c r="AA171" s="52">
        <v>0</v>
      </c>
      <c r="AB171" s="52">
        <v>0</v>
      </c>
      <c r="AC171" s="52">
        <v>0</v>
      </c>
      <c r="AD171" s="21">
        <v>1</v>
      </c>
      <c r="AE171" s="21">
        <v>1</v>
      </c>
    </row>
    <row r="172" spans="1:31" s="55" customFormat="1" ht="45" customHeight="1" x14ac:dyDescent="0.25">
      <c r="A172" s="86" t="s">
        <v>562</v>
      </c>
      <c r="B172" s="52" t="s">
        <v>865</v>
      </c>
      <c r="C172" s="52"/>
      <c r="D172" s="52" t="s">
        <v>1201</v>
      </c>
      <c r="E172" s="52"/>
      <c r="F172" s="52" t="s">
        <v>714</v>
      </c>
      <c r="G172" s="52"/>
      <c r="H172" s="52" t="s">
        <v>1069</v>
      </c>
      <c r="I172" s="52" t="s">
        <v>17</v>
      </c>
      <c r="J172" s="52" t="s">
        <v>1237</v>
      </c>
      <c r="K172" s="22" t="str">
        <f>VLOOKUP(CONCATENATE(A172,LEFT(J172,4)),AGRUPAMENTO!$D$2:$E$6784,2,FALSE)</f>
        <v>Aluguéis e condomínios</v>
      </c>
      <c r="L172" s="52" t="s">
        <v>45</v>
      </c>
      <c r="M172" s="52"/>
      <c r="N172" s="52">
        <v>10</v>
      </c>
      <c r="O172" s="86" t="s">
        <v>1238</v>
      </c>
      <c r="P172" s="86" t="s">
        <v>47</v>
      </c>
      <c r="Q172" s="86" t="s">
        <v>932</v>
      </c>
      <c r="R172" s="86">
        <v>1</v>
      </c>
      <c r="S172" s="86" t="s">
        <v>1233</v>
      </c>
      <c r="T172" s="86">
        <v>230000</v>
      </c>
      <c r="U172" s="86">
        <v>12</v>
      </c>
      <c r="V172" s="58">
        <f t="shared" si="2"/>
        <v>2760000</v>
      </c>
      <c r="W172" s="52" t="s">
        <v>50</v>
      </c>
      <c r="X172" s="52" t="s">
        <v>1234</v>
      </c>
      <c r="Y172" s="52" t="s">
        <v>1239</v>
      </c>
      <c r="Z172" s="52" t="s">
        <v>1240</v>
      </c>
      <c r="AA172" s="52">
        <v>0</v>
      </c>
      <c r="AB172" s="52">
        <v>0</v>
      </c>
      <c r="AC172" s="52">
        <v>0</v>
      </c>
      <c r="AD172" s="21">
        <v>1</v>
      </c>
      <c r="AE172" s="21">
        <v>1</v>
      </c>
    </row>
    <row r="173" spans="1:31" s="55" customFormat="1" ht="45" customHeight="1" x14ac:dyDescent="0.25">
      <c r="A173" s="86" t="s">
        <v>562</v>
      </c>
      <c r="B173" s="52" t="s">
        <v>865</v>
      </c>
      <c r="C173" s="52"/>
      <c r="D173" s="52" t="s">
        <v>1201</v>
      </c>
      <c r="E173" s="52"/>
      <c r="F173" s="52" t="s">
        <v>564</v>
      </c>
      <c r="G173" s="52"/>
      <c r="H173" s="52" t="s">
        <v>1058</v>
      </c>
      <c r="I173" s="52" t="s">
        <v>17</v>
      </c>
      <c r="J173" s="52" t="s">
        <v>413</v>
      </c>
      <c r="K173" s="22" t="str">
        <f>VLOOKUP(CONCATENATE(A173,LEFT(J173,4)),AGRUPAMENTO!$D$2:$E$6784,2,FALSE)</f>
        <v>Aluguéis e condomínios</v>
      </c>
      <c r="L173" s="52" t="s">
        <v>45</v>
      </c>
      <c r="M173" s="52"/>
      <c r="N173" s="52">
        <v>10</v>
      </c>
      <c r="O173" s="86" t="s">
        <v>1232</v>
      </c>
      <c r="P173" s="86" t="s">
        <v>47</v>
      </c>
      <c r="Q173" s="86" t="s">
        <v>932</v>
      </c>
      <c r="R173" s="86">
        <v>1</v>
      </c>
      <c r="S173" s="86" t="s">
        <v>1233</v>
      </c>
      <c r="T173" s="86">
        <v>520000</v>
      </c>
      <c r="U173" s="86">
        <v>12</v>
      </c>
      <c r="V173" s="58">
        <f t="shared" si="2"/>
        <v>6240000</v>
      </c>
      <c r="W173" s="52" t="s">
        <v>50</v>
      </c>
      <c r="X173" s="52" t="s">
        <v>1241</v>
      </c>
      <c r="Y173" s="52" t="s">
        <v>1239</v>
      </c>
      <c r="Z173" s="52" t="s">
        <v>1240</v>
      </c>
      <c r="AA173" s="52">
        <v>0</v>
      </c>
      <c r="AB173" s="52">
        <v>0</v>
      </c>
      <c r="AC173" s="52">
        <v>0</v>
      </c>
      <c r="AD173" s="21">
        <v>1</v>
      </c>
      <c r="AE173" s="21">
        <v>1</v>
      </c>
    </row>
    <row r="174" spans="1:31" s="55" customFormat="1" ht="45" customHeight="1" x14ac:dyDescent="0.25">
      <c r="A174" s="86" t="s">
        <v>562</v>
      </c>
      <c r="B174" s="52" t="s">
        <v>865</v>
      </c>
      <c r="C174" s="52"/>
      <c r="D174" s="52" t="s">
        <v>1201</v>
      </c>
      <c r="E174" s="52"/>
      <c r="F174" s="52" t="s">
        <v>564</v>
      </c>
      <c r="G174" s="52"/>
      <c r="H174" s="52" t="s">
        <v>1058</v>
      </c>
      <c r="I174" s="52" t="s">
        <v>17</v>
      </c>
      <c r="J174" s="52" t="s">
        <v>1237</v>
      </c>
      <c r="K174" s="22" t="str">
        <f>VLOOKUP(CONCATENATE(A174,LEFT(J174,4)),AGRUPAMENTO!$D$2:$E$6784,2,FALSE)</f>
        <v>Aluguéis e condomínios</v>
      </c>
      <c r="L174" s="52" t="s">
        <v>45</v>
      </c>
      <c r="M174" s="52"/>
      <c r="N174" s="52">
        <v>10</v>
      </c>
      <c r="O174" s="86" t="s">
        <v>1238</v>
      </c>
      <c r="P174" s="86" t="s">
        <v>47</v>
      </c>
      <c r="Q174" s="86" t="s">
        <v>932</v>
      </c>
      <c r="R174" s="86">
        <v>1</v>
      </c>
      <c r="S174" s="86" t="s">
        <v>1233</v>
      </c>
      <c r="T174" s="86">
        <v>410000</v>
      </c>
      <c r="U174" s="86">
        <v>12</v>
      </c>
      <c r="V174" s="58">
        <f t="shared" si="2"/>
        <v>4920000</v>
      </c>
      <c r="W174" s="52" t="s">
        <v>50</v>
      </c>
      <c r="X174" s="52" t="s">
        <v>1234</v>
      </c>
      <c r="Y174" s="52" t="s">
        <v>1239</v>
      </c>
      <c r="Z174" s="52" t="s">
        <v>1240</v>
      </c>
      <c r="AA174" s="52">
        <v>0</v>
      </c>
      <c r="AB174" s="52">
        <v>0</v>
      </c>
      <c r="AC174" s="52">
        <v>0</v>
      </c>
      <c r="AD174" s="21">
        <v>1</v>
      </c>
      <c r="AE174" s="21">
        <v>1</v>
      </c>
    </row>
    <row r="175" spans="1:31" s="55" customFormat="1" ht="45" customHeight="1" x14ac:dyDescent="0.25">
      <c r="A175" s="86" t="s">
        <v>562</v>
      </c>
      <c r="B175" s="52" t="s">
        <v>865</v>
      </c>
      <c r="C175" s="52"/>
      <c r="D175" s="52" t="s">
        <v>1201</v>
      </c>
      <c r="E175" s="52"/>
      <c r="F175" s="52" t="s">
        <v>714</v>
      </c>
      <c r="G175" s="52"/>
      <c r="H175" s="52" t="s">
        <v>1069</v>
      </c>
      <c r="I175" s="52" t="s">
        <v>17</v>
      </c>
      <c r="J175" s="52" t="s">
        <v>283</v>
      </c>
      <c r="K175" s="22" t="str">
        <f>VLOOKUP(CONCATENATE(A175,LEFT(J175,4)),AGRUPAMENTO!$D$2:$E$6784,2,FALSE)</f>
        <v>Serviços de TIC</v>
      </c>
      <c r="L175" s="52" t="s">
        <v>45</v>
      </c>
      <c r="M175" s="52"/>
      <c r="N175" s="52">
        <v>10</v>
      </c>
      <c r="O175" s="86" t="s">
        <v>1242</v>
      </c>
      <c r="P175" s="86" t="s">
        <v>47</v>
      </c>
      <c r="Q175" s="86" t="s">
        <v>1243</v>
      </c>
      <c r="R175" s="86">
        <v>3460</v>
      </c>
      <c r="S175" s="86" t="s">
        <v>1244</v>
      </c>
      <c r="T175" s="86">
        <v>5000</v>
      </c>
      <c r="U175" s="86">
        <v>1</v>
      </c>
      <c r="V175" s="58">
        <f t="shared" si="2"/>
        <v>17300000</v>
      </c>
      <c r="W175" s="52" t="s">
        <v>50</v>
      </c>
      <c r="X175" s="52" t="s">
        <v>1245</v>
      </c>
      <c r="Y175" s="52" t="s">
        <v>1246</v>
      </c>
      <c r="Z175" s="52" t="s">
        <v>1247</v>
      </c>
      <c r="AA175" s="52">
        <v>0</v>
      </c>
      <c r="AB175" s="52">
        <v>0</v>
      </c>
      <c r="AC175" s="52">
        <v>0</v>
      </c>
      <c r="AD175" s="21">
        <v>1</v>
      </c>
      <c r="AE175" s="21">
        <v>1</v>
      </c>
    </row>
    <row r="176" spans="1:31" s="55" customFormat="1" ht="45" customHeight="1" x14ac:dyDescent="0.25">
      <c r="A176" s="86" t="s">
        <v>562</v>
      </c>
      <c r="B176" s="52" t="s">
        <v>865</v>
      </c>
      <c r="C176" s="52"/>
      <c r="D176" s="52" t="s">
        <v>1201</v>
      </c>
      <c r="E176" s="52"/>
      <c r="F176" s="52" t="s">
        <v>714</v>
      </c>
      <c r="G176" s="52"/>
      <c r="H176" s="52" t="s">
        <v>1225</v>
      </c>
      <c r="I176" s="52" t="s">
        <v>17</v>
      </c>
      <c r="J176" s="52" t="s">
        <v>283</v>
      </c>
      <c r="K176" s="22" t="str">
        <f>VLOOKUP(CONCATENATE(A176,LEFT(J176,4)),AGRUPAMENTO!$D$2:$E$6784,2,FALSE)</f>
        <v>Serviços de TIC</v>
      </c>
      <c r="L176" s="52" t="s">
        <v>95</v>
      </c>
      <c r="M176" s="52"/>
      <c r="N176" s="52">
        <v>10</v>
      </c>
      <c r="O176" s="86" t="s">
        <v>1248</v>
      </c>
      <c r="P176" s="86" t="s">
        <v>47</v>
      </c>
      <c r="Q176" s="86" t="s">
        <v>1249</v>
      </c>
      <c r="R176" s="86">
        <v>300</v>
      </c>
      <c r="S176" s="86" t="s">
        <v>1250</v>
      </c>
      <c r="T176" s="86">
        <v>30000</v>
      </c>
      <c r="U176" s="86">
        <v>1</v>
      </c>
      <c r="V176" s="58">
        <f t="shared" si="2"/>
        <v>9000000</v>
      </c>
      <c r="W176" s="52" t="s">
        <v>50</v>
      </c>
      <c r="X176" s="52" t="s">
        <v>1248</v>
      </c>
      <c r="Y176" s="52" t="s">
        <v>1251</v>
      </c>
      <c r="Z176" s="52" t="s">
        <v>1252</v>
      </c>
      <c r="AA176" s="52">
        <v>0</v>
      </c>
      <c r="AB176" s="52">
        <v>0</v>
      </c>
      <c r="AC176" s="52">
        <v>0</v>
      </c>
      <c r="AD176" s="21">
        <v>1</v>
      </c>
      <c r="AE176" s="21">
        <v>1</v>
      </c>
    </row>
    <row r="177" spans="1:31" s="55" customFormat="1" ht="45" customHeight="1" x14ac:dyDescent="0.25">
      <c r="A177" s="86" t="s">
        <v>562</v>
      </c>
      <c r="B177" s="52" t="s">
        <v>865</v>
      </c>
      <c r="C177" s="52"/>
      <c r="D177" s="52" t="s">
        <v>1201</v>
      </c>
      <c r="E177" s="52"/>
      <c r="F177" s="52" t="s">
        <v>714</v>
      </c>
      <c r="G177" s="52"/>
      <c r="H177" s="52" t="s">
        <v>1225</v>
      </c>
      <c r="I177" s="52" t="s">
        <v>17</v>
      </c>
      <c r="J177" s="52" t="s">
        <v>241</v>
      </c>
      <c r="K177" s="22" t="str">
        <f>VLOOKUP(CONCATENATE(A177,LEFT(J177,4)),AGRUPAMENTO!$D$2:$E$6784,2,FALSE)</f>
        <v>Obras e projetos de obras</v>
      </c>
      <c r="L177" s="52" t="s">
        <v>95</v>
      </c>
      <c r="M177" s="52"/>
      <c r="N177" s="52">
        <v>10</v>
      </c>
      <c r="O177" s="86" t="s">
        <v>1253</v>
      </c>
      <c r="P177" s="86" t="s">
        <v>47</v>
      </c>
      <c r="Q177" s="86" t="s">
        <v>1254</v>
      </c>
      <c r="R177" s="86">
        <v>30</v>
      </c>
      <c r="S177" s="86" t="s">
        <v>1255</v>
      </c>
      <c r="T177" s="86">
        <v>1750000</v>
      </c>
      <c r="U177" s="86">
        <v>1</v>
      </c>
      <c r="V177" s="58">
        <f t="shared" si="2"/>
        <v>52500000</v>
      </c>
      <c r="W177" s="52" t="s">
        <v>50</v>
      </c>
      <c r="X177" s="52" t="s">
        <v>1229</v>
      </c>
      <c r="Y177" s="52" t="s">
        <v>1256</v>
      </c>
      <c r="Z177" s="52" t="s">
        <v>1257</v>
      </c>
      <c r="AA177" s="52">
        <v>0</v>
      </c>
      <c r="AB177" s="52">
        <v>0</v>
      </c>
      <c r="AC177" s="52">
        <v>0</v>
      </c>
      <c r="AD177" s="21">
        <v>1</v>
      </c>
      <c r="AE177" s="21">
        <v>1</v>
      </c>
    </row>
    <row r="178" spans="1:31" s="55" customFormat="1" ht="45" customHeight="1" x14ac:dyDescent="0.25">
      <c r="A178" s="86" t="s">
        <v>562</v>
      </c>
      <c r="B178" s="52" t="s">
        <v>865</v>
      </c>
      <c r="C178" s="52"/>
      <c r="D178" s="52" t="s">
        <v>1201</v>
      </c>
      <c r="E178" s="52"/>
      <c r="F178" s="52" t="s">
        <v>714</v>
      </c>
      <c r="G178" s="52"/>
      <c r="H178" s="52" t="s">
        <v>1225</v>
      </c>
      <c r="I178" s="52" t="s">
        <v>17</v>
      </c>
      <c r="J178" s="52" t="s">
        <v>287</v>
      </c>
      <c r="K178" s="22" t="str">
        <f>VLOOKUP(CONCATENATE(A178,LEFT(J178,4)),AGRUPAMENTO!$D$2:$E$6784,2,FALSE)</f>
        <v>Obras e projetos de obras</v>
      </c>
      <c r="L178" s="52" t="s">
        <v>95</v>
      </c>
      <c r="M178" s="52"/>
      <c r="N178" s="52">
        <v>10</v>
      </c>
      <c r="O178" s="86" t="s">
        <v>1226</v>
      </c>
      <c r="P178" s="86" t="s">
        <v>47</v>
      </c>
      <c r="Q178" s="86" t="s">
        <v>1254</v>
      </c>
      <c r="R178" s="86">
        <v>10</v>
      </c>
      <c r="S178" s="86" t="s">
        <v>1255</v>
      </c>
      <c r="T178" s="86">
        <v>1500000</v>
      </c>
      <c r="U178" s="86">
        <v>1</v>
      </c>
      <c r="V178" s="58">
        <f t="shared" si="2"/>
        <v>15000000</v>
      </c>
      <c r="W178" s="52" t="s">
        <v>50</v>
      </c>
      <c r="X178" s="52" t="s">
        <v>1229</v>
      </c>
      <c r="Y178" s="52" t="s">
        <v>1256</v>
      </c>
      <c r="Z178" s="52" t="s">
        <v>1257</v>
      </c>
      <c r="AA178" s="52">
        <v>0</v>
      </c>
      <c r="AB178" s="52">
        <v>0</v>
      </c>
      <c r="AC178" s="52">
        <v>0</v>
      </c>
      <c r="AD178" s="21">
        <v>1</v>
      </c>
      <c r="AE178" s="21">
        <v>1</v>
      </c>
    </row>
    <row r="179" spans="1:31" s="55" customFormat="1" ht="45" customHeight="1" x14ac:dyDescent="0.25">
      <c r="A179" s="86" t="s">
        <v>562</v>
      </c>
      <c r="B179" s="52" t="s">
        <v>865</v>
      </c>
      <c r="C179" s="52"/>
      <c r="D179" s="52" t="s">
        <v>1201</v>
      </c>
      <c r="E179" s="52"/>
      <c r="F179" s="52" t="s">
        <v>1258</v>
      </c>
      <c r="G179" s="52"/>
      <c r="H179" s="52" t="s">
        <v>1259</v>
      </c>
      <c r="I179" s="52" t="s">
        <v>17</v>
      </c>
      <c r="J179" s="52" t="s">
        <v>237</v>
      </c>
      <c r="K179" s="22" t="str">
        <f>VLOOKUP(CONCATENATE(A179,LEFT(J179,4)),AGRUPAMENTO!$D$2:$E$6784,2,FALSE)</f>
        <v>SUBVENÇÕES SOCIAIS</v>
      </c>
      <c r="L179" s="52" t="s">
        <v>45</v>
      </c>
      <c r="M179" s="52"/>
      <c r="N179" s="52">
        <v>10</v>
      </c>
      <c r="O179" s="86" t="s">
        <v>1260</v>
      </c>
      <c r="P179" s="86" t="s">
        <v>59</v>
      </c>
      <c r="Q179" s="86" t="s">
        <v>1254</v>
      </c>
      <c r="R179" s="86">
        <v>50</v>
      </c>
      <c r="S179" s="86" t="s">
        <v>1228</v>
      </c>
      <c r="T179" s="86">
        <v>26000</v>
      </c>
      <c r="U179" s="86">
        <v>1</v>
      </c>
      <c r="V179" s="58">
        <f t="shared" si="2"/>
        <v>1300000</v>
      </c>
      <c r="W179" s="52" t="s">
        <v>50</v>
      </c>
      <c r="X179" s="52" t="s">
        <v>1261</v>
      </c>
      <c r="Y179" s="52" t="s">
        <v>1262</v>
      </c>
      <c r="Z179" s="52" t="s">
        <v>1263</v>
      </c>
      <c r="AA179" s="52">
        <v>0</v>
      </c>
      <c r="AB179" s="52">
        <v>0</v>
      </c>
      <c r="AC179" s="52">
        <v>0</v>
      </c>
      <c r="AD179" s="21">
        <v>1</v>
      </c>
      <c r="AE179" s="21">
        <v>1</v>
      </c>
    </row>
    <row r="180" spans="1:31" s="55" customFormat="1" ht="45" customHeight="1" x14ac:dyDescent="0.25">
      <c r="A180" s="86" t="s">
        <v>562</v>
      </c>
      <c r="B180" s="52" t="s">
        <v>865</v>
      </c>
      <c r="C180" s="52"/>
      <c r="D180" s="52" t="s">
        <v>1201</v>
      </c>
      <c r="E180" s="52"/>
      <c r="F180" s="52" t="s">
        <v>1258</v>
      </c>
      <c r="G180" s="52"/>
      <c r="H180" s="52" t="s">
        <v>1259</v>
      </c>
      <c r="I180" s="52" t="s">
        <v>17</v>
      </c>
      <c r="J180" s="52" t="s">
        <v>236</v>
      </c>
      <c r="K180" s="22" t="str">
        <f>VLOOKUP(CONCATENATE(A180,LEFT(J180,4)),AGRUPAMENTO!$D$2:$E$6784,2,FALSE)</f>
        <v>Instrumentos de Saída</v>
      </c>
      <c r="L180" s="52" t="s">
        <v>95</v>
      </c>
      <c r="M180" s="52"/>
      <c r="N180" s="52">
        <v>10</v>
      </c>
      <c r="O180" s="86" t="s">
        <v>1260</v>
      </c>
      <c r="P180" s="86" t="s">
        <v>59</v>
      </c>
      <c r="Q180" s="86" t="s">
        <v>1264</v>
      </c>
      <c r="R180" s="86">
        <v>50</v>
      </c>
      <c r="S180" s="86" t="s">
        <v>1228</v>
      </c>
      <c r="T180" s="86">
        <v>60000</v>
      </c>
      <c r="U180" s="86">
        <v>1</v>
      </c>
      <c r="V180" s="58">
        <f t="shared" si="2"/>
        <v>3000000</v>
      </c>
      <c r="W180" s="52" t="s">
        <v>50</v>
      </c>
      <c r="X180" s="52" t="s">
        <v>1265</v>
      </c>
      <c r="Y180" s="52" t="s">
        <v>1262</v>
      </c>
      <c r="Z180" s="52" t="s">
        <v>1263</v>
      </c>
      <c r="AA180" s="52">
        <v>0</v>
      </c>
      <c r="AB180" s="52">
        <v>0</v>
      </c>
      <c r="AC180" s="52">
        <v>0</v>
      </c>
      <c r="AD180" s="21">
        <v>1</v>
      </c>
      <c r="AE180" s="21">
        <v>1</v>
      </c>
    </row>
    <row r="181" spans="1:31" s="55" customFormat="1" ht="45" customHeight="1" x14ac:dyDescent="0.25">
      <c r="A181" s="86" t="s">
        <v>562</v>
      </c>
      <c r="B181" s="52" t="s">
        <v>865</v>
      </c>
      <c r="C181" s="52"/>
      <c r="D181" s="52" t="s">
        <v>1201</v>
      </c>
      <c r="E181" s="52"/>
      <c r="F181" s="52" t="s">
        <v>714</v>
      </c>
      <c r="G181" s="52"/>
      <c r="H181" s="52" t="s">
        <v>1069</v>
      </c>
      <c r="I181" s="52" t="s">
        <v>17</v>
      </c>
      <c r="J181" s="52" t="s">
        <v>237</v>
      </c>
      <c r="K181" s="22" t="str">
        <f>VLOOKUP(CONCATENATE(A181,LEFT(J181,4)),AGRUPAMENTO!$D$2:$E$6784,2,FALSE)</f>
        <v>SUBVENÇÕES SOCIAIS</v>
      </c>
      <c r="L181" s="52" t="s">
        <v>45</v>
      </c>
      <c r="M181" s="52"/>
      <c r="N181" s="52">
        <v>10</v>
      </c>
      <c r="O181" s="86" t="s">
        <v>1266</v>
      </c>
      <c r="P181" s="86" t="s">
        <v>47</v>
      </c>
      <c r="Q181" s="86" t="s">
        <v>1267</v>
      </c>
      <c r="R181" s="86">
        <v>3460</v>
      </c>
      <c r="S181" s="86" t="s">
        <v>1268</v>
      </c>
      <c r="T181" s="86">
        <v>100000</v>
      </c>
      <c r="U181" s="86">
        <v>1</v>
      </c>
      <c r="V181" s="58">
        <f t="shared" si="2"/>
        <v>346000000</v>
      </c>
      <c r="W181" s="52" t="s">
        <v>50</v>
      </c>
      <c r="X181" s="52" t="s">
        <v>1269</v>
      </c>
      <c r="Y181" s="52" t="s">
        <v>1270</v>
      </c>
      <c r="Z181" s="52" t="s">
        <v>1271</v>
      </c>
      <c r="AA181" s="52">
        <v>0</v>
      </c>
      <c r="AB181" s="52">
        <v>0</v>
      </c>
      <c r="AC181" s="52">
        <v>0</v>
      </c>
      <c r="AD181" s="21">
        <v>1</v>
      </c>
      <c r="AE181" s="21">
        <v>1</v>
      </c>
    </row>
    <row r="182" spans="1:31" s="55" customFormat="1" ht="45" customHeight="1" x14ac:dyDescent="0.25">
      <c r="A182" s="86" t="s">
        <v>562</v>
      </c>
      <c r="B182" s="52" t="s">
        <v>865</v>
      </c>
      <c r="C182" s="52"/>
      <c r="D182" s="52" t="s">
        <v>1201</v>
      </c>
      <c r="E182" s="52"/>
      <c r="F182" s="52" t="s">
        <v>714</v>
      </c>
      <c r="G182" s="52"/>
      <c r="H182" s="52" t="s">
        <v>1069</v>
      </c>
      <c r="I182" s="52" t="s">
        <v>17</v>
      </c>
      <c r="J182" s="52" t="s">
        <v>237</v>
      </c>
      <c r="K182" s="22" t="str">
        <f>VLOOKUP(CONCATENATE(A182,LEFT(J182,4)),AGRUPAMENTO!$D$2:$E$6784,2,FALSE)</f>
        <v>SUBVENÇÕES SOCIAIS</v>
      </c>
      <c r="L182" s="52" t="s">
        <v>45</v>
      </c>
      <c r="M182" s="52"/>
      <c r="N182" s="52">
        <v>21</v>
      </c>
      <c r="O182" s="86" t="s">
        <v>1272</v>
      </c>
      <c r="P182" s="86" t="s">
        <v>47</v>
      </c>
      <c r="Q182" s="86" t="s">
        <v>1267</v>
      </c>
      <c r="R182" s="86">
        <v>450000</v>
      </c>
      <c r="S182" s="86" t="s">
        <v>1273</v>
      </c>
      <c r="T182" s="86">
        <v>150</v>
      </c>
      <c r="U182" s="86">
        <v>1</v>
      </c>
      <c r="V182" s="58">
        <f t="shared" si="2"/>
        <v>67500000</v>
      </c>
      <c r="W182" s="52" t="s">
        <v>50</v>
      </c>
      <c r="X182" s="52" t="s">
        <v>1274</v>
      </c>
      <c r="Y182" s="52" t="s">
        <v>1275</v>
      </c>
      <c r="Z182" s="52" t="s">
        <v>1276</v>
      </c>
      <c r="AA182" s="52">
        <v>0</v>
      </c>
      <c r="AB182" s="52">
        <v>0</v>
      </c>
      <c r="AC182" s="52">
        <v>0</v>
      </c>
      <c r="AD182" s="21">
        <v>1</v>
      </c>
      <c r="AE182" s="21">
        <v>1</v>
      </c>
    </row>
    <row r="183" spans="1:31" s="55" customFormat="1" ht="45" customHeight="1" x14ac:dyDescent="0.25">
      <c r="A183" s="86" t="s">
        <v>562</v>
      </c>
      <c r="B183" s="52" t="s">
        <v>865</v>
      </c>
      <c r="C183" s="52"/>
      <c r="D183" s="52" t="s">
        <v>1201</v>
      </c>
      <c r="E183" s="52"/>
      <c r="F183" s="52" t="s">
        <v>564</v>
      </c>
      <c r="G183" s="52"/>
      <c r="H183" s="52" t="s">
        <v>572</v>
      </c>
      <c r="I183" s="52" t="s">
        <v>17</v>
      </c>
      <c r="J183" s="52" t="s">
        <v>298</v>
      </c>
      <c r="K183" s="22" t="str">
        <f>VLOOKUP(CONCATENATE(A183,LEFT(J183,4)),AGRUPAMENTO!$D$2:$E$6784,2,FALSE)</f>
        <v>Terceirizados - MGS</v>
      </c>
      <c r="L183" s="52" t="s">
        <v>45</v>
      </c>
      <c r="M183" s="52"/>
      <c r="N183" s="52">
        <v>10</v>
      </c>
      <c r="O183" s="86" t="s">
        <v>1277</v>
      </c>
      <c r="P183" s="86" t="s">
        <v>47</v>
      </c>
      <c r="Q183" s="86" t="s">
        <v>932</v>
      </c>
      <c r="R183" s="86">
        <v>1</v>
      </c>
      <c r="S183" s="86" t="s">
        <v>1278</v>
      </c>
      <c r="T183" s="86">
        <v>1000000</v>
      </c>
      <c r="U183" s="86">
        <v>12</v>
      </c>
      <c r="V183" s="58">
        <f t="shared" si="2"/>
        <v>12000000</v>
      </c>
      <c r="W183" s="52" t="s">
        <v>50</v>
      </c>
      <c r="X183" s="52" t="s">
        <v>1279</v>
      </c>
      <c r="Y183" s="52" t="s">
        <v>1280</v>
      </c>
      <c r="Z183" s="52" t="s">
        <v>1281</v>
      </c>
      <c r="AA183" s="52">
        <v>0</v>
      </c>
      <c r="AB183" s="52">
        <v>0</v>
      </c>
      <c r="AC183" s="52">
        <v>0</v>
      </c>
      <c r="AD183" s="21">
        <v>1</v>
      </c>
      <c r="AE183" s="21">
        <v>1</v>
      </c>
    </row>
    <row r="184" spans="1:31" s="55" customFormat="1" ht="45" customHeight="1" x14ac:dyDescent="0.25">
      <c r="A184" s="86" t="s">
        <v>562</v>
      </c>
      <c r="B184" s="52" t="s">
        <v>865</v>
      </c>
      <c r="C184" s="52"/>
      <c r="D184" s="52" t="s">
        <v>1201</v>
      </c>
      <c r="E184" s="52"/>
      <c r="F184" s="52" t="s">
        <v>564</v>
      </c>
      <c r="G184" s="52"/>
      <c r="H184" s="52" t="s">
        <v>572</v>
      </c>
      <c r="I184" s="52" t="s">
        <v>17</v>
      </c>
      <c r="J184" s="52" t="s">
        <v>312</v>
      </c>
      <c r="K184" s="22" t="str">
        <f>VLOOKUP(CONCATENATE(A184,LEFT(J184,4)),AGRUPAMENTO!$D$2:$E$6784,2,FALSE)</f>
        <v>Terceirizados - MGS</v>
      </c>
      <c r="L184" s="52" t="s">
        <v>45</v>
      </c>
      <c r="M184" s="52"/>
      <c r="N184" s="52">
        <v>10</v>
      </c>
      <c r="O184" s="86" t="s">
        <v>1282</v>
      </c>
      <c r="P184" s="86" t="s">
        <v>47</v>
      </c>
      <c r="Q184" s="86" t="s">
        <v>932</v>
      </c>
      <c r="R184" s="86">
        <v>1</v>
      </c>
      <c r="S184" s="86" t="s">
        <v>1283</v>
      </c>
      <c r="T184" s="86">
        <v>700000</v>
      </c>
      <c r="U184" s="86">
        <v>12</v>
      </c>
      <c r="V184" s="58">
        <f t="shared" si="2"/>
        <v>8400000</v>
      </c>
      <c r="W184" s="52" t="s">
        <v>50</v>
      </c>
      <c r="X184" s="52" t="s">
        <v>1284</v>
      </c>
      <c r="Y184" s="52" t="s">
        <v>1280</v>
      </c>
      <c r="Z184" s="52" t="s">
        <v>1281</v>
      </c>
      <c r="AA184" s="52">
        <v>0</v>
      </c>
      <c r="AB184" s="52">
        <v>0</v>
      </c>
      <c r="AC184" s="52">
        <v>0</v>
      </c>
      <c r="AD184" s="21">
        <v>1</v>
      </c>
      <c r="AE184" s="21">
        <v>1</v>
      </c>
    </row>
    <row r="185" spans="1:31" s="55" customFormat="1" ht="45" customHeight="1" x14ac:dyDescent="0.25">
      <c r="A185" s="86" t="s">
        <v>562</v>
      </c>
      <c r="B185" s="52" t="s">
        <v>865</v>
      </c>
      <c r="C185" s="52"/>
      <c r="D185" s="52" t="s">
        <v>1201</v>
      </c>
      <c r="E185" s="52"/>
      <c r="F185" s="52" t="s">
        <v>564</v>
      </c>
      <c r="G185" s="52"/>
      <c r="H185" s="52" t="s">
        <v>572</v>
      </c>
      <c r="I185" s="52" t="s">
        <v>17</v>
      </c>
      <c r="J185" s="52" t="s">
        <v>298</v>
      </c>
      <c r="K185" s="22" t="str">
        <f>VLOOKUP(CONCATENATE(A185,LEFT(J185,4)),AGRUPAMENTO!$D$2:$E$6784,2,FALSE)</f>
        <v>Terceirizados - MGS</v>
      </c>
      <c r="L185" s="52" t="s">
        <v>45</v>
      </c>
      <c r="M185" s="52"/>
      <c r="N185" s="52">
        <v>10</v>
      </c>
      <c r="O185" s="86" t="s">
        <v>1285</v>
      </c>
      <c r="P185" s="86" t="s">
        <v>47</v>
      </c>
      <c r="Q185" s="86" t="s">
        <v>932</v>
      </c>
      <c r="R185" s="86">
        <v>1</v>
      </c>
      <c r="S185" s="86" t="s">
        <v>1278</v>
      </c>
      <c r="T185" s="86">
        <v>125747.33</v>
      </c>
      <c r="U185" s="86">
        <v>12</v>
      </c>
      <c r="V185" s="58">
        <f t="shared" si="2"/>
        <v>1508967.96</v>
      </c>
      <c r="W185" s="52" t="s">
        <v>50</v>
      </c>
      <c r="X185" s="52" t="s">
        <v>1286</v>
      </c>
      <c r="Y185" s="52" t="s">
        <v>1287</v>
      </c>
      <c r="Z185" s="52" t="s">
        <v>1288</v>
      </c>
      <c r="AA185" s="52">
        <v>0</v>
      </c>
      <c r="AB185" s="52">
        <v>0</v>
      </c>
      <c r="AC185" s="52">
        <v>0</v>
      </c>
      <c r="AD185" s="21">
        <v>1</v>
      </c>
      <c r="AE185" s="21">
        <v>1</v>
      </c>
    </row>
    <row r="186" spans="1:31" s="55" customFormat="1" ht="45" customHeight="1" x14ac:dyDescent="0.25">
      <c r="A186" s="86" t="s">
        <v>562</v>
      </c>
      <c r="B186" s="52" t="s">
        <v>865</v>
      </c>
      <c r="C186" s="52"/>
      <c r="D186" s="52" t="s">
        <v>1201</v>
      </c>
      <c r="E186" s="52"/>
      <c r="F186" s="52" t="s">
        <v>564</v>
      </c>
      <c r="G186" s="52"/>
      <c r="H186" s="52" t="s">
        <v>572</v>
      </c>
      <c r="I186" s="52" t="s">
        <v>17</v>
      </c>
      <c r="J186" s="52" t="s">
        <v>312</v>
      </c>
      <c r="K186" s="22" t="str">
        <f>VLOOKUP(CONCATENATE(A186,LEFT(J186,4)),AGRUPAMENTO!$D$2:$E$6784,2,FALSE)</f>
        <v>Terceirizados - MGS</v>
      </c>
      <c r="L186" s="52" t="s">
        <v>45</v>
      </c>
      <c r="M186" s="52"/>
      <c r="N186" s="52">
        <v>10</v>
      </c>
      <c r="O186" s="86" t="s">
        <v>1289</v>
      </c>
      <c r="P186" s="86" t="s">
        <v>47</v>
      </c>
      <c r="Q186" s="86" t="s">
        <v>932</v>
      </c>
      <c r="R186" s="86">
        <v>1</v>
      </c>
      <c r="S186" s="86" t="s">
        <v>1283</v>
      </c>
      <c r="T186" s="86">
        <v>3764.51</v>
      </c>
      <c r="U186" s="86">
        <v>12</v>
      </c>
      <c r="V186" s="58">
        <f t="shared" si="2"/>
        <v>45174.12</v>
      </c>
      <c r="W186" s="52" t="s">
        <v>50</v>
      </c>
      <c r="X186" s="52" t="s">
        <v>1290</v>
      </c>
      <c r="Y186" s="52" t="s">
        <v>1287</v>
      </c>
      <c r="Z186" s="52" t="s">
        <v>1288</v>
      </c>
      <c r="AA186" s="52">
        <v>0</v>
      </c>
      <c r="AB186" s="52">
        <v>0</v>
      </c>
      <c r="AC186" s="52">
        <v>0</v>
      </c>
      <c r="AD186" s="21">
        <v>1</v>
      </c>
      <c r="AE186" s="21">
        <v>1</v>
      </c>
    </row>
    <row r="187" spans="1:31" s="55" customFormat="1" ht="45" customHeight="1" x14ac:dyDescent="0.25">
      <c r="A187" s="86" t="s">
        <v>562</v>
      </c>
      <c r="B187" s="52" t="s">
        <v>865</v>
      </c>
      <c r="C187" s="52"/>
      <c r="D187" s="52" t="s">
        <v>1201</v>
      </c>
      <c r="E187" s="52"/>
      <c r="F187" s="52" t="s">
        <v>564</v>
      </c>
      <c r="G187" s="52"/>
      <c r="H187" s="52" t="s">
        <v>572</v>
      </c>
      <c r="I187" s="52" t="s">
        <v>17</v>
      </c>
      <c r="J187" s="52" t="s">
        <v>263</v>
      </c>
      <c r="K187" s="22" t="str">
        <f>VLOOKUP(CONCATENATE(A187,LEFT(J187,4)),AGRUPAMENTO!$D$2:$E$6784,2,FALSE)</f>
        <v>PRODEMGE</v>
      </c>
      <c r="L187" s="52" t="s">
        <v>45</v>
      </c>
      <c r="M187" s="52"/>
      <c r="N187" s="52">
        <v>10</v>
      </c>
      <c r="O187" s="86" t="s">
        <v>1291</v>
      </c>
      <c r="P187" s="86" t="s">
        <v>47</v>
      </c>
      <c r="Q187" s="86" t="s">
        <v>1243</v>
      </c>
      <c r="R187" s="86">
        <v>1</v>
      </c>
      <c r="S187" s="86" t="s">
        <v>1292</v>
      </c>
      <c r="T187" s="86">
        <v>291293</v>
      </c>
      <c r="U187" s="86">
        <v>12</v>
      </c>
      <c r="V187" s="58">
        <f t="shared" si="2"/>
        <v>3495516</v>
      </c>
      <c r="W187" s="52" t="s">
        <v>50</v>
      </c>
      <c r="X187" s="52" t="s">
        <v>1293</v>
      </c>
      <c r="Y187" s="52" t="s">
        <v>1294</v>
      </c>
      <c r="Z187" s="52" t="s">
        <v>1295</v>
      </c>
      <c r="AA187" s="52">
        <v>0</v>
      </c>
      <c r="AB187" s="52">
        <v>0</v>
      </c>
      <c r="AC187" s="52">
        <v>0</v>
      </c>
      <c r="AD187" s="21">
        <v>1</v>
      </c>
      <c r="AE187" s="21">
        <v>1</v>
      </c>
    </row>
    <row r="188" spans="1:31" s="55" customFormat="1" ht="45" customHeight="1" x14ac:dyDescent="0.25">
      <c r="A188" s="86" t="s">
        <v>562</v>
      </c>
      <c r="B188" s="52" t="s">
        <v>865</v>
      </c>
      <c r="C188" s="52"/>
      <c r="D188" s="52" t="s">
        <v>1201</v>
      </c>
      <c r="E188" s="52"/>
      <c r="F188" s="52" t="s">
        <v>564</v>
      </c>
      <c r="G188" s="52"/>
      <c r="H188" s="52" t="s">
        <v>572</v>
      </c>
      <c r="I188" s="52" t="s">
        <v>17</v>
      </c>
      <c r="J188" s="52" t="s">
        <v>263</v>
      </c>
      <c r="K188" s="22" t="str">
        <f>VLOOKUP(CONCATENATE(A188,LEFT(J188,4)),AGRUPAMENTO!$D$2:$E$6784,2,FALSE)</f>
        <v>PRODEMGE</v>
      </c>
      <c r="L188" s="52" t="s">
        <v>45</v>
      </c>
      <c r="M188" s="52"/>
      <c r="N188" s="52">
        <v>10</v>
      </c>
      <c r="O188" s="86" t="s">
        <v>1296</v>
      </c>
      <c r="P188" s="86" t="s">
        <v>47</v>
      </c>
      <c r="Q188" s="86" t="s">
        <v>1243</v>
      </c>
      <c r="R188" s="86">
        <v>1</v>
      </c>
      <c r="S188" s="86" t="s">
        <v>1292</v>
      </c>
      <c r="T188" s="86">
        <v>29450</v>
      </c>
      <c r="U188" s="86">
        <v>12</v>
      </c>
      <c r="V188" s="58">
        <f t="shared" si="2"/>
        <v>353400</v>
      </c>
      <c r="W188" s="52" t="s">
        <v>50</v>
      </c>
      <c r="X188" s="52" t="s">
        <v>1297</v>
      </c>
      <c r="Y188" s="52" t="s">
        <v>1298</v>
      </c>
      <c r="Z188" s="52" t="s">
        <v>1299</v>
      </c>
      <c r="AA188" s="52">
        <v>0</v>
      </c>
      <c r="AB188" s="52">
        <v>0</v>
      </c>
      <c r="AC188" s="52">
        <v>0</v>
      </c>
      <c r="AD188" s="21">
        <v>1</v>
      </c>
      <c r="AE188" s="21">
        <v>1</v>
      </c>
    </row>
    <row r="189" spans="1:31" s="55" customFormat="1" ht="45" customHeight="1" x14ac:dyDescent="0.25">
      <c r="A189" s="86" t="s">
        <v>562</v>
      </c>
      <c r="B189" s="52" t="s">
        <v>865</v>
      </c>
      <c r="C189" s="52"/>
      <c r="D189" s="52" t="s">
        <v>1201</v>
      </c>
      <c r="E189" s="52"/>
      <c r="F189" s="52" t="s">
        <v>564</v>
      </c>
      <c r="G189" s="52"/>
      <c r="H189" s="52" t="s">
        <v>572</v>
      </c>
      <c r="I189" s="52" t="s">
        <v>17</v>
      </c>
      <c r="J189" s="52" t="s">
        <v>283</v>
      </c>
      <c r="K189" s="22" t="str">
        <f>VLOOKUP(CONCATENATE(A189,LEFT(J189,4)),AGRUPAMENTO!$D$2:$E$6784,2,FALSE)</f>
        <v>Serviços de TIC</v>
      </c>
      <c r="L189" s="52" t="s">
        <v>45</v>
      </c>
      <c r="M189" s="52"/>
      <c r="N189" s="52">
        <v>10</v>
      </c>
      <c r="O189" s="86" t="s">
        <v>1300</v>
      </c>
      <c r="P189" s="86" t="s">
        <v>47</v>
      </c>
      <c r="Q189" s="86" t="s">
        <v>1243</v>
      </c>
      <c r="R189" s="86">
        <v>1</v>
      </c>
      <c r="S189" s="86" t="s">
        <v>1292</v>
      </c>
      <c r="T189" s="86">
        <v>77919.600000000006</v>
      </c>
      <c r="U189" s="86">
        <v>12</v>
      </c>
      <c r="V189" s="58">
        <f t="shared" si="2"/>
        <v>935035.20000000007</v>
      </c>
      <c r="W189" s="52" t="s">
        <v>50</v>
      </c>
      <c r="X189" s="52" t="s">
        <v>1301</v>
      </c>
      <c r="Y189" s="52" t="s">
        <v>1302</v>
      </c>
      <c r="Z189" s="52" t="s">
        <v>1303</v>
      </c>
      <c r="AA189" s="52">
        <v>0</v>
      </c>
      <c r="AB189" s="52">
        <v>0</v>
      </c>
      <c r="AC189" s="52">
        <v>0</v>
      </c>
      <c r="AD189" s="21">
        <v>1</v>
      </c>
      <c r="AE189" s="21">
        <v>1</v>
      </c>
    </row>
    <row r="190" spans="1:31" s="55" customFormat="1" ht="45" customHeight="1" x14ac:dyDescent="0.25">
      <c r="A190" s="86" t="s">
        <v>562</v>
      </c>
      <c r="B190" s="52" t="s">
        <v>865</v>
      </c>
      <c r="C190" s="52"/>
      <c r="D190" s="52" t="s">
        <v>1201</v>
      </c>
      <c r="E190" s="52"/>
      <c r="F190" s="52" t="s">
        <v>564</v>
      </c>
      <c r="G190" s="52"/>
      <c r="H190" s="52" t="s">
        <v>572</v>
      </c>
      <c r="I190" s="52" t="s">
        <v>17</v>
      </c>
      <c r="J190" s="52" t="s">
        <v>234</v>
      </c>
      <c r="K190" s="22" t="str">
        <f>VLOOKUP(CONCATENATE(A190,LEFT(J190,4)),AGRUPAMENTO!$D$2:$E$6784,2,FALSE)</f>
        <v>Serviços de TIC</v>
      </c>
      <c r="L190" s="52" t="s">
        <v>45</v>
      </c>
      <c r="M190" s="52"/>
      <c r="N190" s="52">
        <v>10</v>
      </c>
      <c r="O190" s="86" t="s">
        <v>1304</v>
      </c>
      <c r="P190" s="86" t="s">
        <v>47</v>
      </c>
      <c r="Q190" s="86" t="s">
        <v>1243</v>
      </c>
      <c r="R190" s="86">
        <v>1</v>
      </c>
      <c r="S190" s="86" t="s">
        <v>1292</v>
      </c>
      <c r="T190" s="86">
        <v>2500</v>
      </c>
      <c r="U190" s="86">
        <v>12</v>
      </c>
      <c r="V190" s="58">
        <f t="shared" si="2"/>
        <v>30000</v>
      </c>
      <c r="W190" s="52" t="s">
        <v>50</v>
      </c>
      <c r="X190" s="52" t="s">
        <v>1305</v>
      </c>
      <c r="Y190" s="52" t="s">
        <v>1306</v>
      </c>
      <c r="Z190" s="52" t="s">
        <v>1307</v>
      </c>
      <c r="AA190" s="52">
        <v>0</v>
      </c>
      <c r="AB190" s="52">
        <v>0</v>
      </c>
      <c r="AC190" s="52">
        <v>0</v>
      </c>
      <c r="AD190" s="21">
        <v>1</v>
      </c>
      <c r="AE190" s="21">
        <v>1</v>
      </c>
    </row>
    <row r="191" spans="1:31" s="55" customFormat="1" ht="45" customHeight="1" x14ac:dyDescent="0.25">
      <c r="A191" s="86" t="s">
        <v>562</v>
      </c>
      <c r="B191" s="52" t="s">
        <v>865</v>
      </c>
      <c r="C191" s="52"/>
      <c r="D191" s="52" t="s">
        <v>1201</v>
      </c>
      <c r="E191" s="52"/>
      <c r="F191" s="52" t="s">
        <v>564</v>
      </c>
      <c r="G191" s="52"/>
      <c r="H191" s="52" t="s">
        <v>572</v>
      </c>
      <c r="I191" s="52" t="s">
        <v>17</v>
      </c>
      <c r="J191" s="52" t="s">
        <v>234</v>
      </c>
      <c r="K191" s="22" t="str">
        <f>VLOOKUP(CONCATENATE(A191,LEFT(J191,4)),AGRUPAMENTO!$D$2:$E$6784,2,FALSE)</f>
        <v>Serviços de TIC</v>
      </c>
      <c r="L191" s="52" t="s">
        <v>45</v>
      </c>
      <c r="M191" s="52"/>
      <c r="N191" s="52">
        <v>10</v>
      </c>
      <c r="O191" s="86" t="s">
        <v>1308</v>
      </c>
      <c r="P191" s="86" t="s">
        <v>47</v>
      </c>
      <c r="Q191" s="86" t="s">
        <v>1243</v>
      </c>
      <c r="R191" s="86">
        <v>1</v>
      </c>
      <c r="S191" s="86" t="s">
        <v>1292</v>
      </c>
      <c r="T191" s="86">
        <v>56600</v>
      </c>
      <c r="U191" s="86">
        <v>12</v>
      </c>
      <c r="V191" s="58">
        <f t="shared" si="2"/>
        <v>679200</v>
      </c>
      <c r="W191" s="52" t="s">
        <v>50</v>
      </c>
      <c r="X191" s="52" t="s">
        <v>1309</v>
      </c>
      <c r="Y191" s="52" t="s">
        <v>1310</v>
      </c>
      <c r="Z191" s="52" t="s">
        <v>1311</v>
      </c>
      <c r="AA191" s="52">
        <v>0</v>
      </c>
      <c r="AB191" s="52">
        <v>0</v>
      </c>
      <c r="AC191" s="52">
        <v>0</v>
      </c>
      <c r="AD191" s="21">
        <v>1</v>
      </c>
      <c r="AE191" s="21">
        <v>1</v>
      </c>
    </row>
    <row r="192" spans="1:31" s="55" customFormat="1" ht="45" customHeight="1" x14ac:dyDescent="0.25">
      <c r="A192" s="86" t="s">
        <v>562</v>
      </c>
      <c r="B192" s="52" t="s">
        <v>865</v>
      </c>
      <c r="C192" s="52"/>
      <c r="D192" s="52" t="s">
        <v>1201</v>
      </c>
      <c r="E192" s="52"/>
      <c r="F192" s="52" t="s">
        <v>564</v>
      </c>
      <c r="G192" s="52"/>
      <c r="H192" s="52" t="s">
        <v>572</v>
      </c>
      <c r="I192" s="52" t="s">
        <v>17</v>
      </c>
      <c r="J192" s="52" t="s">
        <v>300</v>
      </c>
      <c r="K192" s="22" t="str">
        <f>VLOOKUP(CONCATENATE(A192,LEFT(J192,4)),AGRUPAMENTO!$D$2:$E$6784,2,FALSE)</f>
        <v>Serviços de TIC</v>
      </c>
      <c r="L192" s="52" t="s">
        <v>45</v>
      </c>
      <c r="M192" s="52"/>
      <c r="N192" s="52">
        <v>10</v>
      </c>
      <c r="O192" s="86" t="s">
        <v>1312</v>
      </c>
      <c r="P192" s="86" t="s">
        <v>47</v>
      </c>
      <c r="Q192" s="86" t="s">
        <v>1243</v>
      </c>
      <c r="R192" s="86">
        <v>1</v>
      </c>
      <c r="S192" s="86" t="s">
        <v>1292</v>
      </c>
      <c r="T192" s="86">
        <v>58750</v>
      </c>
      <c r="U192" s="86">
        <v>12</v>
      </c>
      <c r="V192" s="58">
        <f t="shared" ref="V192:V255" si="3">R192*T192*U192</f>
        <v>705000</v>
      </c>
      <c r="W192" s="52" t="s">
        <v>50</v>
      </c>
      <c r="X192" s="52" t="s">
        <v>1313</v>
      </c>
      <c r="Y192" s="52" t="s">
        <v>1294</v>
      </c>
      <c r="Z192" s="52" t="s">
        <v>1295</v>
      </c>
      <c r="AA192" s="52">
        <v>0</v>
      </c>
      <c r="AB192" s="52">
        <v>0</v>
      </c>
      <c r="AC192" s="52">
        <v>0</v>
      </c>
      <c r="AD192" s="21">
        <v>1</v>
      </c>
      <c r="AE192" s="21">
        <v>1</v>
      </c>
    </row>
    <row r="193" spans="1:31" s="55" customFormat="1" ht="45" customHeight="1" x14ac:dyDescent="0.25">
      <c r="A193" s="86" t="s">
        <v>562</v>
      </c>
      <c r="B193" s="52" t="s">
        <v>865</v>
      </c>
      <c r="C193" s="52"/>
      <c r="D193" s="52" t="s">
        <v>1201</v>
      </c>
      <c r="E193" s="52"/>
      <c r="F193" s="52" t="s">
        <v>564</v>
      </c>
      <c r="G193" s="52"/>
      <c r="H193" s="52" t="s">
        <v>572</v>
      </c>
      <c r="I193" s="52" t="s">
        <v>17</v>
      </c>
      <c r="J193" s="52" t="s">
        <v>283</v>
      </c>
      <c r="K193" s="22" t="str">
        <f>VLOOKUP(CONCATENATE(A193,LEFT(J193,4)),AGRUPAMENTO!$D$2:$E$6784,2,FALSE)</f>
        <v>Serviços de TIC</v>
      </c>
      <c r="L193" s="52" t="s">
        <v>45</v>
      </c>
      <c r="M193" s="52"/>
      <c r="N193" s="52">
        <v>10</v>
      </c>
      <c r="O193" s="86" t="s">
        <v>1314</v>
      </c>
      <c r="P193" s="86" t="s">
        <v>47</v>
      </c>
      <c r="Q193" s="86" t="s">
        <v>1315</v>
      </c>
      <c r="R193" s="86">
        <v>1</v>
      </c>
      <c r="S193" s="86" t="s">
        <v>1292</v>
      </c>
      <c r="T193" s="86">
        <v>71740.160000000003</v>
      </c>
      <c r="U193" s="86">
        <v>12</v>
      </c>
      <c r="V193" s="58">
        <f t="shared" si="3"/>
        <v>860881.92000000004</v>
      </c>
      <c r="W193" s="52" t="s">
        <v>50</v>
      </c>
      <c r="X193" s="52" t="s">
        <v>1314</v>
      </c>
      <c r="Y193" s="52" t="s">
        <v>1316</v>
      </c>
      <c r="Z193" s="52" t="s">
        <v>1317</v>
      </c>
      <c r="AA193" s="52">
        <v>0</v>
      </c>
      <c r="AB193" s="52">
        <v>0</v>
      </c>
      <c r="AC193" s="52">
        <v>0</v>
      </c>
      <c r="AD193" s="21">
        <v>1</v>
      </c>
      <c r="AE193" s="21">
        <v>1</v>
      </c>
    </row>
    <row r="194" spans="1:31" s="55" customFormat="1" ht="45" customHeight="1" x14ac:dyDescent="0.25">
      <c r="A194" s="86" t="s">
        <v>562</v>
      </c>
      <c r="B194" s="52" t="s">
        <v>865</v>
      </c>
      <c r="C194" s="52"/>
      <c r="D194" s="52" t="s">
        <v>1201</v>
      </c>
      <c r="E194" s="52"/>
      <c r="F194" s="52" t="s">
        <v>564</v>
      </c>
      <c r="G194" s="52"/>
      <c r="H194" s="52" t="s">
        <v>572</v>
      </c>
      <c r="I194" s="52" t="s">
        <v>17</v>
      </c>
      <c r="J194" s="52" t="s">
        <v>234</v>
      </c>
      <c r="K194" s="22" t="str">
        <f>VLOOKUP(CONCATENATE(A194,LEFT(J194,4)),AGRUPAMENTO!$D$2:$E$6784,2,FALSE)</f>
        <v>Serviços de TIC</v>
      </c>
      <c r="L194" s="52" t="s">
        <v>45</v>
      </c>
      <c r="M194" s="52"/>
      <c r="N194" s="52">
        <v>10</v>
      </c>
      <c r="O194" s="86" t="s">
        <v>1318</v>
      </c>
      <c r="P194" s="86" t="s">
        <v>47</v>
      </c>
      <c r="Q194" s="86" t="s">
        <v>932</v>
      </c>
      <c r="R194" s="86">
        <v>1</v>
      </c>
      <c r="S194" s="86" t="s">
        <v>1244</v>
      </c>
      <c r="T194" s="86">
        <v>25833.3</v>
      </c>
      <c r="U194" s="86">
        <v>12</v>
      </c>
      <c r="V194" s="58">
        <f t="shared" si="3"/>
        <v>309999.59999999998</v>
      </c>
      <c r="W194" s="52" t="s">
        <v>50</v>
      </c>
      <c r="X194" s="52" t="s">
        <v>1319</v>
      </c>
      <c r="Y194" s="52" t="s">
        <v>1320</v>
      </c>
      <c r="Z194" s="52" t="s">
        <v>1321</v>
      </c>
      <c r="AA194" s="52">
        <v>0</v>
      </c>
      <c r="AB194" s="52">
        <v>0</v>
      </c>
      <c r="AC194" s="52">
        <v>0</v>
      </c>
      <c r="AD194" s="21">
        <v>1</v>
      </c>
      <c r="AE194" s="21">
        <v>1</v>
      </c>
    </row>
    <row r="195" spans="1:31" s="55" customFormat="1" ht="45" customHeight="1" x14ac:dyDescent="0.25">
      <c r="A195" s="86" t="s">
        <v>562</v>
      </c>
      <c r="B195" s="52" t="s">
        <v>865</v>
      </c>
      <c r="C195" s="52"/>
      <c r="D195" s="52" t="s">
        <v>1201</v>
      </c>
      <c r="E195" s="52"/>
      <c r="F195" s="52" t="s">
        <v>564</v>
      </c>
      <c r="G195" s="52"/>
      <c r="H195" s="52" t="s">
        <v>572</v>
      </c>
      <c r="I195" s="52" t="s">
        <v>17</v>
      </c>
      <c r="J195" s="52" t="s">
        <v>234</v>
      </c>
      <c r="K195" s="22" t="str">
        <f>VLOOKUP(CONCATENATE(A195,LEFT(J195,4)),AGRUPAMENTO!$D$2:$E$6784,2,FALSE)</f>
        <v>Serviços de TIC</v>
      </c>
      <c r="L195" s="52" t="s">
        <v>45</v>
      </c>
      <c r="M195" s="52"/>
      <c r="N195" s="52">
        <v>10</v>
      </c>
      <c r="O195" s="86" t="s">
        <v>1322</v>
      </c>
      <c r="P195" s="86" t="s">
        <v>47</v>
      </c>
      <c r="Q195" s="86" t="s">
        <v>932</v>
      </c>
      <c r="R195" s="86">
        <v>1</v>
      </c>
      <c r="S195" s="86" t="s">
        <v>1244</v>
      </c>
      <c r="T195" s="86">
        <v>29567.06</v>
      </c>
      <c r="U195" s="86">
        <v>1</v>
      </c>
      <c r="V195" s="58">
        <f t="shared" si="3"/>
        <v>29567.06</v>
      </c>
      <c r="W195" s="52" t="s">
        <v>50</v>
      </c>
      <c r="X195" s="52" t="s">
        <v>1323</v>
      </c>
      <c r="Y195" s="52" t="s">
        <v>1324</v>
      </c>
      <c r="Z195" s="52" t="s">
        <v>1325</v>
      </c>
      <c r="AA195" s="52">
        <v>0</v>
      </c>
      <c r="AB195" s="52">
        <v>0</v>
      </c>
      <c r="AC195" s="52">
        <v>0</v>
      </c>
      <c r="AD195" s="21">
        <v>1</v>
      </c>
      <c r="AE195" s="21">
        <v>1</v>
      </c>
    </row>
    <row r="196" spans="1:31" s="55" customFormat="1" ht="45" customHeight="1" x14ac:dyDescent="0.25">
      <c r="A196" s="86" t="s">
        <v>562</v>
      </c>
      <c r="B196" s="52" t="s">
        <v>865</v>
      </c>
      <c r="C196" s="52"/>
      <c r="D196" s="52" t="s">
        <v>1201</v>
      </c>
      <c r="E196" s="52"/>
      <c r="F196" s="52" t="s">
        <v>564</v>
      </c>
      <c r="G196" s="52"/>
      <c r="H196" s="52" t="s">
        <v>572</v>
      </c>
      <c r="I196" s="52" t="s">
        <v>17</v>
      </c>
      <c r="J196" s="52" t="s">
        <v>400</v>
      </c>
      <c r="K196" s="22" t="str">
        <f>VLOOKUP(CONCATENATE(A196,LEFT(J196,4)),AGRUPAMENTO!$D$2:$E$6784,2,FALSE)</f>
        <v>Material de consumo</v>
      </c>
      <c r="L196" s="52" t="s">
        <v>45</v>
      </c>
      <c r="M196" s="52"/>
      <c r="N196" s="52">
        <v>10</v>
      </c>
      <c r="O196" s="86" t="s">
        <v>1326</v>
      </c>
      <c r="P196" s="86" t="s">
        <v>47</v>
      </c>
      <c r="Q196" s="86" t="s">
        <v>1249</v>
      </c>
      <c r="R196" s="86">
        <v>1</v>
      </c>
      <c r="S196" s="86" t="s">
        <v>1250</v>
      </c>
      <c r="T196" s="86">
        <v>200000</v>
      </c>
      <c r="U196" s="86">
        <v>1</v>
      </c>
      <c r="V196" s="58">
        <f t="shared" si="3"/>
        <v>200000</v>
      </c>
      <c r="W196" s="52" t="s">
        <v>50</v>
      </c>
      <c r="X196" s="52" t="s">
        <v>1327</v>
      </c>
      <c r="Y196" s="52" t="s">
        <v>1328</v>
      </c>
      <c r="Z196" s="52" t="s">
        <v>1329</v>
      </c>
      <c r="AA196" s="52">
        <v>0</v>
      </c>
      <c r="AB196" s="52">
        <v>0</v>
      </c>
      <c r="AC196" s="52">
        <v>0</v>
      </c>
      <c r="AD196" s="21">
        <v>1</v>
      </c>
      <c r="AE196" s="21">
        <v>1</v>
      </c>
    </row>
    <row r="197" spans="1:31" s="55" customFormat="1" ht="45" customHeight="1" x14ac:dyDescent="0.25">
      <c r="A197" s="86" t="s">
        <v>562</v>
      </c>
      <c r="B197" s="52" t="s">
        <v>865</v>
      </c>
      <c r="C197" s="52"/>
      <c r="D197" s="52" t="s">
        <v>1201</v>
      </c>
      <c r="E197" s="52"/>
      <c r="F197" s="52" t="s">
        <v>564</v>
      </c>
      <c r="G197" s="52"/>
      <c r="H197" s="52" t="s">
        <v>572</v>
      </c>
      <c r="I197" s="52" t="s">
        <v>17</v>
      </c>
      <c r="J197" s="52" t="s">
        <v>400</v>
      </c>
      <c r="K197" s="22" t="str">
        <f>VLOOKUP(CONCATENATE(A197,LEFT(J197,4)),AGRUPAMENTO!$D$2:$E$6784,2,FALSE)</f>
        <v>Material de consumo</v>
      </c>
      <c r="L197" s="52" t="s">
        <v>45</v>
      </c>
      <c r="M197" s="52"/>
      <c r="N197" s="52">
        <v>10</v>
      </c>
      <c r="O197" s="86" t="s">
        <v>1330</v>
      </c>
      <c r="P197" s="86" t="s">
        <v>59</v>
      </c>
      <c r="Q197" s="86" t="s">
        <v>1249</v>
      </c>
      <c r="R197" s="86">
        <v>1500</v>
      </c>
      <c r="S197" s="86" t="s">
        <v>1250</v>
      </c>
      <c r="T197" s="86">
        <v>150</v>
      </c>
      <c r="U197" s="86">
        <v>1</v>
      </c>
      <c r="V197" s="58">
        <f t="shared" si="3"/>
        <v>225000</v>
      </c>
      <c r="W197" s="52" t="s">
        <v>50</v>
      </c>
      <c r="X197" s="52" t="s">
        <v>1331</v>
      </c>
      <c r="Y197" s="52" t="s">
        <v>1328</v>
      </c>
      <c r="Z197" s="52" t="s">
        <v>1329</v>
      </c>
      <c r="AA197" s="52">
        <v>0</v>
      </c>
      <c r="AB197" s="52">
        <v>0</v>
      </c>
      <c r="AC197" s="52">
        <v>0</v>
      </c>
      <c r="AD197" s="21">
        <v>1</v>
      </c>
      <c r="AE197" s="21">
        <v>1</v>
      </c>
    </row>
    <row r="198" spans="1:31" s="55" customFormat="1" ht="45" customHeight="1" x14ac:dyDescent="0.25">
      <c r="A198" s="86" t="s">
        <v>562</v>
      </c>
      <c r="B198" s="52" t="s">
        <v>865</v>
      </c>
      <c r="C198" s="52"/>
      <c r="D198" s="52" t="s">
        <v>1201</v>
      </c>
      <c r="E198" s="52"/>
      <c r="F198" s="52" t="s">
        <v>564</v>
      </c>
      <c r="G198" s="52"/>
      <c r="H198" s="52" t="s">
        <v>572</v>
      </c>
      <c r="I198" s="52" t="s">
        <v>17</v>
      </c>
      <c r="J198" s="52" t="s">
        <v>340</v>
      </c>
      <c r="K198" s="22" t="str">
        <f>VLOOKUP(CONCATENATE(A198,LEFT(J198,4)),AGRUPAMENTO!$D$2:$E$6784,2,FALSE)</f>
        <v>Aquisições de itens de TIC</v>
      </c>
      <c r="L198" s="52" t="s">
        <v>95</v>
      </c>
      <c r="M198" s="52"/>
      <c r="N198" s="52">
        <v>10</v>
      </c>
      <c r="O198" s="86" t="s">
        <v>1332</v>
      </c>
      <c r="P198" s="86" t="s">
        <v>47</v>
      </c>
      <c r="Q198" s="86" t="s">
        <v>1249</v>
      </c>
      <c r="R198" s="86">
        <v>10000</v>
      </c>
      <c r="S198" s="86" t="s">
        <v>1250</v>
      </c>
      <c r="T198" s="86">
        <v>5000</v>
      </c>
      <c r="U198" s="86">
        <v>1</v>
      </c>
      <c r="V198" s="58">
        <f t="shared" si="3"/>
        <v>50000000</v>
      </c>
      <c r="W198" s="52" t="s">
        <v>50</v>
      </c>
      <c r="X198" s="52" t="s">
        <v>1333</v>
      </c>
      <c r="Y198" s="52" t="s">
        <v>1328</v>
      </c>
      <c r="Z198" s="52" t="s">
        <v>1329</v>
      </c>
      <c r="AA198" s="52">
        <v>0</v>
      </c>
      <c r="AB198" s="52">
        <v>0</v>
      </c>
      <c r="AC198" s="52">
        <v>0</v>
      </c>
      <c r="AD198" s="21">
        <v>1</v>
      </c>
      <c r="AE198" s="21">
        <v>1</v>
      </c>
    </row>
    <row r="199" spans="1:31" ht="45" customHeight="1" x14ac:dyDescent="0.25">
      <c r="A199" s="86" t="s">
        <v>562</v>
      </c>
      <c r="B199" s="52" t="s">
        <v>865</v>
      </c>
      <c r="C199" s="52"/>
      <c r="D199" s="52" t="s">
        <v>1201</v>
      </c>
      <c r="E199" s="52"/>
      <c r="F199" s="52" t="s">
        <v>714</v>
      </c>
      <c r="G199" s="52"/>
      <c r="H199" s="52" t="s">
        <v>1334</v>
      </c>
      <c r="I199" s="52" t="s">
        <v>17</v>
      </c>
      <c r="J199" s="52" t="s">
        <v>237</v>
      </c>
      <c r="K199" s="22" t="str">
        <f>VLOOKUP(CONCATENATE(A199,LEFT(J199,4)),AGRUPAMENTO!$D$2:$E$6784,2,FALSE)</f>
        <v>SUBVENÇÕES SOCIAIS</v>
      </c>
      <c r="L199" s="52" t="s">
        <v>45</v>
      </c>
      <c r="M199" s="52"/>
      <c r="N199" s="52">
        <v>21</v>
      </c>
      <c r="O199" s="86" t="s">
        <v>1335</v>
      </c>
      <c r="P199" s="86" t="s">
        <v>47</v>
      </c>
      <c r="Q199" s="86" t="s">
        <v>1244</v>
      </c>
      <c r="R199" s="86">
        <v>1</v>
      </c>
      <c r="S199" s="86" t="s">
        <v>1336</v>
      </c>
      <c r="T199" s="86">
        <v>30000000</v>
      </c>
      <c r="U199" s="86">
        <v>1</v>
      </c>
      <c r="V199" s="58">
        <f t="shared" si="3"/>
        <v>30000000</v>
      </c>
      <c r="W199" s="52" t="s">
        <v>50</v>
      </c>
      <c r="X199" s="52" t="s">
        <v>1335</v>
      </c>
      <c r="Y199" s="52" t="s">
        <v>1337</v>
      </c>
      <c r="Z199" s="52" t="s">
        <v>1338</v>
      </c>
      <c r="AA199" s="52">
        <v>0</v>
      </c>
      <c r="AB199" s="52">
        <v>0</v>
      </c>
      <c r="AC199" s="52">
        <v>0</v>
      </c>
      <c r="AD199" s="21">
        <v>1</v>
      </c>
      <c r="AE199" s="21">
        <v>1</v>
      </c>
    </row>
    <row r="200" spans="1:31" ht="45" customHeight="1" x14ac:dyDescent="0.25">
      <c r="A200" s="86" t="s">
        <v>562</v>
      </c>
      <c r="B200" s="52" t="s">
        <v>865</v>
      </c>
      <c r="C200" s="52"/>
      <c r="D200" s="52" t="s">
        <v>1201</v>
      </c>
      <c r="E200" s="52"/>
      <c r="F200" s="52" t="s">
        <v>1339</v>
      </c>
      <c r="G200" s="52"/>
      <c r="H200" s="52" t="s">
        <v>1340</v>
      </c>
      <c r="I200" s="52" t="s">
        <v>17</v>
      </c>
      <c r="J200" s="52" t="s">
        <v>237</v>
      </c>
      <c r="K200" s="22" t="str">
        <f>VLOOKUP(CONCATENATE(A200,LEFT(J200,4)),AGRUPAMENTO!$D$2:$E$6784,2,FALSE)</f>
        <v>SUBVENÇÕES SOCIAIS</v>
      </c>
      <c r="L200" s="52" t="s">
        <v>45</v>
      </c>
      <c r="M200" s="52"/>
      <c r="N200" s="52">
        <v>10</v>
      </c>
      <c r="O200" s="86" t="s">
        <v>1341</v>
      </c>
      <c r="P200" s="86" t="s">
        <v>47</v>
      </c>
      <c r="Q200" s="86" t="s">
        <v>1342</v>
      </c>
      <c r="R200" s="86">
        <v>1</v>
      </c>
      <c r="S200" s="86" t="s">
        <v>90</v>
      </c>
      <c r="T200" s="86">
        <v>50000000</v>
      </c>
      <c r="U200" s="86">
        <v>1</v>
      </c>
      <c r="V200" s="58">
        <f t="shared" si="3"/>
        <v>50000000</v>
      </c>
      <c r="W200" s="52" t="s">
        <v>50</v>
      </c>
      <c r="X200" s="52" t="s">
        <v>1343</v>
      </c>
      <c r="Y200" s="52" t="s">
        <v>1344</v>
      </c>
      <c r="Z200" s="52" t="s">
        <v>1345</v>
      </c>
      <c r="AA200" s="52">
        <v>0</v>
      </c>
      <c r="AB200" s="52">
        <v>0</v>
      </c>
      <c r="AC200" s="52">
        <v>0</v>
      </c>
      <c r="AD200" s="21">
        <v>1</v>
      </c>
      <c r="AE200" s="21">
        <v>1</v>
      </c>
    </row>
    <row r="201" spans="1:31" ht="45" customHeight="1" x14ac:dyDescent="0.25">
      <c r="A201" s="86" t="s">
        <v>562</v>
      </c>
      <c r="B201" s="52" t="s">
        <v>865</v>
      </c>
      <c r="C201" s="52"/>
      <c r="D201" s="52" t="s">
        <v>1201</v>
      </c>
      <c r="E201" s="52"/>
      <c r="F201" s="52" t="s">
        <v>1339</v>
      </c>
      <c r="G201" s="52"/>
      <c r="H201" s="52" t="s">
        <v>1340</v>
      </c>
      <c r="I201" s="52" t="s">
        <v>17</v>
      </c>
      <c r="J201" s="52" t="s">
        <v>327</v>
      </c>
      <c r="K201" s="22" t="str">
        <f>VLOOKUP(CONCATENATE(A201,LEFT(J201,4)),AGRUPAMENTO!$D$2:$E$6784,2,FALSE)</f>
        <v>Transporte escolar</v>
      </c>
      <c r="L201" s="52" t="s">
        <v>45</v>
      </c>
      <c r="M201" s="52"/>
      <c r="N201" s="52">
        <v>10</v>
      </c>
      <c r="O201" s="86" t="s">
        <v>1346</v>
      </c>
      <c r="P201" s="86" t="s">
        <v>47</v>
      </c>
      <c r="Q201" s="86" t="s">
        <v>1347</v>
      </c>
      <c r="R201" s="86">
        <v>1</v>
      </c>
      <c r="S201" s="86" t="s">
        <v>1348</v>
      </c>
      <c r="T201" s="86">
        <v>664232500</v>
      </c>
      <c r="U201" s="86">
        <v>1</v>
      </c>
      <c r="V201" s="58">
        <f t="shared" si="3"/>
        <v>664232500</v>
      </c>
      <c r="W201" s="52" t="s">
        <v>50</v>
      </c>
      <c r="X201" s="52" t="s">
        <v>1349</v>
      </c>
      <c r="Y201" s="52" t="s">
        <v>1344</v>
      </c>
      <c r="Z201" s="52" t="s">
        <v>1345</v>
      </c>
      <c r="AA201" s="52">
        <v>0</v>
      </c>
      <c r="AB201" s="52">
        <v>0</v>
      </c>
      <c r="AC201" s="52">
        <v>0</v>
      </c>
      <c r="AD201" s="21">
        <v>1</v>
      </c>
      <c r="AE201" s="21">
        <v>1</v>
      </c>
    </row>
    <row r="202" spans="1:31" ht="45" customHeight="1" x14ac:dyDescent="0.25">
      <c r="A202" s="86" t="s">
        <v>562</v>
      </c>
      <c r="B202" s="52" t="s">
        <v>865</v>
      </c>
      <c r="C202" s="52"/>
      <c r="D202" s="52" t="s">
        <v>1201</v>
      </c>
      <c r="E202" s="52"/>
      <c r="F202" s="52" t="s">
        <v>1339</v>
      </c>
      <c r="G202" s="52"/>
      <c r="H202" s="52" t="s">
        <v>1340</v>
      </c>
      <c r="I202" s="52" t="s">
        <v>17</v>
      </c>
      <c r="J202" s="52" t="s">
        <v>327</v>
      </c>
      <c r="K202" s="22" t="str">
        <f>VLOOKUP(CONCATENATE(A202,LEFT(J202,4)),AGRUPAMENTO!$D$2:$E$6784,2,FALSE)</f>
        <v>Transporte escolar</v>
      </c>
      <c r="L202" s="52" t="s">
        <v>45</v>
      </c>
      <c r="M202" s="52"/>
      <c r="N202" s="52">
        <v>21</v>
      </c>
      <c r="O202" s="86" t="s">
        <v>1346</v>
      </c>
      <c r="P202" s="86" t="s">
        <v>47</v>
      </c>
      <c r="Q202" s="86" t="s">
        <v>1347</v>
      </c>
      <c r="R202" s="86">
        <v>1</v>
      </c>
      <c r="S202" s="86" t="s">
        <v>1348</v>
      </c>
      <c r="T202" s="86">
        <v>235767500</v>
      </c>
      <c r="U202" s="86">
        <v>1</v>
      </c>
      <c r="V202" s="58">
        <f t="shared" si="3"/>
        <v>235767500</v>
      </c>
      <c r="W202" s="52" t="s">
        <v>50</v>
      </c>
      <c r="X202" s="52" t="s">
        <v>1349</v>
      </c>
      <c r="Y202" s="52" t="s">
        <v>1344</v>
      </c>
      <c r="Z202" s="52" t="s">
        <v>1345</v>
      </c>
      <c r="AA202" s="52">
        <v>0</v>
      </c>
      <c r="AB202" s="52">
        <v>0</v>
      </c>
      <c r="AC202" s="52">
        <v>0</v>
      </c>
      <c r="AD202" s="21">
        <v>1</v>
      </c>
      <c r="AE202" s="21">
        <v>1</v>
      </c>
    </row>
    <row r="203" spans="1:31" ht="45" customHeight="1" x14ac:dyDescent="0.25">
      <c r="A203" s="86" t="s">
        <v>562</v>
      </c>
      <c r="B203" s="52" t="s">
        <v>865</v>
      </c>
      <c r="C203" s="52"/>
      <c r="D203" s="52" t="s">
        <v>1201</v>
      </c>
      <c r="E203" s="52"/>
      <c r="F203" s="52" t="s">
        <v>714</v>
      </c>
      <c r="G203" s="52"/>
      <c r="H203" s="52" t="s">
        <v>1225</v>
      </c>
      <c r="I203" s="52" t="s">
        <v>17</v>
      </c>
      <c r="J203" s="52" t="s">
        <v>1350</v>
      </c>
      <c r="K203" s="22" t="str">
        <f>VLOOKUP(CONCATENATE(A203,LEFT(J203,4)),AGRUPAMENTO!$D$2:$E$6784,2,FALSE)</f>
        <v>Demais despesas de capital</v>
      </c>
      <c r="L203" s="52" t="s">
        <v>95</v>
      </c>
      <c r="M203" s="52"/>
      <c r="N203" s="52">
        <v>10</v>
      </c>
      <c r="O203" s="86" t="s">
        <v>1351</v>
      </c>
      <c r="P203" s="86" t="s">
        <v>47</v>
      </c>
      <c r="Q203" s="86" t="s">
        <v>1352</v>
      </c>
      <c r="R203" s="86">
        <v>1</v>
      </c>
      <c r="S203" s="86" t="s">
        <v>1353</v>
      </c>
      <c r="T203" s="86">
        <v>50000000</v>
      </c>
      <c r="U203" s="86">
        <v>1</v>
      </c>
      <c r="V203" s="58">
        <f t="shared" si="3"/>
        <v>50000000</v>
      </c>
      <c r="W203" s="52" t="s">
        <v>50</v>
      </c>
      <c r="X203" s="52" t="s">
        <v>1354</v>
      </c>
      <c r="Y203" s="52" t="s">
        <v>1355</v>
      </c>
      <c r="Z203" s="52" t="s">
        <v>1356</v>
      </c>
      <c r="AA203" s="52">
        <v>0</v>
      </c>
      <c r="AB203" s="52">
        <v>0</v>
      </c>
      <c r="AC203" s="52">
        <v>0</v>
      </c>
      <c r="AD203" s="21">
        <v>1</v>
      </c>
      <c r="AE203" s="21">
        <v>1</v>
      </c>
    </row>
    <row r="204" spans="1:31" ht="45" customHeight="1" x14ac:dyDescent="0.25">
      <c r="A204" s="86" t="s">
        <v>562</v>
      </c>
      <c r="B204" s="52" t="s">
        <v>865</v>
      </c>
      <c r="C204" s="52"/>
      <c r="D204" s="52" t="s">
        <v>1201</v>
      </c>
      <c r="E204" s="52"/>
      <c r="F204" s="52" t="s">
        <v>564</v>
      </c>
      <c r="G204" s="52"/>
      <c r="H204" s="52" t="s">
        <v>1058</v>
      </c>
      <c r="I204" s="52" t="s">
        <v>17</v>
      </c>
      <c r="J204" s="52" t="s">
        <v>243</v>
      </c>
      <c r="K204" s="22" t="str">
        <f>VLOOKUP(CONCATENATE(A204,LEFT(J204,4)),AGRUPAMENTO!$D$2:$E$6784,2,FALSE)</f>
        <v>Aquisição de Imóveis</v>
      </c>
      <c r="L204" s="52" t="s">
        <v>1357</v>
      </c>
      <c r="M204" s="52"/>
      <c r="N204" s="52">
        <v>10</v>
      </c>
      <c r="O204" s="86" t="s">
        <v>1358</v>
      </c>
      <c r="P204" s="86" t="s">
        <v>47</v>
      </c>
      <c r="Q204" s="86" t="s">
        <v>1359</v>
      </c>
      <c r="R204" s="86">
        <v>1</v>
      </c>
      <c r="S204" s="86" t="s">
        <v>1360</v>
      </c>
      <c r="T204" s="86">
        <v>25000000</v>
      </c>
      <c r="U204" s="86">
        <v>1</v>
      </c>
      <c r="V204" s="58">
        <f t="shared" si="3"/>
        <v>25000000</v>
      </c>
      <c r="W204" s="52" t="s">
        <v>50</v>
      </c>
      <c r="X204" s="52" t="s">
        <v>1361</v>
      </c>
      <c r="Y204" s="52" t="s">
        <v>1362</v>
      </c>
      <c r="Z204" s="52" t="s">
        <v>1363</v>
      </c>
      <c r="AA204" s="52">
        <v>0</v>
      </c>
      <c r="AB204" s="52">
        <v>0</v>
      </c>
      <c r="AC204" s="52">
        <v>0</v>
      </c>
      <c r="AD204" s="21">
        <v>1</v>
      </c>
      <c r="AE204" s="21">
        <v>1</v>
      </c>
    </row>
    <row r="205" spans="1:31" ht="45" customHeight="1" x14ac:dyDescent="0.25">
      <c r="A205" s="86" t="s">
        <v>562</v>
      </c>
      <c r="B205" s="52" t="s">
        <v>865</v>
      </c>
      <c r="C205" s="52"/>
      <c r="D205" s="52" t="s">
        <v>1201</v>
      </c>
      <c r="E205" s="52"/>
      <c r="F205" s="52" t="s">
        <v>564</v>
      </c>
      <c r="G205" s="52"/>
      <c r="H205" s="52" t="s">
        <v>572</v>
      </c>
      <c r="I205" s="52" t="s">
        <v>17</v>
      </c>
      <c r="J205" s="52" t="s">
        <v>573</v>
      </c>
      <c r="K205" s="22" t="str">
        <f>VLOOKUP(CONCATENATE(A205,LEFT(J205,4)),AGRUPAMENTO!$D$2:$E$6784,2,FALSE)</f>
        <v>Diárias e viagens</v>
      </c>
      <c r="L205" s="52" t="s">
        <v>45</v>
      </c>
      <c r="M205" s="52"/>
      <c r="N205" s="52">
        <v>10</v>
      </c>
      <c r="O205" s="86" t="s">
        <v>1364</v>
      </c>
      <c r="P205" s="86" t="s">
        <v>47</v>
      </c>
      <c r="Q205" s="86" t="s">
        <v>1249</v>
      </c>
      <c r="R205" s="86">
        <v>1</v>
      </c>
      <c r="S205" s="86" t="s">
        <v>1365</v>
      </c>
      <c r="T205" s="86">
        <v>5161763.88</v>
      </c>
      <c r="U205" s="86">
        <v>1</v>
      </c>
      <c r="V205" s="58">
        <f t="shared" si="3"/>
        <v>5161763.88</v>
      </c>
      <c r="W205" s="52" t="s">
        <v>50</v>
      </c>
      <c r="X205" s="52" t="s">
        <v>1366</v>
      </c>
      <c r="Y205" s="52" t="s">
        <v>1367</v>
      </c>
      <c r="Z205" s="52" t="s">
        <v>1368</v>
      </c>
      <c r="AA205" s="52">
        <v>0</v>
      </c>
      <c r="AB205" s="52">
        <v>0</v>
      </c>
      <c r="AC205" s="52">
        <v>0</v>
      </c>
      <c r="AD205" s="21">
        <v>1</v>
      </c>
      <c r="AE205" s="21">
        <v>1</v>
      </c>
    </row>
    <row r="206" spans="1:31" ht="45" customHeight="1" x14ac:dyDescent="0.25">
      <c r="A206" s="86" t="s">
        <v>562</v>
      </c>
      <c r="B206" s="52" t="s">
        <v>1369</v>
      </c>
      <c r="C206" s="52"/>
      <c r="D206" s="52" t="s">
        <v>1369</v>
      </c>
      <c r="E206" s="52"/>
      <c r="F206" s="52" t="s">
        <v>564</v>
      </c>
      <c r="G206" s="52"/>
      <c r="H206" s="52" t="s">
        <v>572</v>
      </c>
      <c r="I206" s="52" t="s">
        <v>17</v>
      </c>
      <c r="J206" s="52" t="s">
        <v>587</v>
      </c>
      <c r="K206" s="22" t="str">
        <f>VLOOKUP(CONCATENATE(A206,LEFT(J206,4)),AGRUPAMENTO!$D$2:$E$6784,2,FALSE)</f>
        <v>Diárias e viagens</v>
      </c>
      <c r="L206" s="52" t="s">
        <v>45</v>
      </c>
      <c r="M206" s="52"/>
      <c r="N206" s="52">
        <v>10</v>
      </c>
      <c r="O206" s="86" t="s">
        <v>761</v>
      </c>
      <c r="P206" s="86" t="s">
        <v>47</v>
      </c>
      <c r="Q206" s="86" t="s">
        <v>575</v>
      </c>
      <c r="R206" s="86">
        <v>400</v>
      </c>
      <c r="S206" s="86" t="s">
        <v>762</v>
      </c>
      <c r="T206" s="86">
        <v>200</v>
      </c>
      <c r="U206" s="86">
        <v>1</v>
      </c>
      <c r="V206" s="58">
        <f t="shared" si="3"/>
        <v>80000</v>
      </c>
      <c r="W206" s="52" t="s">
        <v>50</v>
      </c>
      <c r="X206" s="52" t="s">
        <v>1370</v>
      </c>
      <c r="Y206" s="52" t="s">
        <v>1371</v>
      </c>
      <c r="Z206" s="52" t="s">
        <v>1372</v>
      </c>
      <c r="AA206" s="52">
        <v>0</v>
      </c>
      <c r="AB206" s="52">
        <v>0</v>
      </c>
      <c r="AC206" s="52">
        <v>0</v>
      </c>
      <c r="AD206" s="21">
        <v>1</v>
      </c>
      <c r="AE206" s="21">
        <v>1</v>
      </c>
    </row>
    <row r="207" spans="1:31" ht="45" customHeight="1" x14ac:dyDescent="0.25">
      <c r="A207" s="86" t="s">
        <v>562</v>
      </c>
      <c r="B207" s="52" t="s">
        <v>1369</v>
      </c>
      <c r="C207" s="52"/>
      <c r="D207" s="52" t="s">
        <v>1373</v>
      </c>
      <c r="E207" s="52"/>
      <c r="F207" s="52" t="s">
        <v>1339</v>
      </c>
      <c r="G207" s="52"/>
      <c r="H207" s="52" t="s">
        <v>1374</v>
      </c>
      <c r="I207" s="52" t="s">
        <v>17</v>
      </c>
      <c r="J207" s="52" t="s">
        <v>235</v>
      </c>
      <c r="K207" s="22" t="str">
        <f>VLOOKUP(CONCATENATE(A207,LEFT(J207,4)),AGRUPAMENTO!$D$2:$E$6784,2,FALSE)</f>
        <v>Demais despesas de custeio</v>
      </c>
      <c r="L207" s="52" t="s">
        <v>45</v>
      </c>
      <c r="M207" s="52"/>
      <c r="N207" s="52">
        <v>10</v>
      </c>
      <c r="O207" s="86" t="s">
        <v>1375</v>
      </c>
      <c r="P207" s="86" t="s">
        <v>47</v>
      </c>
      <c r="Q207" s="86" t="s">
        <v>1376</v>
      </c>
      <c r="R207" s="86">
        <v>10000</v>
      </c>
      <c r="S207" s="86" t="s">
        <v>1377</v>
      </c>
      <c r="T207" s="86">
        <v>6497</v>
      </c>
      <c r="U207" s="86">
        <v>1</v>
      </c>
      <c r="V207" s="58">
        <f t="shared" si="3"/>
        <v>64970000</v>
      </c>
      <c r="W207" s="52" t="s">
        <v>50</v>
      </c>
      <c r="X207" s="52" t="s">
        <v>1378</v>
      </c>
      <c r="Y207" s="52" t="s">
        <v>1379</v>
      </c>
      <c r="Z207" s="52" t="s">
        <v>1380</v>
      </c>
      <c r="AA207" s="52">
        <v>0</v>
      </c>
      <c r="AB207" s="52">
        <v>0</v>
      </c>
      <c r="AC207" s="52">
        <v>0</v>
      </c>
      <c r="AD207" s="21">
        <v>1</v>
      </c>
      <c r="AE207" s="21">
        <v>1</v>
      </c>
    </row>
    <row r="208" spans="1:31" ht="45" customHeight="1" x14ac:dyDescent="0.25">
      <c r="A208" s="86" t="s">
        <v>562</v>
      </c>
      <c r="B208" s="52" t="s">
        <v>1369</v>
      </c>
      <c r="C208" s="52"/>
      <c r="D208" s="52" t="s">
        <v>1373</v>
      </c>
      <c r="E208" s="52"/>
      <c r="F208" s="52" t="s">
        <v>1339</v>
      </c>
      <c r="G208" s="52"/>
      <c r="H208" s="52" t="s">
        <v>1374</v>
      </c>
      <c r="I208" s="52" t="s">
        <v>17</v>
      </c>
      <c r="J208" s="52" t="s">
        <v>236</v>
      </c>
      <c r="K208" s="22" t="str">
        <f>VLOOKUP(CONCATENATE(A208,LEFT(J208,4)),AGRUPAMENTO!$D$2:$E$6784,2,FALSE)</f>
        <v>Instrumentos de Saída</v>
      </c>
      <c r="L208" s="52" t="s">
        <v>95</v>
      </c>
      <c r="M208" s="52"/>
      <c r="N208" s="52">
        <v>10</v>
      </c>
      <c r="O208" s="86" t="s">
        <v>1381</v>
      </c>
      <c r="P208" s="86" t="s">
        <v>47</v>
      </c>
      <c r="Q208" s="86" t="s">
        <v>1376</v>
      </c>
      <c r="R208" s="86">
        <v>10000</v>
      </c>
      <c r="S208" s="86" t="s">
        <v>1377</v>
      </c>
      <c r="T208" s="86">
        <v>838</v>
      </c>
      <c r="U208" s="86">
        <v>10</v>
      </c>
      <c r="V208" s="58">
        <f t="shared" si="3"/>
        <v>83800000</v>
      </c>
      <c r="W208" s="52" t="s">
        <v>50</v>
      </c>
      <c r="X208" s="52" t="s">
        <v>1382</v>
      </c>
      <c r="Y208" s="52" t="s">
        <v>1383</v>
      </c>
      <c r="Z208" s="52" t="s">
        <v>1384</v>
      </c>
      <c r="AA208" s="52">
        <v>0</v>
      </c>
      <c r="AB208" s="52">
        <v>0</v>
      </c>
      <c r="AC208" s="52">
        <v>0</v>
      </c>
      <c r="AD208" s="21">
        <v>1</v>
      </c>
      <c r="AE208" s="21">
        <v>1</v>
      </c>
    </row>
    <row r="209" spans="1:31" ht="45" customHeight="1" x14ac:dyDescent="0.25">
      <c r="A209" s="86" t="s">
        <v>562</v>
      </c>
      <c r="B209" s="52" t="s">
        <v>1369</v>
      </c>
      <c r="C209" s="52"/>
      <c r="D209" s="52" t="s">
        <v>1373</v>
      </c>
      <c r="E209" s="52"/>
      <c r="F209" s="52" t="s">
        <v>1339</v>
      </c>
      <c r="G209" s="52"/>
      <c r="H209" s="52" t="s">
        <v>1374</v>
      </c>
      <c r="I209" s="52" t="s">
        <v>17</v>
      </c>
      <c r="J209" s="52" t="s">
        <v>236</v>
      </c>
      <c r="K209" s="22" t="str">
        <f>VLOOKUP(CONCATENATE(A209,LEFT(J209,4)),AGRUPAMENTO!$D$2:$E$6784,2,FALSE)</f>
        <v>Instrumentos de Saída</v>
      </c>
      <c r="L209" s="52" t="s">
        <v>95</v>
      </c>
      <c r="M209" s="52"/>
      <c r="N209" s="52">
        <v>10</v>
      </c>
      <c r="O209" s="86" t="s">
        <v>1385</v>
      </c>
      <c r="P209" s="86" t="s">
        <v>47</v>
      </c>
      <c r="Q209" s="86" t="s">
        <v>1376</v>
      </c>
      <c r="R209" s="86">
        <v>10000</v>
      </c>
      <c r="S209" s="86" t="s">
        <v>1377</v>
      </c>
      <c r="T209" s="86">
        <v>1000</v>
      </c>
      <c r="U209" s="86">
        <v>10</v>
      </c>
      <c r="V209" s="58">
        <f t="shared" si="3"/>
        <v>100000000</v>
      </c>
      <c r="W209" s="52" t="s">
        <v>50</v>
      </c>
      <c r="X209" s="52" t="s">
        <v>1386</v>
      </c>
      <c r="Y209" s="52" t="s">
        <v>1387</v>
      </c>
      <c r="Z209" s="52" t="s">
        <v>1388</v>
      </c>
      <c r="AA209" s="52">
        <v>0</v>
      </c>
      <c r="AB209" s="52">
        <v>0</v>
      </c>
      <c r="AC209" s="52">
        <v>0</v>
      </c>
      <c r="AD209" s="21">
        <v>1</v>
      </c>
      <c r="AE209" s="21">
        <v>1</v>
      </c>
    </row>
    <row r="210" spans="1:31" ht="45" customHeight="1" x14ac:dyDescent="0.25">
      <c r="A210" s="86" t="s">
        <v>562</v>
      </c>
      <c r="B210" s="52" t="s">
        <v>1369</v>
      </c>
      <c r="C210" s="52"/>
      <c r="D210" s="52" t="s">
        <v>1373</v>
      </c>
      <c r="E210" s="52"/>
      <c r="F210" s="52" t="s">
        <v>1339</v>
      </c>
      <c r="G210" s="52"/>
      <c r="H210" s="52" t="s">
        <v>1374</v>
      </c>
      <c r="I210" s="52" t="s">
        <v>17</v>
      </c>
      <c r="J210" s="52" t="s">
        <v>476</v>
      </c>
      <c r="K210" s="22" t="str">
        <f>VLOOKUP(CONCATENATE(A210,LEFT(J210,4)),AGRUPAMENTO!$D$2:$E$6784,2,FALSE)</f>
        <v>Demais despesas de custeio</v>
      </c>
      <c r="L210" s="52" t="s">
        <v>45</v>
      </c>
      <c r="M210" s="52"/>
      <c r="N210" s="52">
        <v>10</v>
      </c>
      <c r="O210" s="86" t="s">
        <v>1389</v>
      </c>
      <c r="P210" s="86" t="s">
        <v>47</v>
      </c>
      <c r="Q210" s="86" t="s">
        <v>981</v>
      </c>
      <c r="R210" s="86">
        <v>4</v>
      </c>
      <c r="S210" s="86" t="s">
        <v>1390</v>
      </c>
      <c r="T210" s="86">
        <v>800</v>
      </c>
      <c r="U210" s="86">
        <v>10</v>
      </c>
      <c r="V210" s="58">
        <f t="shared" si="3"/>
        <v>32000</v>
      </c>
      <c r="W210" s="52" t="s">
        <v>50</v>
      </c>
      <c r="X210" s="52" t="s">
        <v>1391</v>
      </c>
      <c r="Y210" s="52" t="s">
        <v>1392</v>
      </c>
      <c r="Z210" s="52" t="s">
        <v>1393</v>
      </c>
      <c r="AA210" s="52">
        <v>0</v>
      </c>
      <c r="AB210" s="52">
        <v>0</v>
      </c>
      <c r="AC210" s="52">
        <v>0</v>
      </c>
      <c r="AD210" s="21">
        <v>1</v>
      </c>
      <c r="AE210" s="21">
        <v>1</v>
      </c>
    </row>
    <row r="211" spans="1:31" ht="45" customHeight="1" x14ac:dyDescent="0.25">
      <c r="A211" s="86" t="s">
        <v>562</v>
      </c>
      <c r="B211" s="52" t="s">
        <v>1369</v>
      </c>
      <c r="C211" s="52"/>
      <c r="D211" s="52" t="s">
        <v>1373</v>
      </c>
      <c r="E211" s="52"/>
      <c r="F211" s="52" t="s">
        <v>1339</v>
      </c>
      <c r="G211" s="52"/>
      <c r="H211" s="52" t="s">
        <v>1374</v>
      </c>
      <c r="I211" s="52" t="s">
        <v>17</v>
      </c>
      <c r="J211" s="52" t="s">
        <v>476</v>
      </c>
      <c r="K211" s="22" t="str">
        <f>VLOOKUP(CONCATENATE(A211,LEFT(J211,4)),AGRUPAMENTO!$D$2:$E$6784,2,FALSE)</f>
        <v>Demais despesas de custeio</v>
      </c>
      <c r="L211" s="52" t="s">
        <v>45</v>
      </c>
      <c r="M211" s="52"/>
      <c r="N211" s="52">
        <v>10</v>
      </c>
      <c r="O211" s="86" t="s">
        <v>1389</v>
      </c>
      <c r="P211" s="86" t="s">
        <v>47</v>
      </c>
      <c r="Q211" s="86" t="s">
        <v>1394</v>
      </c>
      <c r="R211" s="86">
        <v>1000</v>
      </c>
      <c r="S211" s="86" t="s">
        <v>1395</v>
      </c>
      <c r="T211" s="86">
        <v>75</v>
      </c>
      <c r="U211" s="86">
        <v>1</v>
      </c>
      <c r="V211" s="58">
        <f t="shared" si="3"/>
        <v>75000</v>
      </c>
      <c r="W211" s="52" t="s">
        <v>50</v>
      </c>
      <c r="X211" s="52" t="s">
        <v>1396</v>
      </c>
      <c r="Y211" s="52" t="s">
        <v>1397</v>
      </c>
      <c r="Z211" s="52" t="s">
        <v>1398</v>
      </c>
      <c r="AA211" s="52">
        <v>0</v>
      </c>
      <c r="AB211" s="52">
        <v>0</v>
      </c>
      <c r="AC211" s="52">
        <v>0</v>
      </c>
      <c r="AD211" s="21">
        <v>1</v>
      </c>
      <c r="AE211" s="21">
        <v>1</v>
      </c>
    </row>
    <row r="212" spans="1:31" ht="45" customHeight="1" x14ac:dyDescent="0.25">
      <c r="A212" s="86" t="s">
        <v>562</v>
      </c>
      <c r="B212" s="52" t="s">
        <v>1369</v>
      </c>
      <c r="C212" s="52"/>
      <c r="D212" s="52" t="s">
        <v>1373</v>
      </c>
      <c r="E212" s="52"/>
      <c r="F212" s="52" t="s">
        <v>1339</v>
      </c>
      <c r="G212" s="52"/>
      <c r="H212" s="52" t="s">
        <v>1374</v>
      </c>
      <c r="I212" s="52" t="s">
        <v>17</v>
      </c>
      <c r="J212" s="52" t="s">
        <v>327</v>
      </c>
      <c r="K212" s="22" t="str">
        <f>VLOOKUP(CONCATENATE(A212,LEFT(J212,4)),AGRUPAMENTO!$D$2:$E$6784,2,FALSE)</f>
        <v>Transporte escolar</v>
      </c>
      <c r="L212" s="52" t="s">
        <v>45</v>
      </c>
      <c r="M212" s="52"/>
      <c r="N212" s="52">
        <v>10</v>
      </c>
      <c r="O212" s="86" t="s">
        <v>1399</v>
      </c>
      <c r="P212" s="86" t="s">
        <v>47</v>
      </c>
      <c r="Q212" s="86" t="s">
        <v>1376</v>
      </c>
      <c r="R212" s="86">
        <v>10000</v>
      </c>
      <c r="S212" s="86" t="s">
        <v>1377</v>
      </c>
      <c r="T212" s="86">
        <v>439.5</v>
      </c>
      <c r="U212" s="86">
        <v>10</v>
      </c>
      <c r="V212" s="58">
        <f t="shared" si="3"/>
        <v>43950000</v>
      </c>
      <c r="W212" s="52" t="s">
        <v>50</v>
      </c>
      <c r="X212" s="52" t="s">
        <v>1400</v>
      </c>
      <c r="Y212" s="52" t="s">
        <v>1401</v>
      </c>
      <c r="Z212" s="52" t="s">
        <v>1402</v>
      </c>
      <c r="AA212" s="52">
        <v>0</v>
      </c>
      <c r="AB212" s="52">
        <v>0</v>
      </c>
      <c r="AC212" s="52">
        <v>0</v>
      </c>
      <c r="AD212" s="21">
        <v>1</v>
      </c>
      <c r="AE212" s="21">
        <v>1</v>
      </c>
    </row>
    <row r="213" spans="1:31" ht="45" customHeight="1" x14ac:dyDescent="0.25">
      <c r="A213" s="86" t="s">
        <v>562</v>
      </c>
      <c r="B213" s="52" t="s">
        <v>1369</v>
      </c>
      <c r="C213" s="52"/>
      <c r="D213" s="52" t="s">
        <v>1373</v>
      </c>
      <c r="E213" s="52"/>
      <c r="F213" s="52" t="s">
        <v>1339</v>
      </c>
      <c r="G213" s="52"/>
      <c r="H213" s="52" t="s">
        <v>1403</v>
      </c>
      <c r="I213" s="52" t="s">
        <v>17</v>
      </c>
      <c r="J213" s="52" t="s">
        <v>573</v>
      </c>
      <c r="K213" s="22" t="str">
        <f>VLOOKUP(CONCATENATE(A213,LEFT(J213,4)),AGRUPAMENTO!$D$2:$E$6784,2,FALSE)</f>
        <v>Diárias e viagens</v>
      </c>
      <c r="L213" s="52" t="s">
        <v>45</v>
      </c>
      <c r="M213" s="52"/>
      <c r="N213" s="52">
        <v>10</v>
      </c>
      <c r="O213" s="86" t="s">
        <v>1404</v>
      </c>
      <c r="P213" s="86" t="s">
        <v>1405</v>
      </c>
      <c r="Q213" s="86" t="s">
        <v>1406</v>
      </c>
      <c r="R213" s="86">
        <v>400</v>
      </c>
      <c r="S213" s="86" t="s">
        <v>1407</v>
      </c>
      <c r="T213" s="86">
        <v>500</v>
      </c>
      <c r="U213" s="86">
        <v>10</v>
      </c>
      <c r="V213" s="58">
        <f t="shared" si="3"/>
        <v>2000000</v>
      </c>
      <c r="W213" s="52" t="s">
        <v>50</v>
      </c>
      <c r="X213" s="52" t="s">
        <v>577</v>
      </c>
      <c r="Y213" s="52" t="s">
        <v>570</v>
      </c>
      <c r="Z213" s="52" t="s">
        <v>583</v>
      </c>
      <c r="AA213" s="52">
        <v>0</v>
      </c>
      <c r="AB213" s="52">
        <v>0</v>
      </c>
      <c r="AC213" s="52">
        <v>0</v>
      </c>
      <c r="AD213" s="21">
        <v>1</v>
      </c>
      <c r="AE213" s="21">
        <v>1</v>
      </c>
    </row>
    <row r="214" spans="1:31" ht="45" customHeight="1" x14ac:dyDescent="0.25">
      <c r="A214" s="86" t="s">
        <v>562</v>
      </c>
      <c r="B214" s="52" t="s">
        <v>1369</v>
      </c>
      <c r="C214" s="52"/>
      <c r="D214" s="52" t="s">
        <v>1373</v>
      </c>
      <c r="E214" s="52"/>
      <c r="F214" s="52" t="s">
        <v>1339</v>
      </c>
      <c r="G214" s="52"/>
      <c r="H214" s="52" t="s">
        <v>1374</v>
      </c>
      <c r="I214" s="52" t="s">
        <v>17</v>
      </c>
      <c r="J214" s="52" t="s">
        <v>433</v>
      </c>
      <c r="K214" s="22" t="str">
        <f>VLOOKUP(CONCATENATE(A214,LEFT(J214,4)),AGRUPAMENTO!$D$2:$E$6784,2,FALSE)</f>
        <v>Cursos de formação e capacitações</v>
      </c>
      <c r="L214" s="52" t="s">
        <v>45</v>
      </c>
      <c r="M214" s="52"/>
      <c r="N214" s="52">
        <v>10</v>
      </c>
      <c r="O214" s="86" t="s">
        <v>1408</v>
      </c>
      <c r="P214" s="86" t="s">
        <v>1405</v>
      </c>
      <c r="Q214" s="86" t="s">
        <v>1409</v>
      </c>
      <c r="R214" s="86">
        <v>1</v>
      </c>
      <c r="S214" s="86" t="s">
        <v>1410</v>
      </c>
      <c r="T214" s="86">
        <v>1000000</v>
      </c>
      <c r="U214" s="86">
        <v>1</v>
      </c>
      <c r="V214" s="58">
        <f t="shared" si="3"/>
        <v>1000000</v>
      </c>
      <c r="W214" s="52" t="s">
        <v>50</v>
      </c>
      <c r="X214" s="52" t="s">
        <v>1411</v>
      </c>
      <c r="Y214" s="52" t="s">
        <v>1392</v>
      </c>
      <c r="Z214" s="52" t="s">
        <v>1393</v>
      </c>
      <c r="AA214" s="52">
        <v>0</v>
      </c>
      <c r="AB214" s="52">
        <v>0</v>
      </c>
      <c r="AC214" s="52">
        <v>0</v>
      </c>
      <c r="AD214" s="21">
        <v>1</v>
      </c>
      <c r="AE214" s="21">
        <v>1</v>
      </c>
    </row>
    <row r="215" spans="1:31" ht="45" customHeight="1" x14ac:dyDescent="0.25">
      <c r="A215" s="86" t="s">
        <v>562</v>
      </c>
      <c r="B215" s="52" t="s">
        <v>1369</v>
      </c>
      <c r="C215" s="52"/>
      <c r="D215" s="52" t="s">
        <v>1369</v>
      </c>
      <c r="E215" s="52"/>
      <c r="F215" s="52" t="s">
        <v>564</v>
      </c>
      <c r="G215" s="52"/>
      <c r="H215" s="52" t="s">
        <v>572</v>
      </c>
      <c r="I215" s="52" t="s">
        <v>17</v>
      </c>
      <c r="J215" s="52" t="s">
        <v>573</v>
      </c>
      <c r="K215" s="22" t="str">
        <f>VLOOKUP(CONCATENATE(A215,LEFT(J215,4)),AGRUPAMENTO!$D$2:$E$6784,2,FALSE)</f>
        <v>Diárias e viagens</v>
      </c>
      <c r="L215" s="52" t="s">
        <v>45</v>
      </c>
      <c r="M215" s="52"/>
      <c r="N215" s="52">
        <v>10</v>
      </c>
      <c r="O215" s="86" t="s">
        <v>1412</v>
      </c>
      <c r="P215" s="86" t="s">
        <v>47</v>
      </c>
      <c r="Q215" s="86" t="s">
        <v>575</v>
      </c>
      <c r="R215" s="86">
        <v>950</v>
      </c>
      <c r="S215" s="86" t="s">
        <v>576</v>
      </c>
      <c r="T215" s="86">
        <v>1574.7</v>
      </c>
      <c r="U215" s="86">
        <v>1</v>
      </c>
      <c r="V215" s="58">
        <f t="shared" si="3"/>
        <v>1495965</v>
      </c>
      <c r="W215" s="52" t="s">
        <v>50</v>
      </c>
      <c r="X215" s="52" t="s">
        <v>1370</v>
      </c>
      <c r="Y215" s="52" t="s">
        <v>1371</v>
      </c>
      <c r="Z215" s="52" t="s">
        <v>1372</v>
      </c>
      <c r="AA215" s="52">
        <v>0</v>
      </c>
      <c r="AB215" s="52">
        <v>0</v>
      </c>
      <c r="AC215" s="52">
        <v>0</v>
      </c>
      <c r="AD215" s="21">
        <v>1</v>
      </c>
      <c r="AE215" s="21">
        <v>1</v>
      </c>
    </row>
    <row r="216" spans="1:31" ht="45" customHeight="1" x14ac:dyDescent="0.25">
      <c r="A216" s="86" t="s">
        <v>562</v>
      </c>
      <c r="B216" s="52" t="s">
        <v>1369</v>
      </c>
      <c r="C216" s="52"/>
      <c r="D216" s="52" t="s">
        <v>1369</v>
      </c>
      <c r="E216" s="52"/>
      <c r="F216" s="52" t="s">
        <v>564</v>
      </c>
      <c r="G216" s="52"/>
      <c r="H216" s="52" t="s">
        <v>572</v>
      </c>
      <c r="I216" s="52" t="s">
        <v>17</v>
      </c>
      <c r="J216" s="52" t="s">
        <v>579</v>
      </c>
      <c r="K216" s="22" t="str">
        <f>VLOOKUP(CONCATENATE(A216,LEFT(J216,4)),AGRUPAMENTO!$D$2:$E$6784,2,FALSE)</f>
        <v>Diárias e viagens</v>
      </c>
      <c r="L216" s="52" t="s">
        <v>45</v>
      </c>
      <c r="M216" s="52"/>
      <c r="N216" s="52">
        <v>10</v>
      </c>
      <c r="O216" s="86" t="s">
        <v>580</v>
      </c>
      <c r="P216" s="86" t="s">
        <v>47</v>
      </c>
      <c r="Q216" s="86" t="s">
        <v>575</v>
      </c>
      <c r="R216" s="86">
        <v>400</v>
      </c>
      <c r="S216" s="86" t="s">
        <v>581</v>
      </c>
      <c r="T216" s="86">
        <v>400</v>
      </c>
      <c r="U216" s="86">
        <v>1</v>
      </c>
      <c r="V216" s="58">
        <f t="shared" si="3"/>
        <v>160000</v>
      </c>
      <c r="W216" s="52" t="s">
        <v>50</v>
      </c>
      <c r="X216" s="52" t="s">
        <v>912</v>
      </c>
      <c r="Y216" s="52" t="s">
        <v>913</v>
      </c>
      <c r="Z216" s="52" t="s">
        <v>914</v>
      </c>
      <c r="AA216" s="52">
        <v>0</v>
      </c>
      <c r="AB216" s="52">
        <v>0</v>
      </c>
      <c r="AC216" s="52">
        <v>0</v>
      </c>
      <c r="AD216" s="21">
        <v>1</v>
      </c>
      <c r="AE216" s="21">
        <v>1</v>
      </c>
    </row>
    <row r="217" spans="1:31" ht="45" customHeight="1" x14ac:dyDescent="0.25">
      <c r="A217" s="86" t="s">
        <v>562</v>
      </c>
      <c r="B217" s="52" t="s">
        <v>1369</v>
      </c>
      <c r="C217" s="52"/>
      <c r="D217" s="52" t="s">
        <v>1369</v>
      </c>
      <c r="E217" s="52"/>
      <c r="F217" s="52" t="s">
        <v>564</v>
      </c>
      <c r="G217" s="52"/>
      <c r="H217" s="52" t="s">
        <v>572</v>
      </c>
      <c r="I217" s="52" t="s">
        <v>17</v>
      </c>
      <c r="J217" s="52" t="s">
        <v>433</v>
      </c>
      <c r="K217" s="22" t="str">
        <f>VLOOKUP(CONCATENATE(A217,LEFT(J217,4)),AGRUPAMENTO!$D$2:$E$6784,2,FALSE)</f>
        <v>Cursos de formação e capacitações</v>
      </c>
      <c r="L217" s="52" t="s">
        <v>45</v>
      </c>
      <c r="M217" s="52"/>
      <c r="N217" s="52">
        <v>10</v>
      </c>
      <c r="O217" s="86" t="s">
        <v>1413</v>
      </c>
      <c r="P217" s="86" t="s">
        <v>47</v>
      </c>
      <c r="Q217" s="86" t="s">
        <v>1406</v>
      </c>
      <c r="R217" s="86">
        <v>20</v>
      </c>
      <c r="S217" s="86" t="s">
        <v>1407</v>
      </c>
      <c r="T217" s="86">
        <v>5000</v>
      </c>
      <c r="U217" s="86">
        <v>1</v>
      </c>
      <c r="V217" s="58">
        <f t="shared" si="3"/>
        <v>100000</v>
      </c>
      <c r="W217" s="52" t="s">
        <v>50</v>
      </c>
      <c r="X217" s="52" t="s">
        <v>1136</v>
      </c>
      <c r="Y217" s="52" t="s">
        <v>1414</v>
      </c>
      <c r="Z217" s="52" t="s">
        <v>1415</v>
      </c>
      <c r="AA217" s="52">
        <v>0</v>
      </c>
      <c r="AB217" s="52">
        <v>0</v>
      </c>
      <c r="AC217" s="52">
        <v>0</v>
      </c>
      <c r="AD217" s="21">
        <v>1</v>
      </c>
      <c r="AE217" s="21">
        <v>1</v>
      </c>
    </row>
    <row r="218" spans="1:31" ht="45" customHeight="1" x14ac:dyDescent="0.25">
      <c r="A218" s="86" t="s">
        <v>562</v>
      </c>
      <c r="B218" s="52" t="s">
        <v>1369</v>
      </c>
      <c r="C218" s="52"/>
      <c r="D218" s="52" t="s">
        <v>1416</v>
      </c>
      <c r="E218" s="52"/>
      <c r="F218" s="52" t="s">
        <v>1417</v>
      </c>
      <c r="G218" s="52"/>
      <c r="H218" s="52" t="s">
        <v>1418</v>
      </c>
      <c r="I218" s="52" t="s">
        <v>17</v>
      </c>
      <c r="J218" s="52" t="s">
        <v>573</v>
      </c>
      <c r="K218" s="22" t="str">
        <f>VLOOKUP(CONCATENATE(A218,LEFT(J218,4)),AGRUPAMENTO!$D$2:$E$6784,2,FALSE)</f>
        <v>Diárias e viagens</v>
      </c>
      <c r="L218" s="52" t="s">
        <v>45</v>
      </c>
      <c r="M218" s="52"/>
      <c r="N218" s="52">
        <v>10</v>
      </c>
      <c r="O218" s="86" t="s">
        <v>1419</v>
      </c>
      <c r="P218" s="86" t="s">
        <v>47</v>
      </c>
      <c r="Q218" s="86" t="s">
        <v>1420</v>
      </c>
      <c r="R218" s="86">
        <v>2150</v>
      </c>
      <c r="S218" s="86" t="s">
        <v>576</v>
      </c>
      <c r="T218" s="86">
        <v>470</v>
      </c>
      <c r="U218" s="86">
        <v>1</v>
      </c>
      <c r="V218" s="58">
        <f t="shared" si="3"/>
        <v>1010500</v>
      </c>
      <c r="W218" s="52" t="s">
        <v>50</v>
      </c>
      <c r="X218" s="52" t="s">
        <v>1421</v>
      </c>
      <c r="Y218" s="52" t="s">
        <v>1422</v>
      </c>
      <c r="Z218" s="52" t="s">
        <v>1423</v>
      </c>
      <c r="AA218" s="52">
        <v>0</v>
      </c>
      <c r="AB218" s="52">
        <v>0</v>
      </c>
      <c r="AC218" s="52">
        <v>0</v>
      </c>
      <c r="AD218" s="21">
        <v>1</v>
      </c>
      <c r="AE218" s="21">
        <v>1</v>
      </c>
    </row>
    <row r="219" spans="1:31" ht="45" customHeight="1" x14ac:dyDescent="0.25">
      <c r="A219" s="86" t="s">
        <v>562</v>
      </c>
      <c r="B219" s="52" t="s">
        <v>1369</v>
      </c>
      <c r="C219" s="52"/>
      <c r="D219" s="52" t="s">
        <v>1416</v>
      </c>
      <c r="E219" s="52"/>
      <c r="F219" s="52" t="s">
        <v>1417</v>
      </c>
      <c r="G219" s="52"/>
      <c r="H219" s="52" t="s">
        <v>1418</v>
      </c>
      <c r="I219" s="52" t="s">
        <v>17</v>
      </c>
      <c r="J219" s="52" t="s">
        <v>579</v>
      </c>
      <c r="K219" s="22" t="str">
        <f>VLOOKUP(CONCATENATE(A219,LEFT(J219,4)),AGRUPAMENTO!$D$2:$E$6784,2,FALSE)</f>
        <v>Diárias e viagens</v>
      </c>
      <c r="L219" s="52" t="s">
        <v>45</v>
      </c>
      <c r="M219" s="52"/>
      <c r="N219" s="52">
        <v>10</v>
      </c>
      <c r="O219" s="86" t="s">
        <v>580</v>
      </c>
      <c r="P219" s="86" t="s">
        <v>47</v>
      </c>
      <c r="Q219" s="86" t="s">
        <v>575</v>
      </c>
      <c r="R219" s="86">
        <v>150</v>
      </c>
      <c r="S219" s="86" t="s">
        <v>581</v>
      </c>
      <c r="T219" s="86">
        <v>300</v>
      </c>
      <c r="U219" s="86">
        <v>1</v>
      </c>
      <c r="V219" s="58">
        <f t="shared" si="3"/>
        <v>45000</v>
      </c>
      <c r="W219" s="52" t="s">
        <v>50</v>
      </c>
      <c r="X219" s="52" t="s">
        <v>1421</v>
      </c>
      <c r="Y219" s="52" t="s">
        <v>1422</v>
      </c>
      <c r="Z219" s="52" t="s">
        <v>1424</v>
      </c>
      <c r="AA219" s="52">
        <v>0</v>
      </c>
      <c r="AB219" s="52">
        <v>0</v>
      </c>
      <c r="AC219" s="52">
        <v>0</v>
      </c>
      <c r="AD219" s="21">
        <v>1</v>
      </c>
      <c r="AE219" s="21">
        <v>1</v>
      </c>
    </row>
    <row r="220" spans="1:31" ht="45" customHeight="1" x14ac:dyDescent="0.25">
      <c r="A220" s="86" t="s">
        <v>562</v>
      </c>
      <c r="B220" s="52" t="s">
        <v>1369</v>
      </c>
      <c r="C220" s="52"/>
      <c r="D220" s="52" t="s">
        <v>1416</v>
      </c>
      <c r="E220" s="52"/>
      <c r="F220" s="52" t="s">
        <v>1417</v>
      </c>
      <c r="G220" s="52"/>
      <c r="H220" s="52" t="s">
        <v>1418</v>
      </c>
      <c r="I220" s="52" t="s">
        <v>17</v>
      </c>
      <c r="J220" s="52" t="s">
        <v>587</v>
      </c>
      <c r="K220" s="22" t="str">
        <f>VLOOKUP(CONCATENATE(A220,LEFT(J220,4)),AGRUPAMENTO!$D$2:$E$6784,2,FALSE)</f>
        <v>Diárias e viagens</v>
      </c>
      <c r="L220" s="52" t="s">
        <v>45</v>
      </c>
      <c r="M220" s="52"/>
      <c r="N220" s="52">
        <v>10</v>
      </c>
      <c r="O220" s="86" t="s">
        <v>761</v>
      </c>
      <c r="P220" s="86" t="s">
        <v>47</v>
      </c>
      <c r="Q220" s="86" t="s">
        <v>1425</v>
      </c>
      <c r="R220" s="86">
        <v>150</v>
      </c>
      <c r="S220" s="86" t="s">
        <v>1407</v>
      </c>
      <c r="T220" s="86">
        <v>150</v>
      </c>
      <c r="U220" s="86">
        <v>1</v>
      </c>
      <c r="V220" s="58">
        <f t="shared" si="3"/>
        <v>22500</v>
      </c>
      <c r="W220" s="52" t="s">
        <v>50</v>
      </c>
      <c r="X220" s="52" t="s">
        <v>1421</v>
      </c>
      <c r="Y220" s="52" t="s">
        <v>1422</v>
      </c>
      <c r="Z220" s="52" t="s">
        <v>1423</v>
      </c>
      <c r="AA220" s="52">
        <v>0</v>
      </c>
      <c r="AB220" s="52">
        <v>0</v>
      </c>
      <c r="AC220" s="52">
        <v>0</v>
      </c>
      <c r="AD220" s="21">
        <v>1</v>
      </c>
      <c r="AE220" s="21">
        <v>1</v>
      </c>
    </row>
    <row r="221" spans="1:31" ht="45" customHeight="1" x14ac:dyDescent="0.25">
      <c r="A221" s="86" t="s">
        <v>562</v>
      </c>
      <c r="B221" s="52" t="s">
        <v>1369</v>
      </c>
      <c r="C221" s="52"/>
      <c r="D221" s="52" t="s">
        <v>1426</v>
      </c>
      <c r="E221" s="52"/>
      <c r="F221" s="52" t="s">
        <v>564</v>
      </c>
      <c r="G221" s="52"/>
      <c r="H221" s="52" t="s">
        <v>1058</v>
      </c>
      <c r="I221" s="52" t="s">
        <v>17</v>
      </c>
      <c r="J221" s="52" t="s">
        <v>573</v>
      </c>
      <c r="K221" s="22" t="str">
        <f>VLOOKUP(CONCATENATE(A221,LEFT(J221,4)),AGRUPAMENTO!$D$2:$E$6784,2,FALSE)</f>
        <v>Diárias e viagens</v>
      </c>
      <c r="L221" s="52" t="s">
        <v>45</v>
      </c>
      <c r="M221" s="52"/>
      <c r="N221" s="52">
        <v>10</v>
      </c>
      <c r="O221" s="86" t="s">
        <v>1427</v>
      </c>
      <c r="P221" s="86" t="s">
        <v>47</v>
      </c>
      <c r="Q221" s="86" t="s">
        <v>575</v>
      </c>
      <c r="R221" s="86">
        <v>1</v>
      </c>
      <c r="S221" s="86" t="s">
        <v>576</v>
      </c>
      <c r="T221" s="86">
        <v>6000000</v>
      </c>
      <c r="U221" s="86">
        <v>1</v>
      </c>
      <c r="V221" s="58">
        <f t="shared" si="3"/>
        <v>6000000</v>
      </c>
      <c r="W221" s="52" t="s">
        <v>50</v>
      </c>
      <c r="X221" s="52" t="s">
        <v>1428</v>
      </c>
      <c r="Y221" s="52" t="s">
        <v>1429</v>
      </c>
      <c r="Z221" s="52" t="s">
        <v>1428</v>
      </c>
      <c r="AA221" s="52">
        <v>0</v>
      </c>
      <c r="AB221" s="52">
        <v>0</v>
      </c>
      <c r="AC221" s="52">
        <v>0</v>
      </c>
      <c r="AD221" s="21">
        <v>1</v>
      </c>
      <c r="AE221" s="21">
        <v>1</v>
      </c>
    </row>
    <row r="222" spans="1:31" ht="45" customHeight="1" x14ac:dyDescent="0.25">
      <c r="A222" s="86" t="s">
        <v>562</v>
      </c>
      <c r="B222" s="52" t="s">
        <v>1369</v>
      </c>
      <c r="C222" s="52"/>
      <c r="D222" s="52" t="s">
        <v>1426</v>
      </c>
      <c r="E222" s="52"/>
      <c r="F222" s="52" t="s">
        <v>564</v>
      </c>
      <c r="G222" s="52"/>
      <c r="H222" s="52" t="s">
        <v>1058</v>
      </c>
      <c r="I222" s="52" t="s">
        <v>17</v>
      </c>
      <c r="J222" s="52" t="s">
        <v>73</v>
      </c>
      <c r="K222" s="22" t="str">
        <f>VLOOKUP(CONCATENATE(A222,LEFT(J222,4)),AGRUPAMENTO!$D$2:$E$6784,2,FALSE)</f>
        <v>Material de consumo</v>
      </c>
      <c r="L222" s="52" t="s">
        <v>45</v>
      </c>
      <c r="M222" s="52"/>
      <c r="N222" s="52">
        <v>10</v>
      </c>
      <c r="O222" s="86" t="s">
        <v>1430</v>
      </c>
      <c r="P222" s="86" t="s">
        <v>47</v>
      </c>
      <c r="Q222" s="86" t="s">
        <v>575</v>
      </c>
      <c r="R222" s="86">
        <v>1</v>
      </c>
      <c r="S222" s="86" t="s">
        <v>1431</v>
      </c>
      <c r="T222" s="86">
        <v>30000000</v>
      </c>
      <c r="U222" s="86">
        <v>1</v>
      </c>
      <c r="V222" s="58">
        <f t="shared" si="3"/>
        <v>30000000</v>
      </c>
      <c r="W222" s="52" t="s">
        <v>50</v>
      </c>
      <c r="X222" s="52" t="s">
        <v>1432</v>
      </c>
      <c r="Y222" s="52" t="s">
        <v>1433</v>
      </c>
      <c r="Z222" s="52" t="s">
        <v>1434</v>
      </c>
      <c r="AA222" s="52">
        <v>0</v>
      </c>
      <c r="AB222" s="52">
        <v>0</v>
      </c>
      <c r="AC222" s="52">
        <v>0</v>
      </c>
      <c r="AD222" s="21">
        <v>1</v>
      </c>
      <c r="AE222" s="21">
        <v>1</v>
      </c>
    </row>
    <row r="223" spans="1:31" ht="45" customHeight="1" x14ac:dyDescent="0.25">
      <c r="A223" s="86" t="s">
        <v>562</v>
      </c>
      <c r="B223" s="52" t="s">
        <v>1369</v>
      </c>
      <c r="C223" s="52"/>
      <c r="D223" s="52" t="s">
        <v>1426</v>
      </c>
      <c r="E223" s="52"/>
      <c r="F223" s="52" t="s">
        <v>564</v>
      </c>
      <c r="G223" s="52"/>
      <c r="H223" s="52" t="s">
        <v>1058</v>
      </c>
      <c r="I223" s="52" t="s">
        <v>17</v>
      </c>
      <c r="J223" s="52" t="s">
        <v>406</v>
      </c>
      <c r="K223" s="22" t="str">
        <f>VLOOKUP(CONCATENATE(A223,LEFT(J223,4)),AGRUPAMENTO!$D$2:$E$6784,2,FALSE)</f>
        <v>Material de consumo</v>
      </c>
      <c r="L223" s="52" t="s">
        <v>45</v>
      </c>
      <c r="M223" s="52"/>
      <c r="N223" s="52">
        <v>10</v>
      </c>
      <c r="O223" s="86" t="s">
        <v>1430</v>
      </c>
      <c r="P223" s="86" t="s">
        <v>47</v>
      </c>
      <c r="Q223" s="86" t="s">
        <v>575</v>
      </c>
      <c r="R223" s="86">
        <v>1</v>
      </c>
      <c r="S223" s="86" t="s">
        <v>1431</v>
      </c>
      <c r="T223" s="86">
        <v>470000</v>
      </c>
      <c r="U223" s="86">
        <v>1</v>
      </c>
      <c r="V223" s="58">
        <f t="shared" si="3"/>
        <v>470000</v>
      </c>
      <c r="W223" s="52" t="s">
        <v>50</v>
      </c>
      <c r="X223" s="52" t="s">
        <v>1432</v>
      </c>
      <c r="Y223" s="52" t="s">
        <v>1433</v>
      </c>
      <c r="Z223" s="52" t="s">
        <v>1434</v>
      </c>
      <c r="AA223" s="52">
        <v>0</v>
      </c>
      <c r="AB223" s="52">
        <v>0</v>
      </c>
      <c r="AC223" s="52">
        <v>0</v>
      </c>
      <c r="AD223" s="21">
        <v>1</v>
      </c>
      <c r="AE223" s="21">
        <v>1</v>
      </c>
    </row>
    <row r="224" spans="1:31" ht="45" customHeight="1" x14ac:dyDescent="0.25">
      <c r="A224" s="86" t="s">
        <v>562</v>
      </c>
      <c r="B224" s="52" t="s">
        <v>1369</v>
      </c>
      <c r="C224" s="52"/>
      <c r="D224" s="52" t="s">
        <v>1426</v>
      </c>
      <c r="E224" s="52"/>
      <c r="F224" s="52" t="s">
        <v>564</v>
      </c>
      <c r="G224" s="52"/>
      <c r="H224" s="52" t="s">
        <v>1058</v>
      </c>
      <c r="I224" s="52" t="s">
        <v>17</v>
      </c>
      <c r="J224" s="52" t="s">
        <v>421</v>
      </c>
      <c r="K224" s="22" t="str">
        <f>VLOOKUP(CONCATENATE(A224,LEFT(J224,4)),AGRUPAMENTO!$D$2:$E$6784,2,FALSE)</f>
        <v>Material de consumo</v>
      </c>
      <c r="L224" s="52" t="s">
        <v>45</v>
      </c>
      <c r="M224" s="52"/>
      <c r="N224" s="52">
        <v>10</v>
      </c>
      <c r="O224" s="86" t="s">
        <v>1430</v>
      </c>
      <c r="P224" s="86" t="s">
        <v>47</v>
      </c>
      <c r="Q224" s="86" t="s">
        <v>575</v>
      </c>
      <c r="R224" s="86">
        <v>1</v>
      </c>
      <c r="S224" s="86" t="s">
        <v>1431</v>
      </c>
      <c r="T224" s="86">
        <v>100000</v>
      </c>
      <c r="U224" s="86">
        <v>1</v>
      </c>
      <c r="V224" s="58">
        <f t="shared" si="3"/>
        <v>100000</v>
      </c>
      <c r="W224" s="52" t="s">
        <v>50</v>
      </c>
      <c r="X224" s="52" t="s">
        <v>1432</v>
      </c>
      <c r="Y224" s="52" t="s">
        <v>1433</v>
      </c>
      <c r="Z224" s="52" t="s">
        <v>1434</v>
      </c>
      <c r="AA224" s="52">
        <v>0</v>
      </c>
      <c r="AB224" s="52">
        <v>0</v>
      </c>
      <c r="AC224" s="52">
        <v>0</v>
      </c>
      <c r="AD224" s="21">
        <v>1</v>
      </c>
      <c r="AE224" s="21">
        <v>1</v>
      </c>
    </row>
    <row r="225" spans="1:31" ht="45" customHeight="1" x14ac:dyDescent="0.25">
      <c r="A225" s="86" t="s">
        <v>562</v>
      </c>
      <c r="B225" s="52" t="s">
        <v>1369</v>
      </c>
      <c r="C225" s="52"/>
      <c r="D225" s="52" t="s">
        <v>1426</v>
      </c>
      <c r="E225" s="52"/>
      <c r="F225" s="52" t="s">
        <v>564</v>
      </c>
      <c r="G225" s="52"/>
      <c r="H225" s="52" t="s">
        <v>1058</v>
      </c>
      <c r="I225" s="52" t="s">
        <v>17</v>
      </c>
      <c r="J225" s="52" t="s">
        <v>451</v>
      </c>
      <c r="K225" s="22" t="str">
        <f>VLOOKUP(CONCATENATE(A225,LEFT(J225,4)),AGRUPAMENTO!$D$2:$E$6784,2,FALSE)</f>
        <v>Frota</v>
      </c>
      <c r="L225" s="52" t="s">
        <v>45</v>
      </c>
      <c r="M225" s="52"/>
      <c r="N225" s="52">
        <v>10</v>
      </c>
      <c r="O225" s="86" t="s">
        <v>1430</v>
      </c>
      <c r="P225" s="86" t="s">
        <v>47</v>
      </c>
      <c r="Q225" s="86" t="s">
        <v>575</v>
      </c>
      <c r="R225" s="86">
        <v>1</v>
      </c>
      <c r="S225" s="86" t="s">
        <v>1431</v>
      </c>
      <c r="T225" s="86">
        <v>100000</v>
      </c>
      <c r="U225" s="86">
        <v>1</v>
      </c>
      <c r="V225" s="58">
        <f t="shared" si="3"/>
        <v>100000</v>
      </c>
      <c r="W225" s="52" t="s">
        <v>50</v>
      </c>
      <c r="X225" s="52" t="s">
        <v>1432</v>
      </c>
      <c r="Y225" s="52" t="s">
        <v>1433</v>
      </c>
      <c r="Z225" s="52" t="s">
        <v>1434</v>
      </c>
      <c r="AA225" s="52">
        <v>0</v>
      </c>
      <c r="AB225" s="52">
        <v>0</v>
      </c>
      <c r="AC225" s="52">
        <v>0</v>
      </c>
      <c r="AD225" s="21">
        <v>1</v>
      </c>
      <c r="AE225" s="21">
        <v>1</v>
      </c>
    </row>
    <row r="226" spans="1:31" ht="45" customHeight="1" x14ac:dyDescent="0.25">
      <c r="A226" s="86" t="s">
        <v>562</v>
      </c>
      <c r="B226" s="52" t="s">
        <v>1369</v>
      </c>
      <c r="C226" s="52"/>
      <c r="D226" s="52" t="s">
        <v>1426</v>
      </c>
      <c r="E226" s="52"/>
      <c r="F226" s="52" t="s">
        <v>564</v>
      </c>
      <c r="G226" s="52"/>
      <c r="H226" s="52" t="s">
        <v>1058</v>
      </c>
      <c r="I226" s="52" t="s">
        <v>17</v>
      </c>
      <c r="J226" s="52" t="s">
        <v>456</v>
      </c>
      <c r="K226" s="22" t="str">
        <f>VLOOKUP(CONCATENATE(A226,LEFT(J226,4)),AGRUPAMENTO!$D$2:$E$6784,2,FALSE)</f>
        <v>Material de consumo</v>
      </c>
      <c r="L226" s="52" t="s">
        <v>45</v>
      </c>
      <c r="M226" s="52"/>
      <c r="N226" s="52">
        <v>10</v>
      </c>
      <c r="O226" s="86" t="s">
        <v>1430</v>
      </c>
      <c r="P226" s="86" t="s">
        <v>47</v>
      </c>
      <c r="Q226" s="86" t="s">
        <v>575</v>
      </c>
      <c r="R226" s="86">
        <v>1</v>
      </c>
      <c r="S226" s="86" t="s">
        <v>1431</v>
      </c>
      <c r="T226" s="86">
        <v>60000</v>
      </c>
      <c r="U226" s="86">
        <v>1</v>
      </c>
      <c r="V226" s="58">
        <f t="shared" si="3"/>
        <v>60000</v>
      </c>
      <c r="W226" s="52" t="s">
        <v>50</v>
      </c>
      <c r="X226" s="52" t="s">
        <v>1432</v>
      </c>
      <c r="Y226" s="52" t="s">
        <v>1433</v>
      </c>
      <c r="Z226" s="52" t="s">
        <v>1434</v>
      </c>
      <c r="AA226" s="52">
        <v>0</v>
      </c>
      <c r="AB226" s="52">
        <v>0</v>
      </c>
      <c r="AC226" s="52">
        <v>0</v>
      </c>
      <c r="AD226" s="21">
        <v>1</v>
      </c>
      <c r="AE226" s="21">
        <v>1</v>
      </c>
    </row>
    <row r="227" spans="1:31" ht="45" customHeight="1" x14ac:dyDescent="0.25">
      <c r="A227" s="86" t="s">
        <v>562</v>
      </c>
      <c r="B227" s="52" t="s">
        <v>1369</v>
      </c>
      <c r="C227" s="52"/>
      <c r="D227" s="52" t="s">
        <v>1426</v>
      </c>
      <c r="E227" s="52"/>
      <c r="F227" s="52" t="s">
        <v>564</v>
      </c>
      <c r="G227" s="52"/>
      <c r="H227" s="52" t="s">
        <v>1058</v>
      </c>
      <c r="I227" s="52" t="s">
        <v>17</v>
      </c>
      <c r="J227" s="52" t="s">
        <v>579</v>
      </c>
      <c r="K227" s="22" t="str">
        <f>VLOOKUP(CONCATENATE(A227,LEFT(J227,4)),AGRUPAMENTO!$D$2:$E$6784,2,FALSE)</f>
        <v>Diárias e viagens</v>
      </c>
      <c r="L227" s="52" t="s">
        <v>45</v>
      </c>
      <c r="M227" s="52"/>
      <c r="N227" s="52">
        <v>10</v>
      </c>
      <c r="O227" s="86" t="s">
        <v>580</v>
      </c>
      <c r="P227" s="86" t="s">
        <v>47</v>
      </c>
      <c r="Q227" s="86" t="s">
        <v>575</v>
      </c>
      <c r="R227" s="86">
        <v>1</v>
      </c>
      <c r="S227" s="86" t="s">
        <v>581</v>
      </c>
      <c r="T227" s="86">
        <v>500000</v>
      </c>
      <c r="U227" s="86">
        <v>1</v>
      </c>
      <c r="V227" s="58">
        <f t="shared" si="3"/>
        <v>500000</v>
      </c>
      <c r="W227" s="52" t="s">
        <v>50</v>
      </c>
      <c r="X227" s="52" t="s">
        <v>1432</v>
      </c>
      <c r="Y227" s="52" t="s">
        <v>1433</v>
      </c>
      <c r="Z227" s="52" t="s">
        <v>1434</v>
      </c>
      <c r="AA227" s="52">
        <v>0</v>
      </c>
      <c r="AB227" s="52">
        <v>0</v>
      </c>
      <c r="AC227" s="52">
        <v>0</v>
      </c>
      <c r="AD227" s="21">
        <v>1</v>
      </c>
      <c r="AE227" s="21">
        <v>1</v>
      </c>
    </row>
    <row r="228" spans="1:31" ht="45" customHeight="1" x14ac:dyDescent="0.25">
      <c r="A228" s="86" t="s">
        <v>562</v>
      </c>
      <c r="B228" s="52" t="s">
        <v>1369</v>
      </c>
      <c r="C228" s="52"/>
      <c r="D228" s="52" t="s">
        <v>1426</v>
      </c>
      <c r="E228" s="52"/>
      <c r="F228" s="52" t="s">
        <v>564</v>
      </c>
      <c r="G228" s="52"/>
      <c r="H228" s="52" t="s">
        <v>1058</v>
      </c>
      <c r="I228" s="52" t="s">
        <v>17</v>
      </c>
      <c r="J228" s="52" t="s">
        <v>587</v>
      </c>
      <c r="K228" s="22" t="str">
        <f>VLOOKUP(CONCATENATE(A228,LEFT(J228,4)),AGRUPAMENTO!$D$2:$E$6784,2,FALSE)</f>
        <v>Diárias e viagens</v>
      </c>
      <c r="L228" s="52" t="s">
        <v>45</v>
      </c>
      <c r="M228" s="52"/>
      <c r="N228" s="52">
        <v>10</v>
      </c>
      <c r="O228" s="86" t="s">
        <v>761</v>
      </c>
      <c r="P228" s="86" t="s">
        <v>47</v>
      </c>
      <c r="Q228" s="86" t="s">
        <v>575</v>
      </c>
      <c r="R228" s="86">
        <v>1</v>
      </c>
      <c r="S228" s="86" t="s">
        <v>1431</v>
      </c>
      <c r="T228" s="86">
        <v>230000</v>
      </c>
      <c r="U228" s="86">
        <v>1</v>
      </c>
      <c r="V228" s="58">
        <f t="shared" si="3"/>
        <v>230000</v>
      </c>
      <c r="W228" s="52" t="s">
        <v>50</v>
      </c>
      <c r="X228" s="52" t="s">
        <v>1432</v>
      </c>
      <c r="Y228" s="52" t="s">
        <v>1433</v>
      </c>
      <c r="Z228" s="52" t="s">
        <v>1434</v>
      </c>
      <c r="AA228" s="52">
        <v>0</v>
      </c>
      <c r="AB228" s="52">
        <v>0</v>
      </c>
      <c r="AC228" s="52">
        <v>0</v>
      </c>
      <c r="AD228" s="21">
        <v>1</v>
      </c>
      <c r="AE228" s="21">
        <v>1</v>
      </c>
    </row>
    <row r="229" spans="1:31" ht="45" customHeight="1" x14ac:dyDescent="0.25">
      <c r="A229" s="86" t="s">
        <v>562</v>
      </c>
      <c r="B229" s="52" t="s">
        <v>1369</v>
      </c>
      <c r="C229" s="52"/>
      <c r="D229" s="52" t="s">
        <v>1426</v>
      </c>
      <c r="E229" s="52"/>
      <c r="F229" s="52" t="s">
        <v>564</v>
      </c>
      <c r="G229" s="52"/>
      <c r="H229" s="52" t="s">
        <v>1058</v>
      </c>
      <c r="I229" s="52" t="s">
        <v>17</v>
      </c>
      <c r="J229" s="52" t="s">
        <v>395</v>
      </c>
      <c r="K229" s="22" t="str">
        <f>VLOOKUP(CONCATENATE(A229,LEFT(J229,4)),AGRUPAMENTO!$D$2:$E$6784,2,FALSE)</f>
        <v>Frota</v>
      </c>
      <c r="L229" s="52" t="s">
        <v>45</v>
      </c>
      <c r="M229" s="52"/>
      <c r="N229" s="52">
        <v>10</v>
      </c>
      <c r="O229" s="86" t="s">
        <v>1430</v>
      </c>
      <c r="P229" s="86" t="s">
        <v>47</v>
      </c>
      <c r="Q229" s="86" t="s">
        <v>575</v>
      </c>
      <c r="R229" s="86">
        <v>1</v>
      </c>
      <c r="S229" s="86" t="s">
        <v>1431</v>
      </c>
      <c r="T229" s="86">
        <v>140000</v>
      </c>
      <c r="U229" s="86">
        <v>1</v>
      </c>
      <c r="V229" s="58">
        <f t="shared" si="3"/>
        <v>140000</v>
      </c>
      <c r="W229" s="52" t="s">
        <v>50</v>
      </c>
      <c r="X229" s="52" t="s">
        <v>1432</v>
      </c>
      <c r="Y229" s="52" t="s">
        <v>1433</v>
      </c>
      <c r="Z229" s="52" t="s">
        <v>1434</v>
      </c>
      <c r="AA229" s="52">
        <v>0</v>
      </c>
      <c r="AB229" s="52">
        <v>0</v>
      </c>
      <c r="AC229" s="52">
        <v>0</v>
      </c>
      <c r="AD229" s="21">
        <v>1</v>
      </c>
      <c r="AE229" s="21">
        <v>1</v>
      </c>
    </row>
    <row r="230" spans="1:31" ht="45" customHeight="1" x14ac:dyDescent="0.25">
      <c r="A230" s="86" t="s">
        <v>562</v>
      </c>
      <c r="B230" s="52" t="s">
        <v>1369</v>
      </c>
      <c r="C230" s="52"/>
      <c r="D230" s="52" t="s">
        <v>1426</v>
      </c>
      <c r="E230" s="52"/>
      <c r="F230" s="52" t="s">
        <v>564</v>
      </c>
      <c r="G230" s="52"/>
      <c r="H230" s="52" t="s">
        <v>1058</v>
      </c>
      <c r="I230" s="52" t="s">
        <v>17</v>
      </c>
      <c r="J230" s="52" t="s">
        <v>116</v>
      </c>
      <c r="K230" s="22" t="str">
        <f>VLOOKUP(CONCATENATE(A230,LEFT(J230,4)),AGRUPAMENTO!$D$2:$E$6784,2,FALSE)</f>
        <v>Terceirizados - MGS</v>
      </c>
      <c r="L230" s="52" t="s">
        <v>45</v>
      </c>
      <c r="M230" s="52"/>
      <c r="N230" s="52">
        <v>10</v>
      </c>
      <c r="O230" s="86" t="s">
        <v>1430</v>
      </c>
      <c r="P230" s="86" t="s">
        <v>47</v>
      </c>
      <c r="Q230" s="86" t="s">
        <v>575</v>
      </c>
      <c r="R230" s="86">
        <v>1</v>
      </c>
      <c r="S230" s="86" t="s">
        <v>1431</v>
      </c>
      <c r="T230" s="86">
        <v>220000</v>
      </c>
      <c r="U230" s="86">
        <v>1</v>
      </c>
      <c r="V230" s="58">
        <f t="shared" si="3"/>
        <v>220000</v>
      </c>
      <c r="W230" s="52" t="s">
        <v>50</v>
      </c>
      <c r="X230" s="52" t="s">
        <v>1432</v>
      </c>
      <c r="Y230" s="52" t="s">
        <v>1433</v>
      </c>
      <c r="Z230" s="52" t="s">
        <v>1434</v>
      </c>
      <c r="AA230" s="52">
        <v>0</v>
      </c>
      <c r="AB230" s="52">
        <v>0</v>
      </c>
      <c r="AC230" s="52">
        <v>0</v>
      </c>
      <c r="AD230" s="21">
        <v>1</v>
      </c>
      <c r="AE230" s="21">
        <v>1</v>
      </c>
    </row>
    <row r="231" spans="1:31" ht="45" customHeight="1" x14ac:dyDescent="0.25">
      <c r="A231" s="86" t="s">
        <v>562</v>
      </c>
      <c r="B231" s="52" t="s">
        <v>1369</v>
      </c>
      <c r="C231" s="52"/>
      <c r="D231" s="52" t="s">
        <v>1426</v>
      </c>
      <c r="E231" s="52"/>
      <c r="F231" s="52" t="s">
        <v>564</v>
      </c>
      <c r="G231" s="52"/>
      <c r="H231" s="52" t="s">
        <v>1058</v>
      </c>
      <c r="I231" s="52" t="s">
        <v>17</v>
      </c>
      <c r="J231" s="52" t="s">
        <v>298</v>
      </c>
      <c r="K231" s="22" t="str">
        <f>VLOOKUP(CONCATENATE(A231,LEFT(J231,4)),AGRUPAMENTO!$D$2:$E$6784,2,FALSE)</f>
        <v>Terceirizados - MGS</v>
      </c>
      <c r="L231" s="52" t="s">
        <v>45</v>
      </c>
      <c r="M231" s="52"/>
      <c r="N231" s="52">
        <v>10</v>
      </c>
      <c r="O231" s="86" t="s">
        <v>1430</v>
      </c>
      <c r="P231" s="86" t="s">
        <v>47</v>
      </c>
      <c r="Q231" s="86" t="s">
        <v>575</v>
      </c>
      <c r="R231" s="86">
        <v>1</v>
      </c>
      <c r="S231" s="86" t="s">
        <v>1431</v>
      </c>
      <c r="T231" s="86">
        <v>46800000</v>
      </c>
      <c r="U231" s="86">
        <v>1</v>
      </c>
      <c r="V231" s="58">
        <f t="shared" si="3"/>
        <v>46800000</v>
      </c>
      <c r="W231" s="52" t="s">
        <v>50</v>
      </c>
      <c r="X231" s="52" t="s">
        <v>1432</v>
      </c>
      <c r="Y231" s="52" t="s">
        <v>1433</v>
      </c>
      <c r="Z231" s="52" t="s">
        <v>1434</v>
      </c>
      <c r="AA231" s="52">
        <v>0</v>
      </c>
      <c r="AB231" s="52">
        <v>0</v>
      </c>
      <c r="AC231" s="52">
        <v>0</v>
      </c>
      <c r="AD231" s="21">
        <v>1</v>
      </c>
      <c r="AE231" s="21">
        <v>1</v>
      </c>
    </row>
    <row r="232" spans="1:31" ht="45" customHeight="1" x14ac:dyDescent="0.25">
      <c r="A232" s="86" t="s">
        <v>562</v>
      </c>
      <c r="B232" s="52" t="s">
        <v>1369</v>
      </c>
      <c r="C232" s="52"/>
      <c r="D232" s="52" t="s">
        <v>1426</v>
      </c>
      <c r="E232" s="52"/>
      <c r="F232" s="52" t="s">
        <v>564</v>
      </c>
      <c r="G232" s="52"/>
      <c r="H232" s="52" t="s">
        <v>1058</v>
      </c>
      <c r="I232" s="52" t="s">
        <v>17</v>
      </c>
      <c r="J232" s="52" t="s">
        <v>312</v>
      </c>
      <c r="K232" s="22" t="str">
        <f>VLOOKUP(CONCATENATE(A232,LEFT(J232,4)),AGRUPAMENTO!$D$2:$E$6784,2,FALSE)</f>
        <v>Terceirizados - MGS</v>
      </c>
      <c r="L232" s="52" t="s">
        <v>45</v>
      </c>
      <c r="M232" s="52"/>
      <c r="N232" s="52">
        <v>10</v>
      </c>
      <c r="O232" s="86" t="s">
        <v>1430</v>
      </c>
      <c r="P232" s="86" t="s">
        <v>47</v>
      </c>
      <c r="Q232" s="86" t="s">
        <v>575</v>
      </c>
      <c r="R232" s="86">
        <v>1</v>
      </c>
      <c r="S232" s="86" t="s">
        <v>1431</v>
      </c>
      <c r="T232" s="86">
        <v>6835000</v>
      </c>
      <c r="U232" s="86">
        <v>1</v>
      </c>
      <c r="V232" s="58">
        <f t="shared" si="3"/>
        <v>6835000</v>
      </c>
      <c r="W232" s="52" t="s">
        <v>50</v>
      </c>
      <c r="X232" s="52" t="s">
        <v>1432</v>
      </c>
      <c r="Y232" s="52" t="s">
        <v>1433</v>
      </c>
      <c r="Z232" s="52" t="s">
        <v>1434</v>
      </c>
      <c r="AA232" s="52">
        <v>0</v>
      </c>
      <c r="AB232" s="52">
        <v>0</v>
      </c>
      <c r="AC232" s="52">
        <v>0</v>
      </c>
      <c r="AD232" s="21">
        <v>1</v>
      </c>
      <c r="AE232" s="21">
        <v>1</v>
      </c>
    </row>
    <row r="233" spans="1:31" ht="45" customHeight="1" x14ac:dyDescent="0.25">
      <c r="A233" s="86" t="s">
        <v>562</v>
      </c>
      <c r="B233" s="52" t="s">
        <v>1369</v>
      </c>
      <c r="C233" s="52"/>
      <c r="D233" s="52" t="s">
        <v>1426</v>
      </c>
      <c r="E233" s="52"/>
      <c r="F233" s="52" t="s">
        <v>564</v>
      </c>
      <c r="G233" s="52"/>
      <c r="H233" s="52" t="s">
        <v>1058</v>
      </c>
      <c r="I233" s="52" t="s">
        <v>17</v>
      </c>
      <c r="J233" s="52" t="s">
        <v>384</v>
      </c>
      <c r="K233" s="22" t="str">
        <f>VLOOKUP(CONCATENATE(A233,LEFT(J233,4)),AGRUPAMENTO!$D$2:$E$6784,2,FALSE)</f>
        <v>Utilidade Pública</v>
      </c>
      <c r="L233" s="52" t="s">
        <v>45</v>
      </c>
      <c r="M233" s="52"/>
      <c r="N233" s="52">
        <v>10</v>
      </c>
      <c r="O233" s="86" t="s">
        <v>1430</v>
      </c>
      <c r="P233" s="86" t="s">
        <v>47</v>
      </c>
      <c r="Q233" s="86" t="s">
        <v>575</v>
      </c>
      <c r="R233" s="86">
        <v>1</v>
      </c>
      <c r="S233" s="86" t="s">
        <v>1431</v>
      </c>
      <c r="T233" s="86">
        <v>180000</v>
      </c>
      <c r="U233" s="86">
        <v>1</v>
      </c>
      <c r="V233" s="58">
        <f t="shared" si="3"/>
        <v>180000</v>
      </c>
      <c r="W233" s="52" t="s">
        <v>50</v>
      </c>
      <c r="X233" s="52" t="s">
        <v>1432</v>
      </c>
      <c r="Y233" s="52" t="s">
        <v>1433</v>
      </c>
      <c r="Z233" s="52" t="s">
        <v>1434</v>
      </c>
      <c r="AA233" s="52">
        <v>0</v>
      </c>
      <c r="AB233" s="52">
        <v>0</v>
      </c>
      <c r="AC233" s="52">
        <v>0</v>
      </c>
      <c r="AD233" s="21">
        <v>1</v>
      </c>
      <c r="AE233" s="21">
        <v>1</v>
      </c>
    </row>
    <row r="234" spans="1:31" ht="45" customHeight="1" x14ac:dyDescent="0.25">
      <c r="A234" s="86" t="s">
        <v>562</v>
      </c>
      <c r="B234" s="52" t="s">
        <v>1369</v>
      </c>
      <c r="C234" s="52"/>
      <c r="D234" s="52" t="s">
        <v>1426</v>
      </c>
      <c r="E234" s="52"/>
      <c r="F234" s="52" t="s">
        <v>564</v>
      </c>
      <c r="G234" s="52"/>
      <c r="H234" s="52" t="s">
        <v>1058</v>
      </c>
      <c r="I234" s="52" t="s">
        <v>17</v>
      </c>
      <c r="J234" s="52" t="s">
        <v>418</v>
      </c>
      <c r="K234" s="22" t="str">
        <f>VLOOKUP(CONCATENATE(A234,LEFT(J234,4)),AGRUPAMENTO!$D$2:$E$6784,2,FALSE)</f>
        <v>Gestão de equipamentos</v>
      </c>
      <c r="L234" s="52" t="s">
        <v>45</v>
      </c>
      <c r="M234" s="52"/>
      <c r="N234" s="52">
        <v>10</v>
      </c>
      <c r="O234" s="86" t="s">
        <v>1430</v>
      </c>
      <c r="P234" s="86" t="s">
        <v>47</v>
      </c>
      <c r="Q234" s="86" t="s">
        <v>575</v>
      </c>
      <c r="R234" s="86">
        <v>1</v>
      </c>
      <c r="S234" s="86" t="s">
        <v>1431</v>
      </c>
      <c r="T234" s="86">
        <v>680000</v>
      </c>
      <c r="U234" s="86">
        <v>1</v>
      </c>
      <c r="V234" s="58">
        <f t="shared" si="3"/>
        <v>680000</v>
      </c>
      <c r="W234" s="52" t="s">
        <v>50</v>
      </c>
      <c r="X234" s="52" t="s">
        <v>1432</v>
      </c>
      <c r="Y234" s="52" t="s">
        <v>1433</v>
      </c>
      <c r="Z234" s="52" t="s">
        <v>1434</v>
      </c>
      <c r="AA234" s="52">
        <v>0</v>
      </c>
      <c r="AB234" s="52">
        <v>0</v>
      </c>
      <c r="AC234" s="52">
        <v>0</v>
      </c>
      <c r="AD234" s="21">
        <v>1</v>
      </c>
      <c r="AE234" s="21">
        <v>1</v>
      </c>
    </row>
    <row r="235" spans="1:31" ht="45" customHeight="1" x14ac:dyDescent="0.25">
      <c r="A235" s="86" t="s">
        <v>562</v>
      </c>
      <c r="B235" s="52" t="s">
        <v>1369</v>
      </c>
      <c r="C235" s="52"/>
      <c r="D235" s="52" t="s">
        <v>1426</v>
      </c>
      <c r="E235" s="52"/>
      <c r="F235" s="52" t="s">
        <v>564</v>
      </c>
      <c r="G235" s="52"/>
      <c r="H235" s="52" t="s">
        <v>1058</v>
      </c>
      <c r="I235" s="52" t="s">
        <v>17</v>
      </c>
      <c r="J235" s="52" t="s">
        <v>423</v>
      </c>
      <c r="K235" s="22" t="str">
        <f>VLOOKUP(CONCATENATE(A235,LEFT(J235,4)),AGRUPAMENTO!$D$2:$E$6784,2,FALSE)</f>
        <v>Reparo de imóveis</v>
      </c>
      <c r="L235" s="52" t="s">
        <v>45</v>
      </c>
      <c r="M235" s="52"/>
      <c r="N235" s="52">
        <v>10</v>
      </c>
      <c r="O235" s="86" t="s">
        <v>1430</v>
      </c>
      <c r="P235" s="86" t="s">
        <v>47</v>
      </c>
      <c r="Q235" s="86" t="s">
        <v>575</v>
      </c>
      <c r="R235" s="86">
        <v>1</v>
      </c>
      <c r="S235" s="86" t="s">
        <v>1431</v>
      </c>
      <c r="T235" s="86">
        <v>15000000</v>
      </c>
      <c r="U235" s="86">
        <v>1</v>
      </c>
      <c r="V235" s="58">
        <f t="shared" si="3"/>
        <v>15000000</v>
      </c>
      <c r="W235" s="52" t="s">
        <v>50</v>
      </c>
      <c r="X235" s="52" t="s">
        <v>1432</v>
      </c>
      <c r="Y235" s="52" t="s">
        <v>1433</v>
      </c>
      <c r="Z235" s="52" t="s">
        <v>1434</v>
      </c>
      <c r="AA235" s="52">
        <v>0</v>
      </c>
      <c r="AB235" s="52">
        <v>0</v>
      </c>
      <c r="AC235" s="52">
        <v>0</v>
      </c>
      <c r="AD235" s="21">
        <v>1</v>
      </c>
      <c r="AE235" s="21">
        <v>1</v>
      </c>
    </row>
    <row r="236" spans="1:31" ht="45" customHeight="1" x14ac:dyDescent="0.25">
      <c r="A236" s="86" t="s">
        <v>562</v>
      </c>
      <c r="B236" s="52" t="s">
        <v>1369</v>
      </c>
      <c r="C236" s="52"/>
      <c r="D236" s="52" t="s">
        <v>1426</v>
      </c>
      <c r="E236" s="52"/>
      <c r="F236" s="52" t="s">
        <v>564</v>
      </c>
      <c r="G236" s="52"/>
      <c r="H236" s="52" t="s">
        <v>1058</v>
      </c>
      <c r="I236" s="52" t="s">
        <v>17</v>
      </c>
      <c r="J236" s="52" t="s">
        <v>443</v>
      </c>
      <c r="K236" s="22" t="str">
        <f>VLOOKUP(CONCATENATE(A236,LEFT(J236,4)),AGRUPAMENTO!$D$2:$E$6784,2,FALSE)</f>
        <v>Encargos e Multas</v>
      </c>
      <c r="L236" s="52" t="s">
        <v>45</v>
      </c>
      <c r="M236" s="52"/>
      <c r="N236" s="52">
        <v>10</v>
      </c>
      <c r="O236" s="86" t="s">
        <v>1430</v>
      </c>
      <c r="P236" s="86" t="s">
        <v>47</v>
      </c>
      <c r="Q236" s="86" t="s">
        <v>575</v>
      </c>
      <c r="R236" s="86">
        <v>1</v>
      </c>
      <c r="S236" s="86" t="s">
        <v>1431</v>
      </c>
      <c r="T236" s="86">
        <v>110000</v>
      </c>
      <c r="U236" s="86">
        <v>1</v>
      </c>
      <c r="V236" s="58">
        <f t="shared" si="3"/>
        <v>110000</v>
      </c>
      <c r="W236" s="52" t="s">
        <v>50</v>
      </c>
      <c r="X236" s="52" t="s">
        <v>1432</v>
      </c>
      <c r="Y236" s="52" t="s">
        <v>1433</v>
      </c>
      <c r="Z236" s="52" t="s">
        <v>1434</v>
      </c>
      <c r="AA236" s="52">
        <v>0</v>
      </c>
      <c r="AB236" s="52">
        <v>0</v>
      </c>
      <c r="AC236" s="52">
        <v>0</v>
      </c>
      <c r="AD236" s="21">
        <v>1</v>
      </c>
      <c r="AE236" s="21">
        <v>1</v>
      </c>
    </row>
    <row r="237" spans="1:31" ht="45" customHeight="1" x14ac:dyDescent="0.25">
      <c r="A237" s="86" t="s">
        <v>562</v>
      </c>
      <c r="B237" s="52" t="s">
        <v>1369</v>
      </c>
      <c r="C237" s="52"/>
      <c r="D237" s="52" t="s">
        <v>1426</v>
      </c>
      <c r="E237" s="52"/>
      <c r="F237" s="52" t="s">
        <v>564</v>
      </c>
      <c r="G237" s="52"/>
      <c r="H237" s="52" t="s">
        <v>1058</v>
      </c>
      <c r="I237" s="52" t="s">
        <v>17</v>
      </c>
      <c r="J237" s="52" t="s">
        <v>505</v>
      </c>
      <c r="K237" s="22" t="str">
        <f>VLOOKUP(CONCATENATE(A237,LEFT(J237,4)),AGRUPAMENTO!$D$2:$E$6784,2,FALSE)</f>
        <v>Serviços de vigilância</v>
      </c>
      <c r="L237" s="52" t="s">
        <v>45</v>
      </c>
      <c r="M237" s="52"/>
      <c r="N237" s="52">
        <v>10</v>
      </c>
      <c r="O237" s="86" t="s">
        <v>1430</v>
      </c>
      <c r="P237" s="86" t="s">
        <v>47</v>
      </c>
      <c r="Q237" s="86" t="s">
        <v>575</v>
      </c>
      <c r="R237" s="86">
        <v>1</v>
      </c>
      <c r="S237" s="86" t="s">
        <v>1431</v>
      </c>
      <c r="T237" s="86">
        <v>220000</v>
      </c>
      <c r="U237" s="86">
        <v>1</v>
      </c>
      <c r="V237" s="58">
        <f t="shared" si="3"/>
        <v>220000</v>
      </c>
      <c r="W237" s="52" t="s">
        <v>50</v>
      </c>
      <c r="X237" s="52" t="s">
        <v>1432</v>
      </c>
      <c r="Y237" s="52" t="s">
        <v>1433</v>
      </c>
      <c r="Z237" s="52" t="s">
        <v>1434</v>
      </c>
      <c r="AA237" s="52">
        <v>0</v>
      </c>
      <c r="AB237" s="52">
        <v>0</v>
      </c>
      <c r="AC237" s="52">
        <v>0</v>
      </c>
      <c r="AD237" s="21">
        <v>1</v>
      </c>
      <c r="AE237" s="21">
        <v>1</v>
      </c>
    </row>
    <row r="238" spans="1:31" ht="45" customHeight="1" x14ac:dyDescent="0.25">
      <c r="A238" s="86" t="s">
        <v>562</v>
      </c>
      <c r="B238" s="52" t="s">
        <v>1369</v>
      </c>
      <c r="C238" s="52"/>
      <c r="D238" s="52" t="s">
        <v>1426</v>
      </c>
      <c r="E238" s="52"/>
      <c r="F238" s="52" t="s">
        <v>564</v>
      </c>
      <c r="G238" s="52"/>
      <c r="H238" s="52" t="s">
        <v>1058</v>
      </c>
      <c r="I238" s="52" t="s">
        <v>17</v>
      </c>
      <c r="J238" s="52" t="s">
        <v>513</v>
      </c>
      <c r="K238" s="22" t="str">
        <f>VLOOKUP(CONCATENATE(A238,LEFT(J238,4)),AGRUPAMENTO!$D$2:$E$6784,2,FALSE)</f>
        <v>Serviços de vigilância</v>
      </c>
      <c r="L238" s="52" t="s">
        <v>45</v>
      </c>
      <c r="M238" s="52"/>
      <c r="N238" s="52">
        <v>10</v>
      </c>
      <c r="O238" s="86" t="s">
        <v>1430</v>
      </c>
      <c r="P238" s="86" t="s">
        <v>47</v>
      </c>
      <c r="Q238" s="86" t="s">
        <v>575</v>
      </c>
      <c r="R238" s="86">
        <v>1</v>
      </c>
      <c r="S238" s="86" t="s">
        <v>1431</v>
      </c>
      <c r="T238" s="86">
        <v>80000</v>
      </c>
      <c r="U238" s="86">
        <v>1</v>
      </c>
      <c r="V238" s="58">
        <f t="shared" si="3"/>
        <v>80000</v>
      </c>
      <c r="W238" s="52" t="s">
        <v>50</v>
      </c>
      <c r="X238" s="52" t="s">
        <v>1432</v>
      </c>
      <c r="Y238" s="52" t="s">
        <v>1433</v>
      </c>
      <c r="Z238" s="52" t="s">
        <v>1434</v>
      </c>
      <c r="AA238" s="52">
        <v>0</v>
      </c>
      <c r="AB238" s="52">
        <v>0</v>
      </c>
      <c r="AC238" s="52">
        <v>0</v>
      </c>
      <c r="AD238" s="21">
        <v>1</v>
      </c>
      <c r="AE238" s="21">
        <v>1</v>
      </c>
    </row>
    <row r="239" spans="1:31" ht="45" customHeight="1" x14ac:dyDescent="0.25">
      <c r="A239" s="86" t="s">
        <v>562</v>
      </c>
      <c r="B239" s="52" t="s">
        <v>1369</v>
      </c>
      <c r="C239" s="52"/>
      <c r="D239" s="52" t="s">
        <v>1426</v>
      </c>
      <c r="E239" s="52"/>
      <c r="F239" s="52" t="s">
        <v>564</v>
      </c>
      <c r="G239" s="52"/>
      <c r="H239" s="52" t="s">
        <v>1058</v>
      </c>
      <c r="I239" s="52" t="s">
        <v>17</v>
      </c>
      <c r="J239" s="52" t="s">
        <v>234</v>
      </c>
      <c r="K239" s="22" t="str">
        <f>VLOOKUP(CONCATENATE(A239,LEFT(J239,4)),AGRUPAMENTO!$D$2:$E$6784,2,FALSE)</f>
        <v>Serviços de TIC</v>
      </c>
      <c r="L239" s="52" t="s">
        <v>45</v>
      </c>
      <c r="M239" s="52"/>
      <c r="N239" s="52">
        <v>10</v>
      </c>
      <c r="O239" s="86" t="s">
        <v>1430</v>
      </c>
      <c r="P239" s="86" t="s">
        <v>47</v>
      </c>
      <c r="Q239" s="86" t="s">
        <v>575</v>
      </c>
      <c r="R239" s="86">
        <v>1</v>
      </c>
      <c r="S239" s="86" t="s">
        <v>1431</v>
      </c>
      <c r="T239" s="86">
        <v>1450000</v>
      </c>
      <c r="U239" s="86">
        <v>1</v>
      </c>
      <c r="V239" s="58">
        <f t="shared" si="3"/>
        <v>1450000</v>
      </c>
      <c r="W239" s="52" t="s">
        <v>50</v>
      </c>
      <c r="X239" s="52" t="s">
        <v>1432</v>
      </c>
      <c r="Y239" s="52" t="s">
        <v>1433</v>
      </c>
      <c r="Z239" s="52" t="s">
        <v>1434</v>
      </c>
      <c r="AA239" s="52">
        <v>0</v>
      </c>
      <c r="AB239" s="52">
        <v>0</v>
      </c>
      <c r="AC239" s="52">
        <v>0</v>
      </c>
      <c r="AD239" s="21">
        <v>1</v>
      </c>
      <c r="AE239" s="21">
        <v>1</v>
      </c>
    </row>
    <row r="240" spans="1:31" ht="45" customHeight="1" x14ac:dyDescent="0.25">
      <c r="A240" s="86" t="s">
        <v>562</v>
      </c>
      <c r="B240" s="52" t="s">
        <v>1369</v>
      </c>
      <c r="C240" s="52"/>
      <c r="D240" s="52" t="s">
        <v>1426</v>
      </c>
      <c r="E240" s="52"/>
      <c r="F240" s="52" t="s">
        <v>564</v>
      </c>
      <c r="G240" s="52"/>
      <c r="H240" s="52" t="s">
        <v>1058</v>
      </c>
      <c r="I240" s="52" t="s">
        <v>17</v>
      </c>
      <c r="J240" s="52" t="s">
        <v>283</v>
      </c>
      <c r="K240" s="22" t="str">
        <f>VLOOKUP(CONCATENATE(A240,LEFT(J240,4)),AGRUPAMENTO!$D$2:$E$6784,2,FALSE)</f>
        <v>Serviços de TIC</v>
      </c>
      <c r="L240" s="52" t="s">
        <v>45</v>
      </c>
      <c r="M240" s="52"/>
      <c r="N240" s="52">
        <v>10</v>
      </c>
      <c r="O240" s="86" t="s">
        <v>1430</v>
      </c>
      <c r="P240" s="86" t="s">
        <v>47</v>
      </c>
      <c r="Q240" s="86" t="s">
        <v>575</v>
      </c>
      <c r="R240" s="86">
        <v>1</v>
      </c>
      <c r="S240" s="86" t="s">
        <v>1431</v>
      </c>
      <c r="T240" s="86">
        <v>550000</v>
      </c>
      <c r="U240" s="86">
        <v>1</v>
      </c>
      <c r="V240" s="58">
        <f t="shared" si="3"/>
        <v>550000</v>
      </c>
      <c r="W240" s="52" t="s">
        <v>50</v>
      </c>
      <c r="X240" s="52" t="s">
        <v>1432</v>
      </c>
      <c r="Y240" s="52" t="s">
        <v>1433</v>
      </c>
      <c r="Z240" s="52" t="s">
        <v>1434</v>
      </c>
      <c r="AA240" s="52">
        <v>0</v>
      </c>
      <c r="AB240" s="52">
        <v>0</v>
      </c>
      <c r="AC240" s="52">
        <v>0</v>
      </c>
      <c r="AD240" s="21">
        <v>1</v>
      </c>
      <c r="AE240" s="21">
        <v>1</v>
      </c>
    </row>
    <row r="241" spans="1:31" ht="45" customHeight="1" x14ac:dyDescent="0.25">
      <c r="A241" s="86" t="s">
        <v>562</v>
      </c>
      <c r="B241" s="52" t="s">
        <v>1369</v>
      </c>
      <c r="C241" s="52"/>
      <c r="D241" s="52" t="s">
        <v>1426</v>
      </c>
      <c r="E241" s="52"/>
      <c r="F241" s="52" t="s">
        <v>564</v>
      </c>
      <c r="G241" s="52"/>
      <c r="H241" s="52" t="s">
        <v>1058</v>
      </c>
      <c r="I241" s="52" t="s">
        <v>17</v>
      </c>
      <c r="J241" s="52" t="s">
        <v>328</v>
      </c>
      <c r="K241" s="22" t="str">
        <f>VLOOKUP(CONCATENATE(A241,LEFT(J241,4)),AGRUPAMENTO!$D$2:$E$6784,2,FALSE)</f>
        <v>Obrigações tributárias</v>
      </c>
      <c r="L241" s="52" t="s">
        <v>45</v>
      </c>
      <c r="M241" s="52"/>
      <c r="N241" s="52">
        <v>10</v>
      </c>
      <c r="O241" s="86" t="s">
        <v>1430</v>
      </c>
      <c r="P241" s="86" t="s">
        <v>47</v>
      </c>
      <c r="Q241" s="86" t="s">
        <v>575</v>
      </c>
      <c r="R241" s="86">
        <v>1</v>
      </c>
      <c r="S241" s="86" t="s">
        <v>1431</v>
      </c>
      <c r="T241" s="86">
        <v>520000</v>
      </c>
      <c r="U241" s="86">
        <v>1</v>
      </c>
      <c r="V241" s="58">
        <f t="shared" si="3"/>
        <v>520000</v>
      </c>
      <c r="W241" s="52" t="s">
        <v>50</v>
      </c>
      <c r="X241" s="52" t="s">
        <v>1432</v>
      </c>
      <c r="Y241" s="52" t="s">
        <v>1433</v>
      </c>
      <c r="Z241" s="52" t="s">
        <v>1434</v>
      </c>
      <c r="AA241" s="52">
        <v>0</v>
      </c>
      <c r="AB241" s="52">
        <v>0</v>
      </c>
      <c r="AC241" s="52">
        <v>0</v>
      </c>
      <c r="AD241" s="21">
        <v>1</v>
      </c>
      <c r="AE241" s="21">
        <v>1</v>
      </c>
    </row>
    <row r="242" spans="1:31" ht="45" customHeight="1" x14ac:dyDescent="0.25">
      <c r="A242" s="86" t="s">
        <v>562</v>
      </c>
      <c r="B242" s="52" t="s">
        <v>1369</v>
      </c>
      <c r="C242" s="52"/>
      <c r="D242" s="52" t="s">
        <v>1426</v>
      </c>
      <c r="E242" s="52"/>
      <c r="F242" s="52" t="s">
        <v>564</v>
      </c>
      <c r="G242" s="52"/>
      <c r="H242" s="52" t="s">
        <v>1058</v>
      </c>
      <c r="I242" s="52" t="s">
        <v>17</v>
      </c>
      <c r="J242" s="52" t="s">
        <v>379</v>
      </c>
      <c r="K242" s="22" t="str">
        <f>VLOOKUP(CONCATENATE(A242,LEFT(J242,4)),AGRUPAMENTO!$D$2:$E$6784,2,FALSE)</f>
        <v>Demais despesas de capital</v>
      </c>
      <c r="L242" s="52" t="s">
        <v>95</v>
      </c>
      <c r="M242" s="52"/>
      <c r="N242" s="52">
        <v>10</v>
      </c>
      <c r="O242" s="86" t="s">
        <v>1430</v>
      </c>
      <c r="P242" s="86" t="s">
        <v>47</v>
      </c>
      <c r="Q242" s="86" t="s">
        <v>575</v>
      </c>
      <c r="R242" s="86">
        <v>1</v>
      </c>
      <c r="S242" s="86" t="s">
        <v>1431</v>
      </c>
      <c r="T242" s="86">
        <v>5000000</v>
      </c>
      <c r="U242" s="86">
        <v>1</v>
      </c>
      <c r="V242" s="58">
        <f t="shared" si="3"/>
        <v>5000000</v>
      </c>
      <c r="W242" s="52" t="s">
        <v>50</v>
      </c>
      <c r="X242" s="52" t="s">
        <v>1432</v>
      </c>
      <c r="Y242" s="52" t="s">
        <v>1433</v>
      </c>
      <c r="Z242" s="52" t="s">
        <v>1434</v>
      </c>
      <c r="AA242" s="52">
        <v>0</v>
      </c>
      <c r="AB242" s="52">
        <v>0</v>
      </c>
      <c r="AC242" s="52">
        <v>0</v>
      </c>
      <c r="AD242" s="21">
        <v>1</v>
      </c>
      <c r="AE242" s="21">
        <v>1</v>
      </c>
    </row>
    <row r="243" spans="1:31" ht="45" customHeight="1" x14ac:dyDescent="0.25">
      <c r="A243" s="86" t="s">
        <v>562</v>
      </c>
      <c r="B243" s="52" t="s">
        <v>1369</v>
      </c>
      <c r="C243" s="52"/>
      <c r="D243" s="52" t="s">
        <v>1373</v>
      </c>
      <c r="E243" s="52"/>
      <c r="F243" s="52" t="s">
        <v>1339</v>
      </c>
      <c r="G243" s="52"/>
      <c r="H243" s="52" t="s">
        <v>1435</v>
      </c>
      <c r="I243" s="52" t="s">
        <v>17</v>
      </c>
      <c r="J243" s="52" t="s">
        <v>236</v>
      </c>
      <c r="K243" s="22" t="str">
        <f>VLOOKUP(CONCATENATE(A243,LEFT(J243,4)),AGRUPAMENTO!$D$2:$E$6784,2,FALSE)</f>
        <v>Instrumentos de Saída</v>
      </c>
      <c r="L243" s="52" t="s">
        <v>95</v>
      </c>
      <c r="M243" s="52"/>
      <c r="N243" s="52">
        <v>10</v>
      </c>
      <c r="O243" s="86" t="s">
        <v>1436</v>
      </c>
      <c r="P243" s="86" t="s">
        <v>47</v>
      </c>
      <c r="Q243" s="86" t="s">
        <v>1437</v>
      </c>
      <c r="R243" s="86">
        <v>10</v>
      </c>
      <c r="S243" s="86" t="s">
        <v>1438</v>
      </c>
      <c r="T243" s="86">
        <v>2000000</v>
      </c>
      <c r="U243" s="86">
        <v>1</v>
      </c>
      <c r="V243" s="58">
        <f t="shared" si="3"/>
        <v>20000000</v>
      </c>
      <c r="W243" s="52" t="s">
        <v>50</v>
      </c>
      <c r="X243" s="52" t="s">
        <v>1439</v>
      </c>
      <c r="Y243" s="52" t="s">
        <v>1440</v>
      </c>
      <c r="Z243" s="52" t="s">
        <v>1441</v>
      </c>
      <c r="AA243" s="52">
        <v>0</v>
      </c>
      <c r="AB243" s="52">
        <v>0</v>
      </c>
      <c r="AC243" s="52">
        <v>0</v>
      </c>
      <c r="AD243" s="21">
        <v>1</v>
      </c>
      <c r="AE243" s="21">
        <v>1</v>
      </c>
    </row>
    <row r="244" spans="1:31" ht="45" customHeight="1" x14ac:dyDescent="0.25">
      <c r="A244" s="86" t="s">
        <v>562</v>
      </c>
      <c r="B244" s="52" t="s">
        <v>1369</v>
      </c>
      <c r="C244" s="52"/>
      <c r="D244" s="52" t="s">
        <v>1373</v>
      </c>
      <c r="E244" s="52"/>
      <c r="F244" s="52" t="s">
        <v>1339</v>
      </c>
      <c r="G244" s="52"/>
      <c r="H244" s="52" t="s">
        <v>1435</v>
      </c>
      <c r="I244" s="52" t="s">
        <v>17</v>
      </c>
      <c r="J244" s="52" t="s">
        <v>236</v>
      </c>
      <c r="K244" s="22" t="str">
        <f>VLOOKUP(CONCATENATE(A244,LEFT(J244,4)),AGRUPAMENTO!$D$2:$E$6784,2,FALSE)</f>
        <v>Instrumentos de Saída</v>
      </c>
      <c r="L244" s="52" t="s">
        <v>95</v>
      </c>
      <c r="M244" s="52"/>
      <c r="N244" s="52">
        <v>10</v>
      </c>
      <c r="O244" s="86" t="s">
        <v>1436</v>
      </c>
      <c r="P244" s="86" t="s">
        <v>47</v>
      </c>
      <c r="Q244" s="86" t="s">
        <v>1442</v>
      </c>
      <c r="R244" s="86">
        <v>200</v>
      </c>
      <c r="S244" s="86" t="s">
        <v>1443</v>
      </c>
      <c r="T244" s="86">
        <v>200000</v>
      </c>
      <c r="U244" s="86">
        <v>1</v>
      </c>
      <c r="V244" s="58">
        <f t="shared" si="3"/>
        <v>40000000</v>
      </c>
      <c r="W244" s="52" t="s">
        <v>50</v>
      </c>
      <c r="X244" s="52" t="s">
        <v>1444</v>
      </c>
      <c r="Y244" s="52" t="s">
        <v>1440</v>
      </c>
      <c r="Z244" s="52" t="s">
        <v>1441</v>
      </c>
      <c r="AA244" s="52">
        <v>0</v>
      </c>
      <c r="AB244" s="52">
        <v>0</v>
      </c>
      <c r="AC244" s="52">
        <v>0</v>
      </c>
      <c r="AD244" s="21">
        <v>1</v>
      </c>
      <c r="AE244" s="21">
        <v>1</v>
      </c>
    </row>
    <row r="245" spans="1:31" ht="45" customHeight="1" x14ac:dyDescent="0.25">
      <c r="A245" s="86" t="s">
        <v>562</v>
      </c>
      <c r="B245" s="52" t="s">
        <v>1369</v>
      </c>
      <c r="C245" s="52"/>
      <c r="D245" s="52" t="s">
        <v>1373</v>
      </c>
      <c r="E245" s="52"/>
      <c r="F245" s="52" t="s">
        <v>1339</v>
      </c>
      <c r="G245" s="52"/>
      <c r="H245" s="52" t="s">
        <v>1435</v>
      </c>
      <c r="I245" s="52" t="s">
        <v>17</v>
      </c>
      <c r="J245" s="52" t="s">
        <v>236</v>
      </c>
      <c r="K245" s="22" t="str">
        <f>VLOOKUP(CONCATENATE(A245,LEFT(J245,4)),AGRUPAMENTO!$D$2:$E$6784,2,FALSE)</f>
        <v>Instrumentos de Saída</v>
      </c>
      <c r="L245" s="52" t="s">
        <v>95</v>
      </c>
      <c r="M245" s="52"/>
      <c r="N245" s="52">
        <v>10</v>
      </c>
      <c r="O245" s="86" t="s">
        <v>1436</v>
      </c>
      <c r="P245" s="86" t="s">
        <v>47</v>
      </c>
      <c r="Q245" s="86" t="s">
        <v>1445</v>
      </c>
      <c r="R245" s="86">
        <v>80</v>
      </c>
      <c r="S245" s="86" t="s">
        <v>1446</v>
      </c>
      <c r="T245" s="86">
        <v>600000</v>
      </c>
      <c r="U245" s="86">
        <v>1</v>
      </c>
      <c r="V245" s="58">
        <f t="shared" si="3"/>
        <v>48000000</v>
      </c>
      <c r="W245" s="52" t="s">
        <v>50</v>
      </c>
      <c r="X245" s="52" t="s">
        <v>1447</v>
      </c>
      <c r="Y245" s="52" t="s">
        <v>1440</v>
      </c>
      <c r="Z245" s="52" t="s">
        <v>1441</v>
      </c>
      <c r="AA245" s="52">
        <v>0</v>
      </c>
      <c r="AB245" s="52">
        <v>0</v>
      </c>
      <c r="AC245" s="52">
        <v>0</v>
      </c>
      <c r="AD245" s="21">
        <v>1</v>
      </c>
      <c r="AE245" s="21">
        <v>1</v>
      </c>
    </row>
    <row r="246" spans="1:31" ht="45" customHeight="1" x14ac:dyDescent="0.25">
      <c r="A246" s="86" t="s">
        <v>562</v>
      </c>
      <c r="B246" s="52" t="s">
        <v>1369</v>
      </c>
      <c r="C246" s="52"/>
      <c r="D246" s="52" t="s">
        <v>1373</v>
      </c>
      <c r="E246" s="52"/>
      <c r="F246" s="52" t="s">
        <v>1339</v>
      </c>
      <c r="G246" s="52"/>
      <c r="H246" s="52" t="s">
        <v>1435</v>
      </c>
      <c r="I246" s="52" t="s">
        <v>17</v>
      </c>
      <c r="J246" s="52" t="s">
        <v>236</v>
      </c>
      <c r="K246" s="22" t="str">
        <f>VLOOKUP(CONCATENATE(A246,LEFT(J246,4)),AGRUPAMENTO!$D$2:$E$6784,2,FALSE)</f>
        <v>Instrumentos de Saída</v>
      </c>
      <c r="L246" s="52" t="s">
        <v>95</v>
      </c>
      <c r="M246" s="52"/>
      <c r="N246" s="52">
        <v>10</v>
      </c>
      <c r="O246" s="86" t="s">
        <v>1436</v>
      </c>
      <c r="P246" s="86" t="s">
        <v>47</v>
      </c>
      <c r="Q246" s="86" t="s">
        <v>1448</v>
      </c>
      <c r="R246" s="86">
        <v>200</v>
      </c>
      <c r="S246" s="86" t="s">
        <v>1448</v>
      </c>
      <c r="T246" s="86">
        <v>200000</v>
      </c>
      <c r="U246" s="86">
        <v>1</v>
      </c>
      <c r="V246" s="58">
        <f t="shared" si="3"/>
        <v>40000000</v>
      </c>
      <c r="W246" s="52" t="s">
        <v>50</v>
      </c>
      <c r="X246" s="52" t="s">
        <v>1449</v>
      </c>
      <c r="Y246" s="52" t="s">
        <v>1440</v>
      </c>
      <c r="Z246" s="52" t="s">
        <v>1441</v>
      </c>
      <c r="AA246" s="52">
        <v>0</v>
      </c>
      <c r="AB246" s="52">
        <v>0</v>
      </c>
      <c r="AC246" s="52">
        <v>0</v>
      </c>
      <c r="AD246" s="21">
        <v>1</v>
      </c>
      <c r="AE246" s="21">
        <v>1</v>
      </c>
    </row>
    <row r="247" spans="1:31" ht="45" customHeight="1" x14ac:dyDescent="0.25">
      <c r="A247" s="86" t="s">
        <v>562</v>
      </c>
      <c r="B247" s="52" t="s">
        <v>1369</v>
      </c>
      <c r="C247" s="52"/>
      <c r="D247" s="52" t="s">
        <v>1373</v>
      </c>
      <c r="E247" s="52"/>
      <c r="F247" s="52" t="s">
        <v>1339</v>
      </c>
      <c r="G247" s="52"/>
      <c r="H247" s="52" t="s">
        <v>1435</v>
      </c>
      <c r="I247" s="52" t="s">
        <v>17</v>
      </c>
      <c r="J247" s="52" t="s">
        <v>236</v>
      </c>
      <c r="K247" s="22" t="str">
        <f>VLOOKUP(CONCATENATE(A247,LEFT(J247,4)),AGRUPAMENTO!$D$2:$E$6784,2,FALSE)</f>
        <v>Instrumentos de Saída</v>
      </c>
      <c r="L247" s="52" t="s">
        <v>95</v>
      </c>
      <c r="M247" s="52"/>
      <c r="N247" s="52">
        <v>10</v>
      </c>
      <c r="O247" s="86" t="s">
        <v>1436</v>
      </c>
      <c r="P247" s="86" t="s">
        <v>47</v>
      </c>
      <c r="Q247" s="86" t="s">
        <v>1450</v>
      </c>
      <c r="R247" s="86">
        <v>100</v>
      </c>
      <c r="S247" s="86" t="s">
        <v>1451</v>
      </c>
      <c r="T247" s="86">
        <v>80000</v>
      </c>
      <c r="U247" s="86">
        <v>1</v>
      </c>
      <c r="V247" s="58">
        <f t="shared" si="3"/>
        <v>8000000</v>
      </c>
      <c r="W247" s="52" t="s">
        <v>50</v>
      </c>
      <c r="X247" s="52" t="s">
        <v>1452</v>
      </c>
      <c r="Y247" s="52" t="s">
        <v>1440</v>
      </c>
      <c r="Z247" s="52" t="s">
        <v>1441</v>
      </c>
      <c r="AA247" s="52">
        <v>0</v>
      </c>
      <c r="AB247" s="52">
        <v>0</v>
      </c>
      <c r="AC247" s="52">
        <v>0</v>
      </c>
      <c r="AD247" s="21">
        <v>1</v>
      </c>
      <c r="AE247" s="21">
        <v>1</v>
      </c>
    </row>
    <row r="248" spans="1:31" ht="45" customHeight="1" x14ac:dyDescent="0.25">
      <c r="A248" s="86" t="s">
        <v>562</v>
      </c>
      <c r="B248" s="52" t="s">
        <v>1369</v>
      </c>
      <c r="C248" s="52"/>
      <c r="D248" s="52" t="s">
        <v>1373</v>
      </c>
      <c r="E248" s="52"/>
      <c r="F248" s="52" t="s">
        <v>1339</v>
      </c>
      <c r="G248" s="52"/>
      <c r="H248" s="52" t="s">
        <v>1435</v>
      </c>
      <c r="I248" s="52" t="s">
        <v>17</v>
      </c>
      <c r="J248" s="52" t="s">
        <v>236</v>
      </c>
      <c r="K248" s="22" t="str">
        <f>VLOOKUP(CONCATENATE(A248,LEFT(J248,4)),AGRUPAMENTO!$D$2:$E$6784,2,FALSE)</f>
        <v>Instrumentos de Saída</v>
      </c>
      <c r="L248" s="52" t="s">
        <v>95</v>
      </c>
      <c r="M248" s="52"/>
      <c r="N248" s="52">
        <v>10</v>
      </c>
      <c r="O248" s="86" t="s">
        <v>1436</v>
      </c>
      <c r="P248" s="86" t="s">
        <v>47</v>
      </c>
      <c r="Q248" s="86" t="s">
        <v>1450</v>
      </c>
      <c r="R248" s="86">
        <v>150</v>
      </c>
      <c r="S248" s="86" t="s">
        <v>1453</v>
      </c>
      <c r="T248" s="86">
        <v>70000</v>
      </c>
      <c r="U248" s="86">
        <v>1</v>
      </c>
      <c r="V248" s="58">
        <f t="shared" si="3"/>
        <v>10500000</v>
      </c>
      <c r="W248" s="52" t="s">
        <v>50</v>
      </c>
      <c r="X248" s="52" t="s">
        <v>1452</v>
      </c>
      <c r="Y248" s="52" t="s">
        <v>1440</v>
      </c>
      <c r="Z248" s="52" t="s">
        <v>1441</v>
      </c>
      <c r="AA248" s="52">
        <v>0</v>
      </c>
      <c r="AB248" s="52">
        <v>0</v>
      </c>
      <c r="AC248" s="52">
        <v>0</v>
      </c>
      <c r="AD248" s="21">
        <v>1</v>
      </c>
      <c r="AE248" s="21">
        <v>1</v>
      </c>
    </row>
    <row r="249" spans="1:31" ht="45" customHeight="1" x14ac:dyDescent="0.25">
      <c r="A249" s="86" t="s">
        <v>562</v>
      </c>
      <c r="B249" s="52" t="s">
        <v>1369</v>
      </c>
      <c r="C249" s="52"/>
      <c r="D249" s="52" t="s">
        <v>1373</v>
      </c>
      <c r="E249" s="52"/>
      <c r="F249" s="52" t="s">
        <v>1339</v>
      </c>
      <c r="G249" s="52"/>
      <c r="H249" s="52" t="s">
        <v>1435</v>
      </c>
      <c r="I249" s="52" t="s">
        <v>17</v>
      </c>
      <c r="J249" s="52" t="s">
        <v>236</v>
      </c>
      <c r="K249" s="22" t="str">
        <f>VLOOKUP(CONCATENATE(A249,LEFT(J249,4)),AGRUPAMENTO!$D$2:$E$6784,2,FALSE)</f>
        <v>Instrumentos de Saída</v>
      </c>
      <c r="L249" s="52" t="s">
        <v>95</v>
      </c>
      <c r="M249" s="52"/>
      <c r="N249" s="52">
        <v>10</v>
      </c>
      <c r="O249" s="86" t="s">
        <v>1436</v>
      </c>
      <c r="P249" s="86" t="s">
        <v>47</v>
      </c>
      <c r="Q249" s="86" t="s">
        <v>1450</v>
      </c>
      <c r="R249" s="86">
        <v>150</v>
      </c>
      <c r="S249" s="86" t="s">
        <v>1454</v>
      </c>
      <c r="T249" s="86">
        <v>120000</v>
      </c>
      <c r="U249" s="86">
        <v>1</v>
      </c>
      <c r="V249" s="58">
        <f t="shared" si="3"/>
        <v>18000000</v>
      </c>
      <c r="W249" s="52" t="s">
        <v>50</v>
      </c>
      <c r="X249" s="52" t="s">
        <v>1452</v>
      </c>
      <c r="Y249" s="52" t="s">
        <v>1440</v>
      </c>
      <c r="Z249" s="52" t="s">
        <v>1441</v>
      </c>
      <c r="AA249" s="52">
        <v>0</v>
      </c>
      <c r="AB249" s="52">
        <v>0</v>
      </c>
      <c r="AC249" s="52">
        <v>0</v>
      </c>
      <c r="AD249" s="21">
        <v>1</v>
      </c>
      <c r="AE249" s="21">
        <v>1</v>
      </c>
    </row>
    <row r="250" spans="1:31" ht="45" customHeight="1" x14ac:dyDescent="0.25">
      <c r="A250" s="86" t="s">
        <v>562</v>
      </c>
      <c r="B250" s="52" t="s">
        <v>1369</v>
      </c>
      <c r="C250" s="52"/>
      <c r="D250" s="52" t="s">
        <v>1373</v>
      </c>
      <c r="E250" s="52"/>
      <c r="F250" s="52" t="s">
        <v>1339</v>
      </c>
      <c r="G250" s="52"/>
      <c r="H250" s="52" t="s">
        <v>1435</v>
      </c>
      <c r="I250" s="52" t="s">
        <v>17</v>
      </c>
      <c r="J250" s="52" t="s">
        <v>236</v>
      </c>
      <c r="K250" s="22" t="str">
        <f>VLOOKUP(CONCATENATE(A250,LEFT(J250,4)),AGRUPAMENTO!$D$2:$E$6784,2,FALSE)</f>
        <v>Instrumentos de Saída</v>
      </c>
      <c r="L250" s="52" t="s">
        <v>95</v>
      </c>
      <c r="M250" s="52"/>
      <c r="N250" s="52">
        <v>10</v>
      </c>
      <c r="O250" s="86" t="s">
        <v>1436</v>
      </c>
      <c r="P250" s="86" t="s">
        <v>47</v>
      </c>
      <c r="Q250" s="86" t="s">
        <v>1450</v>
      </c>
      <c r="R250" s="86">
        <v>155</v>
      </c>
      <c r="S250" s="86" t="s">
        <v>1455</v>
      </c>
      <c r="T250" s="86">
        <v>100000</v>
      </c>
      <c r="U250" s="86">
        <v>1</v>
      </c>
      <c r="V250" s="58">
        <f t="shared" si="3"/>
        <v>15500000</v>
      </c>
      <c r="W250" s="52" t="s">
        <v>50</v>
      </c>
      <c r="X250" s="52" t="s">
        <v>1452</v>
      </c>
      <c r="Y250" s="52" t="s">
        <v>1440</v>
      </c>
      <c r="Z250" s="52" t="s">
        <v>1441</v>
      </c>
      <c r="AA250" s="52">
        <v>0</v>
      </c>
      <c r="AB250" s="52">
        <v>0</v>
      </c>
      <c r="AC250" s="52">
        <v>0</v>
      </c>
      <c r="AD250" s="21">
        <v>1</v>
      </c>
      <c r="AE250" s="21">
        <v>1</v>
      </c>
    </row>
    <row r="251" spans="1:31" ht="45" customHeight="1" x14ac:dyDescent="0.25">
      <c r="A251" s="86" t="s">
        <v>562</v>
      </c>
      <c r="B251" s="52" t="s">
        <v>1456</v>
      </c>
      <c r="C251" s="52"/>
      <c r="D251" s="52" t="s">
        <v>1456</v>
      </c>
      <c r="E251" s="52"/>
      <c r="F251" s="52" t="s">
        <v>564</v>
      </c>
      <c r="G251" s="52"/>
      <c r="H251" s="52" t="s">
        <v>572</v>
      </c>
      <c r="I251" s="52" t="s">
        <v>17</v>
      </c>
      <c r="J251" s="52" t="s">
        <v>587</v>
      </c>
      <c r="K251" s="22" t="str">
        <f>VLOOKUP(CONCATENATE(A251,LEFT(J251,4)),AGRUPAMENTO!$D$2:$E$6784,2,FALSE)</f>
        <v>Diárias e viagens</v>
      </c>
      <c r="L251" s="52" t="s">
        <v>45</v>
      </c>
      <c r="M251" s="52"/>
      <c r="N251" s="52">
        <v>10</v>
      </c>
      <c r="O251" s="86" t="s">
        <v>761</v>
      </c>
      <c r="P251" s="86" t="s">
        <v>47</v>
      </c>
      <c r="Q251" s="86" t="s">
        <v>575</v>
      </c>
      <c r="R251" s="86">
        <v>300</v>
      </c>
      <c r="S251" s="86" t="s">
        <v>762</v>
      </c>
      <c r="T251" s="86">
        <v>200</v>
      </c>
      <c r="U251" s="86">
        <v>1</v>
      </c>
      <c r="V251" s="58">
        <f t="shared" si="3"/>
        <v>60000</v>
      </c>
      <c r="W251" s="52" t="s">
        <v>50</v>
      </c>
      <c r="X251" s="52" t="s">
        <v>1457</v>
      </c>
      <c r="Y251" s="52" t="s">
        <v>1458</v>
      </c>
      <c r="Z251" s="52" t="s">
        <v>1459</v>
      </c>
      <c r="AA251" s="52">
        <v>0</v>
      </c>
      <c r="AB251" s="52">
        <v>0</v>
      </c>
      <c r="AC251" s="52">
        <v>0</v>
      </c>
      <c r="AD251" s="21">
        <v>1</v>
      </c>
      <c r="AE251" s="21">
        <v>1</v>
      </c>
    </row>
    <row r="252" spans="1:31" ht="45" customHeight="1" x14ac:dyDescent="0.25">
      <c r="A252" s="86" t="s">
        <v>562</v>
      </c>
      <c r="B252" s="52" t="s">
        <v>1456</v>
      </c>
      <c r="C252" s="52"/>
      <c r="D252" s="52" t="s">
        <v>1456</v>
      </c>
      <c r="E252" s="52"/>
      <c r="F252" s="52" t="s">
        <v>564</v>
      </c>
      <c r="G252" s="52"/>
      <c r="H252" s="52" t="s">
        <v>572</v>
      </c>
      <c r="I252" s="52" t="s">
        <v>17</v>
      </c>
      <c r="J252" s="52" t="s">
        <v>573</v>
      </c>
      <c r="K252" s="22" t="str">
        <f>VLOOKUP(CONCATENATE(A252,LEFT(J252,4)),AGRUPAMENTO!$D$2:$E$6784,2,FALSE)</f>
        <v>Diárias e viagens</v>
      </c>
      <c r="L252" s="52" t="s">
        <v>45</v>
      </c>
      <c r="M252" s="52"/>
      <c r="N252" s="52">
        <v>10</v>
      </c>
      <c r="O252" s="86" t="s">
        <v>1460</v>
      </c>
      <c r="P252" s="86" t="s">
        <v>47</v>
      </c>
      <c r="Q252" s="86" t="s">
        <v>575</v>
      </c>
      <c r="R252" s="86">
        <v>300</v>
      </c>
      <c r="S252" s="86" t="s">
        <v>576</v>
      </c>
      <c r="T252" s="86">
        <v>2044.5</v>
      </c>
      <c r="U252" s="86">
        <v>1</v>
      </c>
      <c r="V252" s="58">
        <f t="shared" si="3"/>
        <v>613350</v>
      </c>
      <c r="W252" s="52" t="s">
        <v>50</v>
      </c>
      <c r="X252" s="52" t="s">
        <v>1461</v>
      </c>
      <c r="Y252" s="52" t="s">
        <v>570</v>
      </c>
      <c r="Z252" s="52" t="s">
        <v>578</v>
      </c>
      <c r="AA252" s="52">
        <v>0</v>
      </c>
      <c r="AB252" s="52">
        <v>0</v>
      </c>
      <c r="AC252" s="52">
        <v>0</v>
      </c>
      <c r="AD252" s="21">
        <v>1</v>
      </c>
      <c r="AE252" s="21">
        <v>1</v>
      </c>
    </row>
    <row r="253" spans="1:31" ht="45" customHeight="1" x14ac:dyDescent="0.25">
      <c r="A253" s="86" t="s">
        <v>562</v>
      </c>
      <c r="B253" s="52" t="s">
        <v>1456</v>
      </c>
      <c r="C253" s="52"/>
      <c r="D253" s="52" t="s">
        <v>1456</v>
      </c>
      <c r="E253" s="52"/>
      <c r="F253" s="52" t="s">
        <v>564</v>
      </c>
      <c r="G253" s="52"/>
      <c r="H253" s="52" t="s">
        <v>572</v>
      </c>
      <c r="I253" s="52" t="s">
        <v>17</v>
      </c>
      <c r="J253" s="52" t="s">
        <v>579</v>
      </c>
      <c r="K253" s="22" t="str">
        <f>VLOOKUP(CONCATENATE(A253,LEFT(J253,4)),AGRUPAMENTO!$D$2:$E$6784,2,FALSE)</f>
        <v>Diárias e viagens</v>
      </c>
      <c r="L253" s="52" t="s">
        <v>45</v>
      </c>
      <c r="M253" s="52"/>
      <c r="N253" s="52">
        <v>10</v>
      </c>
      <c r="O253" s="86" t="s">
        <v>580</v>
      </c>
      <c r="P253" s="86" t="s">
        <v>47</v>
      </c>
      <c r="Q253" s="86" t="s">
        <v>575</v>
      </c>
      <c r="R253" s="86">
        <v>300</v>
      </c>
      <c r="S253" s="86" t="s">
        <v>581</v>
      </c>
      <c r="T253" s="86">
        <v>300</v>
      </c>
      <c r="U253" s="86">
        <v>1</v>
      </c>
      <c r="V253" s="58">
        <f t="shared" si="3"/>
        <v>90000</v>
      </c>
      <c r="W253" s="52" t="s">
        <v>50</v>
      </c>
      <c r="X253" s="52" t="s">
        <v>912</v>
      </c>
      <c r="Y253" s="52" t="s">
        <v>913</v>
      </c>
      <c r="Z253" s="52" t="s">
        <v>914</v>
      </c>
      <c r="AA253" s="52">
        <v>0</v>
      </c>
      <c r="AB253" s="52">
        <v>0</v>
      </c>
      <c r="AC253" s="52">
        <v>0</v>
      </c>
      <c r="AD253" s="21">
        <v>1</v>
      </c>
      <c r="AE253" s="21">
        <v>1</v>
      </c>
    </row>
    <row r="254" spans="1:31" ht="45" customHeight="1" x14ac:dyDescent="0.25">
      <c r="A254" s="86" t="s">
        <v>562</v>
      </c>
      <c r="B254" s="52" t="s">
        <v>1456</v>
      </c>
      <c r="C254" s="52"/>
      <c r="D254" s="52" t="s">
        <v>1462</v>
      </c>
      <c r="E254" s="52"/>
      <c r="F254" s="52" t="s">
        <v>1463</v>
      </c>
      <c r="G254" s="52"/>
      <c r="H254" s="52" t="s">
        <v>1464</v>
      </c>
      <c r="I254" s="52" t="s">
        <v>17</v>
      </c>
      <c r="J254" s="52" t="s">
        <v>573</v>
      </c>
      <c r="K254" s="22" t="str">
        <f>VLOOKUP(CONCATENATE(A254,LEFT(J254,4)),AGRUPAMENTO!$D$2:$E$6784,2,FALSE)</f>
        <v>Diárias e viagens</v>
      </c>
      <c r="L254" s="52" t="s">
        <v>45</v>
      </c>
      <c r="M254" s="52"/>
      <c r="N254" s="52">
        <v>10</v>
      </c>
      <c r="O254" s="86" t="s">
        <v>1465</v>
      </c>
      <c r="P254" s="86" t="s">
        <v>47</v>
      </c>
      <c r="Q254" s="86" t="s">
        <v>1466</v>
      </c>
      <c r="R254" s="86">
        <v>1</v>
      </c>
      <c r="S254" s="86" t="s">
        <v>576</v>
      </c>
      <c r="T254" s="86">
        <v>1000000</v>
      </c>
      <c r="U254" s="86">
        <v>1</v>
      </c>
      <c r="V254" s="58">
        <f t="shared" si="3"/>
        <v>1000000</v>
      </c>
      <c r="W254" s="52" t="s">
        <v>50</v>
      </c>
      <c r="X254" s="52" t="s">
        <v>577</v>
      </c>
      <c r="Y254" s="52" t="s">
        <v>570</v>
      </c>
      <c r="Z254" s="52" t="s">
        <v>583</v>
      </c>
      <c r="AA254" s="52">
        <v>0</v>
      </c>
      <c r="AB254" s="52">
        <v>0</v>
      </c>
      <c r="AC254" s="52">
        <v>0</v>
      </c>
      <c r="AD254" s="21">
        <v>1</v>
      </c>
      <c r="AE254" s="21">
        <v>1</v>
      </c>
    </row>
    <row r="255" spans="1:31" ht="45" customHeight="1" x14ac:dyDescent="0.25">
      <c r="A255" s="86" t="s">
        <v>562</v>
      </c>
      <c r="B255" s="52" t="s">
        <v>1456</v>
      </c>
      <c r="C255" s="52"/>
      <c r="D255" s="52" t="s">
        <v>1462</v>
      </c>
      <c r="E255" s="52"/>
      <c r="F255" s="52" t="s">
        <v>1463</v>
      </c>
      <c r="G255" s="52"/>
      <c r="H255" s="52" t="s">
        <v>1464</v>
      </c>
      <c r="I255" s="52" t="s">
        <v>17</v>
      </c>
      <c r="J255" s="52" t="s">
        <v>237</v>
      </c>
      <c r="K255" s="22" t="str">
        <f>VLOOKUP(CONCATENATE(A255,LEFT(J255,4)),AGRUPAMENTO!$D$2:$E$6784,2,FALSE)</f>
        <v>SUBVENÇÕES SOCIAIS</v>
      </c>
      <c r="L255" s="52" t="s">
        <v>45</v>
      </c>
      <c r="M255" s="52"/>
      <c r="N255" s="52">
        <v>10</v>
      </c>
      <c r="O255" s="86" t="s">
        <v>1467</v>
      </c>
      <c r="P255" s="86" t="s">
        <v>47</v>
      </c>
      <c r="Q255" s="86" t="s">
        <v>1468</v>
      </c>
      <c r="R255" s="86">
        <v>1</v>
      </c>
      <c r="S255" s="86" t="s">
        <v>1469</v>
      </c>
      <c r="T255" s="86">
        <v>24000000</v>
      </c>
      <c r="U255" s="86">
        <v>1</v>
      </c>
      <c r="V255" s="58">
        <f t="shared" si="3"/>
        <v>24000000</v>
      </c>
      <c r="W255" s="52" t="s">
        <v>50</v>
      </c>
      <c r="X255" s="52" t="s">
        <v>1470</v>
      </c>
      <c r="Y255" s="52" t="s">
        <v>1471</v>
      </c>
      <c r="Z255" s="52" t="s">
        <v>1472</v>
      </c>
      <c r="AA255" s="52">
        <v>0</v>
      </c>
      <c r="AB255" s="52">
        <v>0</v>
      </c>
      <c r="AC255" s="52">
        <v>0</v>
      </c>
      <c r="AD255" s="21">
        <v>1</v>
      </c>
      <c r="AE255" s="21">
        <v>1</v>
      </c>
    </row>
    <row r="256" spans="1:31" ht="45" customHeight="1" x14ac:dyDescent="0.25">
      <c r="A256" s="86" t="s">
        <v>562</v>
      </c>
      <c r="B256" s="52" t="s">
        <v>1456</v>
      </c>
      <c r="C256" s="52"/>
      <c r="D256" s="52" t="s">
        <v>1473</v>
      </c>
      <c r="E256" s="52"/>
      <c r="F256" s="52" t="s">
        <v>1463</v>
      </c>
      <c r="G256" s="52"/>
      <c r="H256" s="52" t="s">
        <v>1474</v>
      </c>
      <c r="I256" s="52" t="s">
        <v>17</v>
      </c>
      <c r="J256" s="52" t="s">
        <v>314</v>
      </c>
      <c r="K256" s="22" t="str">
        <f>VLOOKUP(CONCATENATE(A256,LEFT(J256,4)),AGRUPAMENTO!$D$2:$E$6784,2,FALSE)</f>
        <v>Aquisições de itens de TIC</v>
      </c>
      <c r="L256" s="52" t="s">
        <v>45</v>
      </c>
      <c r="M256" s="52"/>
      <c r="N256" s="52">
        <v>10</v>
      </c>
      <c r="O256" s="86" t="s">
        <v>1475</v>
      </c>
      <c r="P256" s="86" t="s">
        <v>47</v>
      </c>
      <c r="Q256" s="86" t="s">
        <v>1476</v>
      </c>
      <c r="R256" s="86">
        <v>1</v>
      </c>
      <c r="S256" s="86" t="s">
        <v>1477</v>
      </c>
      <c r="T256" s="86">
        <v>34000000</v>
      </c>
      <c r="U256" s="86">
        <v>1</v>
      </c>
      <c r="V256" s="58">
        <f t="shared" ref="V256:V311" si="4">R256*T256*U256</f>
        <v>34000000</v>
      </c>
      <c r="W256" s="52" t="s">
        <v>50</v>
      </c>
      <c r="X256" s="52" t="s">
        <v>1478</v>
      </c>
      <c r="Y256" s="52" t="s">
        <v>1479</v>
      </c>
      <c r="Z256" s="52" t="s">
        <v>1480</v>
      </c>
      <c r="AA256" s="52">
        <v>0</v>
      </c>
      <c r="AB256" s="52">
        <v>0</v>
      </c>
      <c r="AC256" s="52">
        <v>0</v>
      </c>
      <c r="AD256" s="21">
        <v>1</v>
      </c>
      <c r="AE256" s="21">
        <v>1</v>
      </c>
    </row>
    <row r="257" spans="1:31" ht="45" customHeight="1" x14ac:dyDescent="0.25">
      <c r="A257" s="86" t="s">
        <v>562</v>
      </c>
      <c r="B257" s="52" t="s">
        <v>1456</v>
      </c>
      <c r="C257" s="52"/>
      <c r="D257" s="52" t="s">
        <v>1473</v>
      </c>
      <c r="E257" s="52"/>
      <c r="F257" s="52" t="s">
        <v>1463</v>
      </c>
      <c r="G257" s="52"/>
      <c r="H257" s="52" t="s">
        <v>1474</v>
      </c>
      <c r="I257" s="52" t="s">
        <v>17</v>
      </c>
      <c r="J257" s="52" t="s">
        <v>1481</v>
      </c>
      <c r="K257" s="22" t="str">
        <f>VLOOKUP(CONCATENATE(A257,LEFT(J257,4)),AGRUPAMENTO!$D$2:$E$6784,2,FALSE)</f>
        <v>Demais despesas de custeio</v>
      </c>
      <c r="L257" s="52" t="s">
        <v>45</v>
      </c>
      <c r="M257" s="52"/>
      <c r="N257" s="52">
        <v>10</v>
      </c>
      <c r="O257" s="86" t="s">
        <v>1482</v>
      </c>
      <c r="P257" s="86" t="s">
        <v>47</v>
      </c>
      <c r="Q257" s="86" t="s">
        <v>1134</v>
      </c>
      <c r="R257" s="86">
        <v>1</v>
      </c>
      <c r="S257" s="86" t="s">
        <v>1483</v>
      </c>
      <c r="T257" s="86">
        <v>24000000</v>
      </c>
      <c r="U257" s="86">
        <v>1</v>
      </c>
      <c r="V257" s="58">
        <f t="shared" si="4"/>
        <v>24000000</v>
      </c>
      <c r="W257" s="52" t="s">
        <v>50</v>
      </c>
      <c r="X257" s="52" t="s">
        <v>1484</v>
      </c>
      <c r="Y257" s="52" t="s">
        <v>1485</v>
      </c>
      <c r="Z257" s="52" t="s">
        <v>1486</v>
      </c>
      <c r="AA257" s="52">
        <v>0</v>
      </c>
      <c r="AB257" s="52">
        <v>0</v>
      </c>
      <c r="AC257" s="52">
        <v>0</v>
      </c>
      <c r="AD257" s="21">
        <v>1</v>
      </c>
      <c r="AE257" s="21">
        <v>1</v>
      </c>
    </row>
    <row r="258" spans="1:31" ht="45" customHeight="1" x14ac:dyDescent="0.25">
      <c r="A258" s="86" t="s">
        <v>562</v>
      </c>
      <c r="B258" s="52" t="s">
        <v>1456</v>
      </c>
      <c r="C258" s="52"/>
      <c r="D258" s="52" t="s">
        <v>1473</v>
      </c>
      <c r="E258" s="52"/>
      <c r="F258" s="52" t="s">
        <v>1463</v>
      </c>
      <c r="G258" s="52"/>
      <c r="H258" s="52" t="s">
        <v>1474</v>
      </c>
      <c r="I258" s="52" t="s">
        <v>17</v>
      </c>
      <c r="J258" s="52" t="s">
        <v>496</v>
      </c>
      <c r="K258" s="22" t="str">
        <f>VLOOKUP(CONCATENATE(A258,LEFT(J258,4)),AGRUPAMENTO!$D$2:$E$6784,2,FALSE)</f>
        <v>Cursos de formação e capacitações</v>
      </c>
      <c r="L258" s="52" t="s">
        <v>45</v>
      </c>
      <c r="M258" s="52"/>
      <c r="N258" s="52">
        <v>10</v>
      </c>
      <c r="O258" s="86" t="s">
        <v>1487</v>
      </c>
      <c r="P258" s="86" t="s">
        <v>47</v>
      </c>
      <c r="Q258" s="86" t="s">
        <v>1134</v>
      </c>
      <c r="R258" s="86">
        <v>1</v>
      </c>
      <c r="S258" s="86" t="s">
        <v>1483</v>
      </c>
      <c r="T258" s="86">
        <v>56000000</v>
      </c>
      <c r="U258" s="86">
        <v>1</v>
      </c>
      <c r="V258" s="58">
        <f t="shared" si="4"/>
        <v>56000000</v>
      </c>
      <c r="W258" s="52" t="s">
        <v>50</v>
      </c>
      <c r="X258" s="52" t="s">
        <v>1488</v>
      </c>
      <c r="Y258" s="52" t="s">
        <v>1489</v>
      </c>
      <c r="Z258" s="52" t="s">
        <v>1490</v>
      </c>
      <c r="AA258" s="52">
        <v>0</v>
      </c>
      <c r="AB258" s="52">
        <v>0</v>
      </c>
      <c r="AC258" s="52">
        <v>0</v>
      </c>
      <c r="AD258" s="21">
        <v>1</v>
      </c>
      <c r="AE258" s="21">
        <v>1</v>
      </c>
    </row>
    <row r="259" spans="1:31" ht="45" customHeight="1" x14ac:dyDescent="0.25">
      <c r="A259" s="86" t="s">
        <v>562</v>
      </c>
      <c r="B259" s="52" t="s">
        <v>1456</v>
      </c>
      <c r="C259" s="52"/>
      <c r="D259" s="52" t="s">
        <v>1473</v>
      </c>
      <c r="E259" s="52"/>
      <c r="F259" s="52" t="s">
        <v>1463</v>
      </c>
      <c r="G259" s="52"/>
      <c r="H259" s="52" t="s">
        <v>1474</v>
      </c>
      <c r="I259" s="52" t="s">
        <v>17</v>
      </c>
      <c r="J259" s="52" t="s">
        <v>234</v>
      </c>
      <c r="K259" s="22" t="str">
        <f>VLOOKUP(CONCATENATE(A259,LEFT(J259,4)),AGRUPAMENTO!$D$2:$E$6784,2,FALSE)</f>
        <v>Serviços de TIC</v>
      </c>
      <c r="L259" s="52" t="s">
        <v>45</v>
      </c>
      <c r="M259" s="52"/>
      <c r="N259" s="52">
        <v>10</v>
      </c>
      <c r="O259" s="86" t="s">
        <v>1491</v>
      </c>
      <c r="P259" s="86" t="s">
        <v>47</v>
      </c>
      <c r="Q259" s="86" t="s">
        <v>1134</v>
      </c>
      <c r="R259" s="86">
        <v>1</v>
      </c>
      <c r="S259" s="86" t="s">
        <v>1483</v>
      </c>
      <c r="T259" s="86">
        <v>34000000</v>
      </c>
      <c r="U259" s="86">
        <v>1</v>
      </c>
      <c r="V259" s="58">
        <f t="shared" si="4"/>
        <v>34000000</v>
      </c>
      <c r="W259" s="52" t="s">
        <v>50</v>
      </c>
      <c r="X259" s="52" t="s">
        <v>1492</v>
      </c>
      <c r="Y259" s="52" t="s">
        <v>1493</v>
      </c>
      <c r="Z259" s="52" t="s">
        <v>1494</v>
      </c>
      <c r="AA259" s="52">
        <v>0</v>
      </c>
      <c r="AB259" s="52">
        <v>0</v>
      </c>
      <c r="AC259" s="52">
        <v>0</v>
      </c>
      <c r="AD259" s="21">
        <v>1</v>
      </c>
      <c r="AE259" s="21">
        <v>1</v>
      </c>
    </row>
    <row r="260" spans="1:31" ht="45" customHeight="1" x14ac:dyDescent="0.25">
      <c r="A260" s="86" t="s">
        <v>562</v>
      </c>
      <c r="B260" s="52" t="s">
        <v>1456</v>
      </c>
      <c r="C260" s="52"/>
      <c r="D260" s="52" t="s">
        <v>1473</v>
      </c>
      <c r="E260" s="52"/>
      <c r="F260" s="52" t="s">
        <v>1463</v>
      </c>
      <c r="G260" s="52"/>
      <c r="H260" s="52" t="s">
        <v>1474</v>
      </c>
      <c r="I260" s="52" t="s">
        <v>17</v>
      </c>
      <c r="J260" s="52" t="s">
        <v>664</v>
      </c>
      <c r="K260" s="22" t="str">
        <f>VLOOKUP(CONCATENATE(A260,LEFT(J260,4)),AGRUPAMENTO!$D$2:$E$6784,2,FALSE)</f>
        <v>Demais despesas de custeio</v>
      </c>
      <c r="L260" s="52" t="s">
        <v>45</v>
      </c>
      <c r="M260" s="52"/>
      <c r="N260" s="52">
        <v>10</v>
      </c>
      <c r="O260" s="86" t="s">
        <v>1495</v>
      </c>
      <c r="P260" s="86" t="s">
        <v>47</v>
      </c>
      <c r="Q260" s="86" t="s">
        <v>1134</v>
      </c>
      <c r="R260" s="86">
        <v>1</v>
      </c>
      <c r="S260" s="86" t="s">
        <v>1496</v>
      </c>
      <c r="T260" s="86">
        <v>15000000</v>
      </c>
      <c r="U260" s="86">
        <v>1</v>
      </c>
      <c r="V260" s="58">
        <f t="shared" si="4"/>
        <v>15000000</v>
      </c>
      <c r="W260" s="52" t="s">
        <v>50</v>
      </c>
      <c r="X260" s="52" t="s">
        <v>1497</v>
      </c>
      <c r="Y260" s="52" t="s">
        <v>1498</v>
      </c>
      <c r="Z260" s="52" t="s">
        <v>1499</v>
      </c>
      <c r="AA260" s="52">
        <v>0</v>
      </c>
      <c r="AB260" s="52">
        <v>0</v>
      </c>
      <c r="AC260" s="52">
        <v>0</v>
      </c>
      <c r="AD260" s="21">
        <v>1</v>
      </c>
      <c r="AE260" s="21">
        <v>1</v>
      </c>
    </row>
    <row r="261" spans="1:31" ht="45" customHeight="1" x14ac:dyDescent="0.25">
      <c r="A261" s="86" t="s">
        <v>562</v>
      </c>
      <c r="B261" s="52" t="s">
        <v>1456</v>
      </c>
      <c r="C261" s="52"/>
      <c r="D261" s="52" t="s">
        <v>1473</v>
      </c>
      <c r="E261" s="52"/>
      <c r="F261" s="52" t="s">
        <v>1463</v>
      </c>
      <c r="G261" s="52"/>
      <c r="H261" s="52" t="s">
        <v>1474</v>
      </c>
      <c r="I261" s="52" t="s">
        <v>17</v>
      </c>
      <c r="J261" s="52" t="s">
        <v>340</v>
      </c>
      <c r="K261" s="22" t="str">
        <f>VLOOKUP(CONCATENATE(A261,LEFT(J261,4)),AGRUPAMENTO!$D$2:$E$6784,2,FALSE)</f>
        <v>Aquisições de itens de TIC</v>
      </c>
      <c r="L261" s="52" t="s">
        <v>95</v>
      </c>
      <c r="M261" s="52"/>
      <c r="N261" s="52">
        <v>10</v>
      </c>
      <c r="O261" s="86" t="s">
        <v>1500</v>
      </c>
      <c r="P261" s="86" t="s">
        <v>47</v>
      </c>
      <c r="Q261" s="86" t="s">
        <v>1189</v>
      </c>
      <c r="R261" s="86">
        <v>1</v>
      </c>
      <c r="S261" s="86" t="s">
        <v>1189</v>
      </c>
      <c r="T261" s="86">
        <v>2000000</v>
      </c>
      <c r="U261" s="86">
        <v>1</v>
      </c>
      <c r="V261" s="58">
        <f t="shared" si="4"/>
        <v>2000000</v>
      </c>
      <c r="W261" s="52" t="s">
        <v>50</v>
      </c>
      <c r="X261" s="52" t="s">
        <v>1501</v>
      </c>
      <c r="Y261" s="52" t="s">
        <v>1328</v>
      </c>
      <c r="Z261" s="52" t="s">
        <v>1329</v>
      </c>
      <c r="AA261" s="52">
        <v>0</v>
      </c>
      <c r="AB261" s="52">
        <v>0</v>
      </c>
      <c r="AC261" s="52">
        <v>0</v>
      </c>
      <c r="AD261" s="21">
        <v>1</v>
      </c>
      <c r="AE261" s="21">
        <v>1</v>
      </c>
    </row>
    <row r="262" spans="1:31" ht="45" customHeight="1" x14ac:dyDescent="0.25">
      <c r="A262" s="86" t="s">
        <v>562</v>
      </c>
      <c r="B262" s="52" t="s">
        <v>1456</v>
      </c>
      <c r="C262" s="52"/>
      <c r="D262" s="52" t="s">
        <v>1502</v>
      </c>
      <c r="E262" s="52"/>
      <c r="F262" s="52" t="s">
        <v>1417</v>
      </c>
      <c r="G262" s="52"/>
      <c r="H262" s="52" t="s">
        <v>1503</v>
      </c>
      <c r="I262" s="52" t="s">
        <v>17</v>
      </c>
      <c r="J262" s="52" t="s">
        <v>664</v>
      </c>
      <c r="K262" s="22" t="str">
        <f>VLOOKUP(CONCATENATE(A262,LEFT(J262,4)),AGRUPAMENTO!$D$2:$E$6784,2,FALSE)</f>
        <v>Demais despesas de custeio</v>
      </c>
      <c r="L262" s="52" t="s">
        <v>45</v>
      </c>
      <c r="M262" s="52"/>
      <c r="N262" s="52">
        <v>10</v>
      </c>
      <c r="O262" s="86" t="s">
        <v>1504</v>
      </c>
      <c r="P262" s="86" t="s">
        <v>47</v>
      </c>
      <c r="Q262" s="86" t="s">
        <v>1505</v>
      </c>
      <c r="R262" s="86">
        <v>1</v>
      </c>
      <c r="S262" s="86" t="s">
        <v>1506</v>
      </c>
      <c r="T262" s="86">
        <v>19000000</v>
      </c>
      <c r="U262" s="86">
        <v>1</v>
      </c>
      <c r="V262" s="58">
        <f t="shared" si="4"/>
        <v>19000000</v>
      </c>
      <c r="W262" s="52" t="s">
        <v>50</v>
      </c>
      <c r="X262" s="52" t="s">
        <v>1507</v>
      </c>
      <c r="Y262" s="52" t="s">
        <v>1508</v>
      </c>
      <c r="Z262" s="52" t="s">
        <v>1509</v>
      </c>
      <c r="AA262" s="52">
        <v>0</v>
      </c>
      <c r="AB262" s="52">
        <v>0</v>
      </c>
      <c r="AC262" s="52">
        <v>0</v>
      </c>
      <c r="AD262" s="21">
        <v>1</v>
      </c>
      <c r="AE262" s="21">
        <v>1</v>
      </c>
    </row>
    <row r="263" spans="1:31" ht="45" customHeight="1" x14ac:dyDescent="0.25">
      <c r="A263" s="86" t="s">
        <v>562</v>
      </c>
      <c r="B263" s="52" t="s">
        <v>1456</v>
      </c>
      <c r="C263" s="52"/>
      <c r="D263" s="52" t="s">
        <v>1502</v>
      </c>
      <c r="E263" s="52"/>
      <c r="F263" s="52" t="s">
        <v>1417</v>
      </c>
      <c r="G263" s="52"/>
      <c r="H263" s="52" t="s">
        <v>1503</v>
      </c>
      <c r="I263" s="52" t="s">
        <v>17</v>
      </c>
      <c r="J263" s="52" t="s">
        <v>73</v>
      </c>
      <c r="K263" s="22" t="str">
        <f>VLOOKUP(CONCATENATE(A263,LEFT(J263,4)),AGRUPAMENTO!$D$2:$E$6784,2,FALSE)</f>
        <v>Material de consumo</v>
      </c>
      <c r="L263" s="52" t="s">
        <v>45</v>
      </c>
      <c r="M263" s="52"/>
      <c r="N263" s="52">
        <v>10</v>
      </c>
      <c r="O263" s="86" t="s">
        <v>1510</v>
      </c>
      <c r="P263" s="86" t="s">
        <v>47</v>
      </c>
      <c r="Q263" s="86" t="s">
        <v>1511</v>
      </c>
      <c r="R263" s="86">
        <v>450000</v>
      </c>
      <c r="S263" s="86" t="s">
        <v>1512</v>
      </c>
      <c r="T263" s="86">
        <v>20</v>
      </c>
      <c r="U263" s="86">
        <v>1</v>
      </c>
      <c r="V263" s="58">
        <f t="shared" si="4"/>
        <v>9000000</v>
      </c>
      <c r="W263" s="52" t="s">
        <v>50</v>
      </c>
      <c r="X263" s="52" t="s">
        <v>1511</v>
      </c>
      <c r="Y263" s="52" t="s">
        <v>1513</v>
      </c>
      <c r="Z263" s="52" t="s">
        <v>1514</v>
      </c>
      <c r="AA263" s="52">
        <v>0</v>
      </c>
      <c r="AB263" s="52">
        <v>0</v>
      </c>
      <c r="AC263" s="52">
        <v>0</v>
      </c>
      <c r="AD263" s="21">
        <v>1</v>
      </c>
      <c r="AE263" s="21">
        <v>1</v>
      </c>
    </row>
    <row r="264" spans="1:31" ht="45" customHeight="1" x14ac:dyDescent="0.25">
      <c r="A264" s="86" t="s">
        <v>562</v>
      </c>
      <c r="B264" s="52" t="s">
        <v>1456</v>
      </c>
      <c r="C264" s="52"/>
      <c r="D264" s="52" t="s">
        <v>1502</v>
      </c>
      <c r="E264" s="52"/>
      <c r="F264" s="52" t="s">
        <v>1417</v>
      </c>
      <c r="G264" s="52"/>
      <c r="H264" s="52" t="s">
        <v>1503</v>
      </c>
      <c r="I264" s="52" t="s">
        <v>17</v>
      </c>
      <c r="J264" s="52" t="s">
        <v>664</v>
      </c>
      <c r="K264" s="22" t="str">
        <f>VLOOKUP(CONCATENATE(A264,LEFT(J264,4)),AGRUPAMENTO!$D$2:$E$6784,2,FALSE)</f>
        <v>Demais despesas de custeio</v>
      </c>
      <c r="L264" s="52" t="s">
        <v>45</v>
      </c>
      <c r="M264" s="52"/>
      <c r="N264" s="52">
        <v>10</v>
      </c>
      <c r="O264" s="86" t="s">
        <v>1515</v>
      </c>
      <c r="P264" s="86" t="s">
        <v>47</v>
      </c>
      <c r="Q264" s="86" t="s">
        <v>1516</v>
      </c>
      <c r="R264" s="86">
        <v>1</v>
      </c>
      <c r="S264" s="86" t="s">
        <v>1517</v>
      </c>
      <c r="T264" s="86">
        <v>5850000</v>
      </c>
      <c r="U264" s="86">
        <v>1</v>
      </c>
      <c r="V264" s="58">
        <f t="shared" si="4"/>
        <v>5850000</v>
      </c>
      <c r="W264" s="52" t="s">
        <v>50</v>
      </c>
      <c r="X264" s="52" t="s">
        <v>1507</v>
      </c>
      <c r="Y264" s="52" t="s">
        <v>1518</v>
      </c>
      <c r="Z264" s="52" t="s">
        <v>1519</v>
      </c>
      <c r="AA264" s="52">
        <v>0</v>
      </c>
      <c r="AB264" s="52">
        <v>0</v>
      </c>
      <c r="AC264" s="52">
        <v>0</v>
      </c>
      <c r="AD264" s="21">
        <v>1</v>
      </c>
      <c r="AE264" s="21">
        <v>1</v>
      </c>
    </row>
    <row r="265" spans="1:31" ht="45" customHeight="1" x14ac:dyDescent="0.25">
      <c r="A265" s="86" t="s">
        <v>562</v>
      </c>
      <c r="B265" s="52" t="s">
        <v>1456</v>
      </c>
      <c r="C265" s="52"/>
      <c r="D265" s="52" t="s">
        <v>1462</v>
      </c>
      <c r="E265" s="52"/>
      <c r="F265" s="52" t="s">
        <v>1417</v>
      </c>
      <c r="G265" s="52"/>
      <c r="H265" s="52" t="s">
        <v>1520</v>
      </c>
      <c r="I265" s="52" t="s">
        <v>17</v>
      </c>
      <c r="J265" s="52" t="s">
        <v>573</v>
      </c>
      <c r="K265" s="22" t="str">
        <f>VLOOKUP(CONCATENATE(A265,LEFT(J265,4)),AGRUPAMENTO!$D$2:$E$6784,2,FALSE)</f>
        <v>Diárias e viagens</v>
      </c>
      <c r="L265" s="52" t="s">
        <v>45</v>
      </c>
      <c r="M265" s="52"/>
      <c r="N265" s="52">
        <v>10</v>
      </c>
      <c r="O265" s="86" t="s">
        <v>1521</v>
      </c>
      <c r="P265" s="86" t="s">
        <v>47</v>
      </c>
      <c r="Q265" s="86" t="s">
        <v>575</v>
      </c>
      <c r="R265" s="86">
        <v>500</v>
      </c>
      <c r="S265" s="86" t="s">
        <v>576</v>
      </c>
      <c r="T265" s="86">
        <v>362</v>
      </c>
      <c r="U265" s="86">
        <v>1</v>
      </c>
      <c r="V265" s="58">
        <f t="shared" si="4"/>
        <v>181000</v>
      </c>
      <c r="W265" s="52" t="s">
        <v>50</v>
      </c>
      <c r="X265" s="52" t="s">
        <v>1522</v>
      </c>
      <c r="Y265" s="52" t="s">
        <v>1523</v>
      </c>
      <c r="Z265" s="52" t="s">
        <v>1524</v>
      </c>
      <c r="AA265" s="52">
        <v>0</v>
      </c>
      <c r="AB265" s="52">
        <v>0</v>
      </c>
      <c r="AC265" s="52">
        <v>0</v>
      </c>
      <c r="AD265" s="21">
        <v>1</v>
      </c>
      <c r="AE265" s="21">
        <v>1</v>
      </c>
    </row>
    <row r="266" spans="1:31" ht="45" customHeight="1" x14ac:dyDescent="0.25">
      <c r="A266" s="86" t="s">
        <v>562</v>
      </c>
      <c r="B266" s="52" t="s">
        <v>1456</v>
      </c>
      <c r="C266" s="52"/>
      <c r="D266" s="52" t="s">
        <v>1462</v>
      </c>
      <c r="E266" s="52"/>
      <c r="F266" s="52" t="s">
        <v>1417</v>
      </c>
      <c r="G266" s="52"/>
      <c r="H266" s="52" t="s">
        <v>1520</v>
      </c>
      <c r="I266" s="52" t="s">
        <v>17</v>
      </c>
      <c r="J266" s="52" t="s">
        <v>587</v>
      </c>
      <c r="K266" s="22" t="str">
        <f>VLOOKUP(CONCATENATE(A266,LEFT(J266,4)),AGRUPAMENTO!$D$2:$E$6784,2,FALSE)</f>
        <v>Diárias e viagens</v>
      </c>
      <c r="L266" s="52" t="s">
        <v>45</v>
      </c>
      <c r="M266" s="52"/>
      <c r="N266" s="52">
        <v>10</v>
      </c>
      <c r="O266" s="86" t="s">
        <v>761</v>
      </c>
      <c r="P266" s="86" t="s">
        <v>47</v>
      </c>
      <c r="Q266" s="86" t="s">
        <v>575</v>
      </c>
      <c r="R266" s="86">
        <v>250</v>
      </c>
      <c r="S266" s="86" t="s">
        <v>1525</v>
      </c>
      <c r="T266" s="86">
        <v>150</v>
      </c>
      <c r="U266" s="86">
        <v>1</v>
      </c>
      <c r="V266" s="58">
        <f t="shared" si="4"/>
        <v>37500</v>
      </c>
      <c r="W266" s="52" t="s">
        <v>50</v>
      </c>
      <c r="X266" s="52" t="s">
        <v>1522</v>
      </c>
      <c r="Y266" s="52" t="s">
        <v>1526</v>
      </c>
      <c r="Z266" s="52" t="s">
        <v>1524</v>
      </c>
      <c r="AA266" s="52">
        <v>0</v>
      </c>
      <c r="AB266" s="52">
        <v>0</v>
      </c>
      <c r="AC266" s="52">
        <v>0</v>
      </c>
      <c r="AD266" s="21">
        <v>1</v>
      </c>
      <c r="AE266" s="21">
        <v>1</v>
      </c>
    </row>
    <row r="267" spans="1:31" ht="45" customHeight="1" x14ac:dyDescent="0.25">
      <c r="A267" s="86" t="s">
        <v>562</v>
      </c>
      <c r="B267" s="52" t="s">
        <v>1456</v>
      </c>
      <c r="C267" s="52"/>
      <c r="D267" s="52" t="s">
        <v>1462</v>
      </c>
      <c r="E267" s="52"/>
      <c r="F267" s="52" t="s">
        <v>1417</v>
      </c>
      <c r="G267" s="52"/>
      <c r="H267" s="52" t="s">
        <v>1520</v>
      </c>
      <c r="I267" s="52" t="s">
        <v>17</v>
      </c>
      <c r="J267" s="52" t="s">
        <v>579</v>
      </c>
      <c r="K267" s="22" t="str">
        <f>VLOOKUP(CONCATENATE(A267,LEFT(J267,4)),AGRUPAMENTO!$D$2:$E$6784,2,FALSE)</f>
        <v>Diárias e viagens</v>
      </c>
      <c r="L267" s="52" t="s">
        <v>45</v>
      </c>
      <c r="M267" s="52"/>
      <c r="N267" s="52">
        <v>10</v>
      </c>
      <c r="O267" s="86" t="s">
        <v>580</v>
      </c>
      <c r="P267" s="86" t="s">
        <v>47</v>
      </c>
      <c r="Q267" s="86" t="s">
        <v>575</v>
      </c>
      <c r="R267" s="86">
        <v>250</v>
      </c>
      <c r="S267" s="86" t="s">
        <v>581</v>
      </c>
      <c r="T267" s="86">
        <v>300</v>
      </c>
      <c r="U267" s="86">
        <v>1</v>
      </c>
      <c r="V267" s="58">
        <f t="shared" si="4"/>
        <v>75000</v>
      </c>
      <c r="W267" s="52" t="s">
        <v>50</v>
      </c>
      <c r="X267" s="52" t="s">
        <v>1522</v>
      </c>
      <c r="Y267" s="52" t="s">
        <v>1527</v>
      </c>
      <c r="Z267" s="52" t="s">
        <v>1524</v>
      </c>
      <c r="AA267" s="52">
        <v>0</v>
      </c>
      <c r="AB267" s="52">
        <v>0</v>
      </c>
      <c r="AC267" s="52">
        <v>0</v>
      </c>
      <c r="AD267" s="21">
        <v>1</v>
      </c>
      <c r="AE267" s="21">
        <v>1</v>
      </c>
    </row>
    <row r="268" spans="1:31" ht="45" customHeight="1" x14ac:dyDescent="0.25">
      <c r="A268" s="86" t="s">
        <v>562</v>
      </c>
      <c r="B268" s="52" t="s">
        <v>1456</v>
      </c>
      <c r="C268" s="52"/>
      <c r="D268" s="52" t="s">
        <v>1462</v>
      </c>
      <c r="E268" s="52"/>
      <c r="F268" s="52" t="s">
        <v>1463</v>
      </c>
      <c r="G268" s="52"/>
      <c r="H268" s="52" t="s">
        <v>1528</v>
      </c>
      <c r="I268" s="52" t="s">
        <v>17</v>
      </c>
      <c r="J268" s="52" t="s">
        <v>573</v>
      </c>
      <c r="K268" s="22" t="str">
        <f>VLOOKUP(CONCATENATE(A268,LEFT(J268,4)),AGRUPAMENTO!$D$2:$E$6784,2,FALSE)</f>
        <v>Diárias e viagens</v>
      </c>
      <c r="L268" s="52" t="s">
        <v>45</v>
      </c>
      <c r="M268" s="52"/>
      <c r="N268" s="52">
        <v>10</v>
      </c>
      <c r="O268" s="86" t="s">
        <v>1529</v>
      </c>
      <c r="P268" s="86" t="s">
        <v>47</v>
      </c>
      <c r="Q268" s="86" t="s">
        <v>1530</v>
      </c>
      <c r="R268" s="86">
        <v>150</v>
      </c>
      <c r="S268" s="86" t="s">
        <v>576</v>
      </c>
      <c r="T268" s="86">
        <v>1500</v>
      </c>
      <c r="U268" s="86">
        <v>1</v>
      </c>
      <c r="V268" s="58">
        <f t="shared" si="4"/>
        <v>225000</v>
      </c>
      <c r="W268" s="52" t="s">
        <v>50</v>
      </c>
      <c r="X268" s="52" t="s">
        <v>1531</v>
      </c>
      <c r="Y268" s="52" t="s">
        <v>1532</v>
      </c>
      <c r="Z268" s="52" t="s">
        <v>1533</v>
      </c>
      <c r="AA268" s="52">
        <v>0</v>
      </c>
      <c r="AB268" s="52">
        <v>0</v>
      </c>
      <c r="AC268" s="52">
        <v>0</v>
      </c>
      <c r="AD268" s="21">
        <v>1</v>
      </c>
      <c r="AE268" s="21">
        <v>1</v>
      </c>
    </row>
    <row r="269" spans="1:31" ht="45" customHeight="1" x14ac:dyDescent="0.25">
      <c r="A269" s="86" t="s">
        <v>562</v>
      </c>
      <c r="B269" s="52" t="s">
        <v>1456</v>
      </c>
      <c r="C269" s="52"/>
      <c r="D269" s="52" t="s">
        <v>1462</v>
      </c>
      <c r="E269" s="52"/>
      <c r="F269" s="52" t="s">
        <v>1463</v>
      </c>
      <c r="G269" s="52"/>
      <c r="H269" s="52" t="s">
        <v>1528</v>
      </c>
      <c r="I269" s="52" t="s">
        <v>17</v>
      </c>
      <c r="J269" s="52" t="s">
        <v>579</v>
      </c>
      <c r="K269" s="22" t="str">
        <f>VLOOKUP(CONCATENATE(A269,LEFT(J269,4)),AGRUPAMENTO!$D$2:$E$6784,2,FALSE)</f>
        <v>Diárias e viagens</v>
      </c>
      <c r="L269" s="52" t="s">
        <v>45</v>
      </c>
      <c r="M269" s="52"/>
      <c r="N269" s="52">
        <v>10</v>
      </c>
      <c r="O269" s="86" t="s">
        <v>580</v>
      </c>
      <c r="P269" s="86" t="s">
        <v>47</v>
      </c>
      <c r="Q269" s="86" t="s">
        <v>575</v>
      </c>
      <c r="R269" s="86">
        <v>150</v>
      </c>
      <c r="S269" s="86" t="s">
        <v>581</v>
      </c>
      <c r="T269" s="86">
        <v>300</v>
      </c>
      <c r="U269" s="86">
        <v>2</v>
      </c>
      <c r="V269" s="58">
        <f t="shared" si="4"/>
        <v>90000</v>
      </c>
      <c r="W269" s="52" t="s">
        <v>50</v>
      </c>
      <c r="X269" s="52" t="s">
        <v>1534</v>
      </c>
      <c r="Y269" s="52" t="s">
        <v>1535</v>
      </c>
      <c r="Z269" s="52" t="s">
        <v>1536</v>
      </c>
      <c r="AA269" s="52">
        <v>0</v>
      </c>
      <c r="AB269" s="52">
        <v>0</v>
      </c>
      <c r="AC269" s="52">
        <v>0</v>
      </c>
      <c r="AD269" s="21">
        <v>1</v>
      </c>
      <c r="AE269" s="21">
        <v>1</v>
      </c>
    </row>
    <row r="270" spans="1:31" ht="45" customHeight="1" x14ac:dyDescent="0.25">
      <c r="A270" s="86" t="s">
        <v>562</v>
      </c>
      <c r="B270" s="52" t="s">
        <v>1456</v>
      </c>
      <c r="C270" s="52"/>
      <c r="D270" s="52" t="s">
        <v>1462</v>
      </c>
      <c r="E270" s="52"/>
      <c r="F270" s="52" t="s">
        <v>1417</v>
      </c>
      <c r="G270" s="52"/>
      <c r="H270" s="52" t="s">
        <v>1537</v>
      </c>
      <c r="I270" s="52" t="s">
        <v>17</v>
      </c>
      <c r="J270" s="52" t="s">
        <v>493</v>
      </c>
      <c r="K270" s="22" t="str">
        <f>VLOOKUP(CONCATENATE(A270,LEFT(J270,4)),AGRUPAMENTO!$D$2:$E$6784,2,FALSE)</f>
        <v>Cursos de formação e capacitações</v>
      </c>
      <c r="L270" s="52" t="s">
        <v>45</v>
      </c>
      <c r="M270" s="52"/>
      <c r="N270" s="52">
        <v>10</v>
      </c>
      <c r="O270" s="86" t="s">
        <v>1538</v>
      </c>
      <c r="P270" s="86" t="s">
        <v>47</v>
      </c>
      <c r="Q270" s="86" t="s">
        <v>1539</v>
      </c>
      <c r="R270" s="86">
        <v>1</v>
      </c>
      <c r="S270" s="86" t="s">
        <v>1540</v>
      </c>
      <c r="T270" s="86">
        <v>9600000</v>
      </c>
      <c r="U270" s="86">
        <v>1</v>
      </c>
      <c r="V270" s="58">
        <f t="shared" si="4"/>
        <v>9600000</v>
      </c>
      <c r="W270" s="52" t="s">
        <v>50</v>
      </c>
      <c r="X270" s="52" t="s">
        <v>786</v>
      </c>
      <c r="Y270" s="52" t="s">
        <v>1541</v>
      </c>
      <c r="Z270" s="52" t="s">
        <v>1542</v>
      </c>
      <c r="AA270" s="52">
        <v>0</v>
      </c>
      <c r="AB270" s="52">
        <v>0</v>
      </c>
      <c r="AC270" s="52">
        <v>0</v>
      </c>
      <c r="AD270" s="21">
        <v>1</v>
      </c>
      <c r="AE270" s="21">
        <v>1</v>
      </c>
    </row>
    <row r="271" spans="1:31" ht="45" customHeight="1" x14ac:dyDescent="0.25">
      <c r="A271" s="86" t="s">
        <v>562</v>
      </c>
      <c r="B271" s="52" t="s">
        <v>1456</v>
      </c>
      <c r="C271" s="52"/>
      <c r="D271" s="52" t="s">
        <v>1462</v>
      </c>
      <c r="E271" s="52"/>
      <c r="F271" s="52" t="s">
        <v>1463</v>
      </c>
      <c r="G271" s="52"/>
      <c r="H271" s="52" t="s">
        <v>1543</v>
      </c>
      <c r="I271" s="52" t="s">
        <v>17</v>
      </c>
      <c r="J271" s="52" t="s">
        <v>237</v>
      </c>
      <c r="K271" s="22" t="str">
        <f>VLOOKUP(CONCATENATE(A271,LEFT(J271,4)),AGRUPAMENTO!$D$2:$E$6784,2,FALSE)</f>
        <v>SUBVENÇÕES SOCIAIS</v>
      </c>
      <c r="L271" s="52" t="s">
        <v>45</v>
      </c>
      <c r="M271" s="52"/>
      <c r="N271" s="52">
        <v>10</v>
      </c>
      <c r="O271" s="52" t="s">
        <v>237</v>
      </c>
      <c r="P271" s="86" t="s">
        <v>47</v>
      </c>
      <c r="Q271" s="86" t="s">
        <v>1544</v>
      </c>
      <c r="R271" s="86">
        <v>1</v>
      </c>
      <c r="S271" s="86" t="s">
        <v>588</v>
      </c>
      <c r="T271" s="86">
        <v>965000</v>
      </c>
      <c r="U271" s="86">
        <v>1</v>
      </c>
      <c r="V271" s="58">
        <f t="shared" ref="V271" si="5">R271*T271*U271</f>
        <v>965000</v>
      </c>
      <c r="W271" s="52" t="s">
        <v>50</v>
      </c>
      <c r="X271" s="52" t="s">
        <v>1545</v>
      </c>
      <c r="Y271" s="52" t="s">
        <v>1546</v>
      </c>
      <c r="Z271" s="52" t="s">
        <v>1547</v>
      </c>
      <c r="AA271" s="52">
        <v>0</v>
      </c>
      <c r="AB271" s="52">
        <v>0</v>
      </c>
      <c r="AC271" s="52">
        <v>0</v>
      </c>
      <c r="AD271" s="21">
        <v>1</v>
      </c>
      <c r="AE271" s="21">
        <v>1</v>
      </c>
    </row>
    <row r="272" spans="1:31" ht="45" customHeight="1" x14ac:dyDescent="0.25">
      <c r="A272" s="86" t="s">
        <v>562</v>
      </c>
      <c r="B272" s="52" t="s">
        <v>1456</v>
      </c>
      <c r="C272" s="52"/>
      <c r="D272" s="52" t="s">
        <v>1462</v>
      </c>
      <c r="E272" s="52"/>
      <c r="F272" s="52" t="s">
        <v>1463</v>
      </c>
      <c r="G272" s="52"/>
      <c r="H272" s="52" t="s">
        <v>1543</v>
      </c>
      <c r="I272" s="52" t="s">
        <v>17</v>
      </c>
      <c r="J272" s="52" t="s">
        <v>149</v>
      </c>
      <c r="K272" s="22" t="str">
        <f>VLOOKUP(CONCATENATE(A272,LEFT(J272,4)),AGRUPAMENTO!$D$2:$E$6784,2,FALSE)</f>
        <v>Material de consumo</v>
      </c>
      <c r="L272" s="52" t="s">
        <v>45</v>
      </c>
      <c r="M272" s="52"/>
      <c r="N272" s="52">
        <v>10</v>
      </c>
      <c r="O272" s="86" t="s">
        <v>149</v>
      </c>
      <c r="P272" s="86" t="s">
        <v>47</v>
      </c>
      <c r="Q272" s="86" t="s">
        <v>1548</v>
      </c>
      <c r="R272" s="86">
        <v>3500</v>
      </c>
      <c r="S272" s="86" t="s">
        <v>588</v>
      </c>
      <c r="T272" s="86">
        <v>10</v>
      </c>
      <c r="U272" s="86">
        <v>1</v>
      </c>
      <c r="V272" s="58">
        <f t="shared" si="4"/>
        <v>35000</v>
      </c>
      <c r="W272" s="52" t="s">
        <v>50</v>
      </c>
      <c r="X272" s="52" t="s">
        <v>1549</v>
      </c>
      <c r="Y272" s="52" t="s">
        <v>1550</v>
      </c>
      <c r="Z272" s="52" t="s">
        <v>1547</v>
      </c>
      <c r="AA272" s="52">
        <v>0</v>
      </c>
      <c r="AB272" s="52">
        <v>0</v>
      </c>
      <c r="AC272" s="52">
        <v>0</v>
      </c>
      <c r="AD272" s="21">
        <v>1</v>
      </c>
      <c r="AE272" s="21">
        <v>1</v>
      </c>
    </row>
    <row r="273" spans="1:31" ht="45" customHeight="1" x14ac:dyDescent="0.25">
      <c r="A273" s="86" t="s">
        <v>562</v>
      </c>
      <c r="B273" s="52" t="s">
        <v>1456</v>
      </c>
      <c r="C273" s="52"/>
      <c r="D273" s="52" t="s">
        <v>1462</v>
      </c>
      <c r="E273" s="52"/>
      <c r="F273" s="52" t="s">
        <v>1551</v>
      </c>
      <c r="G273" s="52"/>
      <c r="H273" s="52" t="s">
        <v>1552</v>
      </c>
      <c r="I273" s="52" t="s">
        <v>17</v>
      </c>
      <c r="J273" s="106" t="s">
        <v>237</v>
      </c>
      <c r="K273" s="22" t="str">
        <f>VLOOKUP(CONCATENATE(A273,LEFT(J273,4)),AGRUPAMENTO!$D$2:$E$6784,2,FALSE)</f>
        <v>SUBVENÇÕES SOCIAIS</v>
      </c>
      <c r="L273" s="52" t="s">
        <v>45</v>
      </c>
      <c r="M273" s="52"/>
      <c r="N273" s="52">
        <v>10</v>
      </c>
      <c r="O273" s="86" t="s">
        <v>1553</v>
      </c>
      <c r="P273" s="86" t="s">
        <v>47</v>
      </c>
      <c r="Q273" s="86" t="s">
        <v>1554</v>
      </c>
      <c r="R273" s="86">
        <v>250</v>
      </c>
      <c r="S273" s="86" t="s">
        <v>1555</v>
      </c>
      <c r="T273" s="86">
        <v>30000</v>
      </c>
      <c r="U273" s="86">
        <v>1</v>
      </c>
      <c r="V273" s="58">
        <f t="shared" si="4"/>
        <v>7500000</v>
      </c>
      <c r="W273" s="52" t="s">
        <v>50</v>
      </c>
      <c r="X273" s="52" t="s">
        <v>1556</v>
      </c>
      <c r="Y273" s="52" t="s">
        <v>1557</v>
      </c>
      <c r="Z273" s="52" t="s">
        <v>1558</v>
      </c>
      <c r="AA273" s="52">
        <v>0</v>
      </c>
      <c r="AB273" s="52">
        <v>0</v>
      </c>
      <c r="AC273" s="52">
        <v>0</v>
      </c>
      <c r="AD273" s="21">
        <v>1</v>
      </c>
      <c r="AE273" s="21">
        <v>1</v>
      </c>
    </row>
    <row r="274" spans="1:31" ht="45" customHeight="1" x14ac:dyDescent="0.25">
      <c r="A274" s="86" t="s">
        <v>562</v>
      </c>
      <c r="B274" s="52" t="s">
        <v>1456</v>
      </c>
      <c r="C274" s="52"/>
      <c r="D274" s="52" t="s">
        <v>1462</v>
      </c>
      <c r="E274" s="52"/>
      <c r="F274" s="52" t="s">
        <v>1551</v>
      </c>
      <c r="G274" s="52"/>
      <c r="H274" s="52" t="s">
        <v>1552</v>
      </c>
      <c r="I274" s="52" t="s">
        <v>17</v>
      </c>
      <c r="J274" s="52" t="s">
        <v>236</v>
      </c>
      <c r="K274" s="22" t="str">
        <f>VLOOKUP(CONCATENATE(A274,LEFT(J274,4)),AGRUPAMENTO!$D$2:$E$6784,2,FALSE)</f>
        <v>Instrumentos de Saída</v>
      </c>
      <c r="L274" s="52" t="s">
        <v>95</v>
      </c>
      <c r="M274" s="52"/>
      <c r="N274" s="52">
        <v>10</v>
      </c>
      <c r="O274" s="86" t="s">
        <v>1559</v>
      </c>
      <c r="P274" s="86" t="s">
        <v>47</v>
      </c>
      <c r="Q274" s="86" t="s">
        <v>1560</v>
      </c>
      <c r="R274" s="86">
        <v>250</v>
      </c>
      <c r="S274" s="86" t="s">
        <v>1561</v>
      </c>
      <c r="T274" s="86">
        <v>30000</v>
      </c>
      <c r="U274" s="86">
        <v>1</v>
      </c>
      <c r="V274" s="58">
        <f t="shared" si="4"/>
        <v>7500000</v>
      </c>
      <c r="W274" s="52" t="s">
        <v>50</v>
      </c>
      <c r="X274" s="52" t="s">
        <v>1562</v>
      </c>
      <c r="Y274" s="52" t="s">
        <v>1563</v>
      </c>
      <c r="Z274" s="52" t="s">
        <v>1564</v>
      </c>
      <c r="AA274" s="52">
        <v>0</v>
      </c>
      <c r="AB274" s="52">
        <v>0</v>
      </c>
      <c r="AC274" s="52">
        <v>0</v>
      </c>
      <c r="AD274" s="21">
        <v>1</v>
      </c>
      <c r="AE274" s="21">
        <v>1</v>
      </c>
    </row>
    <row r="275" spans="1:31" ht="45" customHeight="1" x14ac:dyDescent="0.25">
      <c r="A275" s="86" t="s">
        <v>562</v>
      </c>
      <c r="B275" s="52" t="s">
        <v>1456</v>
      </c>
      <c r="C275" s="52"/>
      <c r="D275" s="52" t="s">
        <v>1462</v>
      </c>
      <c r="E275" s="52"/>
      <c r="F275" s="52" t="s">
        <v>1463</v>
      </c>
      <c r="G275" s="52"/>
      <c r="H275" s="52" t="s">
        <v>1464</v>
      </c>
      <c r="I275" s="52" t="s">
        <v>17</v>
      </c>
      <c r="J275" s="52" t="s">
        <v>587</v>
      </c>
      <c r="K275" s="22" t="str">
        <f>VLOOKUP(CONCATENATE(A275,LEFT(J275,4)),AGRUPAMENTO!$D$2:$E$6784,2,FALSE)</f>
        <v>Diárias e viagens</v>
      </c>
      <c r="L275" s="52" t="s">
        <v>45</v>
      </c>
      <c r="M275" s="52"/>
      <c r="N275" s="52">
        <v>10</v>
      </c>
      <c r="O275" s="86" t="s">
        <v>761</v>
      </c>
      <c r="P275" s="86" t="s">
        <v>47</v>
      </c>
      <c r="Q275" s="86" t="s">
        <v>575</v>
      </c>
      <c r="R275" s="86">
        <v>100</v>
      </c>
      <c r="S275" s="86" t="s">
        <v>575</v>
      </c>
      <c r="T275" s="86">
        <v>200</v>
      </c>
      <c r="U275" s="86">
        <v>1</v>
      </c>
      <c r="V275" s="58">
        <f t="shared" si="4"/>
        <v>20000</v>
      </c>
      <c r="W275" s="52" t="s">
        <v>50</v>
      </c>
      <c r="X275" s="52" t="s">
        <v>1565</v>
      </c>
      <c r="Y275" s="52" t="s">
        <v>1566</v>
      </c>
      <c r="Z275" s="52" t="s">
        <v>1567</v>
      </c>
      <c r="AA275" s="52">
        <v>0</v>
      </c>
      <c r="AB275" s="52">
        <v>0</v>
      </c>
      <c r="AC275" s="52">
        <v>0</v>
      </c>
      <c r="AD275" s="21">
        <v>1</v>
      </c>
      <c r="AE275" s="21">
        <v>1</v>
      </c>
    </row>
    <row r="276" spans="1:31" ht="45" customHeight="1" x14ac:dyDescent="0.25">
      <c r="A276" s="86" t="s">
        <v>562</v>
      </c>
      <c r="B276" s="52" t="s">
        <v>1456</v>
      </c>
      <c r="C276" s="52"/>
      <c r="D276" s="52" t="s">
        <v>1462</v>
      </c>
      <c r="E276" s="52"/>
      <c r="F276" s="52" t="s">
        <v>1463</v>
      </c>
      <c r="G276" s="52"/>
      <c r="H276" s="52" t="s">
        <v>1464</v>
      </c>
      <c r="I276" s="52" t="s">
        <v>17</v>
      </c>
      <c r="J276" s="52" t="s">
        <v>573</v>
      </c>
      <c r="K276" s="22" t="str">
        <f>VLOOKUP(CONCATENATE(A276,LEFT(J276,4)),AGRUPAMENTO!$D$2:$E$6784,2,FALSE)</f>
        <v>Diárias e viagens</v>
      </c>
      <c r="L276" s="52" t="s">
        <v>45</v>
      </c>
      <c r="M276" s="52"/>
      <c r="N276" s="52">
        <v>10</v>
      </c>
      <c r="O276" s="86" t="s">
        <v>1568</v>
      </c>
      <c r="P276" s="86" t="s">
        <v>47</v>
      </c>
      <c r="Q276" s="86" t="s">
        <v>1560</v>
      </c>
      <c r="R276" s="86">
        <v>100</v>
      </c>
      <c r="S276" s="86" t="s">
        <v>576</v>
      </c>
      <c r="T276" s="86">
        <v>2044.5</v>
      </c>
      <c r="U276" s="86">
        <v>2</v>
      </c>
      <c r="V276" s="58">
        <f t="shared" si="4"/>
        <v>408900</v>
      </c>
      <c r="W276" s="52" t="s">
        <v>50</v>
      </c>
      <c r="X276" s="52" t="s">
        <v>1565</v>
      </c>
      <c r="Y276" s="52" t="s">
        <v>1566</v>
      </c>
      <c r="Z276" s="52" t="s">
        <v>1569</v>
      </c>
      <c r="AA276" s="52">
        <v>0</v>
      </c>
      <c r="AB276" s="52">
        <v>0</v>
      </c>
      <c r="AC276" s="52">
        <v>0</v>
      </c>
      <c r="AD276" s="21">
        <v>1</v>
      </c>
      <c r="AE276" s="21">
        <v>1</v>
      </c>
    </row>
    <row r="277" spans="1:31" ht="45" customHeight="1" x14ac:dyDescent="0.25">
      <c r="A277" s="86" t="s">
        <v>562</v>
      </c>
      <c r="B277" s="52" t="s">
        <v>1456</v>
      </c>
      <c r="C277" s="52"/>
      <c r="D277" s="52" t="s">
        <v>1462</v>
      </c>
      <c r="E277" s="52"/>
      <c r="F277" s="52" t="s">
        <v>1463</v>
      </c>
      <c r="G277" s="52"/>
      <c r="H277" s="52" t="s">
        <v>1570</v>
      </c>
      <c r="I277" s="52" t="s">
        <v>17</v>
      </c>
      <c r="J277" s="52" t="s">
        <v>237</v>
      </c>
      <c r="K277" s="22" t="str">
        <f>VLOOKUP(CONCATENATE(A277,LEFT(J277,4)),AGRUPAMENTO!$D$2:$E$6784,2,FALSE)</f>
        <v>SUBVENÇÕES SOCIAIS</v>
      </c>
      <c r="L277" s="52" t="s">
        <v>45</v>
      </c>
      <c r="M277" s="52"/>
      <c r="N277" s="52">
        <v>10</v>
      </c>
      <c r="O277" s="86" t="s">
        <v>1571</v>
      </c>
      <c r="P277" s="86" t="s">
        <v>1405</v>
      </c>
      <c r="Q277" s="86" t="s">
        <v>1572</v>
      </c>
      <c r="R277" s="86">
        <v>1</v>
      </c>
      <c r="S277" s="86" t="s">
        <v>575</v>
      </c>
      <c r="T277" s="86">
        <v>100000</v>
      </c>
      <c r="U277" s="86">
        <v>1</v>
      </c>
      <c r="V277" s="58">
        <f t="shared" si="4"/>
        <v>100000</v>
      </c>
      <c r="W277" s="52" t="s">
        <v>50</v>
      </c>
      <c r="X277" s="52" t="s">
        <v>1573</v>
      </c>
      <c r="Y277" s="52" t="s">
        <v>1574</v>
      </c>
      <c r="Z277" s="52" t="s">
        <v>1575</v>
      </c>
      <c r="AA277" s="52">
        <v>0</v>
      </c>
      <c r="AB277" s="52">
        <v>0</v>
      </c>
      <c r="AC277" s="52">
        <v>0</v>
      </c>
      <c r="AD277" s="21">
        <v>1</v>
      </c>
      <c r="AE277" s="21">
        <v>1</v>
      </c>
    </row>
    <row r="278" spans="1:31" ht="45" customHeight="1" x14ac:dyDescent="0.25">
      <c r="A278" s="86" t="s">
        <v>562</v>
      </c>
      <c r="B278" s="52" t="s">
        <v>1456</v>
      </c>
      <c r="C278" s="52"/>
      <c r="D278" s="52" t="s">
        <v>1462</v>
      </c>
      <c r="E278" s="52"/>
      <c r="F278" s="52" t="s">
        <v>1463</v>
      </c>
      <c r="G278" s="52"/>
      <c r="H278" s="52" t="s">
        <v>1570</v>
      </c>
      <c r="I278" s="52" t="s">
        <v>17</v>
      </c>
      <c r="J278" s="52" t="s">
        <v>234</v>
      </c>
      <c r="K278" s="22" t="str">
        <f>VLOOKUP(CONCATENATE(A278,LEFT(J278,4)),AGRUPAMENTO!$D$2:$E$6784,2,FALSE)</f>
        <v>Serviços de TIC</v>
      </c>
      <c r="L278" s="52" t="s">
        <v>45</v>
      </c>
      <c r="M278" s="52"/>
      <c r="N278" s="52">
        <v>10</v>
      </c>
      <c r="O278" s="86" t="s">
        <v>1576</v>
      </c>
      <c r="P278" s="86" t="s">
        <v>47</v>
      </c>
      <c r="Q278" s="86" t="s">
        <v>1577</v>
      </c>
      <c r="R278" s="86">
        <v>1</v>
      </c>
      <c r="S278" s="86" t="s">
        <v>1578</v>
      </c>
      <c r="T278" s="86">
        <v>132000000</v>
      </c>
      <c r="U278" s="86">
        <v>1</v>
      </c>
      <c r="V278" s="58">
        <f t="shared" si="4"/>
        <v>132000000</v>
      </c>
      <c r="W278" s="52" t="s">
        <v>50</v>
      </c>
      <c r="X278" s="52" t="s">
        <v>1579</v>
      </c>
      <c r="Y278" s="52" t="s">
        <v>1580</v>
      </c>
      <c r="Z278" s="52" t="s">
        <v>1581</v>
      </c>
      <c r="AA278" s="52">
        <v>0</v>
      </c>
      <c r="AB278" s="52">
        <v>0</v>
      </c>
      <c r="AC278" s="52">
        <v>0</v>
      </c>
      <c r="AD278" s="21">
        <v>1</v>
      </c>
      <c r="AE278" s="21">
        <v>1</v>
      </c>
    </row>
    <row r="279" spans="1:31" ht="45" customHeight="1" x14ac:dyDescent="0.25">
      <c r="A279" s="86" t="s">
        <v>562</v>
      </c>
      <c r="B279" s="52" t="s">
        <v>1456</v>
      </c>
      <c r="C279" s="52"/>
      <c r="D279" s="52" t="s">
        <v>1462</v>
      </c>
      <c r="E279" s="52"/>
      <c r="F279" s="52" t="s">
        <v>1463</v>
      </c>
      <c r="G279" s="52"/>
      <c r="H279" s="52" t="s">
        <v>1582</v>
      </c>
      <c r="I279" s="52" t="s">
        <v>17</v>
      </c>
      <c r="J279" s="52" t="s">
        <v>573</v>
      </c>
      <c r="K279" s="22" t="str">
        <f>VLOOKUP(CONCATENATE(A279,LEFT(J279,4)),AGRUPAMENTO!$D$2:$E$6784,2,FALSE)</f>
        <v>Diárias e viagens</v>
      </c>
      <c r="L279" s="52" t="s">
        <v>45</v>
      </c>
      <c r="M279" s="52"/>
      <c r="N279" s="52">
        <v>10</v>
      </c>
      <c r="O279" s="86" t="s">
        <v>1583</v>
      </c>
      <c r="P279" s="86" t="s">
        <v>47</v>
      </c>
      <c r="Q279" s="86" t="s">
        <v>1560</v>
      </c>
      <c r="R279" s="86">
        <v>100</v>
      </c>
      <c r="S279" s="86" t="s">
        <v>576</v>
      </c>
      <c r="T279" s="86">
        <v>1500</v>
      </c>
      <c r="U279" s="86">
        <v>1</v>
      </c>
      <c r="V279" s="58">
        <f t="shared" si="4"/>
        <v>150000</v>
      </c>
      <c r="W279" s="52" t="s">
        <v>50</v>
      </c>
      <c r="X279" s="52" t="s">
        <v>1584</v>
      </c>
      <c r="Y279" s="52" t="s">
        <v>1585</v>
      </c>
      <c r="Z279" s="52" t="s">
        <v>1586</v>
      </c>
      <c r="AA279" s="52">
        <v>0</v>
      </c>
      <c r="AB279" s="52">
        <v>0</v>
      </c>
      <c r="AC279" s="52">
        <v>0</v>
      </c>
      <c r="AD279" s="21">
        <v>1</v>
      </c>
      <c r="AE279" s="21">
        <v>1</v>
      </c>
    </row>
    <row r="280" spans="1:31" ht="45" customHeight="1" x14ac:dyDescent="0.25">
      <c r="A280" s="86" t="s">
        <v>562</v>
      </c>
      <c r="B280" s="52" t="s">
        <v>1456</v>
      </c>
      <c r="C280" s="52"/>
      <c r="D280" s="52" t="s">
        <v>1462</v>
      </c>
      <c r="E280" s="52"/>
      <c r="F280" s="52" t="s">
        <v>1463</v>
      </c>
      <c r="G280" s="52"/>
      <c r="H280" s="52" t="s">
        <v>1582</v>
      </c>
      <c r="I280" s="52" t="s">
        <v>17</v>
      </c>
      <c r="J280" s="52" t="s">
        <v>579</v>
      </c>
      <c r="K280" s="22" t="str">
        <f>VLOOKUP(CONCATENATE(A280,LEFT(J280,4)),AGRUPAMENTO!$D$2:$E$6784,2,FALSE)</f>
        <v>Diárias e viagens</v>
      </c>
      <c r="L280" s="52" t="s">
        <v>45</v>
      </c>
      <c r="M280" s="52"/>
      <c r="N280" s="52">
        <v>10</v>
      </c>
      <c r="O280" s="86" t="s">
        <v>580</v>
      </c>
      <c r="P280" s="86" t="s">
        <v>47</v>
      </c>
      <c r="Q280" s="86" t="s">
        <v>575</v>
      </c>
      <c r="R280" s="86">
        <v>50</v>
      </c>
      <c r="S280" s="86" t="s">
        <v>581</v>
      </c>
      <c r="T280" s="86">
        <v>300</v>
      </c>
      <c r="U280" s="86">
        <v>1</v>
      </c>
      <c r="V280" s="58">
        <f t="shared" si="4"/>
        <v>15000</v>
      </c>
      <c r="W280" s="52" t="s">
        <v>50</v>
      </c>
      <c r="X280" s="52" t="s">
        <v>1584</v>
      </c>
      <c r="Y280" s="52" t="s">
        <v>1585</v>
      </c>
      <c r="Z280" s="52" t="s">
        <v>1586</v>
      </c>
      <c r="AA280" s="52">
        <v>0</v>
      </c>
      <c r="AB280" s="52">
        <v>0</v>
      </c>
      <c r="AC280" s="52">
        <v>0</v>
      </c>
      <c r="AD280" s="21">
        <v>1</v>
      </c>
      <c r="AE280" s="21">
        <v>1</v>
      </c>
    </row>
    <row r="281" spans="1:31" ht="45" customHeight="1" x14ac:dyDescent="0.25">
      <c r="A281" s="86" t="s">
        <v>562</v>
      </c>
      <c r="B281" s="52" t="s">
        <v>1456</v>
      </c>
      <c r="C281" s="52"/>
      <c r="D281" s="52" t="s">
        <v>1462</v>
      </c>
      <c r="E281" s="52"/>
      <c r="F281" s="52" t="s">
        <v>1463</v>
      </c>
      <c r="G281" s="52"/>
      <c r="H281" s="52" t="s">
        <v>1582</v>
      </c>
      <c r="I281" s="52" t="s">
        <v>17</v>
      </c>
      <c r="J281" s="52" t="s">
        <v>237</v>
      </c>
      <c r="K281" s="22" t="str">
        <f>VLOOKUP(CONCATENATE(A281,LEFT(J281,4)),AGRUPAMENTO!$D$2:$E$6784,2,FALSE)</f>
        <v>SUBVENÇÕES SOCIAIS</v>
      </c>
      <c r="L281" s="52" t="s">
        <v>45</v>
      </c>
      <c r="M281" s="52"/>
      <c r="N281" s="52">
        <v>10</v>
      </c>
      <c r="O281" s="86" t="s">
        <v>1587</v>
      </c>
      <c r="P281" s="86" t="s">
        <v>47</v>
      </c>
      <c r="Q281" s="86" t="s">
        <v>1588</v>
      </c>
      <c r="R281" s="86">
        <v>44</v>
      </c>
      <c r="S281" s="86" t="s">
        <v>1589</v>
      </c>
      <c r="T281" s="86">
        <v>20000</v>
      </c>
      <c r="U281" s="86">
        <v>1</v>
      </c>
      <c r="V281" s="58">
        <f t="shared" si="4"/>
        <v>880000</v>
      </c>
      <c r="W281" s="52" t="s">
        <v>50</v>
      </c>
      <c r="X281" s="52" t="s">
        <v>1584</v>
      </c>
      <c r="Y281" s="52" t="s">
        <v>1585</v>
      </c>
      <c r="Z281" s="52" t="s">
        <v>1586</v>
      </c>
      <c r="AA281" s="52">
        <v>0</v>
      </c>
      <c r="AB281" s="52">
        <v>0</v>
      </c>
      <c r="AC281" s="52">
        <v>0</v>
      </c>
      <c r="AD281" s="21">
        <v>1</v>
      </c>
      <c r="AE281" s="21">
        <v>1</v>
      </c>
    </row>
    <row r="282" spans="1:31" ht="45" customHeight="1" x14ac:dyDescent="0.25">
      <c r="A282" s="86" t="s">
        <v>562</v>
      </c>
      <c r="B282" s="52" t="s">
        <v>1456</v>
      </c>
      <c r="C282" s="52"/>
      <c r="D282" s="52" t="s">
        <v>1462</v>
      </c>
      <c r="E282" s="52"/>
      <c r="F282" s="52" t="s">
        <v>1463</v>
      </c>
      <c r="G282" s="52"/>
      <c r="H282" s="52" t="s">
        <v>1582</v>
      </c>
      <c r="I282" s="52" t="s">
        <v>17</v>
      </c>
      <c r="J282" s="52" t="s">
        <v>587</v>
      </c>
      <c r="K282" s="22" t="str">
        <f>VLOOKUP(CONCATENATE(A282,LEFT(J282,4)),AGRUPAMENTO!$D$2:$E$6784,2,FALSE)</f>
        <v>Diárias e viagens</v>
      </c>
      <c r="L282" s="52" t="s">
        <v>45</v>
      </c>
      <c r="M282" s="52"/>
      <c r="N282" s="52">
        <v>10</v>
      </c>
      <c r="O282" s="86" t="s">
        <v>761</v>
      </c>
      <c r="P282" s="86" t="s">
        <v>47</v>
      </c>
      <c r="Q282" s="86" t="s">
        <v>575</v>
      </c>
      <c r="R282" s="86">
        <v>50</v>
      </c>
      <c r="S282" s="86" t="s">
        <v>575</v>
      </c>
      <c r="T282" s="86">
        <v>150</v>
      </c>
      <c r="U282" s="86">
        <v>1</v>
      </c>
      <c r="V282" s="58">
        <f t="shared" si="4"/>
        <v>7500</v>
      </c>
      <c r="W282" s="52" t="s">
        <v>50</v>
      </c>
      <c r="X282" s="52" t="s">
        <v>1584</v>
      </c>
      <c r="Y282" s="52" t="s">
        <v>1585</v>
      </c>
      <c r="Z282" s="52" t="s">
        <v>1586</v>
      </c>
      <c r="AA282" s="52">
        <v>0</v>
      </c>
      <c r="AB282" s="52">
        <v>0</v>
      </c>
      <c r="AC282" s="52">
        <v>0</v>
      </c>
      <c r="AD282" s="21">
        <v>1</v>
      </c>
      <c r="AE282" s="21">
        <v>1</v>
      </c>
    </row>
    <row r="283" spans="1:31" ht="45" customHeight="1" x14ac:dyDescent="0.25">
      <c r="A283" s="86" t="s">
        <v>562</v>
      </c>
      <c r="B283" s="52" t="s">
        <v>1456</v>
      </c>
      <c r="C283" s="52"/>
      <c r="D283" s="52" t="s">
        <v>1462</v>
      </c>
      <c r="E283" s="52"/>
      <c r="F283" s="52" t="s">
        <v>1463</v>
      </c>
      <c r="G283" s="52"/>
      <c r="H283" s="52" t="s">
        <v>1590</v>
      </c>
      <c r="I283" s="52" t="s">
        <v>17</v>
      </c>
      <c r="J283" s="52" t="s">
        <v>573</v>
      </c>
      <c r="K283" s="22" t="str">
        <f>VLOOKUP(CONCATENATE(A283,LEFT(J283,4)),AGRUPAMENTO!$D$2:$E$6784,2,FALSE)</f>
        <v>Diárias e viagens</v>
      </c>
      <c r="L283" s="52" t="s">
        <v>45</v>
      </c>
      <c r="M283" s="52"/>
      <c r="N283" s="52">
        <v>10</v>
      </c>
      <c r="O283" s="86" t="s">
        <v>1591</v>
      </c>
      <c r="P283" s="86" t="s">
        <v>47</v>
      </c>
      <c r="Q283" s="86" t="s">
        <v>1560</v>
      </c>
      <c r="R283" s="86">
        <v>100</v>
      </c>
      <c r="S283" s="86" t="s">
        <v>576</v>
      </c>
      <c r="T283" s="86">
        <v>1500</v>
      </c>
      <c r="U283" s="86">
        <v>1</v>
      </c>
      <c r="V283" s="58">
        <f t="shared" si="4"/>
        <v>150000</v>
      </c>
      <c r="W283" s="52" t="s">
        <v>50</v>
      </c>
      <c r="X283" s="52" t="s">
        <v>1592</v>
      </c>
      <c r="Y283" s="52" t="s">
        <v>1593</v>
      </c>
      <c r="Z283" s="52" t="s">
        <v>1594</v>
      </c>
      <c r="AA283" s="52">
        <v>0</v>
      </c>
      <c r="AB283" s="52">
        <v>0</v>
      </c>
      <c r="AC283" s="52">
        <v>0</v>
      </c>
      <c r="AD283" s="21">
        <v>1</v>
      </c>
      <c r="AE283" s="21">
        <v>1</v>
      </c>
    </row>
    <row r="284" spans="1:31" ht="45" customHeight="1" x14ac:dyDescent="0.25">
      <c r="A284" s="86" t="s">
        <v>562</v>
      </c>
      <c r="B284" s="52" t="s">
        <v>1456</v>
      </c>
      <c r="C284" s="52"/>
      <c r="D284" s="52" t="s">
        <v>1462</v>
      </c>
      <c r="E284" s="52"/>
      <c r="F284" s="52" t="s">
        <v>1463</v>
      </c>
      <c r="G284" s="52"/>
      <c r="H284" s="52" t="s">
        <v>1590</v>
      </c>
      <c r="I284" s="52" t="s">
        <v>17</v>
      </c>
      <c r="J284" s="52" t="s">
        <v>587</v>
      </c>
      <c r="K284" s="22" t="str">
        <f>VLOOKUP(CONCATENATE(A284,LEFT(J284,4)),AGRUPAMENTO!$D$2:$E$6784,2,FALSE)</f>
        <v>Diárias e viagens</v>
      </c>
      <c r="L284" s="52" t="s">
        <v>45</v>
      </c>
      <c r="M284" s="52"/>
      <c r="N284" s="52">
        <v>10</v>
      </c>
      <c r="O284" s="86" t="s">
        <v>761</v>
      </c>
      <c r="P284" s="86" t="s">
        <v>47</v>
      </c>
      <c r="Q284" s="86" t="s">
        <v>1560</v>
      </c>
      <c r="R284" s="86">
        <v>50</v>
      </c>
      <c r="S284" s="86" t="s">
        <v>576</v>
      </c>
      <c r="T284" s="86">
        <v>300</v>
      </c>
      <c r="U284" s="86">
        <v>1</v>
      </c>
      <c r="V284" s="58">
        <f t="shared" si="4"/>
        <v>15000</v>
      </c>
      <c r="W284" s="52" t="s">
        <v>50</v>
      </c>
      <c r="X284" s="52" t="s">
        <v>1595</v>
      </c>
      <c r="Y284" s="52" t="s">
        <v>1593</v>
      </c>
      <c r="Z284" s="52" t="s">
        <v>1594</v>
      </c>
      <c r="AA284" s="52">
        <v>0</v>
      </c>
      <c r="AB284" s="52">
        <v>0</v>
      </c>
      <c r="AC284" s="52">
        <v>0</v>
      </c>
      <c r="AD284" s="21">
        <v>1</v>
      </c>
      <c r="AE284" s="21">
        <v>1</v>
      </c>
    </row>
    <row r="285" spans="1:31" ht="45" customHeight="1" x14ac:dyDescent="0.25">
      <c r="A285" s="86" t="s">
        <v>562</v>
      </c>
      <c r="B285" s="52" t="s">
        <v>1456</v>
      </c>
      <c r="C285" s="52"/>
      <c r="D285" s="52" t="s">
        <v>1462</v>
      </c>
      <c r="E285" s="52"/>
      <c r="F285" s="52" t="s">
        <v>1463</v>
      </c>
      <c r="G285" s="52"/>
      <c r="H285" s="52" t="s">
        <v>1590</v>
      </c>
      <c r="I285" s="52" t="s">
        <v>17</v>
      </c>
      <c r="J285" s="52" t="s">
        <v>579</v>
      </c>
      <c r="K285" s="22" t="str">
        <f>VLOOKUP(CONCATENATE(A285,LEFT(J285,4)),AGRUPAMENTO!$D$2:$E$6784,2,FALSE)</f>
        <v>Diárias e viagens</v>
      </c>
      <c r="L285" s="52" t="s">
        <v>45</v>
      </c>
      <c r="M285" s="52"/>
      <c r="N285" s="52">
        <v>10</v>
      </c>
      <c r="O285" s="86" t="s">
        <v>580</v>
      </c>
      <c r="P285" s="86" t="s">
        <v>47</v>
      </c>
      <c r="Q285" s="86" t="s">
        <v>575</v>
      </c>
      <c r="R285" s="86">
        <v>50</v>
      </c>
      <c r="S285" s="86" t="s">
        <v>581</v>
      </c>
      <c r="T285" s="86">
        <v>300</v>
      </c>
      <c r="U285" s="86">
        <v>1</v>
      </c>
      <c r="V285" s="58">
        <f t="shared" si="4"/>
        <v>15000</v>
      </c>
      <c r="W285" s="52" t="s">
        <v>50</v>
      </c>
      <c r="X285" s="52" t="s">
        <v>1595</v>
      </c>
      <c r="Y285" s="52" t="s">
        <v>1593</v>
      </c>
      <c r="Z285" s="52" t="s">
        <v>1594</v>
      </c>
      <c r="AA285" s="52">
        <v>0</v>
      </c>
      <c r="AB285" s="52">
        <v>0</v>
      </c>
      <c r="AC285" s="52">
        <v>0</v>
      </c>
      <c r="AD285" s="21">
        <v>1</v>
      </c>
      <c r="AE285" s="21">
        <v>1</v>
      </c>
    </row>
    <row r="286" spans="1:31" ht="45" customHeight="1" x14ac:dyDescent="0.25">
      <c r="A286" s="86" t="s">
        <v>562</v>
      </c>
      <c r="B286" s="52" t="s">
        <v>1456</v>
      </c>
      <c r="C286" s="52"/>
      <c r="D286" s="52" t="s">
        <v>1462</v>
      </c>
      <c r="E286" s="52"/>
      <c r="F286" s="52" t="s">
        <v>1463</v>
      </c>
      <c r="G286" s="52"/>
      <c r="H286" s="52" t="s">
        <v>1590</v>
      </c>
      <c r="I286" s="52" t="s">
        <v>17</v>
      </c>
      <c r="J286" s="52" t="s">
        <v>488</v>
      </c>
      <c r="K286" s="22" t="str">
        <f>VLOOKUP(CONCATENATE(A286,LEFT(J286,4)),AGRUPAMENTO!$D$2:$E$6784,2,FALSE)</f>
        <v>Termos de parceria e contratos de gestão</v>
      </c>
      <c r="L286" s="52" t="s">
        <v>45</v>
      </c>
      <c r="M286" s="52"/>
      <c r="N286" s="52">
        <v>10</v>
      </c>
      <c r="O286" s="86" t="s">
        <v>1596</v>
      </c>
      <c r="P286" s="86" t="s">
        <v>47</v>
      </c>
      <c r="Q286" s="86" t="s">
        <v>1588</v>
      </c>
      <c r="R286" s="86">
        <v>1</v>
      </c>
      <c r="S286" s="86" t="s">
        <v>1597</v>
      </c>
      <c r="T286" s="86">
        <v>500000</v>
      </c>
      <c r="U286" s="86">
        <v>1</v>
      </c>
      <c r="V286" s="58">
        <f t="shared" si="4"/>
        <v>500000</v>
      </c>
      <c r="W286" s="52" t="s">
        <v>50</v>
      </c>
      <c r="X286" s="52" t="s">
        <v>1598</v>
      </c>
      <c r="Y286" s="52" t="s">
        <v>1599</v>
      </c>
      <c r="Z286" s="52" t="s">
        <v>1600</v>
      </c>
      <c r="AA286" s="52">
        <v>0</v>
      </c>
      <c r="AB286" s="52">
        <v>0</v>
      </c>
      <c r="AC286" s="52">
        <v>0</v>
      </c>
      <c r="AD286" s="21">
        <v>1</v>
      </c>
      <c r="AE286" s="21">
        <v>1</v>
      </c>
    </row>
    <row r="287" spans="1:31" ht="45" customHeight="1" x14ac:dyDescent="0.25">
      <c r="A287" s="86" t="s">
        <v>562</v>
      </c>
      <c r="B287" s="52" t="s">
        <v>1456</v>
      </c>
      <c r="C287" s="52"/>
      <c r="D287" s="52" t="s">
        <v>1462</v>
      </c>
      <c r="E287" s="52"/>
      <c r="F287" s="52" t="s">
        <v>1463</v>
      </c>
      <c r="G287" s="52"/>
      <c r="H287" s="52" t="s">
        <v>1590</v>
      </c>
      <c r="I287" s="52" t="s">
        <v>17</v>
      </c>
      <c r="J287" s="52" t="s">
        <v>237</v>
      </c>
      <c r="K287" s="22" t="str">
        <f>VLOOKUP(CONCATENATE(A287,LEFT(J287,4)),AGRUPAMENTO!$D$2:$E$6784,2,FALSE)</f>
        <v>SUBVENÇÕES SOCIAIS</v>
      </c>
      <c r="L287" s="52" t="s">
        <v>45</v>
      </c>
      <c r="M287" s="52"/>
      <c r="N287" s="52">
        <v>10</v>
      </c>
      <c r="O287" s="86" t="s">
        <v>1601</v>
      </c>
      <c r="P287" s="86" t="s">
        <v>47</v>
      </c>
      <c r="Q287" s="86" t="s">
        <v>1588</v>
      </c>
      <c r="R287" s="86">
        <v>33</v>
      </c>
      <c r="S287" s="86" t="s">
        <v>1602</v>
      </c>
      <c r="T287" s="86">
        <v>10000</v>
      </c>
      <c r="U287" s="86">
        <v>1</v>
      </c>
      <c r="V287" s="58">
        <f t="shared" si="4"/>
        <v>330000</v>
      </c>
      <c r="W287" s="52" t="s">
        <v>50</v>
      </c>
      <c r="X287" s="52" t="s">
        <v>1603</v>
      </c>
      <c r="Y287" s="52" t="s">
        <v>1604</v>
      </c>
      <c r="Z287" s="52" t="s">
        <v>1600</v>
      </c>
      <c r="AA287" s="52">
        <v>0</v>
      </c>
      <c r="AB287" s="52">
        <v>0</v>
      </c>
      <c r="AC287" s="52">
        <v>0</v>
      </c>
      <c r="AD287" s="21">
        <v>1</v>
      </c>
      <c r="AE287" s="21">
        <v>1</v>
      </c>
    </row>
    <row r="288" spans="1:31" ht="45" customHeight="1" x14ac:dyDescent="0.25">
      <c r="A288" s="86" t="s">
        <v>562</v>
      </c>
      <c r="B288" s="52" t="s">
        <v>1456</v>
      </c>
      <c r="C288" s="52"/>
      <c r="D288" s="52" t="s">
        <v>1462</v>
      </c>
      <c r="E288" s="52"/>
      <c r="F288" s="52" t="s">
        <v>1463</v>
      </c>
      <c r="G288" s="52"/>
      <c r="H288" s="52" t="s">
        <v>1605</v>
      </c>
      <c r="I288" s="52" t="s">
        <v>17</v>
      </c>
      <c r="J288" s="52" t="s">
        <v>236</v>
      </c>
      <c r="K288" s="22" t="str">
        <f>VLOOKUP(CONCATENATE(A288,LEFT(J288,4)),AGRUPAMENTO!$D$2:$E$6784,2,FALSE)</f>
        <v>Instrumentos de Saída</v>
      </c>
      <c r="L288" s="52" t="s">
        <v>95</v>
      </c>
      <c r="M288" s="52"/>
      <c r="N288" s="52">
        <v>10</v>
      </c>
      <c r="O288" s="86" t="s">
        <v>1606</v>
      </c>
      <c r="P288" s="86" t="s">
        <v>47</v>
      </c>
      <c r="Q288" s="86" t="s">
        <v>1588</v>
      </c>
      <c r="R288" s="86">
        <v>3</v>
      </c>
      <c r="S288" s="86" t="s">
        <v>1607</v>
      </c>
      <c r="T288" s="86">
        <v>70000</v>
      </c>
      <c r="U288" s="86">
        <v>1</v>
      </c>
      <c r="V288" s="58">
        <f t="shared" si="4"/>
        <v>210000</v>
      </c>
      <c r="W288" s="52" t="s">
        <v>50</v>
      </c>
      <c r="X288" s="52" t="s">
        <v>1608</v>
      </c>
      <c r="Y288" s="52" t="s">
        <v>1609</v>
      </c>
      <c r="Z288" s="52" t="s">
        <v>1610</v>
      </c>
      <c r="AA288" s="52">
        <v>0</v>
      </c>
      <c r="AB288" s="52">
        <v>0</v>
      </c>
      <c r="AC288" s="52">
        <v>0</v>
      </c>
      <c r="AD288" s="21">
        <v>1</v>
      </c>
      <c r="AE288" s="21">
        <v>1</v>
      </c>
    </row>
    <row r="289" spans="1:31" ht="45" customHeight="1" x14ac:dyDescent="0.25">
      <c r="A289" s="86" t="s">
        <v>562</v>
      </c>
      <c r="B289" s="52" t="s">
        <v>1456</v>
      </c>
      <c r="C289" s="52"/>
      <c r="D289" s="52" t="s">
        <v>1462</v>
      </c>
      <c r="E289" s="52"/>
      <c r="F289" s="52" t="s">
        <v>1463</v>
      </c>
      <c r="G289" s="52"/>
      <c r="H289" s="52" t="s">
        <v>1605</v>
      </c>
      <c r="I289" s="52" t="s">
        <v>17</v>
      </c>
      <c r="J289" s="52" t="s">
        <v>237</v>
      </c>
      <c r="K289" s="22" t="str">
        <f>VLOOKUP(CONCATENATE(A289,LEFT(J289,4)),AGRUPAMENTO!$D$2:$E$6784,2,FALSE)</f>
        <v>SUBVENÇÕES SOCIAIS</v>
      </c>
      <c r="L289" s="52" t="s">
        <v>45</v>
      </c>
      <c r="M289" s="52"/>
      <c r="N289" s="52">
        <v>10</v>
      </c>
      <c r="O289" s="86" t="s">
        <v>1611</v>
      </c>
      <c r="P289" s="86" t="s">
        <v>47</v>
      </c>
      <c r="Q289" s="86" t="s">
        <v>1588</v>
      </c>
      <c r="R289" s="86">
        <v>3</v>
      </c>
      <c r="S289" s="86" t="s">
        <v>1607</v>
      </c>
      <c r="T289" s="86">
        <v>70000</v>
      </c>
      <c r="U289" s="86">
        <v>1</v>
      </c>
      <c r="V289" s="58">
        <f t="shared" si="4"/>
        <v>210000</v>
      </c>
      <c r="W289" s="52" t="s">
        <v>50</v>
      </c>
      <c r="X289" s="52" t="s">
        <v>1608</v>
      </c>
      <c r="Y289" s="52" t="s">
        <v>1609</v>
      </c>
      <c r="Z289" s="52" t="s">
        <v>1610</v>
      </c>
      <c r="AA289" s="52">
        <v>0</v>
      </c>
      <c r="AB289" s="52">
        <v>0</v>
      </c>
      <c r="AC289" s="52">
        <v>0</v>
      </c>
      <c r="AD289" s="21">
        <v>1</v>
      </c>
      <c r="AE289" s="21">
        <v>1</v>
      </c>
    </row>
    <row r="290" spans="1:31" ht="45" customHeight="1" x14ac:dyDescent="0.25">
      <c r="A290" s="86" t="s">
        <v>562</v>
      </c>
      <c r="B290" s="52" t="s">
        <v>1456</v>
      </c>
      <c r="C290" s="52"/>
      <c r="D290" s="52" t="s">
        <v>1462</v>
      </c>
      <c r="E290" s="52"/>
      <c r="F290" s="52" t="s">
        <v>1463</v>
      </c>
      <c r="G290" s="52"/>
      <c r="H290" s="52" t="s">
        <v>1605</v>
      </c>
      <c r="I290" s="52" t="s">
        <v>17</v>
      </c>
      <c r="J290" s="52" t="s">
        <v>573</v>
      </c>
      <c r="K290" s="22" t="str">
        <f>VLOOKUP(CONCATENATE(A290,LEFT(J290,4)),AGRUPAMENTO!$D$2:$E$6784,2,FALSE)</f>
        <v>Diárias e viagens</v>
      </c>
      <c r="L290" s="52" t="s">
        <v>45</v>
      </c>
      <c r="M290" s="52"/>
      <c r="N290" s="52">
        <v>10</v>
      </c>
      <c r="O290" s="86" t="s">
        <v>1612</v>
      </c>
      <c r="P290" s="86" t="s">
        <v>47</v>
      </c>
      <c r="Q290" s="86" t="s">
        <v>1560</v>
      </c>
      <c r="R290" s="86">
        <v>50</v>
      </c>
      <c r="S290" s="86" t="s">
        <v>576</v>
      </c>
      <c r="T290" s="86">
        <v>1500</v>
      </c>
      <c r="U290" s="86">
        <v>1</v>
      </c>
      <c r="V290" s="58">
        <f t="shared" si="4"/>
        <v>75000</v>
      </c>
      <c r="W290" s="52" t="s">
        <v>50</v>
      </c>
      <c r="X290" s="52" t="s">
        <v>1613</v>
      </c>
      <c r="Y290" s="52" t="s">
        <v>1614</v>
      </c>
      <c r="Z290" s="52" t="s">
        <v>1615</v>
      </c>
      <c r="AA290" s="52">
        <v>0</v>
      </c>
      <c r="AB290" s="52">
        <v>0</v>
      </c>
      <c r="AC290" s="52">
        <v>0</v>
      </c>
      <c r="AD290" s="21">
        <v>1</v>
      </c>
      <c r="AE290" s="21">
        <v>1</v>
      </c>
    </row>
    <row r="291" spans="1:31" ht="45" customHeight="1" x14ac:dyDescent="0.25">
      <c r="A291" s="86" t="s">
        <v>562</v>
      </c>
      <c r="B291" s="52" t="s">
        <v>1456</v>
      </c>
      <c r="C291" s="52"/>
      <c r="D291" s="52" t="s">
        <v>1462</v>
      </c>
      <c r="E291" s="52"/>
      <c r="F291" s="52" t="s">
        <v>1463</v>
      </c>
      <c r="G291" s="52"/>
      <c r="H291" s="52" t="s">
        <v>1605</v>
      </c>
      <c r="I291" s="52" t="s">
        <v>17</v>
      </c>
      <c r="J291" s="52" t="s">
        <v>579</v>
      </c>
      <c r="K291" s="22" t="str">
        <f>VLOOKUP(CONCATENATE(A291,LEFT(J291,4)),AGRUPAMENTO!$D$2:$E$6784,2,FALSE)</f>
        <v>Diárias e viagens</v>
      </c>
      <c r="L291" s="52" t="s">
        <v>45</v>
      </c>
      <c r="M291" s="52"/>
      <c r="N291" s="52">
        <v>10</v>
      </c>
      <c r="O291" s="86" t="s">
        <v>580</v>
      </c>
      <c r="P291" s="86" t="s">
        <v>47</v>
      </c>
      <c r="Q291" s="86" t="s">
        <v>575</v>
      </c>
      <c r="R291" s="86">
        <v>50</v>
      </c>
      <c r="S291" s="86" t="s">
        <v>581</v>
      </c>
      <c r="T291" s="86">
        <v>300</v>
      </c>
      <c r="U291" s="86">
        <v>1</v>
      </c>
      <c r="V291" s="58">
        <f t="shared" si="4"/>
        <v>15000</v>
      </c>
      <c r="W291" s="52" t="s">
        <v>50</v>
      </c>
      <c r="X291" s="52" t="s">
        <v>1613</v>
      </c>
      <c r="Y291" s="52" t="s">
        <v>1614</v>
      </c>
      <c r="Z291" s="52" t="s">
        <v>1615</v>
      </c>
      <c r="AA291" s="52">
        <v>0</v>
      </c>
      <c r="AB291" s="52">
        <v>0</v>
      </c>
      <c r="AC291" s="52">
        <v>0</v>
      </c>
      <c r="AD291" s="21">
        <v>1</v>
      </c>
      <c r="AE291" s="21">
        <v>1</v>
      </c>
    </row>
    <row r="292" spans="1:31" ht="45" customHeight="1" x14ac:dyDescent="0.25">
      <c r="A292" s="86" t="s">
        <v>562</v>
      </c>
      <c r="B292" s="52" t="s">
        <v>1456</v>
      </c>
      <c r="C292" s="52"/>
      <c r="D292" s="52" t="s">
        <v>1462</v>
      </c>
      <c r="E292" s="52"/>
      <c r="F292" s="52" t="s">
        <v>1463</v>
      </c>
      <c r="G292" s="52"/>
      <c r="H292" s="52" t="s">
        <v>1605</v>
      </c>
      <c r="I292" s="52" t="s">
        <v>17</v>
      </c>
      <c r="J292" s="52" t="s">
        <v>587</v>
      </c>
      <c r="K292" s="22" t="str">
        <f>VLOOKUP(CONCATENATE(A292,LEFT(J292,4)),AGRUPAMENTO!$D$2:$E$6784,2,FALSE)</f>
        <v>Diárias e viagens</v>
      </c>
      <c r="L292" s="52" t="s">
        <v>45</v>
      </c>
      <c r="M292" s="52"/>
      <c r="N292" s="52">
        <v>10</v>
      </c>
      <c r="O292" s="86" t="s">
        <v>761</v>
      </c>
      <c r="P292" s="86" t="s">
        <v>47</v>
      </c>
      <c r="Q292" s="86" t="s">
        <v>575</v>
      </c>
      <c r="R292" s="86">
        <v>50</v>
      </c>
      <c r="S292" s="86" t="s">
        <v>1525</v>
      </c>
      <c r="T292" s="86">
        <v>300</v>
      </c>
      <c r="U292" s="86">
        <v>1</v>
      </c>
      <c r="V292" s="58">
        <f t="shared" si="4"/>
        <v>15000</v>
      </c>
      <c r="W292" s="52" t="s">
        <v>50</v>
      </c>
      <c r="X292" s="52" t="s">
        <v>1613</v>
      </c>
      <c r="Y292" s="52" t="s">
        <v>1614</v>
      </c>
      <c r="Z292" s="52" t="s">
        <v>1615</v>
      </c>
      <c r="AA292" s="52">
        <v>0</v>
      </c>
      <c r="AB292" s="52">
        <v>0</v>
      </c>
      <c r="AC292" s="52">
        <v>0</v>
      </c>
      <c r="AD292" s="21">
        <v>1</v>
      </c>
      <c r="AE292" s="21">
        <v>1</v>
      </c>
    </row>
    <row r="293" spans="1:31" ht="45" customHeight="1" x14ac:dyDescent="0.25">
      <c r="A293" s="86" t="s">
        <v>562</v>
      </c>
      <c r="B293" s="52" t="s">
        <v>1456</v>
      </c>
      <c r="C293" s="52"/>
      <c r="D293" s="52" t="s">
        <v>1462</v>
      </c>
      <c r="E293" s="52"/>
      <c r="F293" s="52" t="s">
        <v>1463</v>
      </c>
      <c r="G293" s="52"/>
      <c r="H293" s="52" t="s">
        <v>1616</v>
      </c>
      <c r="I293" s="52" t="s">
        <v>17</v>
      </c>
      <c r="J293" s="52" t="s">
        <v>236</v>
      </c>
      <c r="K293" s="22" t="str">
        <f>VLOOKUP(CONCATENATE(A293,LEFT(J293,4)),AGRUPAMENTO!$D$2:$E$6784,2,FALSE)</f>
        <v>Instrumentos de Saída</v>
      </c>
      <c r="L293" s="52" t="s">
        <v>95</v>
      </c>
      <c r="M293" s="52"/>
      <c r="N293" s="52">
        <v>10</v>
      </c>
      <c r="O293" s="86" t="s">
        <v>1617</v>
      </c>
      <c r="P293" s="86" t="s">
        <v>47</v>
      </c>
      <c r="Q293" s="86" t="s">
        <v>1618</v>
      </c>
      <c r="R293" s="86">
        <v>20</v>
      </c>
      <c r="S293" s="86" t="s">
        <v>588</v>
      </c>
      <c r="T293" s="86">
        <v>20000</v>
      </c>
      <c r="U293" s="86">
        <v>1</v>
      </c>
      <c r="V293" s="58">
        <f t="shared" si="4"/>
        <v>400000</v>
      </c>
      <c r="W293" s="52" t="s">
        <v>50</v>
      </c>
      <c r="X293" s="52" t="s">
        <v>1619</v>
      </c>
      <c r="Y293" s="52" t="s">
        <v>1619</v>
      </c>
      <c r="Z293" s="52" t="s">
        <v>1620</v>
      </c>
      <c r="AA293" s="52">
        <v>0</v>
      </c>
      <c r="AB293" s="52">
        <v>0</v>
      </c>
      <c r="AC293" s="52">
        <v>0</v>
      </c>
      <c r="AD293" s="21">
        <v>1</v>
      </c>
      <c r="AE293" s="21">
        <v>1</v>
      </c>
    </row>
    <row r="294" spans="1:31" ht="45" customHeight="1" x14ac:dyDescent="0.25">
      <c r="A294" s="86" t="s">
        <v>562</v>
      </c>
      <c r="B294" s="52" t="s">
        <v>1456</v>
      </c>
      <c r="C294" s="52"/>
      <c r="D294" s="52" t="s">
        <v>1462</v>
      </c>
      <c r="E294" s="52"/>
      <c r="F294" s="52" t="s">
        <v>1463</v>
      </c>
      <c r="G294" s="52"/>
      <c r="H294" s="52" t="s">
        <v>1616</v>
      </c>
      <c r="I294" s="52" t="s">
        <v>17</v>
      </c>
      <c r="J294" s="52" t="s">
        <v>237</v>
      </c>
      <c r="K294" s="22" t="str">
        <f>VLOOKUP(CONCATENATE(A294,LEFT(J294,4)),AGRUPAMENTO!$D$2:$E$6784,2,FALSE)</f>
        <v>SUBVENÇÕES SOCIAIS</v>
      </c>
      <c r="L294" s="52" t="s">
        <v>45</v>
      </c>
      <c r="M294" s="52"/>
      <c r="N294" s="52">
        <v>10</v>
      </c>
      <c r="O294" s="86" t="s">
        <v>1621</v>
      </c>
      <c r="P294" s="86" t="s">
        <v>47</v>
      </c>
      <c r="Q294" s="86" t="s">
        <v>1618</v>
      </c>
      <c r="R294" s="86">
        <v>20</v>
      </c>
      <c r="S294" s="86" t="s">
        <v>588</v>
      </c>
      <c r="T294" s="86">
        <v>5000</v>
      </c>
      <c r="U294" s="86">
        <v>1</v>
      </c>
      <c r="V294" s="58">
        <f t="shared" si="4"/>
        <v>100000</v>
      </c>
      <c r="W294" s="52" t="s">
        <v>50</v>
      </c>
      <c r="X294" s="52" t="s">
        <v>1622</v>
      </c>
      <c r="Y294" s="52" t="s">
        <v>1623</v>
      </c>
      <c r="Z294" s="52" t="s">
        <v>1624</v>
      </c>
      <c r="AA294" s="52">
        <v>1</v>
      </c>
      <c r="AB294" s="52">
        <v>1</v>
      </c>
      <c r="AC294" s="52">
        <v>1</v>
      </c>
      <c r="AD294" s="21">
        <v>1</v>
      </c>
      <c r="AE294" s="21">
        <v>1</v>
      </c>
    </row>
    <row r="295" spans="1:31" ht="45" customHeight="1" x14ac:dyDescent="0.25">
      <c r="A295" s="86" t="s">
        <v>562</v>
      </c>
      <c r="B295" s="52" t="s">
        <v>1456</v>
      </c>
      <c r="C295" s="52"/>
      <c r="D295" s="52" t="s">
        <v>1462</v>
      </c>
      <c r="E295" s="52"/>
      <c r="F295" s="52" t="s">
        <v>1463</v>
      </c>
      <c r="G295" s="52"/>
      <c r="H295" s="52" t="s">
        <v>1625</v>
      </c>
      <c r="I295" s="52" t="s">
        <v>17</v>
      </c>
      <c r="J295" s="52" t="s">
        <v>237</v>
      </c>
      <c r="K295" s="22" t="str">
        <f>VLOOKUP(CONCATENATE(A295,LEFT(J295,4)),AGRUPAMENTO!$D$2:$E$6784,2,FALSE)</f>
        <v>SUBVENÇÕES SOCIAIS</v>
      </c>
      <c r="L295" s="52" t="s">
        <v>45</v>
      </c>
      <c r="M295" s="52"/>
      <c r="N295" s="52">
        <v>21</v>
      </c>
      <c r="O295" s="86" t="s">
        <v>1626</v>
      </c>
      <c r="P295" s="86" t="s">
        <v>47</v>
      </c>
      <c r="Q295" s="86" t="s">
        <v>1627</v>
      </c>
      <c r="R295" s="86">
        <v>1</v>
      </c>
      <c r="S295" s="86" t="s">
        <v>1628</v>
      </c>
      <c r="T295" s="86">
        <v>7000000</v>
      </c>
      <c r="U295" s="86">
        <v>1</v>
      </c>
      <c r="V295" s="58">
        <f t="shared" si="4"/>
        <v>7000000</v>
      </c>
      <c r="W295" s="52" t="s">
        <v>50</v>
      </c>
      <c r="X295" s="52" t="s">
        <v>1629</v>
      </c>
      <c r="Y295" s="52" t="s">
        <v>1630</v>
      </c>
      <c r="Z295" s="52" t="s">
        <v>1631</v>
      </c>
      <c r="AA295" s="52">
        <v>0</v>
      </c>
      <c r="AB295" s="52">
        <v>0</v>
      </c>
      <c r="AC295" s="52">
        <v>0</v>
      </c>
      <c r="AD295" s="21">
        <v>1</v>
      </c>
      <c r="AE295" s="21">
        <v>1</v>
      </c>
    </row>
    <row r="296" spans="1:31" ht="45" customHeight="1" x14ac:dyDescent="0.25">
      <c r="A296" s="86" t="s">
        <v>562</v>
      </c>
      <c r="B296" s="52" t="s">
        <v>1456</v>
      </c>
      <c r="C296" s="52"/>
      <c r="D296" s="52" t="s">
        <v>1462</v>
      </c>
      <c r="E296" s="52"/>
      <c r="F296" s="52" t="s">
        <v>1463</v>
      </c>
      <c r="G296" s="52"/>
      <c r="H296" s="52" t="s">
        <v>1625</v>
      </c>
      <c r="I296" s="52" t="s">
        <v>17</v>
      </c>
      <c r="J296" s="52" t="s">
        <v>237</v>
      </c>
      <c r="K296" s="22" t="str">
        <f>VLOOKUP(CONCATENATE(A296,LEFT(J296,4)),AGRUPAMENTO!$D$2:$E$6784,2,FALSE)</f>
        <v>SUBVENÇÕES SOCIAIS</v>
      </c>
      <c r="L296" s="52" t="s">
        <v>45</v>
      </c>
      <c r="M296" s="52"/>
      <c r="N296" s="52">
        <v>10</v>
      </c>
      <c r="O296" s="86" t="s">
        <v>1632</v>
      </c>
      <c r="P296" s="86" t="s">
        <v>47</v>
      </c>
      <c r="Q296" s="86" t="s">
        <v>1633</v>
      </c>
      <c r="R296" s="86">
        <v>1</v>
      </c>
      <c r="S296" s="86" t="s">
        <v>1634</v>
      </c>
      <c r="T296" s="86">
        <v>1000000</v>
      </c>
      <c r="U296" s="86">
        <v>1</v>
      </c>
      <c r="V296" s="58">
        <f t="shared" si="4"/>
        <v>1000000</v>
      </c>
      <c r="W296" s="52" t="s">
        <v>50</v>
      </c>
      <c r="X296" s="52" t="s">
        <v>1629</v>
      </c>
      <c r="Y296" s="52" t="s">
        <v>1630</v>
      </c>
      <c r="Z296" s="52" t="s">
        <v>1631</v>
      </c>
      <c r="AA296" s="52">
        <v>0</v>
      </c>
      <c r="AB296" s="52">
        <v>0</v>
      </c>
      <c r="AC296" s="52">
        <v>0</v>
      </c>
      <c r="AD296" s="21">
        <v>1</v>
      </c>
      <c r="AE296" s="21">
        <v>1</v>
      </c>
    </row>
    <row r="297" spans="1:31" ht="45" customHeight="1" x14ac:dyDescent="0.25">
      <c r="A297" s="86" t="s">
        <v>562</v>
      </c>
      <c r="B297" s="52" t="s">
        <v>1456</v>
      </c>
      <c r="C297" s="52"/>
      <c r="D297" s="52" t="s">
        <v>1462</v>
      </c>
      <c r="E297" s="52"/>
      <c r="F297" s="52" t="s">
        <v>1463</v>
      </c>
      <c r="G297" s="52"/>
      <c r="H297" s="52" t="s">
        <v>1625</v>
      </c>
      <c r="I297" s="52" t="s">
        <v>17</v>
      </c>
      <c r="J297" s="52" t="s">
        <v>237</v>
      </c>
      <c r="K297" s="22" t="str">
        <f>VLOOKUP(CONCATENATE(A297,LEFT(J297,4)),AGRUPAMENTO!$D$2:$E$6784,2,FALSE)</f>
        <v>SUBVENÇÕES SOCIAIS</v>
      </c>
      <c r="L297" s="52" t="s">
        <v>45</v>
      </c>
      <c r="M297" s="52"/>
      <c r="N297" s="52">
        <v>10</v>
      </c>
      <c r="O297" s="86" t="s">
        <v>1635</v>
      </c>
      <c r="P297" s="86" t="s">
        <v>47</v>
      </c>
      <c r="Q297" s="86" t="s">
        <v>1636</v>
      </c>
      <c r="R297" s="86">
        <v>200</v>
      </c>
      <c r="S297" s="86" t="s">
        <v>1637</v>
      </c>
      <c r="T297" s="86">
        <v>10000</v>
      </c>
      <c r="U297" s="86">
        <v>1</v>
      </c>
      <c r="V297" s="58">
        <f t="shared" si="4"/>
        <v>2000000</v>
      </c>
      <c r="W297" s="52" t="s">
        <v>50</v>
      </c>
      <c r="X297" s="52" t="s">
        <v>1629</v>
      </c>
      <c r="Y297" s="52" t="s">
        <v>1630</v>
      </c>
      <c r="Z297" s="52" t="s">
        <v>1631</v>
      </c>
      <c r="AA297" s="52">
        <v>0</v>
      </c>
      <c r="AB297" s="52">
        <v>0</v>
      </c>
      <c r="AC297" s="52">
        <v>0</v>
      </c>
      <c r="AD297" s="21">
        <v>1</v>
      </c>
      <c r="AE297" s="21">
        <v>1</v>
      </c>
    </row>
    <row r="298" spans="1:31" ht="45" customHeight="1" x14ac:dyDescent="0.25">
      <c r="A298" s="86" t="s">
        <v>562</v>
      </c>
      <c r="B298" s="52" t="s">
        <v>1456</v>
      </c>
      <c r="C298" s="52"/>
      <c r="D298" s="52" t="s">
        <v>1462</v>
      </c>
      <c r="E298" s="52"/>
      <c r="F298" s="52" t="s">
        <v>1463</v>
      </c>
      <c r="G298" s="52"/>
      <c r="H298" s="52" t="s">
        <v>1625</v>
      </c>
      <c r="I298" s="52" t="s">
        <v>17</v>
      </c>
      <c r="J298" s="52" t="s">
        <v>573</v>
      </c>
      <c r="K298" s="22" t="str">
        <f>VLOOKUP(CONCATENATE(A298,LEFT(J298,4)),AGRUPAMENTO!$D$2:$E$6784,2,FALSE)</f>
        <v>Diárias e viagens</v>
      </c>
      <c r="L298" s="52" t="s">
        <v>45</v>
      </c>
      <c r="M298" s="52"/>
      <c r="N298" s="52">
        <v>10</v>
      </c>
      <c r="O298" s="86" t="s">
        <v>1638</v>
      </c>
      <c r="P298" s="86" t="s">
        <v>47</v>
      </c>
      <c r="Q298" s="86" t="s">
        <v>1639</v>
      </c>
      <c r="R298" s="86">
        <v>600</v>
      </c>
      <c r="S298" s="86" t="s">
        <v>576</v>
      </c>
      <c r="T298" s="86">
        <v>1500</v>
      </c>
      <c r="U298" s="86">
        <v>1</v>
      </c>
      <c r="V298" s="58">
        <f t="shared" si="4"/>
        <v>900000</v>
      </c>
      <c r="W298" s="52" t="s">
        <v>50</v>
      </c>
      <c r="X298" s="52" t="s">
        <v>1629</v>
      </c>
      <c r="Y298" s="52" t="s">
        <v>1630</v>
      </c>
      <c r="Z298" s="52" t="s">
        <v>1631</v>
      </c>
      <c r="AA298" s="52">
        <v>0</v>
      </c>
      <c r="AB298" s="52">
        <v>0</v>
      </c>
      <c r="AC298" s="52">
        <v>0</v>
      </c>
      <c r="AD298" s="21">
        <v>1</v>
      </c>
      <c r="AE298" s="21">
        <v>1</v>
      </c>
    </row>
    <row r="299" spans="1:31" ht="45" customHeight="1" x14ac:dyDescent="0.25">
      <c r="A299" s="86" t="s">
        <v>562</v>
      </c>
      <c r="B299" s="52" t="s">
        <v>1456</v>
      </c>
      <c r="C299" s="52"/>
      <c r="D299" s="52" t="s">
        <v>1462</v>
      </c>
      <c r="E299" s="52"/>
      <c r="F299" s="52" t="s">
        <v>1463</v>
      </c>
      <c r="G299" s="52"/>
      <c r="H299" s="52" t="s">
        <v>1625</v>
      </c>
      <c r="I299" s="52" t="s">
        <v>17</v>
      </c>
      <c r="J299" s="52" t="s">
        <v>579</v>
      </c>
      <c r="K299" s="22" t="str">
        <f>VLOOKUP(CONCATENATE(A299,LEFT(J299,4)),AGRUPAMENTO!$D$2:$E$6784,2,FALSE)</f>
        <v>Diárias e viagens</v>
      </c>
      <c r="L299" s="52" t="s">
        <v>45</v>
      </c>
      <c r="M299" s="52"/>
      <c r="N299" s="52">
        <v>10</v>
      </c>
      <c r="O299" s="86" t="s">
        <v>580</v>
      </c>
      <c r="P299" s="86" t="s">
        <v>47</v>
      </c>
      <c r="Q299" s="86" t="s">
        <v>575</v>
      </c>
      <c r="R299" s="86">
        <v>300</v>
      </c>
      <c r="S299" s="86" t="s">
        <v>581</v>
      </c>
      <c r="T299" s="86">
        <v>400</v>
      </c>
      <c r="U299" s="86">
        <v>4</v>
      </c>
      <c r="V299" s="58">
        <f t="shared" si="4"/>
        <v>480000</v>
      </c>
      <c r="W299" s="52" t="s">
        <v>50</v>
      </c>
      <c r="X299" s="52" t="s">
        <v>1629</v>
      </c>
      <c r="Y299" s="52" t="s">
        <v>1630</v>
      </c>
      <c r="Z299" s="52" t="s">
        <v>1631</v>
      </c>
      <c r="AA299" s="52">
        <v>0</v>
      </c>
      <c r="AB299" s="52">
        <v>0</v>
      </c>
      <c r="AC299" s="52">
        <v>0</v>
      </c>
      <c r="AD299" s="21">
        <v>1</v>
      </c>
      <c r="AE299" s="21">
        <v>1</v>
      </c>
    </row>
    <row r="300" spans="1:31" ht="45" customHeight="1" x14ac:dyDescent="0.25">
      <c r="A300" s="86" t="s">
        <v>562</v>
      </c>
      <c r="B300" s="52" t="s">
        <v>1456</v>
      </c>
      <c r="C300" s="52"/>
      <c r="D300" s="52" t="s">
        <v>1462</v>
      </c>
      <c r="E300" s="52"/>
      <c r="F300" s="52" t="s">
        <v>1463</v>
      </c>
      <c r="G300" s="52"/>
      <c r="H300" s="52" t="s">
        <v>1625</v>
      </c>
      <c r="I300" s="52" t="s">
        <v>17</v>
      </c>
      <c r="J300" s="52" t="s">
        <v>451</v>
      </c>
      <c r="K300" s="22" t="str">
        <f>VLOOKUP(CONCATENATE(A300,LEFT(J300,4)),AGRUPAMENTO!$D$2:$E$6784,2,FALSE)</f>
        <v>Frota</v>
      </c>
      <c r="L300" s="52" t="s">
        <v>45</v>
      </c>
      <c r="M300" s="52"/>
      <c r="N300" s="52">
        <v>10</v>
      </c>
      <c r="O300" s="86" t="s">
        <v>1640</v>
      </c>
      <c r="P300" s="86" t="s">
        <v>47</v>
      </c>
      <c r="Q300" s="86" t="s">
        <v>1639</v>
      </c>
      <c r="R300" s="86">
        <v>47</v>
      </c>
      <c r="S300" s="86" t="s">
        <v>1641</v>
      </c>
      <c r="T300" s="86">
        <v>1000</v>
      </c>
      <c r="U300" s="86">
        <v>4</v>
      </c>
      <c r="V300" s="58">
        <f t="shared" si="4"/>
        <v>188000</v>
      </c>
      <c r="W300" s="52" t="s">
        <v>50</v>
      </c>
      <c r="X300" s="52" t="s">
        <v>1629</v>
      </c>
      <c r="Y300" s="52" t="s">
        <v>1630</v>
      </c>
      <c r="Z300" s="52" t="s">
        <v>1631</v>
      </c>
      <c r="AA300" s="52">
        <v>0</v>
      </c>
      <c r="AB300" s="52">
        <v>0</v>
      </c>
      <c r="AC300" s="52">
        <v>0</v>
      </c>
      <c r="AD300" s="21">
        <v>1</v>
      </c>
      <c r="AE300" s="21">
        <v>1</v>
      </c>
    </row>
    <row r="301" spans="1:31" ht="45" customHeight="1" x14ac:dyDescent="0.25">
      <c r="A301" s="86" t="s">
        <v>562</v>
      </c>
      <c r="B301" s="52" t="s">
        <v>1456</v>
      </c>
      <c r="C301" s="52"/>
      <c r="D301" s="52" t="s">
        <v>1462</v>
      </c>
      <c r="E301" s="52"/>
      <c r="F301" s="52" t="s">
        <v>1463</v>
      </c>
      <c r="G301" s="52"/>
      <c r="H301" s="52" t="s">
        <v>1625</v>
      </c>
      <c r="I301" s="52" t="s">
        <v>17</v>
      </c>
      <c r="J301" s="52" t="s">
        <v>587</v>
      </c>
      <c r="K301" s="22" t="str">
        <f>VLOOKUP(CONCATENATE(A301,LEFT(J301,4)),AGRUPAMENTO!$D$2:$E$6784,2,FALSE)</f>
        <v>Diárias e viagens</v>
      </c>
      <c r="L301" s="52" t="s">
        <v>45</v>
      </c>
      <c r="M301" s="52"/>
      <c r="N301" s="52">
        <v>10</v>
      </c>
      <c r="O301" s="86" t="s">
        <v>761</v>
      </c>
      <c r="P301" s="86" t="s">
        <v>47</v>
      </c>
      <c r="Q301" s="86" t="s">
        <v>1639</v>
      </c>
      <c r="R301" s="86">
        <v>250</v>
      </c>
      <c r="S301" s="86" t="s">
        <v>1642</v>
      </c>
      <c r="T301" s="86">
        <v>300</v>
      </c>
      <c r="U301" s="86">
        <v>4</v>
      </c>
      <c r="V301" s="58">
        <f t="shared" si="4"/>
        <v>300000</v>
      </c>
      <c r="W301" s="52" t="s">
        <v>50</v>
      </c>
      <c r="X301" s="52" t="s">
        <v>1629</v>
      </c>
      <c r="Y301" s="52" t="s">
        <v>1630</v>
      </c>
      <c r="Z301" s="52" t="s">
        <v>1631</v>
      </c>
      <c r="AA301" s="52">
        <v>0</v>
      </c>
      <c r="AB301" s="52">
        <v>0</v>
      </c>
      <c r="AC301" s="52">
        <v>0</v>
      </c>
      <c r="AD301" s="21">
        <v>1</v>
      </c>
      <c r="AE301" s="21">
        <v>1</v>
      </c>
    </row>
    <row r="302" spans="1:31" ht="45" customHeight="1" x14ac:dyDescent="0.25">
      <c r="A302" s="86" t="s">
        <v>562</v>
      </c>
      <c r="B302" s="52" t="s">
        <v>1456</v>
      </c>
      <c r="C302" s="52"/>
      <c r="D302" s="52" t="s">
        <v>1462</v>
      </c>
      <c r="E302" s="52"/>
      <c r="F302" s="52" t="s">
        <v>1463</v>
      </c>
      <c r="G302" s="52"/>
      <c r="H302" s="52" t="s">
        <v>1625</v>
      </c>
      <c r="I302" s="52" t="s">
        <v>17</v>
      </c>
      <c r="J302" s="52" t="s">
        <v>237</v>
      </c>
      <c r="K302" s="22" t="str">
        <f>VLOOKUP(CONCATENATE(A302,LEFT(J302,4)),AGRUPAMENTO!$D$2:$E$6784,2,FALSE)</f>
        <v>SUBVENÇÕES SOCIAIS</v>
      </c>
      <c r="L302" s="52" t="s">
        <v>45</v>
      </c>
      <c r="M302" s="52"/>
      <c r="N302" s="52">
        <v>10</v>
      </c>
      <c r="O302" s="86" t="s">
        <v>1643</v>
      </c>
      <c r="P302" s="86" t="s">
        <v>47</v>
      </c>
      <c r="Q302" s="86" t="s">
        <v>1644</v>
      </c>
      <c r="R302" s="86">
        <v>47</v>
      </c>
      <c r="S302" s="86" t="s">
        <v>1645</v>
      </c>
      <c r="T302" s="86">
        <v>1000</v>
      </c>
      <c r="U302" s="86">
        <v>4</v>
      </c>
      <c r="V302" s="58">
        <f t="shared" si="4"/>
        <v>188000</v>
      </c>
      <c r="W302" s="52" t="s">
        <v>50</v>
      </c>
      <c r="X302" s="52" t="s">
        <v>1629</v>
      </c>
      <c r="Y302" s="52" t="s">
        <v>1630</v>
      </c>
      <c r="Z302" s="52" t="s">
        <v>1631</v>
      </c>
      <c r="AA302" s="52">
        <v>0</v>
      </c>
      <c r="AB302" s="52">
        <v>0</v>
      </c>
      <c r="AC302" s="52">
        <v>0</v>
      </c>
      <c r="AD302" s="21">
        <v>1</v>
      </c>
      <c r="AE302" s="21">
        <v>1</v>
      </c>
    </row>
    <row r="303" spans="1:31" ht="45" customHeight="1" x14ac:dyDescent="0.25">
      <c r="A303" s="86" t="s">
        <v>562</v>
      </c>
      <c r="B303" s="52" t="s">
        <v>1456</v>
      </c>
      <c r="C303" s="52"/>
      <c r="D303" s="52" t="s">
        <v>1462</v>
      </c>
      <c r="E303" s="52"/>
      <c r="F303" s="52" t="s">
        <v>1463</v>
      </c>
      <c r="G303" s="52"/>
      <c r="H303" s="52" t="s">
        <v>1646</v>
      </c>
      <c r="I303" s="52" t="s">
        <v>17</v>
      </c>
      <c r="J303" s="52" t="s">
        <v>493</v>
      </c>
      <c r="K303" s="22" t="str">
        <f>VLOOKUP(CONCATENATE(A303,LEFT(J303,4)),AGRUPAMENTO!$D$2:$E$6784,2,FALSE)</f>
        <v>Cursos de formação e capacitações</v>
      </c>
      <c r="L303" s="52" t="s">
        <v>45</v>
      </c>
      <c r="M303" s="52"/>
      <c r="N303" s="52">
        <v>10</v>
      </c>
      <c r="O303" s="86" t="s">
        <v>1647</v>
      </c>
      <c r="P303" s="86" t="s">
        <v>47</v>
      </c>
      <c r="Q303" s="86" t="s">
        <v>1648</v>
      </c>
      <c r="R303" s="86">
        <v>100000</v>
      </c>
      <c r="S303" s="86" t="s">
        <v>1649</v>
      </c>
      <c r="T303" s="86">
        <v>400</v>
      </c>
      <c r="U303" s="86">
        <v>10</v>
      </c>
      <c r="V303" s="58">
        <f t="shared" si="4"/>
        <v>400000000</v>
      </c>
      <c r="W303" s="52" t="s">
        <v>50</v>
      </c>
      <c r="X303" s="52" t="s">
        <v>1650</v>
      </c>
      <c r="Y303" s="52" t="s">
        <v>1651</v>
      </c>
      <c r="Z303" s="52" t="s">
        <v>1652</v>
      </c>
      <c r="AA303" s="52">
        <v>0</v>
      </c>
      <c r="AB303" s="52">
        <v>0</v>
      </c>
      <c r="AC303" s="52">
        <v>0</v>
      </c>
      <c r="AD303" s="21">
        <v>1</v>
      </c>
      <c r="AE303" s="21">
        <v>1</v>
      </c>
    </row>
    <row r="304" spans="1:31" ht="45" customHeight="1" x14ac:dyDescent="0.25">
      <c r="A304" s="86" t="s">
        <v>562</v>
      </c>
      <c r="B304" s="52" t="s">
        <v>1456</v>
      </c>
      <c r="C304" s="52"/>
      <c r="D304" s="52" t="s">
        <v>1462</v>
      </c>
      <c r="E304" s="52"/>
      <c r="F304" s="52" t="s">
        <v>1463</v>
      </c>
      <c r="G304" s="52"/>
      <c r="H304" s="52" t="s">
        <v>1646</v>
      </c>
      <c r="I304" s="52" t="s">
        <v>17</v>
      </c>
      <c r="J304" s="52" t="s">
        <v>237</v>
      </c>
      <c r="K304" s="22" t="str">
        <f>VLOOKUP(CONCATENATE(A304,LEFT(J304,4)),AGRUPAMENTO!$D$2:$E$6784,2,FALSE)</f>
        <v>SUBVENÇÕES SOCIAIS</v>
      </c>
      <c r="L304" s="52" t="s">
        <v>45</v>
      </c>
      <c r="M304" s="52"/>
      <c r="N304" s="52">
        <v>71</v>
      </c>
      <c r="O304" s="86" t="s">
        <v>1653</v>
      </c>
      <c r="P304" s="86" t="s">
        <v>47</v>
      </c>
      <c r="Q304" s="86" t="s">
        <v>1654</v>
      </c>
      <c r="R304" s="86">
        <v>100000</v>
      </c>
      <c r="S304" s="86" t="s">
        <v>1655</v>
      </c>
      <c r="T304" s="86">
        <v>20.78</v>
      </c>
      <c r="U304" s="86">
        <v>100</v>
      </c>
      <c r="V304" s="58">
        <f t="shared" si="4"/>
        <v>207800000</v>
      </c>
      <c r="W304" s="52" t="s">
        <v>50</v>
      </c>
      <c r="X304" s="52" t="s">
        <v>1656</v>
      </c>
      <c r="Y304" s="52" t="s">
        <v>1657</v>
      </c>
      <c r="Z304" s="52" t="s">
        <v>1658</v>
      </c>
      <c r="AA304" s="52">
        <v>0</v>
      </c>
      <c r="AB304" s="52">
        <v>0</v>
      </c>
      <c r="AC304" s="52">
        <v>0</v>
      </c>
      <c r="AD304" s="21">
        <v>1</v>
      </c>
      <c r="AE304" s="21">
        <v>1</v>
      </c>
    </row>
    <row r="305" spans="1:31" ht="45" customHeight="1" x14ac:dyDescent="0.25">
      <c r="A305" s="86" t="s">
        <v>562</v>
      </c>
      <c r="B305" s="52" t="s">
        <v>1456</v>
      </c>
      <c r="C305" s="52"/>
      <c r="D305" s="52" t="s">
        <v>1462</v>
      </c>
      <c r="E305" s="52"/>
      <c r="F305" s="52" t="s">
        <v>1463</v>
      </c>
      <c r="G305" s="52"/>
      <c r="H305" s="52" t="s">
        <v>1646</v>
      </c>
      <c r="I305" s="52" t="s">
        <v>17</v>
      </c>
      <c r="J305" s="52" t="s">
        <v>493</v>
      </c>
      <c r="K305" s="22" t="str">
        <f>VLOOKUP(CONCATENATE(A305,LEFT(J305,4)),AGRUPAMENTO!$D$2:$E$6784,2,FALSE)</f>
        <v>Cursos de formação e capacitações</v>
      </c>
      <c r="L305" s="52" t="s">
        <v>45</v>
      </c>
      <c r="M305" s="52"/>
      <c r="N305" s="52">
        <v>10</v>
      </c>
      <c r="O305" s="86" t="s">
        <v>1659</v>
      </c>
      <c r="P305" s="86" t="s">
        <v>59</v>
      </c>
      <c r="Q305" s="86" t="s">
        <v>1660</v>
      </c>
      <c r="R305" s="86">
        <v>1</v>
      </c>
      <c r="S305" s="86" t="s">
        <v>588</v>
      </c>
      <c r="T305" s="86">
        <v>10000000</v>
      </c>
      <c r="U305" s="86">
        <v>1</v>
      </c>
      <c r="V305" s="58">
        <f t="shared" si="4"/>
        <v>10000000</v>
      </c>
      <c r="W305" s="52" t="s">
        <v>50</v>
      </c>
      <c r="X305" s="52" t="s">
        <v>1656</v>
      </c>
      <c r="Y305" s="52" t="s">
        <v>1661</v>
      </c>
      <c r="Z305" s="52" t="s">
        <v>1662</v>
      </c>
      <c r="AA305" s="52">
        <v>0</v>
      </c>
      <c r="AB305" s="52">
        <v>0</v>
      </c>
      <c r="AC305" s="52">
        <v>0</v>
      </c>
      <c r="AD305" s="21">
        <v>1</v>
      </c>
      <c r="AE305" s="21">
        <v>1</v>
      </c>
    </row>
    <row r="306" spans="1:31" ht="45" customHeight="1" x14ac:dyDescent="0.25">
      <c r="A306" s="86" t="s">
        <v>562</v>
      </c>
      <c r="B306" s="52" t="s">
        <v>1456</v>
      </c>
      <c r="C306" s="52"/>
      <c r="D306" s="52" t="s">
        <v>1462</v>
      </c>
      <c r="E306" s="52"/>
      <c r="F306" s="52" t="s">
        <v>1463</v>
      </c>
      <c r="G306" s="52"/>
      <c r="H306" s="52" t="s">
        <v>1403</v>
      </c>
      <c r="I306" s="52" t="s">
        <v>17</v>
      </c>
      <c r="J306" s="52" t="s">
        <v>234</v>
      </c>
      <c r="K306" s="22" t="str">
        <f>VLOOKUP(CONCATENATE(A306,LEFT(J306,4)),AGRUPAMENTO!$D$2:$E$6784,2,FALSE)</f>
        <v>Serviços de TIC</v>
      </c>
      <c r="L306" s="52" t="s">
        <v>45</v>
      </c>
      <c r="M306" s="52"/>
      <c r="N306" s="52">
        <v>10</v>
      </c>
      <c r="O306" s="86" t="s">
        <v>1663</v>
      </c>
      <c r="P306" s="86" t="s">
        <v>59</v>
      </c>
      <c r="Q306" s="86" t="s">
        <v>1664</v>
      </c>
      <c r="R306" s="86">
        <v>1</v>
      </c>
      <c r="S306" s="86" t="s">
        <v>1665</v>
      </c>
      <c r="T306" s="86">
        <v>15612300</v>
      </c>
      <c r="U306" s="86">
        <v>1</v>
      </c>
      <c r="V306" s="58">
        <f t="shared" si="4"/>
        <v>15612300</v>
      </c>
      <c r="W306" s="52" t="s">
        <v>50</v>
      </c>
      <c r="X306" s="52" t="s">
        <v>1666</v>
      </c>
      <c r="Y306" s="52" t="s">
        <v>1667</v>
      </c>
      <c r="Z306" s="52" t="s">
        <v>1668</v>
      </c>
      <c r="AA306" s="52">
        <v>0</v>
      </c>
      <c r="AB306" s="52">
        <v>0</v>
      </c>
      <c r="AC306" s="52">
        <v>0</v>
      </c>
      <c r="AD306" s="21">
        <v>1</v>
      </c>
      <c r="AE306" s="21">
        <v>1</v>
      </c>
    </row>
    <row r="307" spans="1:31" ht="45" customHeight="1" x14ac:dyDescent="0.25">
      <c r="A307" s="86" t="s">
        <v>562</v>
      </c>
      <c r="B307" s="52" t="s">
        <v>1456</v>
      </c>
      <c r="C307" s="52"/>
      <c r="D307" s="52" t="s">
        <v>1462</v>
      </c>
      <c r="E307" s="52"/>
      <c r="F307" s="52" t="s">
        <v>1463</v>
      </c>
      <c r="G307" s="52"/>
      <c r="H307" s="52" t="s">
        <v>1403</v>
      </c>
      <c r="I307" s="52" t="s">
        <v>17</v>
      </c>
      <c r="J307" s="52" t="s">
        <v>237</v>
      </c>
      <c r="K307" s="22" t="str">
        <f>VLOOKUP(CONCATENATE(A307,LEFT(J307,4)),AGRUPAMENTO!$D$2:$E$6784,2,FALSE)</f>
        <v>SUBVENÇÕES SOCIAIS</v>
      </c>
      <c r="L307" s="52" t="s">
        <v>45</v>
      </c>
      <c r="M307" s="52"/>
      <c r="N307" s="52">
        <v>10</v>
      </c>
      <c r="O307" s="86" t="s">
        <v>1669</v>
      </c>
      <c r="P307" s="86" t="s">
        <v>47</v>
      </c>
      <c r="Q307" s="86" t="s">
        <v>1670</v>
      </c>
      <c r="R307" s="86">
        <v>1</v>
      </c>
      <c r="S307" s="86" t="s">
        <v>1671</v>
      </c>
      <c r="T307" s="86">
        <v>14000000</v>
      </c>
      <c r="U307" s="86">
        <v>1</v>
      </c>
      <c r="V307" s="58">
        <f t="shared" si="4"/>
        <v>14000000</v>
      </c>
      <c r="W307" s="52" t="s">
        <v>50</v>
      </c>
      <c r="X307" s="52" t="s">
        <v>1672</v>
      </c>
      <c r="Y307" s="52" t="s">
        <v>1471</v>
      </c>
      <c r="Z307" s="52" t="s">
        <v>1673</v>
      </c>
      <c r="AA307" s="52">
        <v>0</v>
      </c>
      <c r="AB307" s="52">
        <v>0</v>
      </c>
      <c r="AC307" s="52">
        <v>0</v>
      </c>
      <c r="AD307" s="21">
        <v>1</v>
      </c>
      <c r="AE307" s="21">
        <v>1</v>
      </c>
    </row>
    <row r="308" spans="1:31" ht="45" customHeight="1" x14ac:dyDescent="0.25">
      <c r="A308" s="86" t="s">
        <v>562</v>
      </c>
      <c r="B308" s="52" t="s">
        <v>1456</v>
      </c>
      <c r="C308" s="52"/>
      <c r="D308" s="52" t="s">
        <v>1462</v>
      </c>
      <c r="E308" s="52"/>
      <c r="F308" s="52" t="s">
        <v>1463</v>
      </c>
      <c r="G308" s="52"/>
      <c r="H308" s="52" t="s">
        <v>1403</v>
      </c>
      <c r="I308" s="52" t="s">
        <v>17</v>
      </c>
      <c r="J308" s="52" t="s">
        <v>1674</v>
      </c>
      <c r="K308" s="22" t="str">
        <f>VLOOKUP(CONCATENATE(A308,LEFT(J308,4)),AGRUPAMENTO!$D$2:$E$6784,2,FALSE)</f>
        <v>Consultoria</v>
      </c>
      <c r="L308" s="52" t="s">
        <v>45</v>
      </c>
      <c r="M308" s="52"/>
      <c r="N308" s="52">
        <v>10</v>
      </c>
      <c r="O308" s="86" t="s">
        <v>1675</v>
      </c>
      <c r="P308" s="86" t="s">
        <v>47</v>
      </c>
      <c r="Q308" s="86" t="s">
        <v>1134</v>
      </c>
      <c r="R308" s="86">
        <v>1</v>
      </c>
      <c r="S308" s="86" t="s">
        <v>1483</v>
      </c>
      <c r="T308" s="86">
        <v>1100000</v>
      </c>
      <c r="U308" s="86">
        <v>1</v>
      </c>
      <c r="V308" s="58">
        <f t="shared" si="4"/>
        <v>1100000</v>
      </c>
      <c r="W308" s="52" t="s">
        <v>50</v>
      </c>
      <c r="X308" s="86" t="s">
        <v>582</v>
      </c>
      <c r="Y308" s="86" t="s">
        <v>785</v>
      </c>
      <c r="Z308" s="86" t="s">
        <v>786</v>
      </c>
      <c r="AA308" s="52">
        <v>0</v>
      </c>
      <c r="AB308" s="52">
        <v>0</v>
      </c>
      <c r="AC308" s="52">
        <v>0</v>
      </c>
      <c r="AD308" s="21">
        <v>1</v>
      </c>
      <c r="AE308" s="21">
        <v>1</v>
      </c>
    </row>
    <row r="309" spans="1:31" ht="45" customHeight="1" x14ac:dyDescent="0.25">
      <c r="A309" s="86" t="s">
        <v>562</v>
      </c>
      <c r="B309" s="52" t="s">
        <v>1456</v>
      </c>
      <c r="C309" s="52"/>
      <c r="D309" s="52" t="s">
        <v>1462</v>
      </c>
      <c r="E309" s="52"/>
      <c r="F309" s="52" t="s">
        <v>1463</v>
      </c>
      <c r="G309" s="52"/>
      <c r="H309" s="52" t="s">
        <v>1403</v>
      </c>
      <c r="I309" s="52" t="s">
        <v>17</v>
      </c>
      <c r="J309" s="52" t="s">
        <v>234</v>
      </c>
      <c r="K309" s="22" t="str">
        <f>VLOOKUP(CONCATENATE(A309,LEFT(J309,4)),AGRUPAMENTO!$D$2:$E$6784,2,FALSE)</f>
        <v>Serviços de TIC</v>
      </c>
      <c r="L309" s="52" t="s">
        <v>45</v>
      </c>
      <c r="M309" s="52"/>
      <c r="N309" s="52">
        <v>10</v>
      </c>
      <c r="O309" s="86" t="s">
        <v>1676</v>
      </c>
      <c r="P309" s="86" t="s">
        <v>59</v>
      </c>
      <c r="Q309" s="86" t="s">
        <v>588</v>
      </c>
      <c r="R309" s="86">
        <v>1</v>
      </c>
      <c r="S309" s="86" t="s">
        <v>1483</v>
      </c>
      <c r="T309" s="86">
        <v>4500000</v>
      </c>
      <c r="U309" s="86">
        <v>1</v>
      </c>
      <c r="V309" s="58">
        <f t="shared" si="4"/>
        <v>4500000</v>
      </c>
      <c r="W309" s="52" t="s">
        <v>50</v>
      </c>
      <c r="X309" s="52" t="s">
        <v>1666</v>
      </c>
      <c r="Y309" s="52" t="s">
        <v>1667</v>
      </c>
      <c r="Z309" s="52" t="s">
        <v>1668</v>
      </c>
      <c r="AA309" s="52">
        <v>0</v>
      </c>
      <c r="AB309" s="52">
        <v>0</v>
      </c>
      <c r="AC309" s="52">
        <v>0</v>
      </c>
      <c r="AD309" s="21">
        <v>1</v>
      </c>
      <c r="AE309" s="21">
        <v>1</v>
      </c>
    </row>
    <row r="310" spans="1:31" ht="45" customHeight="1" x14ac:dyDescent="0.25">
      <c r="A310" s="86" t="s">
        <v>562</v>
      </c>
      <c r="B310" s="52" t="s">
        <v>1456</v>
      </c>
      <c r="C310" s="52"/>
      <c r="D310" s="52" t="s">
        <v>1462</v>
      </c>
      <c r="E310" s="52"/>
      <c r="F310" s="52" t="s">
        <v>1463</v>
      </c>
      <c r="G310" s="52"/>
      <c r="H310" s="52" t="s">
        <v>1403</v>
      </c>
      <c r="I310" s="52" t="s">
        <v>17</v>
      </c>
      <c r="J310" s="52" t="s">
        <v>664</v>
      </c>
      <c r="K310" s="22" t="str">
        <f>VLOOKUP(CONCATENATE(A310,LEFT(J310,4)),AGRUPAMENTO!$D$2:$E$6784,2,FALSE)</f>
        <v>Demais despesas de custeio</v>
      </c>
      <c r="L310" s="52" t="s">
        <v>45</v>
      </c>
      <c r="M310" s="52"/>
      <c r="N310" s="52">
        <v>10</v>
      </c>
      <c r="O310" s="86" t="s">
        <v>1677</v>
      </c>
      <c r="P310" s="86" t="s">
        <v>59</v>
      </c>
      <c r="Q310" s="86" t="s">
        <v>588</v>
      </c>
      <c r="R310" s="86">
        <v>1</v>
      </c>
      <c r="S310" s="86" t="s">
        <v>1483</v>
      </c>
      <c r="T310" s="86">
        <v>100000000</v>
      </c>
      <c r="U310" s="86">
        <v>1</v>
      </c>
      <c r="V310" s="58">
        <f t="shared" si="4"/>
        <v>100000000</v>
      </c>
      <c r="W310" s="52" t="s">
        <v>50</v>
      </c>
      <c r="X310" s="52" t="s">
        <v>1678</v>
      </c>
      <c r="Y310" s="52" t="s">
        <v>1678</v>
      </c>
      <c r="Z310" s="52" t="s">
        <v>1679</v>
      </c>
      <c r="AA310" s="52">
        <v>0</v>
      </c>
      <c r="AB310" s="52">
        <v>0</v>
      </c>
      <c r="AC310" s="52">
        <v>0</v>
      </c>
      <c r="AD310" s="21">
        <v>1</v>
      </c>
      <c r="AE310" s="21">
        <v>1</v>
      </c>
    </row>
    <row r="311" spans="1:31" ht="45" customHeight="1" x14ac:dyDescent="0.25">
      <c r="A311" s="86" t="s">
        <v>562</v>
      </c>
      <c r="B311" s="52" t="s">
        <v>1456</v>
      </c>
      <c r="C311" s="52"/>
      <c r="D311" s="52" t="s">
        <v>1462</v>
      </c>
      <c r="E311" s="52"/>
      <c r="F311" s="52" t="s">
        <v>1463</v>
      </c>
      <c r="G311" s="52"/>
      <c r="H311" s="52" t="s">
        <v>1680</v>
      </c>
      <c r="I311" s="52" t="s">
        <v>17</v>
      </c>
      <c r="J311" s="52" t="s">
        <v>1681</v>
      </c>
      <c r="K311" s="22" t="str">
        <f>VLOOKUP(CONCATENATE(A311,LEFT(J311,4)),AGRUPAMENTO!$D$2:$E$6784,2,FALSE)</f>
        <v>Demais despesas de custeio</v>
      </c>
      <c r="L311" s="52" t="s">
        <v>45</v>
      </c>
      <c r="M311" s="52"/>
      <c r="N311" s="52">
        <v>10</v>
      </c>
      <c r="O311" s="86" t="s">
        <v>1682</v>
      </c>
      <c r="P311" s="86" t="s">
        <v>59</v>
      </c>
      <c r="Q311" s="86" t="s">
        <v>1683</v>
      </c>
      <c r="R311" s="86">
        <v>1</v>
      </c>
      <c r="S311" s="86" t="s">
        <v>588</v>
      </c>
      <c r="T311" s="86">
        <v>200000</v>
      </c>
      <c r="U311" s="86">
        <v>1</v>
      </c>
      <c r="V311" s="58">
        <f t="shared" si="4"/>
        <v>200000</v>
      </c>
      <c r="W311" s="52" t="s">
        <v>50</v>
      </c>
      <c r="X311" s="52" t="s">
        <v>1684</v>
      </c>
      <c r="Y311" s="52" t="s">
        <v>1685</v>
      </c>
      <c r="Z311" s="52" t="s">
        <v>1686</v>
      </c>
      <c r="AA311" s="52">
        <v>0</v>
      </c>
      <c r="AB311" s="52">
        <v>0</v>
      </c>
      <c r="AC311" s="52">
        <v>0</v>
      </c>
      <c r="AD311" s="21">
        <v>1</v>
      </c>
      <c r="AE311" s="21">
        <v>1</v>
      </c>
    </row>
    <row r="312" spans="1:31" ht="45" customHeight="1" x14ac:dyDescent="0.25">
      <c r="A312" s="86" t="s">
        <v>562</v>
      </c>
      <c r="B312" s="52" t="s">
        <v>1456</v>
      </c>
      <c r="C312" s="52"/>
      <c r="D312" s="52" t="s">
        <v>1462</v>
      </c>
      <c r="E312" s="52"/>
      <c r="F312" s="52" t="s">
        <v>1463</v>
      </c>
      <c r="G312" s="52"/>
      <c r="H312" s="52" t="s">
        <v>1680</v>
      </c>
      <c r="I312" s="52" t="s">
        <v>17</v>
      </c>
      <c r="J312" s="52" t="s">
        <v>493</v>
      </c>
      <c r="K312" s="22" t="str">
        <f>VLOOKUP(CONCATENATE(A312,LEFT(J312,4)),AGRUPAMENTO!$D$2:$E$6784,2,FALSE)</f>
        <v>Cursos de formação e capacitações</v>
      </c>
      <c r="L312" s="52" t="s">
        <v>45</v>
      </c>
      <c r="M312" s="52"/>
      <c r="N312" s="52">
        <v>10</v>
      </c>
      <c r="O312" s="86" t="s">
        <v>1687</v>
      </c>
      <c r="P312" s="86" t="s">
        <v>47</v>
      </c>
      <c r="Q312" s="86" t="s">
        <v>1688</v>
      </c>
      <c r="R312" s="86">
        <v>1</v>
      </c>
      <c r="S312" s="86" t="s">
        <v>1689</v>
      </c>
      <c r="T312" s="86">
        <v>62000000</v>
      </c>
      <c r="U312" s="86">
        <v>1</v>
      </c>
      <c r="V312" s="58">
        <f t="shared" ref="V312:V316" si="6">R312*T312*U312</f>
        <v>62000000</v>
      </c>
      <c r="W312" s="52" t="s">
        <v>50</v>
      </c>
      <c r="X312" s="52" t="s">
        <v>1690</v>
      </c>
      <c r="Y312" s="52" t="s">
        <v>1691</v>
      </c>
      <c r="Z312" s="52" t="s">
        <v>1692</v>
      </c>
      <c r="AA312" s="52">
        <v>1</v>
      </c>
      <c r="AB312" s="52">
        <v>1</v>
      </c>
      <c r="AC312" s="52">
        <v>1</v>
      </c>
      <c r="AD312" s="21">
        <v>1</v>
      </c>
      <c r="AE312" s="21">
        <v>1</v>
      </c>
    </row>
    <row r="313" spans="1:31" ht="45" customHeight="1" x14ac:dyDescent="0.25">
      <c r="A313" s="86" t="s">
        <v>562</v>
      </c>
      <c r="B313" s="52" t="s">
        <v>1456</v>
      </c>
      <c r="C313" s="52"/>
      <c r="D313" s="52" t="s">
        <v>1462</v>
      </c>
      <c r="E313" s="52"/>
      <c r="F313" s="52" t="s">
        <v>1463</v>
      </c>
      <c r="G313" s="52"/>
      <c r="H313" s="52" t="s">
        <v>1464</v>
      </c>
      <c r="I313" s="52" t="s">
        <v>17</v>
      </c>
      <c r="J313" s="52" t="s">
        <v>579</v>
      </c>
      <c r="K313" s="22" t="str">
        <f>VLOOKUP(CONCATENATE(A313,LEFT(J313,4)),AGRUPAMENTO!$D$2:$E$6784,2,FALSE)</f>
        <v>Diárias e viagens</v>
      </c>
      <c r="L313" s="52" t="s">
        <v>45</v>
      </c>
      <c r="M313" s="52"/>
      <c r="N313" s="52">
        <v>10</v>
      </c>
      <c r="O313" s="86" t="s">
        <v>580</v>
      </c>
      <c r="P313" s="86" t="s">
        <v>47</v>
      </c>
      <c r="Q313" s="86" t="s">
        <v>1560</v>
      </c>
      <c r="R313" s="86">
        <v>100</v>
      </c>
      <c r="S313" s="86" t="s">
        <v>1469</v>
      </c>
      <c r="T313" s="86">
        <v>400</v>
      </c>
      <c r="U313" s="86">
        <v>1</v>
      </c>
      <c r="V313" s="58">
        <f t="shared" si="6"/>
        <v>40000</v>
      </c>
      <c r="W313" s="52" t="s">
        <v>50</v>
      </c>
      <c r="X313" s="52" t="s">
        <v>1693</v>
      </c>
      <c r="Y313" s="52" t="s">
        <v>1694</v>
      </c>
      <c r="Z313" s="52" t="s">
        <v>1695</v>
      </c>
      <c r="AA313" s="52">
        <v>0</v>
      </c>
      <c r="AB313" s="52">
        <v>0</v>
      </c>
      <c r="AC313" s="52">
        <v>0</v>
      </c>
      <c r="AD313" s="21">
        <v>1</v>
      </c>
      <c r="AE313" s="21">
        <v>1</v>
      </c>
    </row>
    <row r="314" spans="1:31" ht="45" customHeight="1" x14ac:dyDescent="0.25">
      <c r="A314" s="86" t="s">
        <v>562</v>
      </c>
      <c r="B314" s="52" t="s">
        <v>1456</v>
      </c>
      <c r="C314" s="52"/>
      <c r="D314" s="52" t="s">
        <v>1462</v>
      </c>
      <c r="E314" s="52"/>
      <c r="F314" s="52" t="s">
        <v>1463</v>
      </c>
      <c r="G314" s="52"/>
      <c r="H314" s="52" t="s">
        <v>1696</v>
      </c>
      <c r="I314" s="52" t="s">
        <v>17</v>
      </c>
      <c r="J314" s="52" t="s">
        <v>237</v>
      </c>
      <c r="K314" s="22" t="str">
        <f>VLOOKUP(CONCATENATE(A314,LEFT(J314,4)),AGRUPAMENTO!$D$2:$E$6784,2,FALSE)</f>
        <v>SUBVENÇÕES SOCIAIS</v>
      </c>
      <c r="L314" s="52" t="s">
        <v>45</v>
      </c>
      <c r="M314" s="52"/>
      <c r="N314" s="52">
        <v>10</v>
      </c>
      <c r="O314" s="86" t="s">
        <v>1697</v>
      </c>
      <c r="P314" s="86" t="s">
        <v>47</v>
      </c>
      <c r="Q314" s="86" t="s">
        <v>1698</v>
      </c>
      <c r="R314" s="86">
        <v>1</v>
      </c>
      <c r="S314" s="86" t="s">
        <v>1699</v>
      </c>
      <c r="T314" s="86">
        <v>2000000</v>
      </c>
      <c r="U314" s="86">
        <v>1</v>
      </c>
      <c r="V314" s="58">
        <f t="shared" si="6"/>
        <v>2000000</v>
      </c>
      <c r="W314" s="52" t="s">
        <v>50</v>
      </c>
      <c r="X314" s="52" t="s">
        <v>1700</v>
      </c>
      <c r="Y314" s="52" t="s">
        <v>1471</v>
      </c>
      <c r="Z314" s="52" t="s">
        <v>1701</v>
      </c>
      <c r="AA314" s="52">
        <v>0</v>
      </c>
      <c r="AB314" s="52">
        <v>0</v>
      </c>
      <c r="AC314" s="52">
        <v>0</v>
      </c>
      <c r="AD314" s="21">
        <v>1</v>
      </c>
      <c r="AE314" s="21">
        <v>1</v>
      </c>
    </row>
    <row r="315" spans="1:31" ht="45" customHeight="1" x14ac:dyDescent="0.25">
      <c r="A315" s="86" t="s">
        <v>562</v>
      </c>
      <c r="B315" s="52" t="s">
        <v>1456</v>
      </c>
      <c r="C315" s="52"/>
      <c r="D315" s="52" t="s">
        <v>1462</v>
      </c>
      <c r="E315" s="52"/>
      <c r="F315" s="52" t="s">
        <v>1463</v>
      </c>
      <c r="G315" s="52"/>
      <c r="H315" s="52" t="s">
        <v>1696</v>
      </c>
      <c r="I315" s="52" t="s">
        <v>17</v>
      </c>
      <c r="J315" s="52" t="s">
        <v>573</v>
      </c>
      <c r="K315" s="22" t="str">
        <f>VLOOKUP(CONCATENATE(A315,LEFT(J315,4)),AGRUPAMENTO!$D$2:$E$6784,2,FALSE)</f>
        <v>Diárias e viagens</v>
      </c>
      <c r="L315" s="52" t="s">
        <v>45</v>
      </c>
      <c r="M315" s="52"/>
      <c r="N315" s="52">
        <v>10</v>
      </c>
      <c r="O315" s="86" t="s">
        <v>1702</v>
      </c>
      <c r="P315" s="86" t="s">
        <v>47</v>
      </c>
      <c r="Q315" s="86" t="s">
        <v>1703</v>
      </c>
      <c r="R315" s="86">
        <v>30</v>
      </c>
      <c r="S315" s="86" t="s">
        <v>1704</v>
      </c>
      <c r="T315" s="86">
        <v>1574.7</v>
      </c>
      <c r="U315" s="86">
        <v>1</v>
      </c>
      <c r="V315" s="58">
        <f t="shared" si="6"/>
        <v>47241</v>
      </c>
      <c r="W315" s="52" t="s">
        <v>50</v>
      </c>
      <c r="X315" s="52" t="s">
        <v>577</v>
      </c>
      <c r="Y315" s="52" t="s">
        <v>570</v>
      </c>
      <c r="Z315" s="52" t="s">
        <v>583</v>
      </c>
      <c r="AA315" s="52">
        <v>0</v>
      </c>
      <c r="AB315" s="52">
        <v>0</v>
      </c>
      <c r="AC315" s="52">
        <v>0</v>
      </c>
      <c r="AD315" s="21">
        <v>1</v>
      </c>
      <c r="AE315" s="21">
        <v>1</v>
      </c>
    </row>
    <row r="316" spans="1:31" ht="45" customHeight="1" x14ac:dyDescent="0.25">
      <c r="A316" s="86" t="s">
        <v>562</v>
      </c>
      <c r="B316" s="52" t="s">
        <v>1456</v>
      </c>
      <c r="C316" s="52"/>
      <c r="D316" s="52" t="s">
        <v>1462</v>
      </c>
      <c r="E316" s="52"/>
      <c r="F316" s="52" t="s">
        <v>1463</v>
      </c>
      <c r="G316" s="52"/>
      <c r="H316" s="52" t="s">
        <v>1696</v>
      </c>
      <c r="I316" s="52" t="s">
        <v>17</v>
      </c>
      <c r="J316" s="52" t="s">
        <v>579</v>
      </c>
      <c r="K316" s="22" t="str">
        <f>VLOOKUP(CONCATENATE(A316,LEFT(J316,4)),AGRUPAMENTO!$D$2:$E$6784,2,FALSE)</f>
        <v>Diárias e viagens</v>
      </c>
      <c r="L316" s="52" t="s">
        <v>45</v>
      </c>
      <c r="M316" s="52"/>
      <c r="N316" s="52">
        <v>10</v>
      </c>
      <c r="O316" s="86" t="s">
        <v>1705</v>
      </c>
      <c r="P316" s="86" t="s">
        <v>47</v>
      </c>
      <c r="Q316" s="86" t="s">
        <v>1703</v>
      </c>
      <c r="R316" s="86">
        <v>10</v>
      </c>
      <c r="S316" s="86" t="s">
        <v>1704</v>
      </c>
      <c r="T316" s="86">
        <v>300</v>
      </c>
      <c r="U316" s="86">
        <v>1</v>
      </c>
      <c r="V316" s="58">
        <f t="shared" si="6"/>
        <v>3000</v>
      </c>
      <c r="W316" s="52" t="s">
        <v>50</v>
      </c>
      <c r="X316" s="52" t="s">
        <v>582</v>
      </c>
      <c r="Y316" s="52" t="s">
        <v>570</v>
      </c>
      <c r="Z316" s="52" t="s">
        <v>583</v>
      </c>
      <c r="AA316" s="52">
        <v>0</v>
      </c>
      <c r="AB316" s="52">
        <v>0</v>
      </c>
      <c r="AC316" s="52">
        <v>0</v>
      </c>
      <c r="AD316" s="21">
        <v>1</v>
      </c>
      <c r="AE316" s="21">
        <v>1</v>
      </c>
    </row>
  </sheetData>
  <sheetProtection formatCells="0" formatColumns="0" formatRows="0" deleteRows="0" selectLockedCells="1" sort="0" autoFilter="0" pivotTables="0"/>
  <autoFilter ref="A2:AC316"/>
  <phoneticPr fontId="7" type="noConversion"/>
  <dataValidations count="7">
    <dataValidation type="decimal" allowBlank="1" showInputMessage="1" showErrorMessage="1" errorTitle="Preço Unitário" error="Esse campo deve ser preenchido com valores núméricos (números inteiros e decimais)." sqref="T21">
      <formula1>0</formula1>
      <formula2>1E+35</formula2>
    </dataValidation>
    <dataValidation type="decimal" allowBlank="1" showInputMessage="1" showErrorMessage="1" errorTitle="Volume" error="Esse campo deve ser preenchido com valores núméricos (números inteiros e decimais)." sqref="R21">
      <formula1>0</formula1>
      <formula2>1E+32</formula2>
    </dataValidation>
    <dataValidation type="whole" allowBlank="1" showInputMessage="1" showErrorMessage="1" errorTitle="Frequência de Pagamento" error="Esse campo deve ser preenchido com números inteiros, de acordo com o número de vezes que o pagamento da despesa é feita ao longo do ano." sqref="U21">
      <formula1>1</formula1>
      <formula2>300</formula2>
    </dataValidation>
    <dataValidation allowBlank="1" showInputMessage="1" showErrorMessage="1" prompt="CAMPO DE PREENCHIMENTO OBRIGATÓRIO" sqref="X21:Z21"/>
    <dataValidation allowBlank="1" showInputMessage="1" showErrorMessage="1" errorTitle="Erro de seleção" error="Selecione apenas as fontes disponiveis!" sqref="N3:N165 N317:N1048576"/>
    <dataValidation type="whole" errorStyle="warning" allowBlank="1" showInputMessage="1" showErrorMessage="1" error="Esse campo deve ser preenchido em escala numérica (números inteiros). " promptTitle="Priorização" prompt="A priorização deve ser feita em escala númerica (números inteiros), sendo &quot;1&quot; aquilo considerado como o mais importante, ou seja, mais próximo do limiar. " sqref="AA260:AC260 AA3:AC48 AA87:AC112 AA166:AC250">
      <formula1>0</formula1>
      <formula2>10000</formula2>
    </dataValidation>
    <dataValidation type="list" allowBlank="1" showInputMessage="1" showErrorMessage="1" sqref="F317:I1048576">
      <formula1>INDIRECT(#REF!)</formula1>
    </dataValidation>
  </dataValidations>
  <hyperlinks>
    <hyperlink ref="F1" location="INDICE!A1" display="INDICE"/>
  </hyperlinks>
  <pageMargins left="0.511811024" right="0.511811024" top="0.78740157499999996" bottom="0.78740157499999996" header="0.31496062000000002" footer="0.31496062000000002"/>
  <pageSetup paperSize="9" orientation="portrait" horizontalDpi="4294967293" verticalDpi="4294967293" r:id="rId1"/>
  <drawing r:id="rId2"/>
  <legacyDrawing r:id="rId3"/>
  <extLst>
    <ext xmlns:x14="http://schemas.microsoft.com/office/spreadsheetml/2009/9/main" uri="{CCE6A557-97BC-4b89-ADB6-D9C93CAAB3DF}">
      <x14:dataValidations xmlns:xm="http://schemas.microsoft.com/office/excel/2006/main" count="15">
        <x14:dataValidation type="list" allowBlank="1" showInputMessage="1" showErrorMessage="1">
          <x14:formula1>
            <xm:f>CENÁRIO!$C$2:$C$3</xm:f>
          </x14:formula1>
          <xm:sqref>P21 P317:P1048576</xm:sqref>
        </x14:dataValidation>
        <x14:dataValidation type="list" allowBlank="1" showInputMessage="1" showErrorMessage="1" prompt="CAMPO DE PREENCHIMENTO OBRIGATÓRIO">
          <x14:formula1>
            <xm:f>CENÁRIO!$A$2:$A$3</xm:f>
          </x14:formula1>
          <xm:sqref>W21</xm:sqref>
        </x14:dataValidation>
        <x14:dataValidation type="list" allowBlank="1" showInputMessage="1" showErrorMessage="1">
          <x14:formula1>
            <xm:f>CENÁRIO!$A$8:$A$10</xm:f>
          </x14:formula1>
          <xm:sqref>L3:M48 L302:M302 L197:M197</xm:sqref>
        </x14:dataValidation>
        <x14:dataValidation type="list" allowBlank="1" showInputMessage="1" showErrorMessage="1" error="Favor selecionar uma opção disponível na lista. ">
          <x14:formula1>
            <xm:f>ORGANOGRAMA!$A$1:$BI$1</xm:f>
          </x14:formula1>
          <xm:sqref>A3:A316</xm:sqref>
        </x14:dataValidation>
        <x14:dataValidation type="list" allowBlank="1" showInputMessage="1" showErrorMessage="1">
          <x14:formula1>
            <xm:f>CENÁRIO!$A$8:$A$9</xm:f>
          </x14:formula1>
          <xm:sqref>L317:M1048576</xm:sqref>
        </x14:dataValidation>
        <x14:dataValidation type="list" allowBlank="1" showInputMessage="1" showErrorMessage="1">
          <x14:formula1>
            <xm:f>CENÁRIO!$A$2:$A$3</xm:f>
          </x14:formula1>
          <xm:sqref>W317:W1048576</xm:sqref>
        </x14:dataValidation>
        <x14:dataValidation type="list" allowBlank="1" showInputMessage="1" showErrorMessage="1">
          <x14:formula1>
            <xm:f>INDIRECT(VALIDACAO!C321)</xm:f>
          </x14:formula1>
          <xm:sqref>J315:J316 J313</xm:sqref>
        </x14:dataValidation>
        <x14:dataValidation type="list" allowBlank="1" showInputMessage="1" showErrorMessage="1">
          <x14:formula1>
            <xm:f>INDIRECT(VALIDACAO!C319)</xm:f>
          </x14:formula1>
          <xm:sqref>J310</xm:sqref>
        </x14:dataValidation>
        <x14:dataValidation type="list" allowBlank="1" showInputMessage="1" showErrorMessage="1">
          <x14:formula1>
            <xm:f>INDIRECT(VALIDACAO!C22)</xm:f>
          </x14:formula1>
          <xm:sqref>J275:J276 J257 J279:J280 J290:J292 J298:J299 J282:J285 J301 J264 J55 J31 J27:J29 J158 J20:J22 J24:J25</xm:sqref>
        </x14:dataValidation>
        <x14:dataValidation type="list" allowBlank="1" showInputMessage="1" showErrorMessage="1">
          <x14:formula1>
            <xm:f>INDIRECT(VALIDACAO!C263)</xm:f>
          </x14:formula1>
          <xm:sqref>J262</xm:sqref>
        </x14:dataValidation>
        <x14:dataValidation type="list" allowBlank="1" showInputMessage="1" showErrorMessage="1">
          <x14:formula1>
            <xm:f>INDIRECT(VALIDACAO!C3)</xm:f>
          </x14:formula1>
          <xm:sqref>J265:J269 J218:J221 J99:J100 J33:J34 J36:J37 J39:J40 J42:J43 J45:J46 J87 J113 J205:J206 J213 J215:J216 J260 J251:J254 J3:J15 J26 J30 J57:J59 J67:J69 J97 J102 J227:J228 J89 J95</xm:sqref>
        </x14:dataValidation>
        <x14:dataValidation type="list" allowBlank="1" showInputMessage="1" showErrorMessage="1">
          <x14:formula1>
            <xm:f>INDIRECT(VALIDACAO!B18)</xm:f>
          </x14:formula1>
          <xm:sqref>H16:H49</xm:sqref>
        </x14:dataValidation>
        <x14:dataValidation type="list" allowBlank="1" showInputMessage="1" showErrorMessage="1">
          <x14:formula1>
            <xm:f>INDIRECT(VALIDACAO!B3)</xm:f>
          </x14:formula1>
          <xm:sqref>H183:H198 H215:H217 H50:H92 H99:I99 H113:H131 H133:I133 H136:I136 H138:H152 H154:I154 H251:H253 H205:H206 I3:I98 H3:H15 H156:H165 I100:I132 I134:I135 I137:I153 I155:I316</xm:sqref>
        </x14:dataValidation>
        <x14:dataValidation type="list" allowBlank="1" showInputMessage="1" showErrorMessage="1">
          <x14:formula1>
            <xm:f>INDIRECT(VALIDACAO!A18)</xm:f>
          </x14:formula1>
          <xm:sqref>F16:G48</xm:sqref>
        </x14:dataValidation>
        <x14:dataValidation type="list" allowBlank="1" showInputMessage="1" showErrorMessage="1">
          <x14:formula1>
            <xm:f>INDIRECT(VALIDACAO!A3)</xm:f>
          </x14:formula1>
          <xm:sqref>F3:G15 F156:G165 F183:G198 F215:G217 F221:G242 F135:G136 F138:G154 F173:G174 F204:G206 F50:G133 F251:G253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I4"/>
  <sheetViews>
    <sheetView topLeftCell="W1" workbookViewId="0">
      <selection activeCell="D6709" sqref="D6709"/>
    </sheetView>
  </sheetViews>
  <sheetFormatPr defaultColWidth="23.28515625" defaultRowHeight="15" x14ac:dyDescent="0.25"/>
  <cols>
    <col min="1" max="16384" width="23.28515625" style="2"/>
  </cols>
  <sheetData>
    <row r="1" spans="1:61" s="20" customFormat="1" ht="9" x14ac:dyDescent="0.15">
      <c r="A1" s="20" t="s">
        <v>1706</v>
      </c>
      <c r="B1" s="59" t="s">
        <v>1707</v>
      </c>
      <c r="C1" s="60" t="s">
        <v>1708</v>
      </c>
      <c r="D1" s="60" t="s">
        <v>1709</v>
      </c>
      <c r="E1" s="20" t="s">
        <v>1710</v>
      </c>
      <c r="F1" s="20" t="s">
        <v>1711</v>
      </c>
      <c r="G1" s="20" t="s">
        <v>1712</v>
      </c>
      <c r="H1" s="60" t="s">
        <v>168</v>
      </c>
      <c r="I1" s="89" t="s">
        <v>1713</v>
      </c>
      <c r="J1" s="89" t="s">
        <v>1714</v>
      </c>
      <c r="K1" s="89" t="s">
        <v>1715</v>
      </c>
      <c r="L1" s="41" t="s">
        <v>1716</v>
      </c>
      <c r="M1" s="60" t="s">
        <v>38</v>
      </c>
      <c r="N1" s="40" t="s">
        <v>1717</v>
      </c>
      <c r="O1" s="60" t="s">
        <v>1718</v>
      </c>
      <c r="P1" s="59" t="s">
        <v>1719</v>
      </c>
      <c r="Q1" s="60" t="s">
        <v>1720</v>
      </c>
      <c r="R1" s="59" t="s">
        <v>1721</v>
      </c>
      <c r="S1" s="40" t="s">
        <v>1722</v>
      </c>
      <c r="T1" s="20" t="s">
        <v>1723</v>
      </c>
      <c r="U1" s="40" t="s">
        <v>1724</v>
      </c>
      <c r="V1" s="40" t="s">
        <v>1725</v>
      </c>
      <c r="W1" s="20" t="s">
        <v>1726</v>
      </c>
      <c r="X1" s="60" t="s">
        <v>1727</v>
      </c>
      <c r="Y1" s="20" t="s">
        <v>1728</v>
      </c>
      <c r="Z1" s="40" t="s">
        <v>1729</v>
      </c>
      <c r="AA1" s="41" t="s">
        <v>1730</v>
      </c>
      <c r="AB1" s="40" t="s">
        <v>1731</v>
      </c>
      <c r="AC1" s="59" t="s">
        <v>1732</v>
      </c>
      <c r="AD1" s="20" t="s">
        <v>1733</v>
      </c>
      <c r="AE1" s="40" t="s">
        <v>1734</v>
      </c>
      <c r="AF1" s="60" t="s">
        <v>1735</v>
      </c>
      <c r="AG1" s="60" t="s">
        <v>1736</v>
      </c>
      <c r="AH1" s="60" t="s">
        <v>1737</v>
      </c>
      <c r="AI1" s="60" t="s">
        <v>1738</v>
      </c>
      <c r="AJ1" s="60" t="s">
        <v>1739</v>
      </c>
      <c r="AK1" s="40" t="s">
        <v>1740</v>
      </c>
      <c r="AL1" s="40" t="s">
        <v>1741</v>
      </c>
      <c r="AM1" s="60" t="s">
        <v>1742</v>
      </c>
      <c r="AN1" s="60" t="s">
        <v>1743</v>
      </c>
      <c r="AO1" s="20" t="s">
        <v>1744</v>
      </c>
      <c r="AP1" s="20" t="s">
        <v>1745</v>
      </c>
      <c r="AQ1" s="20" t="s">
        <v>1746</v>
      </c>
      <c r="AR1" s="20" t="s">
        <v>1747</v>
      </c>
      <c r="AS1" s="20" t="s">
        <v>1748</v>
      </c>
      <c r="AT1" s="20" t="s">
        <v>1749</v>
      </c>
      <c r="AU1" s="20" t="s">
        <v>1750</v>
      </c>
      <c r="AV1" s="20" t="s">
        <v>1751</v>
      </c>
      <c r="AW1" s="20" t="s">
        <v>1752</v>
      </c>
      <c r="AX1" s="60" t="s">
        <v>1753</v>
      </c>
      <c r="AY1" s="20" t="s">
        <v>562</v>
      </c>
      <c r="AZ1" s="20" t="s">
        <v>1754</v>
      </c>
      <c r="BA1" s="20" t="s">
        <v>1755</v>
      </c>
      <c r="BB1" s="20" t="s">
        <v>1756</v>
      </c>
      <c r="BC1" s="20" t="s">
        <v>1757</v>
      </c>
      <c r="BD1" s="20" t="s">
        <v>1758</v>
      </c>
      <c r="BE1" s="20" t="s">
        <v>1759</v>
      </c>
      <c r="BF1" s="40" t="s">
        <v>1760</v>
      </c>
      <c r="BG1" s="40" t="s">
        <v>1761</v>
      </c>
      <c r="BH1" s="40" t="s">
        <v>1762</v>
      </c>
      <c r="BI1" s="40" t="s">
        <v>1763</v>
      </c>
    </row>
    <row r="2" spans="1:61" x14ac:dyDescent="0.25">
      <c r="A2" s="2" t="s">
        <v>1764</v>
      </c>
      <c r="B2" s="2" t="s">
        <v>1765</v>
      </c>
      <c r="C2" s="2" t="s">
        <v>1766</v>
      </c>
    </row>
    <row r="3" spans="1:61" x14ac:dyDescent="0.25">
      <c r="A3" s="2" t="s">
        <v>1767</v>
      </c>
      <c r="B3" s="2" t="s">
        <v>1768</v>
      </c>
      <c r="C3" s="2" t="s">
        <v>1769</v>
      </c>
    </row>
    <row r="4" spans="1:61" x14ac:dyDescent="0.25">
      <c r="A4" s="2" t="s">
        <v>1770</v>
      </c>
      <c r="B4" s="2" t="s">
        <v>1771</v>
      </c>
    </row>
  </sheetData>
  <sortState columnSort="1" ref="A1:AZ1">
    <sortCondition ref="A1:AZ1"/>
  </sortState>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C10"/>
  <sheetViews>
    <sheetView workbookViewId="0">
      <selection activeCell="A10" sqref="A10"/>
    </sheetView>
  </sheetViews>
  <sheetFormatPr defaultRowHeight="15" x14ac:dyDescent="0.25"/>
  <cols>
    <col min="1" max="1" width="26.42578125" bestFit="1" customWidth="1"/>
  </cols>
  <sheetData>
    <row r="1" spans="1:3" x14ac:dyDescent="0.25">
      <c r="A1" s="5" t="s">
        <v>1772</v>
      </c>
      <c r="C1" s="5" t="s">
        <v>1773</v>
      </c>
    </row>
    <row r="2" spans="1:3" x14ac:dyDescent="0.25">
      <c r="A2" s="1" t="s">
        <v>50</v>
      </c>
      <c r="C2" s="1" t="s">
        <v>59</v>
      </c>
    </row>
    <row r="3" spans="1:3" x14ac:dyDescent="0.25">
      <c r="A3" s="1" t="s">
        <v>69</v>
      </c>
      <c r="C3" s="1" t="s">
        <v>47</v>
      </c>
    </row>
    <row r="4" spans="1:3" x14ac:dyDescent="0.25">
      <c r="B4" t="s">
        <v>1774</v>
      </c>
      <c r="C4" t="s">
        <v>59</v>
      </c>
    </row>
    <row r="7" spans="1:3" x14ac:dyDescent="0.25">
      <c r="A7" s="5" t="s">
        <v>1775</v>
      </c>
    </row>
    <row r="8" spans="1:3" x14ac:dyDescent="0.25">
      <c r="A8" t="s">
        <v>45</v>
      </c>
    </row>
    <row r="9" spans="1:3" x14ac:dyDescent="0.25">
      <c r="A9" t="s">
        <v>95</v>
      </c>
    </row>
    <row r="10" spans="1:3" x14ac:dyDescent="0.25">
      <c r="A10" t="s">
        <v>1776</v>
      </c>
    </row>
  </sheetData>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1998"/>
  <sheetViews>
    <sheetView workbookViewId="0">
      <selection activeCell="A2" sqref="A2:B3"/>
    </sheetView>
  </sheetViews>
  <sheetFormatPr defaultRowHeight="15" x14ac:dyDescent="0.25"/>
  <sheetData>
    <row r="2" spans="1:3" ht="30" x14ac:dyDescent="0.25">
      <c r="A2" s="100" t="s">
        <v>13</v>
      </c>
      <c r="B2" s="100" t="s">
        <v>15</v>
      </c>
      <c r="C2" t="s">
        <v>1777</v>
      </c>
    </row>
    <row r="3" spans="1:3" x14ac:dyDescent="0.25">
      <c r="A3" s="22" t="str">
        <f>CONCATENATE('BASE OBZ'!A3,"PROG")</f>
        <v>SEEPROG</v>
      </c>
      <c r="B3" s="22" t="str">
        <f>CONCATENATE("P",(LEFT('BASE OBZ'!F3,3)),'BASE OBZ'!A3)</f>
        <v>P169SEE</v>
      </c>
      <c r="C3" t="s">
        <v>1777</v>
      </c>
    </row>
    <row r="4" spans="1:3" x14ac:dyDescent="0.25">
      <c r="A4" s="22" t="str">
        <f>CONCATENATE('BASE OBZ'!A4,"PROG")</f>
        <v>SEEPROG</v>
      </c>
      <c r="B4" s="22" t="str">
        <f>CONCATENATE("P",(LEFT('BASE OBZ'!F4,3)),'BASE OBZ'!A4)</f>
        <v>P169SEE</v>
      </c>
      <c r="C4" t="s">
        <v>1777</v>
      </c>
    </row>
    <row r="5" spans="1:3" x14ac:dyDescent="0.25">
      <c r="A5" s="22" t="str">
        <f>CONCATENATE('BASE OBZ'!A5,"PROG")</f>
        <v>SEEPROG</v>
      </c>
      <c r="B5" s="22" t="str">
        <f>CONCATENATE("P",(LEFT('BASE OBZ'!F5,3)),'BASE OBZ'!A5)</f>
        <v>P169SEE</v>
      </c>
      <c r="C5" t="s">
        <v>1777</v>
      </c>
    </row>
    <row r="6" spans="1:3" x14ac:dyDescent="0.25">
      <c r="A6" s="22" t="str">
        <f>CONCATENATE('BASE OBZ'!A6,"PROG")</f>
        <v>SEEPROG</v>
      </c>
      <c r="B6" s="22" t="str">
        <f>CONCATENATE("P",(LEFT('BASE OBZ'!F6,3)),'BASE OBZ'!A6)</f>
        <v>P169SEE</v>
      </c>
      <c r="C6" t="s">
        <v>1777</v>
      </c>
    </row>
    <row r="7" spans="1:3" x14ac:dyDescent="0.25">
      <c r="A7" s="22" t="str">
        <f>CONCATENATE('BASE OBZ'!A7,"PROG")</f>
        <v>SEEPROG</v>
      </c>
      <c r="B7" s="22" t="str">
        <f>CONCATENATE("P",(LEFT('BASE OBZ'!F7,3)),'BASE OBZ'!A7)</f>
        <v>P169SEE</v>
      </c>
      <c r="C7" t="s">
        <v>1777</v>
      </c>
    </row>
    <row r="8" spans="1:3" x14ac:dyDescent="0.25">
      <c r="A8" s="22" t="str">
        <f>CONCATENATE('BASE OBZ'!A8,"PROG")</f>
        <v>SEEPROG</v>
      </c>
      <c r="B8" s="22" t="str">
        <f>CONCATENATE("P",(LEFT('BASE OBZ'!F8,3)),'BASE OBZ'!A8)</f>
        <v>P169SEE</v>
      </c>
      <c r="C8" t="s">
        <v>1777</v>
      </c>
    </row>
    <row r="9" spans="1:3" x14ac:dyDescent="0.25">
      <c r="A9" s="22" t="str">
        <f>CONCATENATE('BASE OBZ'!A9,"PROG")</f>
        <v>SEEPROG</v>
      </c>
      <c r="B9" s="22" t="str">
        <f>CONCATENATE("P",(LEFT('BASE OBZ'!F9,3)),'BASE OBZ'!A9)</f>
        <v>P169SEE</v>
      </c>
      <c r="C9" t="s">
        <v>1777</v>
      </c>
    </row>
    <row r="10" spans="1:3" x14ac:dyDescent="0.25">
      <c r="A10" s="22" t="str">
        <f>CONCATENATE('BASE OBZ'!A10,"PROG")</f>
        <v>SEEPROG</v>
      </c>
      <c r="B10" s="22" t="str">
        <f>CONCATENATE("P",(LEFT('BASE OBZ'!F10,3)),'BASE OBZ'!A10)</f>
        <v>P169SEE</v>
      </c>
      <c r="C10" t="s">
        <v>1777</v>
      </c>
    </row>
    <row r="11" spans="1:3" x14ac:dyDescent="0.25">
      <c r="A11" s="22" t="str">
        <f>CONCATENATE('BASE OBZ'!A11,"PROG")</f>
        <v>SEEPROG</v>
      </c>
      <c r="B11" s="22" t="str">
        <f>CONCATENATE("P",(LEFT('BASE OBZ'!F11,3)),'BASE OBZ'!A11)</f>
        <v>P169SEE</v>
      </c>
      <c r="C11" t="s">
        <v>1777</v>
      </c>
    </row>
    <row r="12" spans="1:3" x14ac:dyDescent="0.25">
      <c r="A12" s="22" t="str">
        <f>CONCATENATE('BASE OBZ'!A12,"PROG")</f>
        <v>SEEPROG</v>
      </c>
      <c r="B12" s="22" t="str">
        <f>CONCATENATE("P",(LEFT('BASE OBZ'!F12,3)),'BASE OBZ'!A12)</f>
        <v>P169SEE</v>
      </c>
      <c r="C12" t="s">
        <v>1777</v>
      </c>
    </row>
    <row r="13" spans="1:3" x14ac:dyDescent="0.25">
      <c r="A13" s="22" t="str">
        <f>CONCATENATE('BASE OBZ'!A13,"PROG")</f>
        <v>SEEPROG</v>
      </c>
      <c r="B13" s="22" t="str">
        <f>CONCATENATE("P",(LEFT('BASE OBZ'!F13,3)),'BASE OBZ'!A13)</f>
        <v>P169SEE</v>
      </c>
      <c r="C13" t="s">
        <v>1777</v>
      </c>
    </row>
    <row r="14" spans="1:3" x14ac:dyDescent="0.25">
      <c r="A14" s="22" t="str">
        <f>CONCATENATE('BASE OBZ'!A14,"PROG")</f>
        <v>SEEPROG</v>
      </c>
      <c r="B14" s="22" t="str">
        <f>CONCATENATE("P",(LEFT('BASE OBZ'!F14,3)),'BASE OBZ'!A14)</f>
        <v>P169SEE</v>
      </c>
      <c r="C14" t="s">
        <v>1777</v>
      </c>
    </row>
    <row r="15" spans="1:3" x14ac:dyDescent="0.25">
      <c r="A15" s="22" t="str">
        <f>CONCATENATE('BASE OBZ'!A15,"PROG")</f>
        <v>SEEPROG</v>
      </c>
      <c r="B15" s="22" t="str">
        <f>CONCATENATE("P",(LEFT('BASE OBZ'!F15,3)),'BASE OBZ'!A15)</f>
        <v>P169SEE</v>
      </c>
      <c r="C15" t="s">
        <v>1777</v>
      </c>
    </row>
    <row r="16" spans="1:3" x14ac:dyDescent="0.25">
      <c r="A16" s="22" t="e">
        <f>CONCATENATE('BASE OBZ'!#REF!,"PROG")</f>
        <v>#REF!</v>
      </c>
      <c r="B16" s="22" t="e">
        <f>CONCATENATE("P",(LEFT('BASE OBZ'!#REF!,3)),'BASE OBZ'!#REF!)</f>
        <v>#REF!</v>
      </c>
      <c r="C16" t="s">
        <v>1777</v>
      </c>
    </row>
    <row r="17" spans="1:3" x14ac:dyDescent="0.25">
      <c r="A17" s="22" t="e">
        <f>CONCATENATE('BASE OBZ'!#REF!,"PROG")</f>
        <v>#REF!</v>
      </c>
      <c r="B17" s="22" t="e">
        <f>CONCATENATE("P",(LEFT('BASE OBZ'!#REF!,3)),'BASE OBZ'!#REF!)</f>
        <v>#REF!</v>
      </c>
      <c r="C17" t="s">
        <v>1777</v>
      </c>
    </row>
    <row r="18" spans="1:3" x14ac:dyDescent="0.25">
      <c r="A18" s="22" t="str">
        <f>CONCATENATE('BASE OBZ'!A16,"PROG")</f>
        <v>SEEPROG</v>
      </c>
      <c r="B18" s="22" t="str">
        <f>CONCATENATE("P",(LEFT('BASE OBZ'!F16,3)),'BASE OBZ'!A16)</f>
        <v>P162SEE</v>
      </c>
      <c r="C18" t="s">
        <v>1777</v>
      </c>
    </row>
    <row r="19" spans="1:3" x14ac:dyDescent="0.25">
      <c r="A19" s="22" t="str">
        <f>CONCATENATE('BASE OBZ'!A17,"PROG")</f>
        <v>SEEPROG</v>
      </c>
      <c r="B19" s="22" t="str">
        <f>CONCATENATE("P",(LEFT('BASE OBZ'!F17,3)),'BASE OBZ'!A17)</f>
        <v>P162SEE</v>
      </c>
      <c r="C19" t="s">
        <v>1777</v>
      </c>
    </row>
    <row r="20" spans="1:3" x14ac:dyDescent="0.25">
      <c r="A20" s="22" t="str">
        <f>CONCATENATE('BASE OBZ'!A18,"PROG")</f>
        <v>SEEPROG</v>
      </c>
      <c r="B20" s="22" t="str">
        <f>CONCATENATE("P",(LEFT('BASE OBZ'!F18,3)),'BASE OBZ'!A18)</f>
        <v>P162SEE</v>
      </c>
      <c r="C20" t="s">
        <v>1777</v>
      </c>
    </row>
    <row r="21" spans="1:3" x14ac:dyDescent="0.25">
      <c r="A21" s="22" t="str">
        <f>CONCATENATE('BASE OBZ'!A19,"PROG")</f>
        <v>SEEPROG</v>
      </c>
      <c r="B21" s="22" t="str">
        <f>CONCATENATE("P",(LEFT('BASE OBZ'!F19,3)),'BASE OBZ'!A19)</f>
        <v>P162SEE</v>
      </c>
      <c r="C21" t="s">
        <v>1777</v>
      </c>
    </row>
    <row r="22" spans="1:3" x14ac:dyDescent="0.25">
      <c r="A22" s="22" t="str">
        <f>CONCATENATE('BASE OBZ'!A20,"PROG")</f>
        <v>SEEPROG</v>
      </c>
      <c r="B22" s="22" t="str">
        <f>CONCATENATE("P",(LEFT('BASE OBZ'!F20,3)),'BASE OBZ'!A20)</f>
        <v>P162SEE</v>
      </c>
      <c r="C22" t="s">
        <v>1777</v>
      </c>
    </row>
    <row r="23" spans="1:3" x14ac:dyDescent="0.25">
      <c r="A23" s="22" t="str">
        <f>CONCATENATE('BASE OBZ'!A21,"PROG")</f>
        <v>SEEPROG</v>
      </c>
      <c r="B23" s="22" t="str">
        <f>CONCATENATE("P",(LEFT('BASE OBZ'!F21,3)),'BASE OBZ'!A21)</f>
        <v>P162SEE</v>
      </c>
      <c r="C23" t="s">
        <v>1777</v>
      </c>
    </row>
    <row r="24" spans="1:3" x14ac:dyDescent="0.25">
      <c r="A24" s="22" t="str">
        <f>CONCATENATE('BASE OBZ'!A22,"PROG")</f>
        <v>SEEPROG</v>
      </c>
      <c r="B24" s="22" t="str">
        <f>CONCATENATE("P",(LEFT('BASE OBZ'!F22,3)),'BASE OBZ'!A22)</f>
        <v>P162SEE</v>
      </c>
      <c r="C24" t="s">
        <v>1777</v>
      </c>
    </row>
    <row r="25" spans="1:3" x14ac:dyDescent="0.25">
      <c r="A25" s="22" t="str">
        <f>CONCATENATE('BASE OBZ'!A23,"PROG")</f>
        <v>SEEPROG</v>
      </c>
      <c r="B25" s="22" t="str">
        <f>CONCATENATE("P",(LEFT('BASE OBZ'!F23,3)),'BASE OBZ'!A23)</f>
        <v>P162SEE</v>
      </c>
      <c r="C25" t="s">
        <v>1777</v>
      </c>
    </row>
    <row r="26" spans="1:3" x14ac:dyDescent="0.25">
      <c r="A26" s="22" t="str">
        <f>CONCATENATE('BASE OBZ'!A24,"PROG")</f>
        <v>SEEPROG</v>
      </c>
      <c r="B26" s="22" t="str">
        <f>CONCATENATE("P",(LEFT('BASE OBZ'!F24,3)),'BASE OBZ'!A24)</f>
        <v>P162SEE</v>
      </c>
      <c r="C26" t="s">
        <v>1777</v>
      </c>
    </row>
    <row r="27" spans="1:3" x14ac:dyDescent="0.25">
      <c r="A27" s="22" t="str">
        <f>CONCATENATE('BASE OBZ'!A25,"PROG")</f>
        <v>SEEPROG</v>
      </c>
      <c r="B27" s="22" t="str">
        <f>CONCATENATE("P",(LEFT('BASE OBZ'!F25,3)),'BASE OBZ'!A25)</f>
        <v>P162SEE</v>
      </c>
      <c r="C27" t="s">
        <v>1777</v>
      </c>
    </row>
    <row r="28" spans="1:3" x14ac:dyDescent="0.25">
      <c r="A28" s="22" t="str">
        <f>CONCATENATE('BASE OBZ'!A26,"PROG")</f>
        <v>SEEPROG</v>
      </c>
      <c r="B28" s="22" t="str">
        <f>CONCATENATE("P",(LEFT('BASE OBZ'!F26,3)),'BASE OBZ'!A26)</f>
        <v>P162SEE</v>
      </c>
      <c r="C28" t="s">
        <v>1777</v>
      </c>
    </row>
    <row r="29" spans="1:3" x14ac:dyDescent="0.25">
      <c r="A29" s="22" t="str">
        <f>CONCATENATE('BASE OBZ'!A27,"PROG")</f>
        <v>SEEPROG</v>
      </c>
      <c r="B29" s="22" t="str">
        <f>CONCATENATE("P",(LEFT('BASE OBZ'!F27,3)),'BASE OBZ'!A27)</f>
        <v>P162SEE</v>
      </c>
      <c r="C29" t="s">
        <v>1777</v>
      </c>
    </row>
    <row r="30" spans="1:3" x14ac:dyDescent="0.25">
      <c r="A30" s="22" t="str">
        <f>CONCATENATE('BASE OBZ'!A28,"PROG")</f>
        <v>SEEPROG</v>
      </c>
      <c r="B30" s="22" t="str">
        <f>CONCATENATE("P",(LEFT('BASE OBZ'!F28,3)),'BASE OBZ'!A28)</f>
        <v>P162SEE</v>
      </c>
      <c r="C30" t="s">
        <v>1777</v>
      </c>
    </row>
    <row r="31" spans="1:3" x14ac:dyDescent="0.25">
      <c r="A31" s="22" t="str">
        <f>CONCATENATE('BASE OBZ'!A29,"PROG")</f>
        <v>SEEPROG</v>
      </c>
      <c r="B31" s="22" t="str">
        <f>CONCATENATE("P",(LEFT('BASE OBZ'!F29,3)),'BASE OBZ'!A29)</f>
        <v>P162SEE</v>
      </c>
      <c r="C31" t="s">
        <v>1777</v>
      </c>
    </row>
    <row r="32" spans="1:3" x14ac:dyDescent="0.25">
      <c r="A32" s="22" t="str">
        <f>CONCATENATE('BASE OBZ'!A30,"PROG")</f>
        <v>SEEPROG</v>
      </c>
      <c r="B32" s="22" t="str">
        <f>CONCATENATE("P",(LEFT('BASE OBZ'!F30,3)),'BASE OBZ'!A30)</f>
        <v>P162SEE</v>
      </c>
      <c r="C32" t="s">
        <v>1777</v>
      </c>
    </row>
    <row r="33" spans="1:3" x14ac:dyDescent="0.25">
      <c r="A33" s="22" t="str">
        <f>CONCATENATE('BASE OBZ'!A31,"PROG")</f>
        <v>SEEPROG</v>
      </c>
      <c r="B33" s="22" t="str">
        <f>CONCATENATE("P",(LEFT('BASE OBZ'!F31,3)),'BASE OBZ'!A31)</f>
        <v>P162SEE</v>
      </c>
      <c r="C33" t="s">
        <v>1777</v>
      </c>
    </row>
    <row r="34" spans="1:3" x14ac:dyDescent="0.25">
      <c r="A34" s="22" t="str">
        <f>CONCATENATE('BASE OBZ'!A32,"PROG")</f>
        <v>SEEPROG</v>
      </c>
      <c r="B34" s="22" t="str">
        <f>CONCATENATE("P",(LEFT('BASE OBZ'!F32,3)),'BASE OBZ'!A32)</f>
        <v>P162SEE</v>
      </c>
      <c r="C34" t="s">
        <v>1777</v>
      </c>
    </row>
    <row r="35" spans="1:3" x14ac:dyDescent="0.25">
      <c r="A35" s="22" t="str">
        <f>CONCATENATE('BASE OBZ'!A33,"PROG")</f>
        <v>SEEPROG</v>
      </c>
      <c r="B35" s="22" t="str">
        <f>CONCATENATE("P",(LEFT('BASE OBZ'!F33,3)),'BASE OBZ'!A33)</f>
        <v>P162SEE</v>
      </c>
      <c r="C35" t="s">
        <v>1777</v>
      </c>
    </row>
    <row r="36" spans="1:3" x14ac:dyDescent="0.25">
      <c r="A36" s="22" t="str">
        <f>CONCATENATE('BASE OBZ'!A34,"PROG")</f>
        <v>SEEPROG</v>
      </c>
      <c r="B36" s="22" t="str">
        <f>CONCATENATE("P",(LEFT('BASE OBZ'!F34,3)),'BASE OBZ'!A34)</f>
        <v>P162SEE</v>
      </c>
      <c r="C36" t="s">
        <v>1777</v>
      </c>
    </row>
    <row r="37" spans="1:3" x14ac:dyDescent="0.25">
      <c r="A37" s="22" t="str">
        <f>CONCATENATE('BASE OBZ'!A35,"PROG")</f>
        <v>SEEPROG</v>
      </c>
      <c r="B37" s="22" t="str">
        <f>CONCATENATE("P",(LEFT('BASE OBZ'!F35,3)),'BASE OBZ'!A35)</f>
        <v>P162SEE</v>
      </c>
      <c r="C37" t="s">
        <v>1777</v>
      </c>
    </row>
    <row r="38" spans="1:3" x14ac:dyDescent="0.25">
      <c r="A38" s="22" t="str">
        <f>CONCATENATE('BASE OBZ'!A36,"PROG")</f>
        <v>SEEPROG</v>
      </c>
      <c r="B38" s="22" t="str">
        <f>CONCATENATE("P",(LEFT('BASE OBZ'!F36,3)),'BASE OBZ'!A36)</f>
        <v>P162SEE</v>
      </c>
      <c r="C38" t="s">
        <v>1777</v>
      </c>
    </row>
    <row r="39" spans="1:3" x14ac:dyDescent="0.25">
      <c r="A39" s="22" t="str">
        <f>CONCATENATE('BASE OBZ'!A37,"PROG")</f>
        <v>SEEPROG</v>
      </c>
      <c r="B39" s="22" t="str">
        <f>CONCATENATE("P",(LEFT('BASE OBZ'!F37,3)),'BASE OBZ'!A37)</f>
        <v>P162SEE</v>
      </c>
      <c r="C39" t="s">
        <v>1777</v>
      </c>
    </row>
    <row r="40" spans="1:3" x14ac:dyDescent="0.25">
      <c r="A40" s="22" t="str">
        <f>CONCATENATE('BASE OBZ'!A38,"PROG")</f>
        <v>SEEPROG</v>
      </c>
      <c r="B40" s="22" t="str">
        <f>CONCATENATE("P",(LEFT('BASE OBZ'!F38,3)),'BASE OBZ'!A38)</f>
        <v>P162SEE</v>
      </c>
      <c r="C40" t="s">
        <v>1777</v>
      </c>
    </row>
    <row r="41" spans="1:3" x14ac:dyDescent="0.25">
      <c r="A41" s="22" t="str">
        <f>CONCATENATE('BASE OBZ'!A39,"PROG")</f>
        <v>SEEPROG</v>
      </c>
      <c r="B41" s="22" t="str">
        <f>CONCATENATE("P",(LEFT('BASE OBZ'!F39,3)),'BASE OBZ'!A39)</f>
        <v>P162SEE</v>
      </c>
      <c r="C41" t="s">
        <v>1777</v>
      </c>
    </row>
    <row r="42" spans="1:3" x14ac:dyDescent="0.25">
      <c r="A42" s="22" t="str">
        <f>CONCATENATE('BASE OBZ'!A40,"PROG")</f>
        <v>SEEPROG</v>
      </c>
      <c r="B42" s="22" t="str">
        <f>CONCATENATE("P",(LEFT('BASE OBZ'!F40,3)),'BASE OBZ'!A40)</f>
        <v>P162SEE</v>
      </c>
      <c r="C42" t="s">
        <v>1777</v>
      </c>
    </row>
    <row r="43" spans="1:3" x14ac:dyDescent="0.25">
      <c r="A43" s="22" t="str">
        <f>CONCATENATE('BASE OBZ'!A41,"PROG")</f>
        <v>SEEPROG</v>
      </c>
      <c r="B43" s="22" t="str">
        <f>CONCATENATE("P",(LEFT('BASE OBZ'!F41,3)),'BASE OBZ'!A41)</f>
        <v>P162SEE</v>
      </c>
      <c r="C43" t="s">
        <v>1777</v>
      </c>
    </row>
    <row r="44" spans="1:3" x14ac:dyDescent="0.25">
      <c r="A44" s="22" t="str">
        <f>CONCATENATE('BASE OBZ'!A42,"PROG")</f>
        <v>SEEPROG</v>
      </c>
      <c r="B44" s="22" t="str">
        <f>CONCATENATE("P",(LEFT('BASE OBZ'!F42,3)),'BASE OBZ'!A42)</f>
        <v>P162SEE</v>
      </c>
      <c r="C44" t="s">
        <v>1777</v>
      </c>
    </row>
    <row r="45" spans="1:3" x14ac:dyDescent="0.25">
      <c r="A45" s="22" t="str">
        <f>CONCATENATE('BASE OBZ'!A43,"PROG")</f>
        <v>SEEPROG</v>
      </c>
      <c r="B45" s="22" t="str">
        <f>CONCATENATE("P",(LEFT('BASE OBZ'!F43,3)),'BASE OBZ'!A43)</f>
        <v>P162SEE</v>
      </c>
      <c r="C45" t="s">
        <v>1777</v>
      </c>
    </row>
    <row r="46" spans="1:3" x14ac:dyDescent="0.25">
      <c r="A46" s="22" t="str">
        <f>CONCATENATE('BASE OBZ'!A44,"PROG")</f>
        <v>SEEPROG</v>
      </c>
      <c r="B46" s="22" t="str">
        <f>CONCATENATE("P",(LEFT('BASE OBZ'!F44,3)),'BASE OBZ'!A44)</f>
        <v>P162SEE</v>
      </c>
      <c r="C46" t="s">
        <v>1777</v>
      </c>
    </row>
    <row r="47" spans="1:3" x14ac:dyDescent="0.25">
      <c r="A47" s="22" t="str">
        <f>CONCATENATE('BASE OBZ'!A45,"PROG")</f>
        <v>SEEPROG</v>
      </c>
      <c r="B47" s="22" t="str">
        <f>CONCATENATE("P",(LEFT('BASE OBZ'!F45,3)),'BASE OBZ'!A45)</f>
        <v>P162SEE</v>
      </c>
      <c r="C47" t="s">
        <v>1777</v>
      </c>
    </row>
    <row r="48" spans="1:3" x14ac:dyDescent="0.25">
      <c r="A48" s="22" t="str">
        <f>CONCATENATE('BASE OBZ'!A46,"PROG")</f>
        <v>SEEPROG</v>
      </c>
      <c r="B48" s="22" t="str">
        <f>CONCATENATE("P",(LEFT('BASE OBZ'!F46,3)),'BASE OBZ'!A46)</f>
        <v>P162SEE</v>
      </c>
      <c r="C48" t="s">
        <v>1777</v>
      </c>
    </row>
    <row r="49" spans="1:3" x14ac:dyDescent="0.25">
      <c r="A49" s="22" t="str">
        <f>CONCATENATE('BASE OBZ'!A47,"PROG")</f>
        <v>SEEPROG</v>
      </c>
      <c r="B49" s="22" t="str">
        <f>CONCATENATE("P",(LEFT('BASE OBZ'!F47,3)),'BASE OBZ'!A47)</f>
        <v>P162SEE</v>
      </c>
      <c r="C49" t="s">
        <v>1777</v>
      </c>
    </row>
    <row r="50" spans="1:3" x14ac:dyDescent="0.25">
      <c r="A50" s="22" t="str">
        <f>CONCATENATE('BASE OBZ'!A48,"PROG")</f>
        <v>SEEPROG</v>
      </c>
      <c r="B50" s="22" t="str">
        <f>CONCATENATE("P",(LEFT('BASE OBZ'!F48,3)),'BASE OBZ'!A48)</f>
        <v>P162SEE</v>
      </c>
      <c r="C50" t="s">
        <v>1777</v>
      </c>
    </row>
    <row r="51" spans="1:3" x14ac:dyDescent="0.25">
      <c r="A51" s="22" t="str">
        <f>CONCATENATE('BASE OBZ'!A49,"PROG")</f>
        <v>SEEPROG</v>
      </c>
      <c r="B51" s="22" t="str">
        <f>CONCATENATE("P",(LEFT('BASE OBZ'!F49,3)),'BASE OBZ'!A49)</f>
        <v>P168SEE</v>
      </c>
      <c r="C51" t="s">
        <v>1777</v>
      </c>
    </row>
    <row r="52" spans="1:3" x14ac:dyDescent="0.25">
      <c r="A52" s="22" t="str">
        <f>CONCATENATE('BASE OBZ'!A50,"PROG")</f>
        <v>SEEPROG</v>
      </c>
      <c r="B52" s="22" t="str">
        <f>CONCATENATE("P",(LEFT('BASE OBZ'!F50,3)),'BASE OBZ'!A50)</f>
        <v>P169SEE</v>
      </c>
      <c r="C52" t="s">
        <v>1777</v>
      </c>
    </row>
    <row r="53" spans="1:3" x14ac:dyDescent="0.25">
      <c r="A53" s="22" t="str">
        <f>CONCATENATE('BASE OBZ'!A51,"PROG")</f>
        <v>SEEPROG</v>
      </c>
      <c r="B53" s="22" t="str">
        <f>CONCATENATE("P",(LEFT('BASE OBZ'!F51,3)),'BASE OBZ'!A51)</f>
        <v>P169SEE</v>
      </c>
      <c r="C53" t="s">
        <v>1777</v>
      </c>
    </row>
    <row r="54" spans="1:3" x14ac:dyDescent="0.25">
      <c r="A54" s="22" t="str">
        <f>CONCATENATE('BASE OBZ'!A52,"PROG")</f>
        <v>SEEPROG</v>
      </c>
      <c r="B54" s="22" t="str">
        <f>CONCATENATE("P",(LEFT('BASE OBZ'!F52,3)),'BASE OBZ'!A52)</f>
        <v>P169SEE</v>
      </c>
      <c r="C54" t="s">
        <v>1777</v>
      </c>
    </row>
    <row r="55" spans="1:3" x14ac:dyDescent="0.25">
      <c r="A55" s="22" t="str">
        <f>CONCATENATE('BASE OBZ'!A53,"PROG")</f>
        <v>SEEPROG</v>
      </c>
      <c r="B55" s="22" t="str">
        <f>CONCATENATE("P",(LEFT('BASE OBZ'!F53,3)),'BASE OBZ'!A53)</f>
        <v>P169SEE</v>
      </c>
      <c r="C55" t="s">
        <v>1777</v>
      </c>
    </row>
    <row r="56" spans="1:3" x14ac:dyDescent="0.25">
      <c r="A56" s="22" t="str">
        <f>CONCATENATE('BASE OBZ'!A54,"PROG")</f>
        <v>SEEPROG</v>
      </c>
      <c r="B56" s="22" t="str">
        <f>CONCATENATE("P",(LEFT('BASE OBZ'!F54,3)),'BASE OBZ'!A54)</f>
        <v>P169SEE</v>
      </c>
      <c r="C56" t="s">
        <v>1777</v>
      </c>
    </row>
    <row r="57" spans="1:3" x14ac:dyDescent="0.25">
      <c r="A57" s="22" t="str">
        <f>CONCATENATE('BASE OBZ'!A55,"PROG")</f>
        <v>SEEPROG</v>
      </c>
      <c r="B57" s="22" t="str">
        <f>CONCATENATE("P",(LEFT('BASE OBZ'!F55,3)),'BASE OBZ'!A55)</f>
        <v>P169SEE</v>
      </c>
      <c r="C57" t="s">
        <v>1777</v>
      </c>
    </row>
    <row r="58" spans="1:3" x14ac:dyDescent="0.25">
      <c r="A58" s="22" t="str">
        <f>CONCATENATE('BASE OBZ'!A56,"PROG")</f>
        <v>SEEPROG</v>
      </c>
      <c r="B58" s="22" t="str">
        <f>CONCATENATE("P",(LEFT('BASE OBZ'!F56,3)),'BASE OBZ'!A56)</f>
        <v>P169SEE</v>
      </c>
      <c r="C58" t="s">
        <v>1777</v>
      </c>
    </row>
    <row r="59" spans="1:3" x14ac:dyDescent="0.25">
      <c r="A59" s="22" t="str">
        <f>CONCATENATE('BASE OBZ'!A57,"PROG")</f>
        <v>SEEPROG</v>
      </c>
      <c r="B59" s="22" t="str">
        <f>CONCATENATE("P",(LEFT('BASE OBZ'!F57,3)),'BASE OBZ'!A57)</f>
        <v>P169SEE</v>
      </c>
      <c r="C59" t="s">
        <v>1777</v>
      </c>
    </row>
    <row r="60" spans="1:3" x14ac:dyDescent="0.25">
      <c r="A60" s="22" t="str">
        <f>CONCATENATE('BASE OBZ'!A58,"PROG")</f>
        <v>SEEPROG</v>
      </c>
      <c r="B60" s="22" t="str">
        <f>CONCATENATE("P",(LEFT('BASE OBZ'!F58,3)),'BASE OBZ'!A58)</f>
        <v>P169SEE</v>
      </c>
      <c r="C60" t="s">
        <v>1777</v>
      </c>
    </row>
    <row r="61" spans="1:3" x14ac:dyDescent="0.25">
      <c r="A61" s="22" t="str">
        <f>CONCATENATE('BASE OBZ'!A59,"PROG")</f>
        <v>SEEPROG</v>
      </c>
      <c r="B61" s="22" t="str">
        <f>CONCATENATE("P",(LEFT('BASE OBZ'!F59,3)),'BASE OBZ'!A59)</f>
        <v>P169SEE</v>
      </c>
      <c r="C61" t="s">
        <v>1777</v>
      </c>
    </row>
    <row r="62" spans="1:3" x14ac:dyDescent="0.25">
      <c r="A62" s="22" t="str">
        <f>CONCATENATE('BASE OBZ'!A60,"PROG")</f>
        <v>SEEPROG</v>
      </c>
      <c r="B62" s="22" t="str">
        <f>CONCATENATE("P",(LEFT('BASE OBZ'!F60,3)),'BASE OBZ'!A60)</f>
        <v>P169SEE</v>
      </c>
      <c r="C62" t="s">
        <v>1777</v>
      </c>
    </row>
    <row r="63" spans="1:3" x14ac:dyDescent="0.25">
      <c r="A63" s="22" t="str">
        <f>CONCATENATE('BASE OBZ'!A61,"PROG")</f>
        <v>SEEPROG</v>
      </c>
      <c r="B63" s="22" t="str">
        <f>CONCATENATE("P",(LEFT('BASE OBZ'!F61,3)),'BASE OBZ'!A61)</f>
        <v>P169SEE</v>
      </c>
      <c r="C63" t="s">
        <v>1777</v>
      </c>
    </row>
    <row r="64" spans="1:3" x14ac:dyDescent="0.25">
      <c r="A64" s="22" t="str">
        <f>CONCATENATE('BASE OBZ'!A62,"PROG")</f>
        <v>SEEPROG</v>
      </c>
      <c r="B64" s="22" t="str">
        <f>CONCATENATE("P",(LEFT('BASE OBZ'!F62,3)),'BASE OBZ'!A62)</f>
        <v>P169SEE</v>
      </c>
      <c r="C64" t="s">
        <v>1777</v>
      </c>
    </row>
    <row r="65" spans="1:3" x14ac:dyDescent="0.25">
      <c r="A65" s="22" t="str">
        <f>CONCATENATE('BASE OBZ'!A63,"PROG")</f>
        <v>SEEPROG</v>
      </c>
      <c r="B65" s="22" t="str">
        <f>CONCATENATE("P",(LEFT('BASE OBZ'!F63,3)),'BASE OBZ'!A63)</f>
        <v>P169SEE</v>
      </c>
      <c r="C65" t="s">
        <v>1777</v>
      </c>
    </row>
    <row r="66" spans="1:3" x14ac:dyDescent="0.25">
      <c r="A66" s="22" t="str">
        <f>CONCATENATE('BASE OBZ'!A64,"PROG")</f>
        <v>SEEPROG</v>
      </c>
      <c r="B66" s="22" t="str">
        <f>CONCATENATE("P",(LEFT('BASE OBZ'!F64,3)),'BASE OBZ'!A64)</f>
        <v>P169SEE</v>
      </c>
      <c r="C66" t="s">
        <v>1777</v>
      </c>
    </row>
    <row r="67" spans="1:3" x14ac:dyDescent="0.25">
      <c r="A67" s="22" t="str">
        <f>CONCATENATE('BASE OBZ'!A65,"PROG")</f>
        <v>SEEPROG</v>
      </c>
      <c r="B67" s="22" t="str">
        <f>CONCATENATE("P",(LEFT('BASE OBZ'!F65,3)),'BASE OBZ'!A65)</f>
        <v>P169SEE</v>
      </c>
      <c r="C67" t="s">
        <v>1777</v>
      </c>
    </row>
    <row r="68" spans="1:3" x14ac:dyDescent="0.25">
      <c r="A68" s="22" t="str">
        <f>CONCATENATE('BASE OBZ'!A66,"PROG")</f>
        <v>SEEPROG</v>
      </c>
      <c r="B68" s="22" t="str">
        <f>CONCATENATE("P",(LEFT('BASE OBZ'!F66,3)),'BASE OBZ'!A66)</f>
        <v>P169SEE</v>
      </c>
      <c r="C68" t="s">
        <v>1777</v>
      </c>
    </row>
    <row r="69" spans="1:3" x14ac:dyDescent="0.25">
      <c r="A69" s="22" t="str">
        <f>CONCATENATE('BASE OBZ'!A67,"PROG")</f>
        <v>SEEPROG</v>
      </c>
      <c r="B69" s="22" t="str">
        <f>CONCATENATE("P",(LEFT('BASE OBZ'!F67,3)),'BASE OBZ'!A67)</f>
        <v>P169SEE</v>
      </c>
      <c r="C69" t="s">
        <v>1777</v>
      </c>
    </row>
    <row r="70" spans="1:3" x14ac:dyDescent="0.25">
      <c r="A70" s="22" t="str">
        <f>CONCATENATE('BASE OBZ'!A68,"PROG")</f>
        <v>SEEPROG</v>
      </c>
      <c r="B70" s="22" t="str">
        <f>CONCATENATE("P",(LEFT('BASE OBZ'!F68,3)),'BASE OBZ'!A68)</f>
        <v>P169SEE</v>
      </c>
      <c r="C70" t="s">
        <v>1777</v>
      </c>
    </row>
    <row r="71" spans="1:3" x14ac:dyDescent="0.25">
      <c r="A71" s="22" t="str">
        <f>CONCATENATE('BASE OBZ'!A69,"PROG")</f>
        <v>SEEPROG</v>
      </c>
      <c r="B71" s="22" t="str">
        <f>CONCATENATE("P",(LEFT('BASE OBZ'!F69,3)),'BASE OBZ'!A69)</f>
        <v>P169SEE</v>
      </c>
      <c r="C71" t="s">
        <v>1777</v>
      </c>
    </row>
    <row r="72" spans="1:3" x14ac:dyDescent="0.25">
      <c r="A72" s="22" t="str">
        <f>CONCATENATE('BASE OBZ'!A70,"PROG")</f>
        <v>SEEPROG</v>
      </c>
      <c r="B72" s="22" t="str">
        <f>CONCATENATE("P",(LEFT('BASE OBZ'!F70,3)),'BASE OBZ'!A70)</f>
        <v>P169SEE</v>
      </c>
      <c r="C72" t="s">
        <v>1777</v>
      </c>
    </row>
    <row r="73" spans="1:3" x14ac:dyDescent="0.25">
      <c r="A73" s="22" t="str">
        <f>CONCATENATE('BASE OBZ'!A71,"PROG")</f>
        <v>SEEPROG</v>
      </c>
      <c r="B73" s="22" t="str">
        <f>CONCATENATE("P",(LEFT('BASE OBZ'!F71,3)),'BASE OBZ'!A71)</f>
        <v>P169SEE</v>
      </c>
      <c r="C73" t="s">
        <v>1777</v>
      </c>
    </row>
    <row r="74" spans="1:3" x14ac:dyDescent="0.25">
      <c r="A74" s="22" t="str">
        <f>CONCATENATE('BASE OBZ'!A72,"PROG")</f>
        <v>SEEPROG</v>
      </c>
      <c r="B74" s="22" t="str">
        <f>CONCATENATE("P",(LEFT('BASE OBZ'!F72,3)),'BASE OBZ'!A72)</f>
        <v>P169SEE</v>
      </c>
      <c r="C74" t="s">
        <v>1777</v>
      </c>
    </row>
    <row r="75" spans="1:3" x14ac:dyDescent="0.25">
      <c r="A75" s="22" t="str">
        <f>CONCATENATE('BASE OBZ'!A73,"PROG")</f>
        <v>SEEPROG</v>
      </c>
      <c r="B75" s="22" t="str">
        <f>CONCATENATE("P",(LEFT('BASE OBZ'!F73,3)),'BASE OBZ'!A73)</f>
        <v>P169SEE</v>
      </c>
      <c r="C75" t="s">
        <v>1777</v>
      </c>
    </row>
    <row r="76" spans="1:3" x14ac:dyDescent="0.25">
      <c r="A76" s="22" t="str">
        <f>CONCATENATE('BASE OBZ'!A74,"PROG")</f>
        <v>SEEPROG</v>
      </c>
      <c r="B76" s="22" t="str">
        <f>CONCATENATE("P",(LEFT('BASE OBZ'!F74,3)),'BASE OBZ'!A74)</f>
        <v>P169SEE</v>
      </c>
      <c r="C76" t="s">
        <v>1777</v>
      </c>
    </row>
    <row r="77" spans="1:3" x14ac:dyDescent="0.25">
      <c r="A77" s="22" t="str">
        <f>CONCATENATE('BASE OBZ'!A75,"PROG")</f>
        <v>SEEPROG</v>
      </c>
      <c r="B77" s="22" t="str">
        <f>CONCATENATE("P",(LEFT('BASE OBZ'!F75,3)),'BASE OBZ'!A75)</f>
        <v>P169SEE</v>
      </c>
      <c r="C77" t="s">
        <v>1777</v>
      </c>
    </row>
    <row r="78" spans="1:3" x14ac:dyDescent="0.25">
      <c r="A78" s="22" t="str">
        <f>CONCATENATE('BASE OBZ'!A76,"PROG")</f>
        <v>SEEPROG</v>
      </c>
      <c r="B78" s="22" t="str">
        <f>CONCATENATE("P",(LEFT('BASE OBZ'!F76,3)),'BASE OBZ'!A76)</f>
        <v>P169SEE</v>
      </c>
      <c r="C78" t="s">
        <v>1777</v>
      </c>
    </row>
    <row r="79" spans="1:3" x14ac:dyDescent="0.25">
      <c r="A79" s="22" t="str">
        <f>CONCATENATE('BASE OBZ'!A77,"PROG")</f>
        <v>SEEPROG</v>
      </c>
      <c r="B79" s="22" t="str">
        <f>CONCATENATE("P",(LEFT('BASE OBZ'!F77,3)),'BASE OBZ'!A77)</f>
        <v>P169SEE</v>
      </c>
      <c r="C79" t="s">
        <v>1777</v>
      </c>
    </row>
    <row r="80" spans="1:3" x14ac:dyDescent="0.25">
      <c r="A80" s="22" t="str">
        <f>CONCATENATE('BASE OBZ'!A78,"PROG")</f>
        <v>SEEPROG</v>
      </c>
      <c r="B80" s="22" t="str">
        <f>CONCATENATE("P",(LEFT('BASE OBZ'!F78,3)),'BASE OBZ'!A78)</f>
        <v>P169SEE</v>
      </c>
      <c r="C80" t="s">
        <v>1777</v>
      </c>
    </row>
    <row r="81" spans="1:3" x14ac:dyDescent="0.25">
      <c r="A81" s="22" t="str">
        <f>CONCATENATE('BASE OBZ'!A79,"PROG")</f>
        <v>SEEPROG</v>
      </c>
      <c r="B81" s="22" t="str">
        <f>CONCATENATE("P",(LEFT('BASE OBZ'!F79,3)),'BASE OBZ'!A79)</f>
        <v>P169SEE</v>
      </c>
      <c r="C81" t="s">
        <v>1777</v>
      </c>
    </row>
    <row r="82" spans="1:3" x14ac:dyDescent="0.25">
      <c r="A82" s="22" t="str">
        <f>CONCATENATE('BASE OBZ'!A80,"PROG")</f>
        <v>SEEPROG</v>
      </c>
      <c r="B82" s="22" t="str">
        <f>CONCATENATE("P",(LEFT('BASE OBZ'!F80,3)),'BASE OBZ'!A80)</f>
        <v>P169SEE</v>
      </c>
      <c r="C82" t="s">
        <v>1777</v>
      </c>
    </row>
    <row r="83" spans="1:3" x14ac:dyDescent="0.25">
      <c r="A83" s="22" t="str">
        <f>CONCATENATE('BASE OBZ'!A81,"PROG")</f>
        <v>SEEPROG</v>
      </c>
      <c r="B83" s="22" t="str">
        <f>CONCATENATE("P",(LEFT('BASE OBZ'!F81,3)),'BASE OBZ'!A81)</f>
        <v>P169SEE</v>
      </c>
      <c r="C83" t="s">
        <v>1777</v>
      </c>
    </row>
    <row r="84" spans="1:3" x14ac:dyDescent="0.25">
      <c r="A84" s="22" t="str">
        <f>CONCATENATE('BASE OBZ'!A82,"PROG")</f>
        <v>SEEPROG</v>
      </c>
      <c r="B84" s="22" t="str">
        <f>CONCATENATE("P",(LEFT('BASE OBZ'!F82,3)),'BASE OBZ'!A82)</f>
        <v>P169SEE</v>
      </c>
      <c r="C84" t="s">
        <v>1777</v>
      </c>
    </row>
    <row r="85" spans="1:3" x14ac:dyDescent="0.25">
      <c r="A85" s="22" t="str">
        <f>CONCATENATE('BASE OBZ'!A83,"PROG")</f>
        <v>SEEPROG</v>
      </c>
      <c r="B85" s="22" t="str">
        <f>CONCATENATE("P",(LEFT('BASE OBZ'!F83,3)),'BASE OBZ'!A83)</f>
        <v>P169SEE</v>
      </c>
      <c r="C85" t="s">
        <v>1777</v>
      </c>
    </row>
    <row r="86" spans="1:3" x14ac:dyDescent="0.25">
      <c r="A86" s="22" t="str">
        <f>CONCATENATE('BASE OBZ'!A84,"PROG")</f>
        <v>SEEPROG</v>
      </c>
      <c r="B86" s="22" t="str">
        <f>CONCATENATE("P",(LEFT('BASE OBZ'!F84,3)),'BASE OBZ'!A84)</f>
        <v>P169SEE</v>
      </c>
      <c r="C86" t="s">
        <v>1777</v>
      </c>
    </row>
    <row r="87" spans="1:3" x14ac:dyDescent="0.25">
      <c r="A87" s="22" t="str">
        <f>CONCATENATE('BASE OBZ'!A85,"PROG")</f>
        <v>SEEPROG</v>
      </c>
      <c r="B87" s="22" t="str">
        <f>CONCATENATE("P",(LEFT('BASE OBZ'!F85,3)),'BASE OBZ'!A85)</f>
        <v>P169SEE</v>
      </c>
      <c r="C87" t="s">
        <v>1777</v>
      </c>
    </row>
    <row r="88" spans="1:3" x14ac:dyDescent="0.25">
      <c r="A88" s="22" t="str">
        <f>CONCATENATE('BASE OBZ'!A86,"PROG")</f>
        <v>SEEPROG</v>
      </c>
      <c r="B88" s="22" t="str">
        <f>CONCATENATE("P",(LEFT('BASE OBZ'!F86,3)),'BASE OBZ'!A86)</f>
        <v>P169SEE</v>
      </c>
      <c r="C88" t="s">
        <v>1777</v>
      </c>
    </row>
    <row r="89" spans="1:3" x14ac:dyDescent="0.25">
      <c r="A89" s="22" t="str">
        <f>CONCATENATE('BASE OBZ'!A87,"PROG")</f>
        <v>SEEPROG</v>
      </c>
      <c r="B89" s="22" t="str">
        <f>CONCATENATE("P",(LEFT('BASE OBZ'!F87,3)),'BASE OBZ'!A87)</f>
        <v>P169SEE</v>
      </c>
      <c r="C89" t="s">
        <v>1777</v>
      </c>
    </row>
    <row r="90" spans="1:3" x14ac:dyDescent="0.25">
      <c r="A90" s="22" t="str">
        <f>CONCATENATE('BASE OBZ'!A88,"PROG")</f>
        <v>SEEPROG</v>
      </c>
      <c r="B90" s="22" t="str">
        <f>CONCATENATE("P",(LEFT('BASE OBZ'!F88,3)),'BASE OBZ'!A88)</f>
        <v>P169SEE</v>
      </c>
      <c r="C90" t="s">
        <v>1777</v>
      </c>
    </row>
    <row r="91" spans="1:3" x14ac:dyDescent="0.25">
      <c r="A91" s="22" t="str">
        <f>CONCATENATE('BASE OBZ'!A89,"PROG")</f>
        <v>SEEPROG</v>
      </c>
      <c r="B91" s="22" t="str">
        <f>CONCATENATE("P",(LEFT('BASE OBZ'!F89,3)),'BASE OBZ'!A89)</f>
        <v>P169SEE</v>
      </c>
      <c r="C91" t="s">
        <v>1777</v>
      </c>
    </row>
    <row r="92" spans="1:3" x14ac:dyDescent="0.25">
      <c r="A92" s="22" t="str">
        <f>CONCATENATE('BASE OBZ'!A90,"PROG")</f>
        <v>SEEPROG</v>
      </c>
      <c r="B92" s="22" t="str">
        <f>CONCATENATE("P",(LEFT('BASE OBZ'!F90,3)),'BASE OBZ'!A90)</f>
        <v>P169SEE</v>
      </c>
      <c r="C92" t="s">
        <v>1777</v>
      </c>
    </row>
    <row r="93" spans="1:3" x14ac:dyDescent="0.25">
      <c r="A93" s="22" t="str">
        <f>CONCATENATE('BASE OBZ'!A91,"PROG")</f>
        <v>SEEPROG</v>
      </c>
      <c r="B93" s="22" t="str">
        <f>CONCATENATE("P",(LEFT('BASE OBZ'!F91,3)),'BASE OBZ'!A91)</f>
        <v>P169SEE</v>
      </c>
      <c r="C93" t="s">
        <v>1777</v>
      </c>
    </row>
    <row r="94" spans="1:3" x14ac:dyDescent="0.25">
      <c r="A94" s="22" t="str">
        <f>CONCATENATE('BASE OBZ'!A92,"PROG")</f>
        <v>SEEPROG</v>
      </c>
      <c r="B94" s="22" t="str">
        <f>CONCATENATE("P",(LEFT('BASE OBZ'!F92,3)),'BASE OBZ'!A92)</f>
        <v>P169SEE</v>
      </c>
      <c r="C94" t="s">
        <v>1777</v>
      </c>
    </row>
    <row r="95" spans="1:3" x14ac:dyDescent="0.25">
      <c r="A95" s="22" t="str">
        <f>CONCATENATE('BASE OBZ'!A93,"PROG")</f>
        <v>SEEPROG</v>
      </c>
      <c r="B95" s="22" t="str">
        <f>CONCATENATE("P",(LEFT('BASE OBZ'!F93,3)),'BASE OBZ'!A93)</f>
        <v>P169SEE</v>
      </c>
      <c r="C95" t="s">
        <v>1777</v>
      </c>
    </row>
    <row r="96" spans="1:3" x14ac:dyDescent="0.25">
      <c r="A96" s="22" t="str">
        <f>CONCATENATE('BASE OBZ'!A94,"PROG")</f>
        <v>SEEPROG</v>
      </c>
      <c r="B96" s="22" t="str">
        <f>CONCATENATE("P",(LEFT('BASE OBZ'!F94,3)),'BASE OBZ'!A94)</f>
        <v>P169SEE</v>
      </c>
      <c r="C96" t="s">
        <v>1777</v>
      </c>
    </row>
    <row r="97" spans="1:3" x14ac:dyDescent="0.25">
      <c r="A97" s="22" t="str">
        <f>CONCATENATE('BASE OBZ'!A95,"PROG")</f>
        <v>SEEPROG</v>
      </c>
      <c r="B97" s="22" t="str">
        <f>CONCATENATE("P",(LEFT('BASE OBZ'!F95,3)),'BASE OBZ'!A95)</f>
        <v>P169SEE</v>
      </c>
      <c r="C97" t="s">
        <v>1777</v>
      </c>
    </row>
    <row r="98" spans="1:3" x14ac:dyDescent="0.25">
      <c r="A98" s="22" t="str">
        <f>CONCATENATE('BASE OBZ'!A96,"PROG")</f>
        <v>SEEPROG</v>
      </c>
      <c r="B98" s="22" t="str">
        <f>CONCATENATE("P",(LEFT('BASE OBZ'!F96,3)),'BASE OBZ'!A96)</f>
        <v>P169SEE</v>
      </c>
      <c r="C98" t="s">
        <v>1777</v>
      </c>
    </row>
    <row r="99" spans="1:3" x14ac:dyDescent="0.25">
      <c r="A99" s="22" t="str">
        <f>CONCATENATE('BASE OBZ'!A97,"PROG")</f>
        <v>SEEPROG</v>
      </c>
      <c r="B99" s="22" t="str">
        <f>CONCATENATE("P",(LEFT('BASE OBZ'!F97,3)),'BASE OBZ'!A97)</f>
        <v>P169SEE</v>
      </c>
      <c r="C99" t="s">
        <v>1777</v>
      </c>
    </row>
    <row r="100" spans="1:3" x14ac:dyDescent="0.25">
      <c r="A100" s="22" t="str">
        <f>CONCATENATE('BASE OBZ'!A98,"PROG")</f>
        <v>SEEPROG</v>
      </c>
      <c r="B100" s="22" t="str">
        <f>CONCATENATE("P",(LEFT('BASE OBZ'!F98,3)),'BASE OBZ'!A98)</f>
        <v>P169SEE</v>
      </c>
      <c r="C100" t="s">
        <v>1777</v>
      </c>
    </row>
    <row r="101" spans="1:3" x14ac:dyDescent="0.25">
      <c r="A101" s="22" t="str">
        <f>CONCATENATE('BASE OBZ'!A99,"PROG")</f>
        <v>SEEPROG</v>
      </c>
      <c r="B101" s="22" t="str">
        <f>CONCATENATE("P",(LEFT('BASE OBZ'!F99,3)),'BASE OBZ'!A99)</f>
        <v>P169SEE</v>
      </c>
      <c r="C101" t="s">
        <v>1777</v>
      </c>
    </row>
    <row r="102" spans="1:3" x14ac:dyDescent="0.25">
      <c r="A102" s="22" t="str">
        <f>CONCATENATE('BASE OBZ'!A100,"PROG")</f>
        <v>SEEPROG</v>
      </c>
      <c r="B102" s="22" t="str">
        <f>CONCATENATE("P",(LEFT('BASE OBZ'!F100,3)),'BASE OBZ'!A100)</f>
        <v>P169SEE</v>
      </c>
      <c r="C102" t="s">
        <v>1777</v>
      </c>
    </row>
    <row r="103" spans="1:3" x14ac:dyDescent="0.25">
      <c r="A103" s="22" t="str">
        <f>CONCATENATE('BASE OBZ'!A101,"PROG")</f>
        <v>SEEPROG</v>
      </c>
      <c r="B103" s="22" t="str">
        <f>CONCATENATE("P",(LEFT('BASE OBZ'!F101,3)),'BASE OBZ'!A101)</f>
        <v>P169SEE</v>
      </c>
      <c r="C103" t="s">
        <v>1777</v>
      </c>
    </row>
    <row r="104" spans="1:3" x14ac:dyDescent="0.25">
      <c r="A104" s="22" t="str">
        <f>CONCATENATE('BASE OBZ'!A102,"PROG")</f>
        <v>SEEPROG</v>
      </c>
      <c r="B104" s="22" t="str">
        <f>CONCATENATE("P",(LEFT('BASE OBZ'!F102,3)),'BASE OBZ'!A102)</f>
        <v>P169SEE</v>
      </c>
      <c r="C104" t="s">
        <v>1777</v>
      </c>
    </row>
    <row r="105" spans="1:3" x14ac:dyDescent="0.25">
      <c r="A105" s="22" t="str">
        <f>CONCATENATE('BASE OBZ'!A103,"PROG")</f>
        <v>SEEPROG</v>
      </c>
      <c r="B105" s="22" t="str">
        <f>CONCATENATE("P",(LEFT('BASE OBZ'!F103,3)),'BASE OBZ'!A103)</f>
        <v>P169SEE</v>
      </c>
      <c r="C105" t="s">
        <v>1777</v>
      </c>
    </row>
    <row r="106" spans="1:3" x14ac:dyDescent="0.25">
      <c r="A106" s="22" t="str">
        <f>CONCATENATE('BASE OBZ'!A104,"PROG")</f>
        <v>SEEPROG</v>
      </c>
      <c r="B106" s="22" t="str">
        <f>CONCATENATE("P",(LEFT('BASE OBZ'!F104,3)),'BASE OBZ'!A104)</f>
        <v>P169SEE</v>
      </c>
      <c r="C106" t="s">
        <v>1777</v>
      </c>
    </row>
    <row r="107" spans="1:3" x14ac:dyDescent="0.25">
      <c r="A107" s="22" t="str">
        <f>CONCATENATE('BASE OBZ'!A105,"PROG")</f>
        <v>SEEPROG</v>
      </c>
      <c r="B107" s="22" t="str">
        <f>CONCATENATE("P",(LEFT('BASE OBZ'!F105,3)),'BASE OBZ'!A105)</f>
        <v>P169SEE</v>
      </c>
      <c r="C107" t="s">
        <v>1777</v>
      </c>
    </row>
    <row r="108" spans="1:3" x14ac:dyDescent="0.25">
      <c r="A108" s="22" t="str">
        <f>CONCATENATE('BASE OBZ'!A106,"PROG")</f>
        <v>SEEPROG</v>
      </c>
      <c r="B108" s="22" t="str">
        <f>CONCATENATE("P",(LEFT('BASE OBZ'!F106,3)),'BASE OBZ'!A106)</f>
        <v>P169SEE</v>
      </c>
      <c r="C108" t="s">
        <v>1777</v>
      </c>
    </row>
    <row r="109" spans="1:3" x14ac:dyDescent="0.25">
      <c r="A109" s="22" t="str">
        <f>CONCATENATE('BASE OBZ'!A107,"PROG")</f>
        <v>SEEPROG</v>
      </c>
      <c r="B109" s="22" t="str">
        <f>CONCATENATE("P",(LEFT('BASE OBZ'!F107,3)),'BASE OBZ'!A107)</f>
        <v>P169SEE</v>
      </c>
      <c r="C109" t="s">
        <v>1777</v>
      </c>
    </row>
    <row r="110" spans="1:3" x14ac:dyDescent="0.25">
      <c r="A110" s="22" t="str">
        <f>CONCATENATE('BASE OBZ'!A108,"PROG")</f>
        <v>SEEPROG</v>
      </c>
      <c r="B110" s="22" t="str">
        <f>CONCATENATE("P",(LEFT('BASE OBZ'!F108,3)),'BASE OBZ'!A108)</f>
        <v>P169SEE</v>
      </c>
      <c r="C110" t="s">
        <v>1777</v>
      </c>
    </row>
    <row r="111" spans="1:3" x14ac:dyDescent="0.25">
      <c r="A111" s="22" t="str">
        <f>CONCATENATE('BASE OBZ'!A109,"PROG")</f>
        <v>SEEPROG</v>
      </c>
      <c r="B111" s="22" t="str">
        <f>CONCATENATE("P",(LEFT('BASE OBZ'!F109,3)),'BASE OBZ'!A109)</f>
        <v>P169SEE</v>
      </c>
      <c r="C111" t="s">
        <v>1777</v>
      </c>
    </row>
    <row r="112" spans="1:3" x14ac:dyDescent="0.25">
      <c r="A112" s="22" t="str">
        <f>CONCATENATE('BASE OBZ'!A110,"PROG")</f>
        <v>SEEPROG</v>
      </c>
      <c r="B112" s="22" t="str">
        <f>CONCATENATE("P",(LEFT('BASE OBZ'!F110,3)),'BASE OBZ'!A110)</f>
        <v>P169SEE</v>
      </c>
      <c r="C112" t="s">
        <v>1777</v>
      </c>
    </row>
    <row r="113" spans="1:3" x14ac:dyDescent="0.25">
      <c r="A113" s="22" t="str">
        <f>CONCATENATE('BASE OBZ'!A111,"PROG")</f>
        <v>SEEPROG</v>
      </c>
      <c r="B113" s="22" t="str">
        <f>CONCATENATE("P",(LEFT('BASE OBZ'!F111,3)),'BASE OBZ'!A111)</f>
        <v>P169SEE</v>
      </c>
      <c r="C113" t="s">
        <v>1777</v>
      </c>
    </row>
    <row r="114" spans="1:3" x14ac:dyDescent="0.25">
      <c r="A114" s="22" t="str">
        <f>CONCATENATE('BASE OBZ'!A112,"PROG")</f>
        <v>SEEPROG</v>
      </c>
      <c r="B114" s="22" t="str">
        <f>CONCATENATE("P",(LEFT('BASE OBZ'!F112,3)),'BASE OBZ'!A112)</f>
        <v>P169SEE</v>
      </c>
      <c r="C114" t="s">
        <v>1777</v>
      </c>
    </row>
    <row r="115" spans="1:3" x14ac:dyDescent="0.25">
      <c r="A115" s="22" t="str">
        <f>CONCATENATE('BASE OBZ'!A113,"PROG")</f>
        <v>SEEPROG</v>
      </c>
      <c r="B115" s="22" t="str">
        <f>CONCATENATE("P",(LEFT('BASE OBZ'!F113,3)),'BASE OBZ'!A113)</f>
        <v>P169SEE</v>
      </c>
      <c r="C115" t="s">
        <v>1777</v>
      </c>
    </row>
    <row r="116" spans="1:3" x14ac:dyDescent="0.25">
      <c r="A116" s="22" t="str">
        <f>CONCATENATE('BASE OBZ'!A114,"PROG")</f>
        <v>SEEPROG</v>
      </c>
      <c r="B116" s="22" t="str">
        <f>CONCATENATE("P",(LEFT('BASE OBZ'!F114,3)),'BASE OBZ'!A114)</f>
        <v>P169SEE</v>
      </c>
      <c r="C116" t="s">
        <v>1777</v>
      </c>
    </row>
    <row r="117" spans="1:3" x14ac:dyDescent="0.25">
      <c r="A117" s="22" t="str">
        <f>CONCATENATE('BASE OBZ'!A115,"PROG")</f>
        <v>SEEPROG</v>
      </c>
      <c r="B117" s="22" t="str">
        <f>CONCATENATE("P",(LEFT('BASE OBZ'!F115,3)),'BASE OBZ'!A115)</f>
        <v>P169SEE</v>
      </c>
      <c r="C117" t="s">
        <v>1777</v>
      </c>
    </row>
    <row r="118" spans="1:3" x14ac:dyDescent="0.25">
      <c r="A118" s="22" t="str">
        <f>CONCATENATE('BASE OBZ'!A116,"PROG")</f>
        <v>SEEPROG</v>
      </c>
      <c r="B118" s="22" t="str">
        <f>CONCATENATE("P",(LEFT('BASE OBZ'!F116,3)),'BASE OBZ'!A116)</f>
        <v>P169SEE</v>
      </c>
      <c r="C118" t="s">
        <v>1777</v>
      </c>
    </row>
    <row r="119" spans="1:3" x14ac:dyDescent="0.25">
      <c r="A119" s="22" t="str">
        <f>CONCATENATE('BASE OBZ'!A117,"PROG")</f>
        <v>SEEPROG</v>
      </c>
      <c r="B119" s="22" t="str">
        <f>CONCATENATE("P",(LEFT('BASE OBZ'!F117,3)),'BASE OBZ'!A117)</f>
        <v>P169SEE</v>
      </c>
      <c r="C119" t="s">
        <v>1777</v>
      </c>
    </row>
    <row r="120" spans="1:3" x14ac:dyDescent="0.25">
      <c r="A120" s="22" t="str">
        <f>CONCATENATE('BASE OBZ'!A118,"PROG")</f>
        <v>SEEPROG</v>
      </c>
      <c r="B120" s="22" t="str">
        <f>CONCATENATE("P",(LEFT('BASE OBZ'!F118,3)),'BASE OBZ'!A118)</f>
        <v>P169SEE</v>
      </c>
      <c r="C120" t="s">
        <v>1777</v>
      </c>
    </row>
    <row r="121" spans="1:3" x14ac:dyDescent="0.25">
      <c r="A121" s="22" t="str">
        <f>CONCATENATE('BASE OBZ'!A119,"PROG")</f>
        <v>SEEPROG</v>
      </c>
      <c r="B121" s="22" t="str">
        <f>CONCATENATE("P",(LEFT('BASE OBZ'!F119,3)),'BASE OBZ'!A119)</f>
        <v>P169SEE</v>
      </c>
      <c r="C121" t="s">
        <v>1777</v>
      </c>
    </row>
    <row r="122" spans="1:3" x14ac:dyDescent="0.25">
      <c r="A122" s="22" t="str">
        <f>CONCATENATE('BASE OBZ'!A120,"PROG")</f>
        <v>SEEPROG</v>
      </c>
      <c r="B122" s="22" t="str">
        <f>CONCATENATE("P",(LEFT('BASE OBZ'!F120,3)),'BASE OBZ'!A120)</f>
        <v>P169SEE</v>
      </c>
      <c r="C122" t="s">
        <v>1777</v>
      </c>
    </row>
    <row r="123" spans="1:3" x14ac:dyDescent="0.25">
      <c r="A123" s="22" t="str">
        <f>CONCATENATE('BASE OBZ'!A121,"PROG")</f>
        <v>SEEPROG</v>
      </c>
      <c r="B123" s="22" t="str">
        <f>CONCATENATE("P",(LEFT('BASE OBZ'!F121,3)),'BASE OBZ'!A121)</f>
        <v>P169SEE</v>
      </c>
      <c r="C123" t="s">
        <v>1777</v>
      </c>
    </row>
    <row r="124" spans="1:3" x14ac:dyDescent="0.25">
      <c r="A124" s="22" t="str">
        <f>CONCATENATE('BASE OBZ'!A122,"PROG")</f>
        <v>SEEPROG</v>
      </c>
      <c r="B124" s="22" t="str">
        <f>CONCATENATE("P",(LEFT('BASE OBZ'!F122,3)),'BASE OBZ'!A122)</f>
        <v>P169SEE</v>
      </c>
      <c r="C124" t="s">
        <v>1777</v>
      </c>
    </row>
    <row r="125" spans="1:3" x14ac:dyDescent="0.25">
      <c r="A125" s="22" t="str">
        <f>CONCATENATE('BASE OBZ'!A123,"PROG")</f>
        <v>SEEPROG</v>
      </c>
      <c r="B125" s="22" t="str">
        <f>CONCATENATE("P",(LEFT('BASE OBZ'!F123,3)),'BASE OBZ'!A123)</f>
        <v>P169SEE</v>
      </c>
      <c r="C125" t="s">
        <v>1777</v>
      </c>
    </row>
    <row r="126" spans="1:3" x14ac:dyDescent="0.25">
      <c r="A126" s="22" t="str">
        <f>CONCATENATE('BASE OBZ'!A124,"PROG")</f>
        <v>SEEPROG</v>
      </c>
      <c r="B126" s="22" t="str">
        <f>CONCATENATE("P",(LEFT('BASE OBZ'!F124,3)),'BASE OBZ'!A124)</f>
        <v>P169SEE</v>
      </c>
      <c r="C126" t="s">
        <v>1777</v>
      </c>
    </row>
    <row r="127" spans="1:3" x14ac:dyDescent="0.25">
      <c r="A127" s="22" t="str">
        <f>CONCATENATE('BASE OBZ'!A125,"PROG")</f>
        <v>SEEPROG</v>
      </c>
      <c r="B127" s="22" t="str">
        <f>CONCATENATE("P",(LEFT('BASE OBZ'!F125,3)),'BASE OBZ'!A125)</f>
        <v>P169SEE</v>
      </c>
      <c r="C127" t="s">
        <v>1777</v>
      </c>
    </row>
    <row r="128" spans="1:3" x14ac:dyDescent="0.25">
      <c r="A128" s="22" t="str">
        <f>CONCATENATE('BASE OBZ'!A126,"PROG")</f>
        <v>SEEPROG</v>
      </c>
      <c r="B128" s="22" t="str">
        <f>CONCATENATE("P",(LEFT('BASE OBZ'!F126,3)),'BASE OBZ'!A126)</f>
        <v>P169SEE</v>
      </c>
      <c r="C128" t="s">
        <v>1777</v>
      </c>
    </row>
    <row r="129" spans="1:3" x14ac:dyDescent="0.25">
      <c r="A129" s="22" t="str">
        <f>CONCATENATE('BASE OBZ'!A127,"PROG")</f>
        <v>SEEPROG</v>
      </c>
      <c r="B129" s="22" t="str">
        <f>CONCATENATE("P",(LEFT('BASE OBZ'!F127,3)),'BASE OBZ'!A127)</f>
        <v>P169SEE</v>
      </c>
      <c r="C129" t="s">
        <v>1777</v>
      </c>
    </row>
    <row r="130" spans="1:3" x14ac:dyDescent="0.25">
      <c r="A130" s="22" t="str">
        <f>CONCATENATE('BASE OBZ'!A128,"PROG")</f>
        <v>SEEPROG</v>
      </c>
      <c r="B130" s="22" t="str">
        <f>CONCATENATE("P",(LEFT('BASE OBZ'!F128,3)),'BASE OBZ'!A128)</f>
        <v>P169SEE</v>
      </c>
      <c r="C130" t="s">
        <v>1777</v>
      </c>
    </row>
    <row r="131" spans="1:3" x14ac:dyDescent="0.25">
      <c r="A131" s="22" t="str">
        <f>CONCATENATE('BASE OBZ'!A129,"PROG")</f>
        <v>SEEPROG</v>
      </c>
      <c r="B131" s="22" t="str">
        <f>CONCATENATE("P",(LEFT('BASE OBZ'!F129,3)),'BASE OBZ'!A129)</f>
        <v>P169SEE</v>
      </c>
      <c r="C131" t="s">
        <v>1777</v>
      </c>
    </row>
    <row r="132" spans="1:3" x14ac:dyDescent="0.25">
      <c r="A132" s="22" t="str">
        <f>CONCATENATE('BASE OBZ'!A130,"PROG")</f>
        <v>SEEPROG</v>
      </c>
      <c r="B132" s="22" t="str">
        <f>CONCATENATE("P",(LEFT('BASE OBZ'!F130,3)),'BASE OBZ'!A130)</f>
        <v>P169SEE</v>
      </c>
      <c r="C132" t="s">
        <v>1777</v>
      </c>
    </row>
    <row r="133" spans="1:3" x14ac:dyDescent="0.25">
      <c r="A133" s="22" t="str">
        <f>CONCATENATE('BASE OBZ'!A131,"PROG")</f>
        <v>SEEPROG</v>
      </c>
      <c r="B133" s="22" t="str">
        <f>CONCATENATE("P",(LEFT('BASE OBZ'!F131,3)),'BASE OBZ'!A131)</f>
        <v>P169SEE</v>
      </c>
      <c r="C133" t="s">
        <v>1777</v>
      </c>
    </row>
    <row r="134" spans="1:3" x14ac:dyDescent="0.25">
      <c r="A134" s="22" t="str">
        <f>CONCATENATE('BASE OBZ'!A132,"PROG")</f>
        <v>SEEPROG</v>
      </c>
      <c r="B134" s="22" t="str">
        <f>CONCATENATE("P",(LEFT('BASE OBZ'!F132,3)),'BASE OBZ'!A132)</f>
        <v>P169SEE</v>
      </c>
      <c r="C134" t="s">
        <v>1777</v>
      </c>
    </row>
    <row r="135" spans="1:3" x14ac:dyDescent="0.25">
      <c r="A135" s="22" t="str">
        <f>CONCATENATE('BASE OBZ'!A133,"PROG")</f>
        <v>SEEPROG</v>
      </c>
      <c r="B135" s="22" t="str">
        <f>CONCATENATE("P",(LEFT('BASE OBZ'!F133,3)),'BASE OBZ'!A133)</f>
        <v>P169SEE</v>
      </c>
      <c r="C135" t="s">
        <v>1777</v>
      </c>
    </row>
    <row r="136" spans="1:3" x14ac:dyDescent="0.25">
      <c r="A136" s="22" t="str">
        <f>CONCATENATE('BASE OBZ'!A134,"PROG")</f>
        <v>SEEPROG</v>
      </c>
      <c r="B136" s="22" t="str">
        <f>CONCATENATE("P",(LEFT('BASE OBZ'!F134,3)),'BASE OBZ'!A134)</f>
        <v>P168SEE</v>
      </c>
      <c r="C136" t="s">
        <v>1777</v>
      </c>
    </row>
    <row r="137" spans="1:3" x14ac:dyDescent="0.25">
      <c r="A137" s="22" t="str">
        <f>CONCATENATE('BASE OBZ'!A135,"PROG")</f>
        <v>SEEPROG</v>
      </c>
      <c r="B137" s="22" t="str">
        <f>CONCATENATE("P",(LEFT('BASE OBZ'!F135,3)),'BASE OBZ'!A135)</f>
        <v>P169SEE</v>
      </c>
      <c r="C137" t="s">
        <v>1777</v>
      </c>
    </row>
    <row r="138" spans="1:3" x14ac:dyDescent="0.25">
      <c r="A138" s="22" t="str">
        <f>CONCATENATE('BASE OBZ'!A136,"PROG")</f>
        <v>SEEPROG</v>
      </c>
      <c r="B138" s="22" t="str">
        <f>CONCATENATE("P",(LEFT('BASE OBZ'!F136,3)),'BASE OBZ'!A136)</f>
        <v>P169SEE</v>
      </c>
      <c r="C138" t="s">
        <v>1777</v>
      </c>
    </row>
    <row r="139" spans="1:3" x14ac:dyDescent="0.25">
      <c r="A139" s="22" t="str">
        <f>CONCATENATE('BASE OBZ'!A137,"PROG")</f>
        <v>SEEPROG</v>
      </c>
      <c r="B139" s="22" t="str">
        <f>CONCATENATE("P",(LEFT('BASE OBZ'!F137,3)),'BASE OBZ'!A137)</f>
        <v>P168SEE</v>
      </c>
      <c r="C139" t="s">
        <v>1777</v>
      </c>
    </row>
    <row r="140" spans="1:3" x14ac:dyDescent="0.25">
      <c r="A140" s="22" t="str">
        <f>CONCATENATE('BASE OBZ'!A138,"PROG")</f>
        <v>SEEPROG</v>
      </c>
      <c r="B140" s="22" t="str">
        <f>CONCATENATE("P",(LEFT('BASE OBZ'!F138,3)),'BASE OBZ'!A138)</f>
        <v>P169SEE</v>
      </c>
      <c r="C140" t="s">
        <v>1777</v>
      </c>
    </row>
    <row r="141" spans="1:3" x14ac:dyDescent="0.25">
      <c r="A141" s="22" t="str">
        <f>CONCATENATE('BASE OBZ'!A139,"PROG")</f>
        <v>SEEPROG</v>
      </c>
      <c r="B141" s="22" t="str">
        <f>CONCATENATE("P",(LEFT('BASE OBZ'!F139,3)),'BASE OBZ'!A139)</f>
        <v>P169SEE</v>
      </c>
      <c r="C141" t="s">
        <v>1777</v>
      </c>
    </row>
    <row r="142" spans="1:3" x14ac:dyDescent="0.25">
      <c r="A142" s="22" t="str">
        <f>CONCATENATE('BASE OBZ'!A140,"PROG")</f>
        <v>SEEPROG</v>
      </c>
      <c r="B142" s="22" t="str">
        <f>CONCATENATE("P",(LEFT('BASE OBZ'!F140,3)),'BASE OBZ'!A140)</f>
        <v>P169SEE</v>
      </c>
      <c r="C142" t="s">
        <v>1777</v>
      </c>
    </row>
    <row r="143" spans="1:3" x14ac:dyDescent="0.25">
      <c r="A143" s="22" t="str">
        <f>CONCATENATE('BASE OBZ'!A141,"PROG")</f>
        <v>SEEPROG</v>
      </c>
      <c r="B143" s="22" t="str">
        <f>CONCATENATE("P",(LEFT('BASE OBZ'!F141,3)),'BASE OBZ'!A141)</f>
        <v>P169SEE</v>
      </c>
      <c r="C143" t="s">
        <v>1777</v>
      </c>
    </row>
    <row r="144" spans="1:3" x14ac:dyDescent="0.25">
      <c r="A144" s="22" t="str">
        <f>CONCATENATE('BASE OBZ'!A142,"PROG")</f>
        <v>SEEPROG</v>
      </c>
      <c r="B144" s="22" t="str">
        <f>CONCATENATE("P",(LEFT('BASE OBZ'!F142,3)),'BASE OBZ'!A142)</f>
        <v>P169SEE</v>
      </c>
      <c r="C144" t="s">
        <v>1777</v>
      </c>
    </row>
    <row r="145" spans="1:3" x14ac:dyDescent="0.25">
      <c r="A145" s="22" t="str">
        <f>CONCATENATE('BASE OBZ'!A143,"PROG")</f>
        <v>SEEPROG</v>
      </c>
      <c r="B145" s="22" t="str">
        <f>CONCATENATE("P",(LEFT('BASE OBZ'!F143,3)),'BASE OBZ'!A143)</f>
        <v>P169SEE</v>
      </c>
      <c r="C145" t="s">
        <v>1777</v>
      </c>
    </row>
    <row r="146" spans="1:3" x14ac:dyDescent="0.25">
      <c r="A146" s="22" t="str">
        <f>CONCATENATE('BASE OBZ'!A144,"PROG")</f>
        <v>SEEPROG</v>
      </c>
      <c r="B146" s="22" t="str">
        <f>CONCATENATE("P",(LEFT('BASE OBZ'!F144,3)),'BASE OBZ'!A144)</f>
        <v>P169SEE</v>
      </c>
      <c r="C146" t="s">
        <v>1777</v>
      </c>
    </row>
    <row r="147" spans="1:3" x14ac:dyDescent="0.25">
      <c r="A147" s="22" t="str">
        <f>CONCATENATE('BASE OBZ'!A145,"PROG")</f>
        <v>SEEPROG</v>
      </c>
      <c r="B147" s="22" t="str">
        <f>CONCATENATE("P",(LEFT('BASE OBZ'!F145,3)),'BASE OBZ'!A145)</f>
        <v>P169SEE</v>
      </c>
      <c r="C147" t="s">
        <v>1777</v>
      </c>
    </row>
    <row r="148" spans="1:3" x14ac:dyDescent="0.25">
      <c r="A148" s="22" t="str">
        <f>CONCATENATE('BASE OBZ'!A146,"PROG")</f>
        <v>SEEPROG</v>
      </c>
      <c r="B148" s="22" t="str">
        <f>CONCATENATE("P",(LEFT('BASE OBZ'!F146,3)),'BASE OBZ'!A146)</f>
        <v>P169SEE</v>
      </c>
      <c r="C148" t="s">
        <v>1777</v>
      </c>
    </row>
    <row r="149" spans="1:3" x14ac:dyDescent="0.25">
      <c r="A149" s="22" t="str">
        <f>CONCATENATE('BASE OBZ'!A147,"PROG")</f>
        <v>SEEPROG</v>
      </c>
      <c r="B149" s="22" t="str">
        <f>CONCATENATE("P",(LEFT('BASE OBZ'!F147,3)),'BASE OBZ'!A147)</f>
        <v>P169SEE</v>
      </c>
      <c r="C149" t="s">
        <v>1777</v>
      </c>
    </row>
    <row r="150" spans="1:3" x14ac:dyDescent="0.25">
      <c r="A150" s="22" t="str">
        <f>CONCATENATE('BASE OBZ'!A148,"PROG")</f>
        <v>SEEPROG</v>
      </c>
      <c r="B150" s="22" t="str">
        <f>CONCATENATE("P",(LEFT('BASE OBZ'!F148,3)),'BASE OBZ'!A148)</f>
        <v>P169SEE</v>
      </c>
      <c r="C150" t="s">
        <v>1777</v>
      </c>
    </row>
    <row r="151" spans="1:3" x14ac:dyDescent="0.25">
      <c r="A151" s="22" t="str">
        <f>CONCATENATE('BASE OBZ'!A149,"PROG")</f>
        <v>SEEPROG</v>
      </c>
      <c r="B151" s="22" t="str">
        <f>CONCATENATE("P",(LEFT('BASE OBZ'!F149,3)),'BASE OBZ'!A149)</f>
        <v>P169SEE</v>
      </c>
      <c r="C151" t="s">
        <v>1777</v>
      </c>
    </row>
    <row r="152" spans="1:3" x14ac:dyDescent="0.25">
      <c r="A152" s="22" t="str">
        <f>CONCATENATE('BASE OBZ'!A150,"PROG")</f>
        <v>SEEPROG</v>
      </c>
      <c r="B152" s="22" t="str">
        <f>CONCATENATE("P",(LEFT('BASE OBZ'!F150,3)),'BASE OBZ'!A150)</f>
        <v>P169SEE</v>
      </c>
      <c r="C152" t="s">
        <v>1777</v>
      </c>
    </row>
    <row r="153" spans="1:3" x14ac:dyDescent="0.25">
      <c r="A153" s="22" t="str">
        <f>CONCATENATE('BASE OBZ'!A151,"PROG")</f>
        <v>SEEPROG</v>
      </c>
      <c r="B153" s="22" t="str">
        <f>CONCATENATE("P",(LEFT('BASE OBZ'!F151,3)),'BASE OBZ'!A151)</f>
        <v>P169SEE</v>
      </c>
      <c r="C153" t="s">
        <v>1777</v>
      </c>
    </row>
    <row r="154" spans="1:3" x14ac:dyDescent="0.25">
      <c r="A154" s="22" t="str">
        <f>CONCATENATE('BASE OBZ'!A152,"PROG")</f>
        <v>SEEPROG</v>
      </c>
      <c r="B154" s="22" t="str">
        <f>CONCATENATE("P",(LEFT('BASE OBZ'!F152,3)),'BASE OBZ'!A152)</f>
        <v>P169SEE</v>
      </c>
      <c r="C154" t="s">
        <v>1777</v>
      </c>
    </row>
    <row r="155" spans="1:3" x14ac:dyDescent="0.25">
      <c r="A155" s="22" t="str">
        <f>CONCATENATE('BASE OBZ'!A153,"PROG")</f>
        <v>SEEPROG</v>
      </c>
      <c r="B155" s="22" t="str">
        <f>CONCATENATE("P",(LEFT('BASE OBZ'!F153,3)),'BASE OBZ'!A153)</f>
        <v>P169SEE</v>
      </c>
      <c r="C155" t="s">
        <v>1777</v>
      </c>
    </row>
    <row r="156" spans="1:3" x14ac:dyDescent="0.25">
      <c r="A156" s="22" t="str">
        <f>CONCATENATE('BASE OBZ'!A154,"PROG")</f>
        <v>SEEPROG</v>
      </c>
      <c r="B156" s="22" t="str">
        <f>CONCATENATE("P",(LEFT('BASE OBZ'!F154,3)),'BASE OBZ'!A154)</f>
        <v>P169SEE</v>
      </c>
      <c r="C156" t="s">
        <v>1777</v>
      </c>
    </row>
    <row r="157" spans="1:3" x14ac:dyDescent="0.25">
      <c r="A157" s="22" t="str">
        <f>CONCATENATE('BASE OBZ'!A155,"PROG")</f>
        <v>SEEPROG</v>
      </c>
      <c r="B157" s="22" t="str">
        <f>CONCATENATE("P",(LEFT('BASE OBZ'!F155,3)),'BASE OBZ'!A155)</f>
        <v>P168SEE</v>
      </c>
      <c r="C157" t="s">
        <v>1777</v>
      </c>
    </row>
    <row r="158" spans="1:3" x14ac:dyDescent="0.25">
      <c r="A158" s="22" t="str">
        <f>CONCATENATE('BASE OBZ'!A156,"PROG")</f>
        <v>SEEPROG</v>
      </c>
      <c r="B158" s="22" t="str">
        <f>CONCATENATE("P",(LEFT('BASE OBZ'!F156,3)),'BASE OBZ'!A156)</f>
        <v>P169SEE</v>
      </c>
      <c r="C158" t="s">
        <v>1777</v>
      </c>
    </row>
    <row r="159" spans="1:3" x14ac:dyDescent="0.25">
      <c r="A159" s="22" t="str">
        <f>CONCATENATE('BASE OBZ'!A157,"PROG")</f>
        <v>SEEPROG</v>
      </c>
      <c r="B159" s="22" t="str">
        <f>CONCATENATE("P",(LEFT('BASE OBZ'!F157,3)),'BASE OBZ'!A157)</f>
        <v>P169SEE</v>
      </c>
      <c r="C159" t="s">
        <v>1777</v>
      </c>
    </row>
    <row r="160" spans="1:3" x14ac:dyDescent="0.25">
      <c r="A160" s="22" t="str">
        <f>CONCATENATE('BASE OBZ'!A158,"PROG")</f>
        <v>SEEPROG</v>
      </c>
      <c r="B160" s="22" t="str">
        <f>CONCATENATE("P",(LEFT('BASE OBZ'!F158,3)),'BASE OBZ'!A158)</f>
        <v>P169SEE</v>
      </c>
      <c r="C160" t="s">
        <v>1777</v>
      </c>
    </row>
    <row r="161" spans="1:3" x14ac:dyDescent="0.25">
      <c r="A161" s="22" t="str">
        <f>CONCATENATE('BASE OBZ'!A159,"PROG")</f>
        <v>SEEPROG</v>
      </c>
      <c r="B161" s="22" t="str">
        <f>CONCATENATE("P",(LEFT('BASE OBZ'!F159,3)),'BASE OBZ'!A159)</f>
        <v>P169SEE</v>
      </c>
      <c r="C161" t="s">
        <v>1777</v>
      </c>
    </row>
    <row r="162" spans="1:3" x14ac:dyDescent="0.25">
      <c r="A162" s="22" t="str">
        <f>CONCATENATE('BASE OBZ'!A160,"PROG")</f>
        <v>SEEPROG</v>
      </c>
      <c r="B162" s="22" t="str">
        <f>CONCATENATE("P",(LEFT('BASE OBZ'!F160,3)),'BASE OBZ'!A160)</f>
        <v>P169SEE</v>
      </c>
      <c r="C162" t="s">
        <v>1777</v>
      </c>
    </row>
    <row r="163" spans="1:3" x14ac:dyDescent="0.25">
      <c r="A163" s="22" t="str">
        <f>CONCATENATE('BASE OBZ'!A161,"PROG")</f>
        <v>SEEPROG</v>
      </c>
      <c r="B163" s="22" t="str">
        <f>CONCATENATE("P",(LEFT('BASE OBZ'!F161,3)),'BASE OBZ'!A161)</f>
        <v>P169SEE</v>
      </c>
      <c r="C163" t="s">
        <v>1777</v>
      </c>
    </row>
    <row r="164" spans="1:3" x14ac:dyDescent="0.25">
      <c r="A164" s="22" t="str">
        <f>CONCATENATE('BASE OBZ'!A162,"PROG")</f>
        <v>SEEPROG</v>
      </c>
      <c r="B164" s="22" t="str">
        <f>CONCATENATE("P",(LEFT('BASE OBZ'!F162,3)),'BASE OBZ'!A162)</f>
        <v>P169SEE</v>
      </c>
      <c r="C164" t="s">
        <v>1777</v>
      </c>
    </row>
    <row r="165" spans="1:3" x14ac:dyDescent="0.25">
      <c r="A165" s="22" t="str">
        <f>CONCATENATE('BASE OBZ'!A163,"PROG")</f>
        <v>SEEPROG</v>
      </c>
      <c r="B165" s="22" t="str">
        <f>CONCATENATE("P",(LEFT('BASE OBZ'!F163,3)),'BASE OBZ'!A163)</f>
        <v>P169SEE</v>
      </c>
      <c r="C165" t="s">
        <v>1777</v>
      </c>
    </row>
    <row r="166" spans="1:3" x14ac:dyDescent="0.25">
      <c r="A166" s="22" t="str">
        <f>CONCATENATE('BASE OBZ'!A164,"PROG")</f>
        <v>SEEPROG</v>
      </c>
      <c r="B166" s="22" t="str">
        <f>CONCATENATE("P",(LEFT('BASE OBZ'!F164,3)),'BASE OBZ'!A164)</f>
        <v>P169SEE</v>
      </c>
      <c r="C166" t="s">
        <v>1777</v>
      </c>
    </row>
    <row r="167" spans="1:3" x14ac:dyDescent="0.25">
      <c r="A167" s="22" t="str">
        <f>CONCATENATE('BASE OBZ'!A165,"PROG")</f>
        <v>SEEPROG</v>
      </c>
      <c r="B167" s="22" t="str">
        <f>CONCATENATE("P",(LEFT('BASE OBZ'!F165,3)),'BASE OBZ'!A165)</f>
        <v>P169SEE</v>
      </c>
      <c r="C167" t="s">
        <v>1777</v>
      </c>
    </row>
    <row r="168" spans="1:3" x14ac:dyDescent="0.25">
      <c r="A168" s="22" t="str">
        <f>CONCATENATE('BASE OBZ'!A166,"PROG")</f>
        <v>SEEPROG</v>
      </c>
      <c r="B168" s="22" t="str">
        <f>CONCATENATE("P",(LEFT('BASE OBZ'!F166,3)),'BASE OBZ'!A166)</f>
        <v>P163SEE</v>
      </c>
      <c r="C168" t="s">
        <v>1777</v>
      </c>
    </row>
    <row r="169" spans="1:3" x14ac:dyDescent="0.25">
      <c r="A169" s="22" t="str">
        <f>CONCATENATE('BASE OBZ'!A167,"PROG")</f>
        <v>SEEPROG</v>
      </c>
      <c r="B169" s="22" t="str">
        <f>CONCATENATE("P",(LEFT('BASE OBZ'!F167,3)),'BASE OBZ'!A167)</f>
        <v>P163SEE</v>
      </c>
      <c r="C169" t="s">
        <v>1777</v>
      </c>
    </row>
    <row r="170" spans="1:3" x14ac:dyDescent="0.25">
      <c r="A170" s="22" t="str">
        <f>CONCATENATE('BASE OBZ'!A168,"PROG")</f>
        <v>SEEPROG</v>
      </c>
      <c r="B170" s="22" t="str">
        <f>CONCATENATE("P",(LEFT('BASE OBZ'!F168,3)),'BASE OBZ'!A168)</f>
        <v>P168SEE</v>
      </c>
      <c r="C170" t="s">
        <v>1777</v>
      </c>
    </row>
    <row r="171" spans="1:3" x14ac:dyDescent="0.25">
      <c r="A171" s="22" t="str">
        <f>CONCATENATE('BASE OBZ'!A169,"PROG")</f>
        <v>SEEPROG</v>
      </c>
      <c r="B171" s="22" t="str">
        <f>CONCATENATE("P",(LEFT('BASE OBZ'!F169,3)),'BASE OBZ'!A169)</f>
        <v>P168SEE</v>
      </c>
      <c r="C171" t="s">
        <v>1777</v>
      </c>
    </row>
    <row r="172" spans="1:3" x14ac:dyDescent="0.25">
      <c r="A172" s="22" t="str">
        <f>CONCATENATE('BASE OBZ'!A170,"PROG")</f>
        <v>SEEPROG</v>
      </c>
      <c r="B172" s="22" t="str">
        <f>CONCATENATE("P",(LEFT('BASE OBZ'!F170,3)),'BASE OBZ'!A170)</f>
        <v>P168SEE</v>
      </c>
      <c r="C172" t="s">
        <v>1777</v>
      </c>
    </row>
    <row r="173" spans="1:3" x14ac:dyDescent="0.25">
      <c r="A173" s="22" t="str">
        <f>CONCATENATE('BASE OBZ'!A171,"PROG")</f>
        <v>SEEPROG</v>
      </c>
      <c r="B173" s="22" t="str">
        <f>CONCATENATE("P",(LEFT('BASE OBZ'!F171,3)),'BASE OBZ'!A171)</f>
        <v>P168SEE</v>
      </c>
      <c r="C173" t="s">
        <v>1777</v>
      </c>
    </row>
    <row r="174" spans="1:3" x14ac:dyDescent="0.25">
      <c r="A174" s="22" t="str">
        <f>CONCATENATE('BASE OBZ'!A172,"PROG")</f>
        <v>SEEPROG</v>
      </c>
      <c r="B174" s="22" t="str">
        <f>CONCATENATE("P",(LEFT('BASE OBZ'!F172,3)),'BASE OBZ'!A172)</f>
        <v>P168SEE</v>
      </c>
      <c r="C174" t="s">
        <v>1777</v>
      </c>
    </row>
    <row r="175" spans="1:3" x14ac:dyDescent="0.25">
      <c r="A175" s="22" t="str">
        <f>CONCATENATE('BASE OBZ'!A173,"PROG")</f>
        <v>SEEPROG</v>
      </c>
      <c r="B175" s="22" t="str">
        <f>CONCATENATE("P",(LEFT('BASE OBZ'!F173,3)),'BASE OBZ'!A173)</f>
        <v>P169SEE</v>
      </c>
      <c r="C175" t="s">
        <v>1777</v>
      </c>
    </row>
    <row r="176" spans="1:3" x14ac:dyDescent="0.25">
      <c r="A176" s="22" t="str">
        <f>CONCATENATE('BASE OBZ'!A174,"PROG")</f>
        <v>SEEPROG</v>
      </c>
      <c r="B176" s="22" t="str">
        <f>CONCATENATE("P",(LEFT('BASE OBZ'!F174,3)),'BASE OBZ'!A174)</f>
        <v>P169SEE</v>
      </c>
      <c r="C176" t="s">
        <v>1777</v>
      </c>
    </row>
    <row r="177" spans="1:3" x14ac:dyDescent="0.25">
      <c r="A177" s="22" t="str">
        <f>CONCATENATE('BASE OBZ'!A175,"PROG")</f>
        <v>SEEPROG</v>
      </c>
      <c r="B177" s="22" t="str">
        <f>CONCATENATE("P",(LEFT('BASE OBZ'!F175,3)),'BASE OBZ'!A175)</f>
        <v>P168SEE</v>
      </c>
      <c r="C177" t="s">
        <v>1777</v>
      </c>
    </row>
    <row r="178" spans="1:3" x14ac:dyDescent="0.25">
      <c r="A178" s="22" t="str">
        <f>CONCATENATE('BASE OBZ'!A176,"PROG")</f>
        <v>SEEPROG</v>
      </c>
      <c r="B178" s="22" t="str">
        <f>CONCATENATE("P",(LEFT('BASE OBZ'!F176,3)),'BASE OBZ'!A176)</f>
        <v>P168SEE</v>
      </c>
      <c r="C178" t="s">
        <v>1777</v>
      </c>
    </row>
    <row r="179" spans="1:3" x14ac:dyDescent="0.25">
      <c r="A179" s="22" t="str">
        <f>CONCATENATE('BASE OBZ'!A177,"PROG")</f>
        <v>SEEPROG</v>
      </c>
      <c r="B179" s="22" t="str">
        <f>CONCATENATE("P",(LEFT('BASE OBZ'!F177,3)),'BASE OBZ'!A177)</f>
        <v>P168SEE</v>
      </c>
      <c r="C179" t="s">
        <v>1777</v>
      </c>
    </row>
    <row r="180" spans="1:3" x14ac:dyDescent="0.25">
      <c r="A180" s="22" t="str">
        <f>CONCATENATE('BASE OBZ'!A178,"PROG")</f>
        <v>SEEPROG</v>
      </c>
      <c r="B180" s="22" t="str">
        <f>CONCATENATE("P",(LEFT('BASE OBZ'!F178,3)),'BASE OBZ'!A178)</f>
        <v>P168SEE</v>
      </c>
      <c r="C180" t="s">
        <v>1777</v>
      </c>
    </row>
    <row r="181" spans="1:3" x14ac:dyDescent="0.25">
      <c r="A181" s="22" t="str">
        <f>CONCATENATE('BASE OBZ'!A179,"PROG")</f>
        <v>SEEPROG</v>
      </c>
      <c r="B181" s="22" t="str">
        <f>CONCATENATE("P",(LEFT('BASE OBZ'!F179,3)),'BASE OBZ'!A179)</f>
        <v>PXXXSEE</v>
      </c>
      <c r="C181" t="s">
        <v>1777</v>
      </c>
    </row>
    <row r="182" spans="1:3" x14ac:dyDescent="0.25">
      <c r="A182" s="22" t="str">
        <f>CONCATENATE('BASE OBZ'!A180,"PROG")</f>
        <v>SEEPROG</v>
      </c>
      <c r="B182" s="22" t="str">
        <f>CONCATENATE("P",(LEFT('BASE OBZ'!F180,3)),'BASE OBZ'!A180)</f>
        <v>PXXXSEE</v>
      </c>
      <c r="C182" t="s">
        <v>1777</v>
      </c>
    </row>
    <row r="183" spans="1:3" x14ac:dyDescent="0.25">
      <c r="A183" s="22" t="str">
        <f>CONCATENATE('BASE OBZ'!A181,"PROG")</f>
        <v>SEEPROG</v>
      </c>
      <c r="B183" s="22" t="str">
        <f>CONCATENATE("P",(LEFT('BASE OBZ'!F181,3)),'BASE OBZ'!A181)</f>
        <v>P168SEE</v>
      </c>
      <c r="C183" t="s">
        <v>1777</v>
      </c>
    </row>
    <row r="184" spans="1:3" x14ac:dyDescent="0.25">
      <c r="A184" s="22" t="str">
        <f>CONCATENATE('BASE OBZ'!A182,"PROG")</f>
        <v>SEEPROG</v>
      </c>
      <c r="B184" s="22" t="str">
        <f>CONCATENATE("P",(LEFT('BASE OBZ'!F182,3)),'BASE OBZ'!A182)</f>
        <v>P168SEE</v>
      </c>
      <c r="C184" t="s">
        <v>1777</v>
      </c>
    </row>
    <row r="185" spans="1:3" x14ac:dyDescent="0.25">
      <c r="A185" s="22" t="str">
        <f>CONCATENATE('BASE OBZ'!A183,"PROG")</f>
        <v>SEEPROG</v>
      </c>
      <c r="B185" s="22" t="str">
        <f>CONCATENATE("P",(LEFT('BASE OBZ'!F183,3)),'BASE OBZ'!A183)</f>
        <v>P169SEE</v>
      </c>
      <c r="C185" t="s">
        <v>1777</v>
      </c>
    </row>
    <row r="186" spans="1:3" x14ac:dyDescent="0.25">
      <c r="A186" s="22" t="str">
        <f>CONCATENATE('BASE OBZ'!A184,"PROG")</f>
        <v>SEEPROG</v>
      </c>
      <c r="B186" s="22" t="str">
        <f>CONCATENATE("P",(LEFT('BASE OBZ'!F184,3)),'BASE OBZ'!A184)</f>
        <v>P169SEE</v>
      </c>
      <c r="C186" t="s">
        <v>1777</v>
      </c>
    </row>
    <row r="187" spans="1:3" x14ac:dyDescent="0.25">
      <c r="A187" s="22" t="str">
        <f>CONCATENATE('BASE OBZ'!A185,"PROG")</f>
        <v>SEEPROG</v>
      </c>
      <c r="B187" s="22" t="str">
        <f>CONCATENATE("P",(LEFT('BASE OBZ'!F185,3)),'BASE OBZ'!A185)</f>
        <v>P169SEE</v>
      </c>
      <c r="C187" t="s">
        <v>1777</v>
      </c>
    </row>
    <row r="188" spans="1:3" x14ac:dyDescent="0.25">
      <c r="A188" s="22" t="str">
        <f>CONCATENATE('BASE OBZ'!A186,"PROG")</f>
        <v>SEEPROG</v>
      </c>
      <c r="B188" s="22" t="str">
        <f>CONCATENATE("P",(LEFT('BASE OBZ'!F186,3)),'BASE OBZ'!A186)</f>
        <v>P169SEE</v>
      </c>
      <c r="C188" t="s">
        <v>1777</v>
      </c>
    </row>
    <row r="189" spans="1:3" x14ac:dyDescent="0.25">
      <c r="A189" s="22" t="str">
        <f>CONCATENATE('BASE OBZ'!A187,"PROG")</f>
        <v>SEEPROG</v>
      </c>
      <c r="B189" s="22" t="str">
        <f>CONCATENATE("P",(LEFT('BASE OBZ'!F187,3)),'BASE OBZ'!A187)</f>
        <v>P169SEE</v>
      </c>
      <c r="C189" t="s">
        <v>1777</v>
      </c>
    </row>
    <row r="190" spans="1:3" x14ac:dyDescent="0.25">
      <c r="A190" s="22" t="str">
        <f>CONCATENATE('BASE OBZ'!A188,"PROG")</f>
        <v>SEEPROG</v>
      </c>
      <c r="B190" s="22" t="str">
        <f>CONCATENATE("P",(LEFT('BASE OBZ'!F188,3)),'BASE OBZ'!A188)</f>
        <v>P169SEE</v>
      </c>
      <c r="C190" t="s">
        <v>1777</v>
      </c>
    </row>
    <row r="191" spans="1:3" x14ac:dyDescent="0.25">
      <c r="A191" s="22" t="str">
        <f>CONCATENATE('BASE OBZ'!A189,"PROG")</f>
        <v>SEEPROG</v>
      </c>
      <c r="B191" s="22" t="str">
        <f>CONCATENATE("P",(LEFT('BASE OBZ'!F189,3)),'BASE OBZ'!A189)</f>
        <v>P169SEE</v>
      </c>
      <c r="C191" t="s">
        <v>1777</v>
      </c>
    </row>
    <row r="192" spans="1:3" x14ac:dyDescent="0.25">
      <c r="A192" s="22" t="str">
        <f>CONCATENATE('BASE OBZ'!A190,"PROG")</f>
        <v>SEEPROG</v>
      </c>
      <c r="B192" s="22" t="str">
        <f>CONCATENATE("P",(LEFT('BASE OBZ'!F190,3)),'BASE OBZ'!A190)</f>
        <v>P169SEE</v>
      </c>
      <c r="C192" t="s">
        <v>1777</v>
      </c>
    </row>
    <row r="193" spans="1:3" x14ac:dyDescent="0.25">
      <c r="A193" s="22" t="str">
        <f>CONCATENATE('BASE OBZ'!A191,"PROG")</f>
        <v>SEEPROG</v>
      </c>
      <c r="B193" s="22" t="str">
        <f>CONCATENATE("P",(LEFT('BASE OBZ'!F191,3)),'BASE OBZ'!A191)</f>
        <v>P169SEE</v>
      </c>
      <c r="C193" t="s">
        <v>1777</v>
      </c>
    </row>
    <row r="194" spans="1:3" x14ac:dyDescent="0.25">
      <c r="A194" s="22" t="str">
        <f>CONCATENATE('BASE OBZ'!A192,"PROG")</f>
        <v>SEEPROG</v>
      </c>
      <c r="B194" s="22" t="str">
        <f>CONCATENATE("P",(LEFT('BASE OBZ'!F192,3)),'BASE OBZ'!A192)</f>
        <v>P169SEE</v>
      </c>
      <c r="C194" t="s">
        <v>1777</v>
      </c>
    </row>
    <row r="195" spans="1:3" x14ac:dyDescent="0.25">
      <c r="A195" s="22" t="str">
        <f>CONCATENATE('BASE OBZ'!A193,"PROG")</f>
        <v>SEEPROG</v>
      </c>
      <c r="B195" s="22" t="str">
        <f>CONCATENATE("P",(LEFT('BASE OBZ'!F193,3)),'BASE OBZ'!A193)</f>
        <v>P169SEE</v>
      </c>
      <c r="C195" t="s">
        <v>1777</v>
      </c>
    </row>
    <row r="196" spans="1:3" x14ac:dyDescent="0.25">
      <c r="A196" s="22" t="str">
        <f>CONCATENATE('BASE OBZ'!A194,"PROG")</f>
        <v>SEEPROG</v>
      </c>
      <c r="B196" s="22" t="str">
        <f>CONCATENATE("P",(LEFT('BASE OBZ'!F194,3)),'BASE OBZ'!A194)</f>
        <v>P169SEE</v>
      </c>
      <c r="C196" t="s">
        <v>1777</v>
      </c>
    </row>
    <row r="197" spans="1:3" x14ac:dyDescent="0.25">
      <c r="A197" s="22" t="str">
        <f>CONCATENATE('BASE OBZ'!A195,"PROG")</f>
        <v>SEEPROG</v>
      </c>
      <c r="B197" s="22" t="str">
        <f>CONCATENATE("P",(LEFT('BASE OBZ'!F195,3)),'BASE OBZ'!A195)</f>
        <v>P169SEE</v>
      </c>
      <c r="C197" t="s">
        <v>1777</v>
      </c>
    </row>
    <row r="198" spans="1:3" x14ac:dyDescent="0.25">
      <c r="A198" s="22" t="str">
        <f>CONCATENATE('BASE OBZ'!A196,"PROG")</f>
        <v>SEEPROG</v>
      </c>
      <c r="B198" s="22" t="str">
        <f>CONCATENATE("P",(LEFT('BASE OBZ'!F196,3)),'BASE OBZ'!A196)</f>
        <v>P169SEE</v>
      </c>
      <c r="C198" t="s">
        <v>1777</v>
      </c>
    </row>
    <row r="199" spans="1:3" x14ac:dyDescent="0.25">
      <c r="A199" s="22" t="str">
        <f>CONCATENATE('BASE OBZ'!A197,"PROG")</f>
        <v>SEEPROG</v>
      </c>
      <c r="B199" s="22" t="str">
        <f>CONCATENATE("P",(LEFT('BASE OBZ'!F197,3)),'BASE OBZ'!A197)</f>
        <v>P169SEE</v>
      </c>
      <c r="C199" t="s">
        <v>1777</v>
      </c>
    </row>
    <row r="200" spans="1:3" x14ac:dyDescent="0.25">
      <c r="A200" s="22" t="str">
        <f>CONCATENATE('BASE OBZ'!A198,"PROG")</f>
        <v>SEEPROG</v>
      </c>
      <c r="B200" s="22" t="str">
        <f>CONCATENATE("P",(LEFT('BASE OBZ'!F198,3)),'BASE OBZ'!A198)</f>
        <v>P169SEE</v>
      </c>
      <c r="C200" t="s">
        <v>1777</v>
      </c>
    </row>
    <row r="201" spans="1:3" x14ac:dyDescent="0.25">
      <c r="A201" s="22" t="str">
        <f>CONCATENATE('BASE OBZ'!A199,"PROG")</f>
        <v>SEEPROG</v>
      </c>
      <c r="B201" s="22" t="str">
        <f>CONCATENATE("P",(LEFT('BASE OBZ'!F199,3)),'BASE OBZ'!A199)</f>
        <v>P168SEE</v>
      </c>
      <c r="C201" t="s">
        <v>1777</v>
      </c>
    </row>
    <row r="202" spans="1:3" x14ac:dyDescent="0.25">
      <c r="A202" s="22" t="str">
        <f>CONCATENATE('BASE OBZ'!A200,"PROG")</f>
        <v>SEEPROG</v>
      </c>
      <c r="B202" s="22" t="str">
        <f>CONCATENATE("P",(LEFT('BASE OBZ'!F200,3)),'BASE OBZ'!A200)</f>
        <v>P172SEE</v>
      </c>
      <c r="C202" t="s">
        <v>1777</v>
      </c>
    </row>
    <row r="203" spans="1:3" x14ac:dyDescent="0.25">
      <c r="A203" s="22" t="str">
        <f>CONCATENATE('BASE OBZ'!A201,"PROG")</f>
        <v>SEEPROG</v>
      </c>
      <c r="B203" s="22" t="str">
        <f>CONCATENATE("P",(LEFT('BASE OBZ'!F201,3)),'BASE OBZ'!A201)</f>
        <v>P172SEE</v>
      </c>
      <c r="C203" t="s">
        <v>1777</v>
      </c>
    </row>
    <row r="204" spans="1:3" x14ac:dyDescent="0.25">
      <c r="A204" s="22" t="str">
        <f>CONCATENATE('BASE OBZ'!A202,"PROG")</f>
        <v>SEEPROG</v>
      </c>
      <c r="B204" s="22" t="str">
        <f>CONCATENATE("P",(LEFT('BASE OBZ'!F202,3)),'BASE OBZ'!A202)</f>
        <v>P172SEE</v>
      </c>
      <c r="C204" t="s">
        <v>1777</v>
      </c>
    </row>
    <row r="205" spans="1:3" x14ac:dyDescent="0.25">
      <c r="A205" s="22" t="str">
        <f>CONCATENATE('BASE OBZ'!A203,"PROG")</f>
        <v>SEEPROG</v>
      </c>
      <c r="B205" s="22" t="str">
        <f>CONCATENATE("P",(LEFT('BASE OBZ'!F203,3)),'BASE OBZ'!A203)</f>
        <v>P168SEE</v>
      </c>
      <c r="C205" t="s">
        <v>1777</v>
      </c>
    </row>
    <row r="206" spans="1:3" x14ac:dyDescent="0.25">
      <c r="A206" s="22" t="str">
        <f>CONCATENATE('BASE OBZ'!A204,"PROG")</f>
        <v>SEEPROG</v>
      </c>
      <c r="B206" s="22" t="str">
        <f>CONCATENATE("P",(LEFT('BASE OBZ'!F204,3)),'BASE OBZ'!A204)</f>
        <v>P169SEE</v>
      </c>
      <c r="C206" t="s">
        <v>1777</v>
      </c>
    </row>
    <row r="207" spans="1:3" x14ac:dyDescent="0.25">
      <c r="A207" s="22" t="str">
        <f>CONCATENATE('BASE OBZ'!A205,"PROG")</f>
        <v>SEEPROG</v>
      </c>
      <c r="B207" s="22" t="str">
        <f>CONCATENATE("P",(LEFT('BASE OBZ'!F205,3)),'BASE OBZ'!A205)</f>
        <v>P169SEE</v>
      </c>
      <c r="C207" t="s">
        <v>1777</v>
      </c>
    </row>
    <row r="208" spans="1:3" x14ac:dyDescent="0.25">
      <c r="A208" s="22" t="str">
        <f>CONCATENATE('BASE OBZ'!A206,"PROG")</f>
        <v>SEEPROG</v>
      </c>
      <c r="B208" s="22" t="str">
        <f>CONCATENATE("P",(LEFT('BASE OBZ'!F206,3)),'BASE OBZ'!A206)</f>
        <v>P169SEE</v>
      </c>
      <c r="C208" t="s">
        <v>1777</v>
      </c>
    </row>
    <row r="209" spans="1:3" x14ac:dyDescent="0.25">
      <c r="A209" s="22" t="str">
        <f>CONCATENATE('BASE OBZ'!A207,"PROG")</f>
        <v>SEEPROG</v>
      </c>
      <c r="B209" s="22" t="str">
        <f>CONCATENATE("P",(LEFT('BASE OBZ'!F207,3)),'BASE OBZ'!A207)</f>
        <v>P172SEE</v>
      </c>
      <c r="C209" t="s">
        <v>1777</v>
      </c>
    </row>
    <row r="210" spans="1:3" x14ac:dyDescent="0.25">
      <c r="A210" s="22" t="str">
        <f>CONCATENATE('BASE OBZ'!A208,"PROG")</f>
        <v>SEEPROG</v>
      </c>
      <c r="B210" s="22" t="str">
        <f>CONCATENATE("P",(LEFT('BASE OBZ'!F208,3)),'BASE OBZ'!A208)</f>
        <v>P172SEE</v>
      </c>
      <c r="C210" t="s">
        <v>1777</v>
      </c>
    </row>
    <row r="211" spans="1:3" x14ac:dyDescent="0.25">
      <c r="A211" s="22" t="str">
        <f>CONCATENATE('BASE OBZ'!A209,"PROG")</f>
        <v>SEEPROG</v>
      </c>
      <c r="B211" s="22" t="str">
        <f>CONCATENATE("P",(LEFT('BASE OBZ'!F209,3)),'BASE OBZ'!A209)</f>
        <v>P172SEE</v>
      </c>
      <c r="C211" t="s">
        <v>1777</v>
      </c>
    </row>
    <row r="212" spans="1:3" x14ac:dyDescent="0.25">
      <c r="A212" s="22" t="str">
        <f>CONCATENATE('BASE OBZ'!A210,"PROG")</f>
        <v>SEEPROG</v>
      </c>
      <c r="B212" s="22" t="str">
        <f>CONCATENATE("P",(LEFT('BASE OBZ'!F210,3)),'BASE OBZ'!A210)</f>
        <v>P172SEE</v>
      </c>
      <c r="C212" t="s">
        <v>1777</v>
      </c>
    </row>
    <row r="213" spans="1:3" x14ac:dyDescent="0.25">
      <c r="A213" s="22" t="str">
        <f>CONCATENATE('BASE OBZ'!A211,"PROG")</f>
        <v>SEEPROG</v>
      </c>
      <c r="B213" s="22" t="str">
        <f>CONCATENATE("P",(LEFT('BASE OBZ'!F211,3)),'BASE OBZ'!A211)</f>
        <v>P172SEE</v>
      </c>
      <c r="C213" t="s">
        <v>1777</v>
      </c>
    </row>
    <row r="214" spans="1:3" x14ac:dyDescent="0.25">
      <c r="A214" s="22" t="str">
        <f>CONCATENATE('BASE OBZ'!A212,"PROG")</f>
        <v>SEEPROG</v>
      </c>
      <c r="B214" s="22" t="str">
        <f>CONCATENATE("P",(LEFT('BASE OBZ'!F212,3)),'BASE OBZ'!A212)</f>
        <v>P172SEE</v>
      </c>
      <c r="C214" t="s">
        <v>1777</v>
      </c>
    </row>
    <row r="215" spans="1:3" x14ac:dyDescent="0.25">
      <c r="A215" s="22" t="str">
        <f>CONCATENATE('BASE OBZ'!A213,"PROG")</f>
        <v>SEEPROG</v>
      </c>
      <c r="B215" s="22" t="str">
        <f>CONCATENATE("P",(LEFT('BASE OBZ'!F213,3)),'BASE OBZ'!A213)</f>
        <v>P172SEE</v>
      </c>
      <c r="C215" t="s">
        <v>1777</v>
      </c>
    </row>
    <row r="216" spans="1:3" x14ac:dyDescent="0.25">
      <c r="A216" s="22" t="str">
        <f>CONCATENATE('BASE OBZ'!A214,"PROG")</f>
        <v>SEEPROG</v>
      </c>
      <c r="B216" s="22" t="str">
        <f>CONCATENATE("P",(LEFT('BASE OBZ'!F214,3)),'BASE OBZ'!A214)</f>
        <v>P172SEE</v>
      </c>
      <c r="C216" t="s">
        <v>1777</v>
      </c>
    </row>
    <row r="217" spans="1:3" x14ac:dyDescent="0.25">
      <c r="A217" s="22" t="str">
        <f>CONCATENATE('BASE OBZ'!A215,"PROG")</f>
        <v>SEEPROG</v>
      </c>
      <c r="B217" s="22" t="str">
        <f>CONCATENATE("P",(LEFT('BASE OBZ'!F215,3)),'BASE OBZ'!A215)</f>
        <v>P169SEE</v>
      </c>
      <c r="C217" t="s">
        <v>1777</v>
      </c>
    </row>
    <row r="218" spans="1:3" x14ac:dyDescent="0.25">
      <c r="A218" s="22" t="str">
        <f>CONCATENATE('BASE OBZ'!A216,"PROG")</f>
        <v>SEEPROG</v>
      </c>
      <c r="B218" s="22" t="str">
        <f>CONCATENATE("P",(LEFT('BASE OBZ'!F216,3)),'BASE OBZ'!A216)</f>
        <v>P169SEE</v>
      </c>
      <c r="C218" t="s">
        <v>1777</v>
      </c>
    </row>
    <row r="219" spans="1:3" x14ac:dyDescent="0.25">
      <c r="A219" s="22" t="str">
        <f>CONCATENATE('BASE OBZ'!A217,"PROG")</f>
        <v>SEEPROG</v>
      </c>
      <c r="B219" s="22" t="str">
        <f>CONCATENATE("P",(LEFT('BASE OBZ'!F217,3)),'BASE OBZ'!A217)</f>
        <v>P169SEE</v>
      </c>
      <c r="C219" t="s">
        <v>1777</v>
      </c>
    </row>
    <row r="220" spans="1:3" x14ac:dyDescent="0.25">
      <c r="A220" s="22" t="str">
        <f>CONCATENATE('BASE OBZ'!A218,"PROG")</f>
        <v>SEEPROG</v>
      </c>
      <c r="B220" s="22" t="str">
        <f>CONCATENATE("P",(LEFT('BASE OBZ'!F218,3)),'BASE OBZ'!A218)</f>
        <v>P165SEE</v>
      </c>
      <c r="C220" t="s">
        <v>1777</v>
      </c>
    </row>
    <row r="221" spans="1:3" x14ac:dyDescent="0.25">
      <c r="A221" s="22" t="str">
        <f>CONCATENATE('BASE OBZ'!A219,"PROG")</f>
        <v>SEEPROG</v>
      </c>
      <c r="B221" s="22" t="str">
        <f>CONCATENATE("P",(LEFT('BASE OBZ'!F219,3)),'BASE OBZ'!A219)</f>
        <v>P165SEE</v>
      </c>
      <c r="C221" t="s">
        <v>1777</v>
      </c>
    </row>
    <row r="222" spans="1:3" x14ac:dyDescent="0.25">
      <c r="A222" s="22" t="str">
        <f>CONCATENATE('BASE OBZ'!A220,"PROG")</f>
        <v>SEEPROG</v>
      </c>
      <c r="B222" s="22" t="str">
        <f>CONCATENATE("P",(LEFT('BASE OBZ'!F220,3)),'BASE OBZ'!A220)</f>
        <v>P165SEE</v>
      </c>
      <c r="C222" t="s">
        <v>1777</v>
      </c>
    </row>
    <row r="223" spans="1:3" x14ac:dyDescent="0.25">
      <c r="A223" s="22" t="str">
        <f>CONCATENATE('BASE OBZ'!A221,"PROG")</f>
        <v>SEEPROG</v>
      </c>
      <c r="B223" s="22" t="str">
        <f>CONCATENATE("P",(LEFT('BASE OBZ'!F221,3)),'BASE OBZ'!A221)</f>
        <v>P169SEE</v>
      </c>
      <c r="C223" t="s">
        <v>1777</v>
      </c>
    </row>
    <row r="224" spans="1:3" x14ac:dyDescent="0.25">
      <c r="A224" s="22" t="str">
        <f>CONCATENATE('BASE OBZ'!A222,"PROG")</f>
        <v>SEEPROG</v>
      </c>
      <c r="B224" s="22" t="str">
        <f>CONCATENATE("P",(LEFT('BASE OBZ'!F222,3)),'BASE OBZ'!A222)</f>
        <v>P169SEE</v>
      </c>
      <c r="C224" t="s">
        <v>1777</v>
      </c>
    </row>
    <row r="225" spans="1:3" x14ac:dyDescent="0.25">
      <c r="A225" s="22" t="str">
        <f>CONCATENATE('BASE OBZ'!A223,"PROG")</f>
        <v>SEEPROG</v>
      </c>
      <c r="B225" s="22" t="str">
        <f>CONCATENATE("P",(LEFT('BASE OBZ'!F223,3)),'BASE OBZ'!A223)</f>
        <v>P169SEE</v>
      </c>
      <c r="C225" t="s">
        <v>1777</v>
      </c>
    </row>
    <row r="226" spans="1:3" x14ac:dyDescent="0.25">
      <c r="A226" s="22" t="str">
        <f>CONCATENATE('BASE OBZ'!A224,"PROG")</f>
        <v>SEEPROG</v>
      </c>
      <c r="B226" s="22" t="str">
        <f>CONCATENATE("P",(LEFT('BASE OBZ'!F224,3)),'BASE OBZ'!A224)</f>
        <v>P169SEE</v>
      </c>
      <c r="C226" t="s">
        <v>1777</v>
      </c>
    </row>
    <row r="227" spans="1:3" x14ac:dyDescent="0.25">
      <c r="A227" s="22" t="str">
        <f>CONCATENATE('BASE OBZ'!A225,"PROG")</f>
        <v>SEEPROG</v>
      </c>
      <c r="B227" s="22" t="str">
        <f>CONCATENATE("P",(LEFT('BASE OBZ'!F225,3)),'BASE OBZ'!A225)</f>
        <v>P169SEE</v>
      </c>
      <c r="C227" t="s">
        <v>1777</v>
      </c>
    </row>
    <row r="228" spans="1:3" x14ac:dyDescent="0.25">
      <c r="A228" s="22" t="str">
        <f>CONCATENATE('BASE OBZ'!A226,"PROG")</f>
        <v>SEEPROG</v>
      </c>
      <c r="B228" s="22" t="str">
        <f>CONCATENATE("P",(LEFT('BASE OBZ'!F226,3)),'BASE OBZ'!A226)</f>
        <v>P169SEE</v>
      </c>
      <c r="C228" t="s">
        <v>1777</v>
      </c>
    </row>
    <row r="229" spans="1:3" x14ac:dyDescent="0.25">
      <c r="A229" s="22" t="str">
        <f>CONCATENATE('BASE OBZ'!A227,"PROG")</f>
        <v>SEEPROG</v>
      </c>
      <c r="B229" s="22" t="str">
        <f>CONCATENATE("P",(LEFT('BASE OBZ'!F227,3)),'BASE OBZ'!A227)</f>
        <v>P169SEE</v>
      </c>
      <c r="C229" t="s">
        <v>1777</v>
      </c>
    </row>
    <row r="230" spans="1:3" x14ac:dyDescent="0.25">
      <c r="A230" s="22" t="str">
        <f>CONCATENATE('BASE OBZ'!A228,"PROG")</f>
        <v>SEEPROG</v>
      </c>
      <c r="B230" s="22" t="str">
        <f>CONCATENATE("P",(LEFT('BASE OBZ'!F228,3)),'BASE OBZ'!A228)</f>
        <v>P169SEE</v>
      </c>
      <c r="C230" t="s">
        <v>1777</v>
      </c>
    </row>
    <row r="231" spans="1:3" x14ac:dyDescent="0.25">
      <c r="A231" s="22" t="str">
        <f>CONCATENATE('BASE OBZ'!A229,"PROG")</f>
        <v>SEEPROG</v>
      </c>
      <c r="B231" s="22" t="str">
        <f>CONCATENATE("P",(LEFT('BASE OBZ'!F229,3)),'BASE OBZ'!A229)</f>
        <v>P169SEE</v>
      </c>
      <c r="C231" t="s">
        <v>1777</v>
      </c>
    </row>
    <row r="232" spans="1:3" x14ac:dyDescent="0.25">
      <c r="A232" s="22" t="str">
        <f>CONCATENATE('BASE OBZ'!A230,"PROG")</f>
        <v>SEEPROG</v>
      </c>
      <c r="B232" s="22" t="str">
        <f>CONCATENATE("P",(LEFT('BASE OBZ'!F230,3)),'BASE OBZ'!A230)</f>
        <v>P169SEE</v>
      </c>
      <c r="C232" t="s">
        <v>1777</v>
      </c>
    </row>
    <row r="233" spans="1:3" x14ac:dyDescent="0.25">
      <c r="A233" s="22" t="str">
        <f>CONCATENATE('BASE OBZ'!A231,"PROG")</f>
        <v>SEEPROG</v>
      </c>
      <c r="B233" s="22" t="str">
        <f>CONCATENATE("P",(LEFT('BASE OBZ'!F231,3)),'BASE OBZ'!A231)</f>
        <v>P169SEE</v>
      </c>
      <c r="C233" t="s">
        <v>1777</v>
      </c>
    </row>
    <row r="234" spans="1:3" x14ac:dyDescent="0.25">
      <c r="A234" s="22" t="str">
        <f>CONCATENATE('BASE OBZ'!A232,"PROG")</f>
        <v>SEEPROG</v>
      </c>
      <c r="B234" s="22" t="str">
        <f>CONCATENATE("P",(LEFT('BASE OBZ'!F232,3)),'BASE OBZ'!A232)</f>
        <v>P169SEE</v>
      </c>
      <c r="C234" t="s">
        <v>1777</v>
      </c>
    </row>
    <row r="235" spans="1:3" x14ac:dyDescent="0.25">
      <c r="A235" s="22" t="str">
        <f>CONCATENATE('BASE OBZ'!A233,"PROG")</f>
        <v>SEEPROG</v>
      </c>
      <c r="B235" s="22" t="str">
        <f>CONCATENATE("P",(LEFT('BASE OBZ'!F233,3)),'BASE OBZ'!A233)</f>
        <v>P169SEE</v>
      </c>
      <c r="C235" t="s">
        <v>1777</v>
      </c>
    </row>
    <row r="236" spans="1:3" x14ac:dyDescent="0.25">
      <c r="A236" s="22" t="str">
        <f>CONCATENATE('BASE OBZ'!A234,"PROG")</f>
        <v>SEEPROG</v>
      </c>
      <c r="B236" s="22" t="str">
        <f>CONCATENATE("P",(LEFT('BASE OBZ'!F234,3)),'BASE OBZ'!A234)</f>
        <v>P169SEE</v>
      </c>
      <c r="C236" t="s">
        <v>1777</v>
      </c>
    </row>
    <row r="237" spans="1:3" x14ac:dyDescent="0.25">
      <c r="A237" s="22" t="str">
        <f>CONCATENATE('BASE OBZ'!A235,"PROG")</f>
        <v>SEEPROG</v>
      </c>
      <c r="B237" s="22" t="str">
        <f>CONCATENATE("P",(LEFT('BASE OBZ'!F235,3)),'BASE OBZ'!A235)</f>
        <v>P169SEE</v>
      </c>
      <c r="C237" t="s">
        <v>1777</v>
      </c>
    </row>
    <row r="238" spans="1:3" x14ac:dyDescent="0.25">
      <c r="A238" s="22" t="str">
        <f>CONCATENATE('BASE OBZ'!A236,"PROG")</f>
        <v>SEEPROG</v>
      </c>
      <c r="B238" s="22" t="str">
        <f>CONCATENATE("P",(LEFT('BASE OBZ'!F236,3)),'BASE OBZ'!A236)</f>
        <v>P169SEE</v>
      </c>
      <c r="C238" t="s">
        <v>1777</v>
      </c>
    </row>
    <row r="239" spans="1:3" x14ac:dyDescent="0.25">
      <c r="A239" s="22" t="str">
        <f>CONCATENATE('BASE OBZ'!A237,"PROG")</f>
        <v>SEEPROG</v>
      </c>
      <c r="B239" s="22" t="str">
        <f>CONCATENATE("P",(LEFT('BASE OBZ'!F237,3)),'BASE OBZ'!A237)</f>
        <v>P169SEE</v>
      </c>
      <c r="C239" t="s">
        <v>1777</v>
      </c>
    </row>
    <row r="240" spans="1:3" x14ac:dyDescent="0.25">
      <c r="A240" s="22" t="str">
        <f>CONCATENATE('BASE OBZ'!A238,"PROG")</f>
        <v>SEEPROG</v>
      </c>
      <c r="B240" s="22" t="str">
        <f>CONCATENATE("P",(LEFT('BASE OBZ'!F238,3)),'BASE OBZ'!A238)</f>
        <v>P169SEE</v>
      </c>
      <c r="C240" t="s">
        <v>1777</v>
      </c>
    </row>
    <row r="241" spans="1:3" x14ac:dyDescent="0.25">
      <c r="A241" s="22" t="str">
        <f>CONCATENATE('BASE OBZ'!A239,"PROG")</f>
        <v>SEEPROG</v>
      </c>
      <c r="B241" s="22" t="str">
        <f>CONCATENATE("P",(LEFT('BASE OBZ'!F239,3)),'BASE OBZ'!A239)</f>
        <v>P169SEE</v>
      </c>
      <c r="C241" t="s">
        <v>1777</v>
      </c>
    </row>
    <row r="242" spans="1:3" x14ac:dyDescent="0.25">
      <c r="A242" s="22" t="str">
        <f>CONCATENATE('BASE OBZ'!A240,"PROG")</f>
        <v>SEEPROG</v>
      </c>
      <c r="B242" s="22" t="str">
        <f>CONCATENATE("P",(LEFT('BASE OBZ'!F240,3)),'BASE OBZ'!A240)</f>
        <v>P169SEE</v>
      </c>
      <c r="C242" t="s">
        <v>1777</v>
      </c>
    </row>
    <row r="243" spans="1:3" x14ac:dyDescent="0.25">
      <c r="A243" s="22" t="str">
        <f>CONCATENATE('BASE OBZ'!A241,"PROG")</f>
        <v>SEEPROG</v>
      </c>
      <c r="B243" s="22" t="str">
        <f>CONCATENATE("P",(LEFT('BASE OBZ'!F241,3)),'BASE OBZ'!A241)</f>
        <v>P169SEE</v>
      </c>
      <c r="C243" t="s">
        <v>1777</v>
      </c>
    </row>
    <row r="244" spans="1:3" x14ac:dyDescent="0.25">
      <c r="A244" s="22" t="str">
        <f>CONCATENATE('BASE OBZ'!A242,"PROG")</f>
        <v>SEEPROG</v>
      </c>
      <c r="B244" s="22" t="str">
        <f>CONCATENATE("P",(LEFT('BASE OBZ'!F242,3)),'BASE OBZ'!A242)</f>
        <v>P169SEE</v>
      </c>
      <c r="C244" t="s">
        <v>1777</v>
      </c>
    </row>
    <row r="245" spans="1:3" x14ac:dyDescent="0.25">
      <c r="A245" s="22" t="str">
        <f>CONCATENATE('BASE OBZ'!A243,"PROG")</f>
        <v>SEEPROG</v>
      </c>
      <c r="B245" s="22" t="str">
        <f>CONCATENATE("P",(LEFT('BASE OBZ'!F243,3)),'BASE OBZ'!A243)</f>
        <v>P172SEE</v>
      </c>
      <c r="C245" t="s">
        <v>1777</v>
      </c>
    </row>
    <row r="246" spans="1:3" x14ac:dyDescent="0.25">
      <c r="A246" s="22" t="str">
        <f>CONCATENATE('BASE OBZ'!A244,"PROG")</f>
        <v>SEEPROG</v>
      </c>
      <c r="B246" s="22" t="str">
        <f>CONCATENATE("P",(LEFT('BASE OBZ'!F244,3)),'BASE OBZ'!A244)</f>
        <v>P172SEE</v>
      </c>
      <c r="C246" t="s">
        <v>1777</v>
      </c>
    </row>
    <row r="247" spans="1:3" x14ac:dyDescent="0.25">
      <c r="A247" s="22" t="str">
        <f>CONCATENATE('BASE OBZ'!A245,"PROG")</f>
        <v>SEEPROG</v>
      </c>
      <c r="B247" s="22" t="str">
        <f>CONCATENATE("P",(LEFT('BASE OBZ'!F245,3)),'BASE OBZ'!A245)</f>
        <v>P172SEE</v>
      </c>
      <c r="C247" t="s">
        <v>1777</v>
      </c>
    </row>
    <row r="248" spans="1:3" x14ac:dyDescent="0.25">
      <c r="A248" s="22" t="str">
        <f>CONCATENATE('BASE OBZ'!A246,"PROG")</f>
        <v>SEEPROG</v>
      </c>
      <c r="B248" s="22" t="str">
        <f>CONCATENATE("P",(LEFT('BASE OBZ'!F246,3)),'BASE OBZ'!A246)</f>
        <v>P172SEE</v>
      </c>
      <c r="C248" t="s">
        <v>1777</v>
      </c>
    </row>
    <row r="249" spans="1:3" x14ac:dyDescent="0.25">
      <c r="A249" s="22" t="str">
        <f>CONCATENATE('BASE OBZ'!A247,"PROG")</f>
        <v>SEEPROG</v>
      </c>
      <c r="B249" s="22" t="str">
        <f>CONCATENATE("P",(LEFT('BASE OBZ'!F247,3)),'BASE OBZ'!A247)</f>
        <v>P172SEE</v>
      </c>
      <c r="C249" t="s">
        <v>1777</v>
      </c>
    </row>
    <row r="250" spans="1:3" x14ac:dyDescent="0.25">
      <c r="A250" s="22" t="str">
        <f>CONCATENATE('BASE OBZ'!A248,"PROG")</f>
        <v>SEEPROG</v>
      </c>
      <c r="B250" s="22" t="str">
        <f>CONCATENATE("P",(LEFT('BASE OBZ'!F248,3)),'BASE OBZ'!A248)</f>
        <v>P172SEE</v>
      </c>
      <c r="C250" t="s">
        <v>1777</v>
      </c>
    </row>
    <row r="251" spans="1:3" x14ac:dyDescent="0.25">
      <c r="A251" s="22" t="str">
        <f>CONCATENATE('BASE OBZ'!A249,"PROG")</f>
        <v>SEEPROG</v>
      </c>
      <c r="B251" s="22" t="str">
        <f>CONCATENATE("P",(LEFT('BASE OBZ'!F249,3)),'BASE OBZ'!A249)</f>
        <v>P172SEE</v>
      </c>
      <c r="C251" t="s">
        <v>1777</v>
      </c>
    </row>
    <row r="252" spans="1:3" x14ac:dyDescent="0.25">
      <c r="A252" s="22" t="str">
        <f>CONCATENATE('BASE OBZ'!A250,"PROG")</f>
        <v>SEEPROG</v>
      </c>
      <c r="B252" s="22" t="str">
        <f>CONCATENATE("P",(LEFT('BASE OBZ'!F250,3)),'BASE OBZ'!A250)</f>
        <v>P172SEE</v>
      </c>
      <c r="C252" t="s">
        <v>1777</v>
      </c>
    </row>
    <row r="253" spans="1:3" x14ac:dyDescent="0.25">
      <c r="A253" s="22" t="str">
        <f>CONCATENATE('BASE OBZ'!A251,"PROG")</f>
        <v>SEEPROG</v>
      </c>
      <c r="B253" s="22" t="str">
        <f>CONCATENATE("P",(LEFT('BASE OBZ'!F251,3)),'BASE OBZ'!A251)</f>
        <v>P169SEE</v>
      </c>
      <c r="C253" t="s">
        <v>1777</v>
      </c>
    </row>
    <row r="254" spans="1:3" x14ac:dyDescent="0.25">
      <c r="A254" s="22" t="str">
        <f>CONCATENATE('BASE OBZ'!A252,"PROG")</f>
        <v>SEEPROG</v>
      </c>
      <c r="B254" s="22" t="str">
        <f>CONCATENATE("P",(LEFT('BASE OBZ'!F252,3)),'BASE OBZ'!A252)</f>
        <v>P169SEE</v>
      </c>
      <c r="C254" t="s">
        <v>1777</v>
      </c>
    </row>
    <row r="255" spans="1:3" x14ac:dyDescent="0.25">
      <c r="A255" s="22" t="str">
        <f>CONCATENATE('BASE OBZ'!A253,"PROG")</f>
        <v>SEEPROG</v>
      </c>
      <c r="B255" s="22" t="str">
        <f>CONCATENATE("P",(LEFT('BASE OBZ'!F253,3)),'BASE OBZ'!A253)</f>
        <v>P169SEE</v>
      </c>
      <c r="C255" t="s">
        <v>1777</v>
      </c>
    </row>
    <row r="256" spans="1:3" x14ac:dyDescent="0.25">
      <c r="A256" s="22" t="str">
        <f>CONCATENATE('BASE OBZ'!A254,"PROG")</f>
        <v>SEEPROG</v>
      </c>
      <c r="B256" s="22" t="str">
        <f>CONCATENATE("P",(LEFT('BASE OBZ'!F254,3)),'BASE OBZ'!A254)</f>
        <v>P167SEE</v>
      </c>
      <c r="C256" t="s">
        <v>1777</v>
      </c>
    </row>
    <row r="257" spans="1:3" x14ac:dyDescent="0.25">
      <c r="A257" s="22" t="str">
        <f>CONCATENATE('BASE OBZ'!A255,"PROG")</f>
        <v>SEEPROG</v>
      </c>
      <c r="B257" s="22" t="str">
        <f>CONCATENATE("P",(LEFT('BASE OBZ'!F255,3)),'BASE OBZ'!A255)</f>
        <v>P167SEE</v>
      </c>
      <c r="C257" t="s">
        <v>1777</v>
      </c>
    </row>
    <row r="258" spans="1:3" x14ac:dyDescent="0.25">
      <c r="A258" s="22" t="str">
        <f>CONCATENATE('BASE OBZ'!A256,"PROG")</f>
        <v>SEEPROG</v>
      </c>
      <c r="B258" s="22" t="str">
        <f>CONCATENATE("P",(LEFT('BASE OBZ'!F256,3)),'BASE OBZ'!A256)</f>
        <v>P167SEE</v>
      </c>
      <c r="C258" t="s">
        <v>1777</v>
      </c>
    </row>
    <row r="259" spans="1:3" x14ac:dyDescent="0.25">
      <c r="A259" s="22" t="str">
        <f>CONCATENATE('BASE OBZ'!A257,"PROG")</f>
        <v>SEEPROG</v>
      </c>
      <c r="B259" s="22" t="str">
        <f>CONCATENATE("P",(LEFT('BASE OBZ'!F257,3)),'BASE OBZ'!A257)</f>
        <v>P167SEE</v>
      </c>
      <c r="C259" t="s">
        <v>1777</v>
      </c>
    </row>
    <row r="260" spans="1:3" x14ac:dyDescent="0.25">
      <c r="A260" s="22" t="str">
        <f>CONCATENATE('BASE OBZ'!A258,"PROG")</f>
        <v>SEEPROG</v>
      </c>
      <c r="B260" s="22" t="str">
        <f>CONCATENATE("P",(LEFT('BASE OBZ'!F258,3)),'BASE OBZ'!A258)</f>
        <v>P167SEE</v>
      </c>
      <c r="C260" t="s">
        <v>1777</v>
      </c>
    </row>
    <row r="261" spans="1:3" x14ac:dyDescent="0.25">
      <c r="A261" s="22" t="str">
        <f>CONCATENATE('BASE OBZ'!A259,"PROG")</f>
        <v>SEEPROG</v>
      </c>
      <c r="B261" s="22" t="str">
        <f>CONCATENATE("P",(LEFT('BASE OBZ'!F259,3)),'BASE OBZ'!A259)</f>
        <v>P167SEE</v>
      </c>
      <c r="C261" t="s">
        <v>1777</v>
      </c>
    </row>
    <row r="262" spans="1:3" x14ac:dyDescent="0.25">
      <c r="A262" s="22" t="str">
        <f>CONCATENATE('BASE OBZ'!A261,"PROG")</f>
        <v>SEEPROG</v>
      </c>
      <c r="B262" s="22" t="str">
        <f>CONCATENATE("P",(LEFT('BASE OBZ'!F261,3)),'BASE OBZ'!A261)</f>
        <v>P167SEE</v>
      </c>
      <c r="C262" t="s">
        <v>1777</v>
      </c>
    </row>
    <row r="263" spans="1:3" x14ac:dyDescent="0.25">
      <c r="A263" s="22" t="str">
        <f>CONCATENATE('BASE OBZ'!A262,"PROG")</f>
        <v>SEEPROG</v>
      </c>
      <c r="B263" s="22" t="str">
        <f>CONCATENATE("P",(LEFT('BASE OBZ'!F262,3)),'BASE OBZ'!A262)</f>
        <v>P165SEE</v>
      </c>
      <c r="C263" t="s">
        <v>1777</v>
      </c>
    </row>
    <row r="264" spans="1:3" x14ac:dyDescent="0.25">
      <c r="A264" s="22" t="e">
        <f>CONCATENATE('BASE OBZ'!#REF!,"PROG")</f>
        <v>#REF!</v>
      </c>
      <c r="B264" s="22" t="e">
        <f>CONCATENATE("P",(LEFT('BASE OBZ'!#REF!,3)),'BASE OBZ'!#REF!)</f>
        <v>#REF!</v>
      </c>
      <c r="C264" t="s">
        <v>1777</v>
      </c>
    </row>
    <row r="265" spans="1:3" x14ac:dyDescent="0.25">
      <c r="A265" s="22" t="str">
        <f>CONCATENATE('BASE OBZ'!A263,"PROG")</f>
        <v>SEEPROG</v>
      </c>
      <c r="B265" s="22" t="str">
        <f>CONCATENATE("P",(LEFT('BASE OBZ'!F263,3)),'BASE OBZ'!A263)</f>
        <v>P165SEE</v>
      </c>
      <c r="C265" t="s">
        <v>1777</v>
      </c>
    </row>
    <row r="266" spans="1:3" x14ac:dyDescent="0.25">
      <c r="A266" s="22" t="str">
        <f>CONCATENATE('BASE OBZ'!A264,"PROG")</f>
        <v>SEEPROG</v>
      </c>
      <c r="B266" s="22" t="str">
        <f>CONCATENATE("P",(LEFT('BASE OBZ'!F264,3)),'BASE OBZ'!A264)</f>
        <v>P165SEE</v>
      </c>
      <c r="C266" t="s">
        <v>1777</v>
      </c>
    </row>
    <row r="267" spans="1:3" x14ac:dyDescent="0.25">
      <c r="A267" s="22" t="str">
        <f>CONCATENATE('BASE OBZ'!A265,"PROG")</f>
        <v>SEEPROG</v>
      </c>
      <c r="B267" s="22" t="str">
        <f>CONCATENATE("P",(LEFT('BASE OBZ'!F265,3)),'BASE OBZ'!A265)</f>
        <v>P165SEE</v>
      </c>
      <c r="C267" t="s">
        <v>1777</v>
      </c>
    </row>
    <row r="268" spans="1:3" x14ac:dyDescent="0.25">
      <c r="A268" s="22" t="str">
        <f>CONCATENATE('BASE OBZ'!A266,"PROG")</f>
        <v>SEEPROG</v>
      </c>
      <c r="B268" s="22" t="str">
        <f>CONCATENATE("P",(LEFT('BASE OBZ'!F266,3)),'BASE OBZ'!A266)</f>
        <v>P165SEE</v>
      </c>
      <c r="C268" t="s">
        <v>1777</v>
      </c>
    </row>
    <row r="269" spans="1:3" x14ac:dyDescent="0.25">
      <c r="A269" s="22" t="str">
        <f>CONCATENATE('BASE OBZ'!A267,"PROG")</f>
        <v>SEEPROG</v>
      </c>
      <c r="B269" s="22" t="str">
        <f>CONCATENATE("P",(LEFT('BASE OBZ'!F267,3)),'BASE OBZ'!A267)</f>
        <v>P165SEE</v>
      </c>
      <c r="C269" t="s">
        <v>1777</v>
      </c>
    </row>
    <row r="270" spans="1:3" x14ac:dyDescent="0.25">
      <c r="A270" s="22" t="str">
        <f>CONCATENATE('BASE OBZ'!A268,"PROG")</f>
        <v>SEEPROG</v>
      </c>
      <c r="B270" s="22" t="str">
        <f>CONCATENATE("P",(LEFT('BASE OBZ'!F268,3)),'BASE OBZ'!A268)</f>
        <v>P167SEE</v>
      </c>
      <c r="C270" t="s">
        <v>1777</v>
      </c>
    </row>
    <row r="271" spans="1:3" x14ac:dyDescent="0.25">
      <c r="A271" s="22" t="str">
        <f>CONCATENATE('BASE OBZ'!A269,"PROG")</f>
        <v>SEEPROG</v>
      </c>
      <c r="B271" s="22" t="str">
        <f>CONCATENATE("P",(LEFT('BASE OBZ'!F269,3)),'BASE OBZ'!A269)</f>
        <v>P167SEE</v>
      </c>
      <c r="C271" t="s">
        <v>1777</v>
      </c>
    </row>
    <row r="272" spans="1:3" x14ac:dyDescent="0.25">
      <c r="A272" s="22" t="str">
        <f>CONCATENATE('BASE OBZ'!A270,"PROG")</f>
        <v>SEEPROG</v>
      </c>
      <c r="B272" s="22" t="str">
        <f>CONCATENATE("P",(LEFT('BASE OBZ'!F270,3)),'BASE OBZ'!A270)</f>
        <v>P165SEE</v>
      </c>
      <c r="C272" t="s">
        <v>1777</v>
      </c>
    </row>
    <row r="273" spans="1:3" x14ac:dyDescent="0.25">
      <c r="A273" s="22" t="e">
        <f>CONCATENATE('BASE OBZ'!#REF!,"PROG")</f>
        <v>#REF!</v>
      </c>
      <c r="B273" s="22" t="e">
        <f>CONCATENATE("P",(LEFT('BASE OBZ'!#REF!,3)),'BASE OBZ'!#REF!)</f>
        <v>#REF!</v>
      </c>
      <c r="C273" t="s">
        <v>1777</v>
      </c>
    </row>
    <row r="274" spans="1:3" x14ac:dyDescent="0.25">
      <c r="A274" s="22" t="str">
        <f>CONCATENATE('BASE OBZ'!A272,"PROG")</f>
        <v>SEEPROG</v>
      </c>
      <c r="B274" s="22" t="str">
        <f>CONCATENATE("P",(LEFT('BASE OBZ'!F272,3)),'BASE OBZ'!A272)</f>
        <v>P167SEE</v>
      </c>
      <c r="C274" t="s">
        <v>1777</v>
      </c>
    </row>
    <row r="275" spans="1:3" x14ac:dyDescent="0.25">
      <c r="A275" s="22" t="e">
        <f>CONCATENATE('BASE OBZ'!#REF!,"PROG")</f>
        <v>#REF!</v>
      </c>
      <c r="B275" s="22" t="e">
        <f>CONCATENATE("P",(LEFT('BASE OBZ'!#REF!,3)),'BASE OBZ'!#REF!)</f>
        <v>#REF!</v>
      </c>
      <c r="C275" t="s">
        <v>1777</v>
      </c>
    </row>
    <row r="276" spans="1:3" x14ac:dyDescent="0.25">
      <c r="A276" s="22" t="str">
        <f>CONCATENATE('BASE OBZ'!A273,"PROG")</f>
        <v>SEEPROG</v>
      </c>
      <c r="B276" s="22" t="str">
        <f>CONCATENATE("P",(LEFT('BASE OBZ'!F273,3)),'BASE OBZ'!A273)</f>
        <v>P005SEE</v>
      </c>
      <c r="C276" t="s">
        <v>1777</v>
      </c>
    </row>
    <row r="277" spans="1:3" x14ac:dyDescent="0.25">
      <c r="A277" s="22" t="str">
        <f>CONCATENATE('BASE OBZ'!A274,"PROG")</f>
        <v>SEEPROG</v>
      </c>
      <c r="B277" s="22" t="str">
        <f>CONCATENATE("P",(LEFT('BASE OBZ'!F274,3)),'BASE OBZ'!A274)</f>
        <v>P005SEE</v>
      </c>
      <c r="C277" t="s">
        <v>1777</v>
      </c>
    </row>
    <row r="278" spans="1:3" x14ac:dyDescent="0.25">
      <c r="A278" s="22" t="e">
        <f>CONCATENATE('BASE OBZ'!#REF!,"PROG")</f>
        <v>#REF!</v>
      </c>
      <c r="B278" s="22" t="e">
        <f>CONCATENATE("P",(LEFT('BASE OBZ'!#REF!,3)),'BASE OBZ'!#REF!)</f>
        <v>#REF!</v>
      </c>
      <c r="C278" t="s">
        <v>1777</v>
      </c>
    </row>
    <row r="279" spans="1:3" x14ac:dyDescent="0.25">
      <c r="A279" s="22" t="str">
        <f>CONCATENATE('BASE OBZ'!A275,"PROG")</f>
        <v>SEEPROG</v>
      </c>
      <c r="B279" s="22" t="str">
        <f>CONCATENATE("P",(LEFT('BASE OBZ'!F275,3)),'BASE OBZ'!A275)</f>
        <v>P167SEE</v>
      </c>
      <c r="C279" t="s">
        <v>1777</v>
      </c>
    </row>
    <row r="280" spans="1:3" x14ac:dyDescent="0.25">
      <c r="A280" s="22" t="str">
        <f>CONCATENATE('BASE OBZ'!A276,"PROG")</f>
        <v>SEEPROG</v>
      </c>
      <c r="B280" s="22" t="str">
        <f>CONCATENATE("P",(LEFT('BASE OBZ'!F276,3)),'BASE OBZ'!A276)</f>
        <v>P167SEE</v>
      </c>
      <c r="C280" t="s">
        <v>1777</v>
      </c>
    </row>
    <row r="281" spans="1:3" x14ac:dyDescent="0.25">
      <c r="A281" s="22" t="str">
        <f>CONCATENATE('BASE OBZ'!A277,"PROG")</f>
        <v>SEEPROG</v>
      </c>
      <c r="B281" s="22" t="str">
        <f>CONCATENATE("P",(LEFT('BASE OBZ'!F277,3)),'BASE OBZ'!A277)</f>
        <v>P167SEE</v>
      </c>
      <c r="C281" t="s">
        <v>1777</v>
      </c>
    </row>
    <row r="282" spans="1:3" x14ac:dyDescent="0.25">
      <c r="A282" s="22" t="str">
        <f>CONCATENATE('BASE OBZ'!A278,"PROG")</f>
        <v>SEEPROG</v>
      </c>
      <c r="B282" s="22" t="str">
        <f>CONCATENATE("P",(LEFT('BASE OBZ'!F278,3)),'BASE OBZ'!A278)</f>
        <v>P167SEE</v>
      </c>
      <c r="C282" t="s">
        <v>1777</v>
      </c>
    </row>
    <row r="283" spans="1:3" x14ac:dyDescent="0.25">
      <c r="A283" s="22" t="str">
        <f>CONCATENATE('BASE OBZ'!A279,"PROG")</f>
        <v>SEEPROG</v>
      </c>
      <c r="B283" s="22" t="str">
        <f>CONCATENATE("P",(LEFT('BASE OBZ'!F279,3)),'BASE OBZ'!A279)</f>
        <v>P167SEE</v>
      </c>
      <c r="C283" t="s">
        <v>1777</v>
      </c>
    </row>
    <row r="284" spans="1:3" x14ac:dyDescent="0.25">
      <c r="A284" s="22" t="str">
        <f>CONCATENATE('BASE OBZ'!A280,"PROG")</f>
        <v>SEEPROG</v>
      </c>
      <c r="B284" s="22" t="str">
        <f>CONCATENATE("P",(LEFT('BASE OBZ'!F280,3)),'BASE OBZ'!A280)</f>
        <v>P167SEE</v>
      </c>
      <c r="C284" t="s">
        <v>1777</v>
      </c>
    </row>
    <row r="285" spans="1:3" x14ac:dyDescent="0.25">
      <c r="A285" s="22" t="str">
        <f>CONCATENATE('BASE OBZ'!A281,"PROG")</f>
        <v>SEEPROG</v>
      </c>
      <c r="B285" s="22" t="str">
        <f>CONCATENATE("P",(LEFT('BASE OBZ'!F281,3)),'BASE OBZ'!A281)</f>
        <v>P167SEE</v>
      </c>
      <c r="C285" t="s">
        <v>1777</v>
      </c>
    </row>
    <row r="286" spans="1:3" x14ac:dyDescent="0.25">
      <c r="A286" s="22" t="str">
        <f>CONCATENATE('BASE OBZ'!A282,"PROG")</f>
        <v>SEEPROG</v>
      </c>
      <c r="B286" s="22" t="str">
        <f>CONCATENATE("P",(LEFT('BASE OBZ'!F282,3)),'BASE OBZ'!A282)</f>
        <v>P167SEE</v>
      </c>
      <c r="C286" t="s">
        <v>1777</v>
      </c>
    </row>
    <row r="287" spans="1:3" x14ac:dyDescent="0.25">
      <c r="A287" s="22" t="str">
        <f>CONCATENATE('BASE OBZ'!A283,"PROG")</f>
        <v>SEEPROG</v>
      </c>
      <c r="B287" s="22" t="str">
        <f>CONCATENATE("P",(LEFT('BASE OBZ'!F283,3)),'BASE OBZ'!A283)</f>
        <v>P167SEE</v>
      </c>
      <c r="C287" t="s">
        <v>1777</v>
      </c>
    </row>
    <row r="288" spans="1:3" x14ac:dyDescent="0.25">
      <c r="A288" s="22" t="str">
        <f>CONCATENATE('BASE OBZ'!A284,"PROG")</f>
        <v>SEEPROG</v>
      </c>
      <c r="B288" s="22" t="str">
        <f>CONCATENATE("P",(LEFT('BASE OBZ'!F284,3)),'BASE OBZ'!A284)</f>
        <v>P167SEE</v>
      </c>
      <c r="C288" t="s">
        <v>1777</v>
      </c>
    </row>
    <row r="289" spans="1:3" x14ac:dyDescent="0.25">
      <c r="A289" s="22" t="str">
        <f>CONCATENATE('BASE OBZ'!A285,"PROG")</f>
        <v>SEEPROG</v>
      </c>
      <c r="B289" s="22" t="str">
        <f>CONCATENATE("P",(LEFT('BASE OBZ'!F285,3)),'BASE OBZ'!A285)</f>
        <v>P167SEE</v>
      </c>
      <c r="C289" t="s">
        <v>1777</v>
      </c>
    </row>
    <row r="290" spans="1:3" x14ac:dyDescent="0.25">
      <c r="A290" s="22" t="str">
        <f>CONCATENATE('BASE OBZ'!A286,"PROG")</f>
        <v>SEEPROG</v>
      </c>
      <c r="B290" s="22" t="str">
        <f>CONCATENATE("P",(LEFT('BASE OBZ'!F286,3)),'BASE OBZ'!A286)</f>
        <v>P167SEE</v>
      </c>
      <c r="C290" t="s">
        <v>1777</v>
      </c>
    </row>
    <row r="291" spans="1:3" x14ac:dyDescent="0.25">
      <c r="A291" s="22" t="str">
        <f>CONCATENATE('BASE OBZ'!A287,"PROG")</f>
        <v>SEEPROG</v>
      </c>
      <c r="B291" s="22" t="str">
        <f>CONCATENATE("P",(LEFT('BASE OBZ'!F287,3)),'BASE OBZ'!A287)</f>
        <v>P167SEE</v>
      </c>
      <c r="C291" t="s">
        <v>1777</v>
      </c>
    </row>
    <row r="292" spans="1:3" x14ac:dyDescent="0.25">
      <c r="A292" s="22" t="str">
        <f>CONCATENATE('BASE OBZ'!A288,"PROG")</f>
        <v>SEEPROG</v>
      </c>
      <c r="B292" s="22" t="str">
        <f>CONCATENATE("P",(LEFT('BASE OBZ'!F288,3)),'BASE OBZ'!A288)</f>
        <v>P167SEE</v>
      </c>
      <c r="C292" t="s">
        <v>1777</v>
      </c>
    </row>
    <row r="293" spans="1:3" x14ac:dyDescent="0.25">
      <c r="A293" s="22" t="str">
        <f>CONCATENATE('BASE OBZ'!A289,"PROG")</f>
        <v>SEEPROG</v>
      </c>
      <c r="B293" s="22" t="str">
        <f>CONCATENATE("P",(LEFT('BASE OBZ'!F289,3)),'BASE OBZ'!A289)</f>
        <v>P167SEE</v>
      </c>
      <c r="C293" t="s">
        <v>1777</v>
      </c>
    </row>
    <row r="294" spans="1:3" x14ac:dyDescent="0.25">
      <c r="A294" s="22" t="str">
        <f>CONCATENATE('BASE OBZ'!A290,"PROG")</f>
        <v>SEEPROG</v>
      </c>
      <c r="B294" s="22" t="str">
        <f>CONCATENATE("P",(LEFT('BASE OBZ'!F290,3)),'BASE OBZ'!A290)</f>
        <v>P167SEE</v>
      </c>
      <c r="C294" t="s">
        <v>1777</v>
      </c>
    </row>
    <row r="295" spans="1:3" x14ac:dyDescent="0.25">
      <c r="A295" s="22" t="str">
        <f>CONCATENATE('BASE OBZ'!A291,"PROG")</f>
        <v>SEEPROG</v>
      </c>
      <c r="B295" s="22" t="str">
        <f>CONCATENATE("P",(LEFT('BASE OBZ'!F291,3)),'BASE OBZ'!A291)</f>
        <v>P167SEE</v>
      </c>
      <c r="C295" t="s">
        <v>1777</v>
      </c>
    </row>
    <row r="296" spans="1:3" x14ac:dyDescent="0.25">
      <c r="A296" s="22" t="str">
        <f>CONCATENATE('BASE OBZ'!A292,"PROG")</f>
        <v>SEEPROG</v>
      </c>
      <c r="B296" s="22" t="str">
        <f>CONCATENATE("P",(LEFT('BASE OBZ'!F292,3)),'BASE OBZ'!A292)</f>
        <v>P167SEE</v>
      </c>
      <c r="C296" t="s">
        <v>1777</v>
      </c>
    </row>
    <row r="297" spans="1:3" x14ac:dyDescent="0.25">
      <c r="A297" s="22" t="str">
        <f>CONCATENATE('BASE OBZ'!A293,"PROG")</f>
        <v>SEEPROG</v>
      </c>
      <c r="B297" s="22" t="str">
        <f>CONCATENATE("P",(LEFT('BASE OBZ'!F293,3)),'BASE OBZ'!A293)</f>
        <v>P167SEE</v>
      </c>
      <c r="C297" t="s">
        <v>1777</v>
      </c>
    </row>
    <row r="298" spans="1:3" x14ac:dyDescent="0.25">
      <c r="A298" s="22" t="str">
        <f>CONCATENATE('BASE OBZ'!A294,"PROG")</f>
        <v>SEEPROG</v>
      </c>
      <c r="B298" s="22" t="str">
        <f>CONCATENATE("P",(LEFT('BASE OBZ'!F294,3)),'BASE OBZ'!A294)</f>
        <v>P167SEE</v>
      </c>
      <c r="C298" t="s">
        <v>1777</v>
      </c>
    </row>
    <row r="299" spans="1:3" x14ac:dyDescent="0.25">
      <c r="A299" s="22" t="str">
        <f>CONCATENATE('BASE OBZ'!A295,"PROG")</f>
        <v>SEEPROG</v>
      </c>
      <c r="B299" s="22" t="str">
        <f>CONCATENATE("P",(LEFT('BASE OBZ'!F295,3)),'BASE OBZ'!A295)</f>
        <v>P167SEE</v>
      </c>
      <c r="C299" t="s">
        <v>1777</v>
      </c>
    </row>
    <row r="300" spans="1:3" x14ac:dyDescent="0.25">
      <c r="A300" s="22" t="str">
        <f>CONCATENATE('BASE OBZ'!A296,"PROG")</f>
        <v>SEEPROG</v>
      </c>
      <c r="B300" s="22" t="str">
        <f>CONCATENATE("P",(LEFT('BASE OBZ'!F296,3)),'BASE OBZ'!A296)</f>
        <v>P167SEE</v>
      </c>
      <c r="C300" t="s">
        <v>1777</v>
      </c>
    </row>
    <row r="301" spans="1:3" x14ac:dyDescent="0.25">
      <c r="A301" s="22" t="str">
        <f>CONCATENATE('BASE OBZ'!A297,"PROG")</f>
        <v>SEEPROG</v>
      </c>
      <c r="B301" s="22" t="str">
        <f>CONCATENATE("P",(LEFT('BASE OBZ'!F297,3)),'BASE OBZ'!A297)</f>
        <v>P167SEE</v>
      </c>
      <c r="C301" t="s">
        <v>1777</v>
      </c>
    </row>
    <row r="302" spans="1:3" x14ac:dyDescent="0.25">
      <c r="A302" s="22" t="str">
        <f>CONCATENATE('BASE OBZ'!A298,"PROG")</f>
        <v>SEEPROG</v>
      </c>
      <c r="B302" s="22" t="str">
        <f>CONCATENATE("P",(LEFT('BASE OBZ'!F298,3)),'BASE OBZ'!A298)</f>
        <v>P167SEE</v>
      </c>
      <c r="C302" t="s">
        <v>1777</v>
      </c>
    </row>
    <row r="303" spans="1:3" x14ac:dyDescent="0.25">
      <c r="A303" s="22" t="str">
        <f>CONCATENATE('BASE OBZ'!A299,"PROG")</f>
        <v>SEEPROG</v>
      </c>
      <c r="B303" s="22" t="str">
        <f>CONCATENATE("P",(LEFT('BASE OBZ'!F299,3)),'BASE OBZ'!A299)</f>
        <v>P167SEE</v>
      </c>
      <c r="C303" t="s">
        <v>1777</v>
      </c>
    </row>
    <row r="304" spans="1:3" x14ac:dyDescent="0.25">
      <c r="A304" s="22" t="str">
        <f>CONCATENATE('BASE OBZ'!A300,"PROG")</f>
        <v>SEEPROG</v>
      </c>
      <c r="B304" s="22" t="str">
        <f>CONCATENATE("P",(LEFT('BASE OBZ'!F300,3)),'BASE OBZ'!A300)</f>
        <v>P167SEE</v>
      </c>
      <c r="C304" t="s">
        <v>1777</v>
      </c>
    </row>
    <row r="305" spans="1:3" x14ac:dyDescent="0.25">
      <c r="A305" s="22" t="str">
        <f>CONCATENATE('BASE OBZ'!A301,"PROG")</f>
        <v>SEEPROG</v>
      </c>
      <c r="B305" s="22" t="str">
        <f>CONCATENATE("P",(LEFT('BASE OBZ'!F301,3)),'BASE OBZ'!A301)</f>
        <v>P167SEE</v>
      </c>
      <c r="C305" t="s">
        <v>1777</v>
      </c>
    </row>
    <row r="306" spans="1:3" x14ac:dyDescent="0.25">
      <c r="A306" s="22" t="str">
        <f>CONCATENATE('BASE OBZ'!A302,"PROG")</f>
        <v>SEEPROG</v>
      </c>
      <c r="B306" s="22" t="str">
        <f>CONCATENATE("P",(LEFT('BASE OBZ'!F302,3)),'BASE OBZ'!A302)</f>
        <v>P167SEE</v>
      </c>
      <c r="C306" t="s">
        <v>1777</v>
      </c>
    </row>
    <row r="307" spans="1:3" x14ac:dyDescent="0.25">
      <c r="A307" s="22" t="str">
        <f>CONCATENATE('BASE OBZ'!A303,"PROG")</f>
        <v>SEEPROG</v>
      </c>
      <c r="B307" s="22" t="str">
        <f>CONCATENATE("P",(LEFT('BASE OBZ'!F303,3)),'BASE OBZ'!A303)</f>
        <v>P167SEE</v>
      </c>
      <c r="C307" t="s">
        <v>1777</v>
      </c>
    </row>
    <row r="308" spans="1:3" x14ac:dyDescent="0.25">
      <c r="A308" s="22" t="e">
        <f>CONCATENATE('BASE OBZ'!#REF!,"PROG")</f>
        <v>#REF!</v>
      </c>
      <c r="B308" s="22" t="e">
        <f>CONCATENATE("P",(LEFT('BASE OBZ'!#REF!,3)),'BASE OBZ'!#REF!)</f>
        <v>#REF!</v>
      </c>
      <c r="C308" t="s">
        <v>1777</v>
      </c>
    </row>
    <row r="309" spans="1:3" x14ac:dyDescent="0.25">
      <c r="A309" s="22" t="e">
        <f>CONCATENATE('BASE OBZ'!#REF!,"PROG")</f>
        <v>#REF!</v>
      </c>
      <c r="B309" s="22" t="e">
        <f>CONCATENATE("P",(LEFT('BASE OBZ'!#REF!,3)),'BASE OBZ'!#REF!)</f>
        <v>#REF!</v>
      </c>
      <c r="C309" t="s">
        <v>1777</v>
      </c>
    </row>
    <row r="310" spans="1:3" x14ac:dyDescent="0.25">
      <c r="A310" s="22" t="str">
        <f>CONCATENATE('BASE OBZ'!A304,"PROG")</f>
        <v>SEEPROG</v>
      </c>
      <c r="B310" s="22" t="str">
        <f>CONCATENATE("P",(LEFT('BASE OBZ'!F304,3)),'BASE OBZ'!A304)</f>
        <v>P167SEE</v>
      </c>
      <c r="C310" t="s">
        <v>1777</v>
      </c>
    </row>
    <row r="311" spans="1:3" x14ac:dyDescent="0.25">
      <c r="A311" s="22" t="e">
        <f>CONCATENATE('BASE OBZ'!#REF!,"PROG")</f>
        <v>#REF!</v>
      </c>
      <c r="B311" s="22" t="e">
        <f>CONCATENATE("P",(LEFT('BASE OBZ'!#REF!,3)),'BASE OBZ'!#REF!)</f>
        <v>#REF!</v>
      </c>
      <c r="C311" t="s">
        <v>1777</v>
      </c>
    </row>
    <row r="312" spans="1:3" x14ac:dyDescent="0.25">
      <c r="A312" s="22" t="str">
        <f>CONCATENATE('BASE OBZ'!A305,"PROG")</f>
        <v>SEEPROG</v>
      </c>
      <c r="B312" s="22" t="str">
        <f>CONCATENATE("P",(LEFT('BASE OBZ'!F305,3)),'BASE OBZ'!A305)</f>
        <v>P167SEE</v>
      </c>
      <c r="C312" t="s">
        <v>1777</v>
      </c>
    </row>
    <row r="313" spans="1:3" x14ac:dyDescent="0.25">
      <c r="A313" s="22" t="e">
        <f>CONCATENATE('BASE OBZ'!#REF!,"PROG")</f>
        <v>#REF!</v>
      </c>
      <c r="B313" s="22" t="e">
        <f>CONCATENATE("P",(LEFT('BASE OBZ'!#REF!,3)),'BASE OBZ'!#REF!)</f>
        <v>#REF!</v>
      </c>
      <c r="C313" t="s">
        <v>1777</v>
      </c>
    </row>
    <row r="314" spans="1:3" x14ac:dyDescent="0.25">
      <c r="A314" s="22" t="e">
        <f>CONCATENATE('BASE OBZ'!#REF!,"PROG")</f>
        <v>#REF!</v>
      </c>
      <c r="B314" s="22" t="e">
        <f>CONCATENATE("P",(LEFT('BASE OBZ'!#REF!,3)),'BASE OBZ'!#REF!)</f>
        <v>#REF!</v>
      </c>
      <c r="C314" t="s">
        <v>1777</v>
      </c>
    </row>
    <row r="315" spans="1:3" x14ac:dyDescent="0.25">
      <c r="A315" s="22" t="str">
        <f>CONCATENATE('BASE OBZ'!A306,"PROG")</f>
        <v>SEEPROG</v>
      </c>
      <c r="B315" s="22" t="str">
        <f>CONCATENATE("P",(LEFT('BASE OBZ'!F306,3)),'BASE OBZ'!A306)</f>
        <v>P167SEE</v>
      </c>
      <c r="C315" t="s">
        <v>1777</v>
      </c>
    </row>
    <row r="316" spans="1:3" x14ac:dyDescent="0.25">
      <c r="A316" s="22" t="str">
        <f>CONCATENATE('BASE OBZ'!A307,"PROG")</f>
        <v>SEEPROG</v>
      </c>
      <c r="B316" s="22" t="str">
        <f>CONCATENATE("P",(LEFT('BASE OBZ'!F307,3)),'BASE OBZ'!A307)</f>
        <v>P167SEE</v>
      </c>
      <c r="C316" t="s">
        <v>1777</v>
      </c>
    </row>
    <row r="317" spans="1:3" x14ac:dyDescent="0.25">
      <c r="A317" s="22" t="str">
        <f>CONCATENATE('BASE OBZ'!A308,"PROG")</f>
        <v>SEEPROG</v>
      </c>
      <c r="B317" s="22" t="str">
        <f>CONCATENATE("P",(LEFT('BASE OBZ'!F308,3)),'BASE OBZ'!A308)</f>
        <v>P167SEE</v>
      </c>
      <c r="C317" t="s">
        <v>1777</v>
      </c>
    </row>
    <row r="318" spans="1:3" x14ac:dyDescent="0.25">
      <c r="A318" s="22" t="str">
        <f>CONCATENATE('BASE OBZ'!A309,"PROG")</f>
        <v>SEEPROG</v>
      </c>
      <c r="B318" s="22" t="str">
        <f>CONCATENATE("P",(LEFT('BASE OBZ'!F309,3)),'BASE OBZ'!A309)</f>
        <v>P167SEE</v>
      </c>
      <c r="C318" t="s">
        <v>1777</v>
      </c>
    </row>
    <row r="319" spans="1:3" x14ac:dyDescent="0.25">
      <c r="A319" s="22" t="str">
        <f>CONCATENATE('BASE OBZ'!A310,"PROG")</f>
        <v>SEEPROG</v>
      </c>
      <c r="B319" s="22" t="str">
        <f>CONCATENATE("P",(LEFT('BASE OBZ'!F310,3)),'BASE OBZ'!A310)</f>
        <v>P167SEE</v>
      </c>
      <c r="C319" t="s">
        <v>1777</v>
      </c>
    </row>
    <row r="320" spans="1:3" x14ac:dyDescent="0.25">
      <c r="A320" s="22" t="e">
        <f>CONCATENATE('BASE OBZ'!#REF!,"PROG")</f>
        <v>#REF!</v>
      </c>
      <c r="B320" s="22" t="e">
        <f>CONCATENATE("P",(LEFT('BASE OBZ'!#REF!,3)),'BASE OBZ'!#REF!)</f>
        <v>#REF!</v>
      </c>
      <c r="C320" t="s">
        <v>1777</v>
      </c>
    </row>
    <row r="321" spans="1:3" x14ac:dyDescent="0.25">
      <c r="A321" s="22" t="str">
        <f>CONCATENATE('BASE OBZ'!A311,"PROG")</f>
        <v>SEEPROG</v>
      </c>
      <c r="B321" s="22" t="str">
        <f>CONCATENATE("P",(LEFT('BASE OBZ'!F311,3)),'BASE OBZ'!A311)</f>
        <v>P167SEE</v>
      </c>
      <c r="C321" t="s">
        <v>1777</v>
      </c>
    </row>
    <row r="322" spans="1:3" x14ac:dyDescent="0.25">
      <c r="A322" s="22" t="str">
        <f>CONCATENATE('BASE OBZ'!A312,"PROG")</f>
        <v>SEEPROG</v>
      </c>
      <c r="B322" s="22" t="str">
        <f>CONCATENATE("P",(LEFT('BASE OBZ'!F312,3)),'BASE OBZ'!A312)</f>
        <v>P167SEE</v>
      </c>
      <c r="C322" t="s">
        <v>1777</v>
      </c>
    </row>
    <row r="323" spans="1:3" x14ac:dyDescent="0.25">
      <c r="A323" s="22" t="str">
        <f>CONCATENATE('BASE OBZ'!A313,"PROG")</f>
        <v>SEEPROG</v>
      </c>
      <c r="B323" s="22" t="str">
        <f>CONCATENATE("P",(LEFT('BASE OBZ'!F313,3)),'BASE OBZ'!A313)</f>
        <v>P167SEE</v>
      </c>
      <c r="C323" t="s">
        <v>1777</v>
      </c>
    </row>
    <row r="324" spans="1:3" x14ac:dyDescent="0.25">
      <c r="A324" s="22" t="str">
        <f>CONCATENATE('BASE OBZ'!A314,"PROG")</f>
        <v>SEEPROG</v>
      </c>
      <c r="B324" s="22" t="str">
        <f>CONCATENATE("P",(LEFT('BASE OBZ'!F314,3)),'BASE OBZ'!A314)</f>
        <v>P167SEE</v>
      </c>
      <c r="C324" t="s">
        <v>1777</v>
      </c>
    </row>
    <row r="325" spans="1:3" x14ac:dyDescent="0.25">
      <c r="A325" s="22" t="str">
        <f>CONCATENATE('BASE OBZ'!A315,"PROG")</f>
        <v>SEEPROG</v>
      </c>
      <c r="B325" s="22" t="str">
        <f>CONCATENATE("P",(LEFT('BASE OBZ'!F315,3)),'BASE OBZ'!A315)</f>
        <v>P167SEE</v>
      </c>
      <c r="C325" t="s">
        <v>1777</v>
      </c>
    </row>
    <row r="326" spans="1:3" x14ac:dyDescent="0.25">
      <c r="A326" s="22" t="str">
        <f>CONCATENATE('BASE OBZ'!A316,"PROG")</f>
        <v>SEEPROG</v>
      </c>
      <c r="B326" s="22" t="str">
        <f>CONCATENATE("P",(LEFT('BASE OBZ'!F316,3)),'BASE OBZ'!A316)</f>
        <v>P167SEE</v>
      </c>
      <c r="C326" t="s">
        <v>1777</v>
      </c>
    </row>
    <row r="327" spans="1:3" x14ac:dyDescent="0.25">
      <c r="A327" s="22" t="e">
        <f>CONCATENATE('BASE OBZ'!#REF!,"PROG")</f>
        <v>#REF!</v>
      </c>
      <c r="B327" s="22" t="e">
        <f>CONCATENATE("P",(LEFT('BASE OBZ'!#REF!,3)),'BASE OBZ'!#REF!)</f>
        <v>#REF!</v>
      </c>
      <c r="C327" t="s">
        <v>1777</v>
      </c>
    </row>
    <row r="328" spans="1:3" x14ac:dyDescent="0.25">
      <c r="A328" s="22" t="e">
        <f>CONCATENATE('BASE OBZ'!#REF!,"PROG")</f>
        <v>#REF!</v>
      </c>
      <c r="B328" s="22" t="e">
        <f>CONCATENATE("P",(LEFT('BASE OBZ'!#REF!,3)),'BASE OBZ'!#REF!)</f>
        <v>#REF!</v>
      </c>
      <c r="C328" t="s">
        <v>1777</v>
      </c>
    </row>
    <row r="329" spans="1:3" x14ac:dyDescent="0.25">
      <c r="A329" s="22" t="e">
        <f>CONCATENATE('BASE OBZ'!#REF!,"PROG")</f>
        <v>#REF!</v>
      </c>
      <c r="B329" s="22" t="e">
        <f>CONCATENATE("P",(LEFT('BASE OBZ'!#REF!,3)),'BASE OBZ'!#REF!)</f>
        <v>#REF!</v>
      </c>
      <c r="C329" t="s">
        <v>1777</v>
      </c>
    </row>
    <row r="330" spans="1:3" x14ac:dyDescent="0.25">
      <c r="A330" s="22" t="e">
        <f>CONCATENATE('BASE OBZ'!#REF!,"PROG")</f>
        <v>#REF!</v>
      </c>
      <c r="B330" s="22" t="e">
        <f>CONCATENATE("P",(LEFT('BASE OBZ'!#REF!,3)),'BASE OBZ'!#REF!)</f>
        <v>#REF!</v>
      </c>
      <c r="C330" t="s">
        <v>1777</v>
      </c>
    </row>
    <row r="331" spans="1:3" x14ac:dyDescent="0.25">
      <c r="A331" s="22" t="e">
        <f>CONCATENATE('BASE OBZ'!#REF!,"PROG")</f>
        <v>#REF!</v>
      </c>
      <c r="B331" s="22" t="e">
        <f>CONCATENATE("P",(LEFT('BASE OBZ'!#REF!,3)),'BASE OBZ'!#REF!)</f>
        <v>#REF!</v>
      </c>
      <c r="C331" t="s">
        <v>1777</v>
      </c>
    </row>
    <row r="332" spans="1:3" x14ac:dyDescent="0.25">
      <c r="A332" s="22" t="e">
        <f>CONCATENATE('BASE OBZ'!#REF!,"PROG")</f>
        <v>#REF!</v>
      </c>
      <c r="B332" s="22" t="e">
        <f>CONCATENATE("P",(LEFT('BASE OBZ'!#REF!,3)),'BASE OBZ'!#REF!)</f>
        <v>#REF!</v>
      </c>
      <c r="C332" t="s">
        <v>1777</v>
      </c>
    </row>
    <row r="333" spans="1:3" x14ac:dyDescent="0.25">
      <c r="A333" s="22" t="e">
        <f>CONCATENATE('BASE OBZ'!#REF!,"PROG")</f>
        <v>#REF!</v>
      </c>
      <c r="B333" s="22" t="e">
        <f>CONCATENATE("P",(LEFT('BASE OBZ'!#REF!,3)),'BASE OBZ'!#REF!)</f>
        <v>#REF!</v>
      </c>
      <c r="C333" t="s">
        <v>1777</v>
      </c>
    </row>
    <row r="334" spans="1:3" x14ac:dyDescent="0.25">
      <c r="A334" s="22" t="e">
        <f>CONCATENATE('BASE OBZ'!#REF!,"PROG")</f>
        <v>#REF!</v>
      </c>
      <c r="B334" s="22" t="e">
        <f>CONCATENATE("P",(LEFT('BASE OBZ'!#REF!,3)),'BASE OBZ'!#REF!)</f>
        <v>#REF!</v>
      </c>
      <c r="C334" t="s">
        <v>1777</v>
      </c>
    </row>
    <row r="335" spans="1:3" x14ac:dyDescent="0.25">
      <c r="A335" s="22" t="e">
        <f>CONCATENATE('BASE OBZ'!#REF!,"PROG")</f>
        <v>#REF!</v>
      </c>
      <c r="B335" s="22" t="e">
        <f>CONCATENATE("P",(LEFT('BASE OBZ'!#REF!,3)),'BASE OBZ'!#REF!)</f>
        <v>#REF!</v>
      </c>
      <c r="C335" t="s">
        <v>1777</v>
      </c>
    </row>
    <row r="336" spans="1:3" x14ac:dyDescent="0.25">
      <c r="A336" s="22" t="e">
        <f>CONCATENATE('BASE OBZ'!#REF!,"PROG")</f>
        <v>#REF!</v>
      </c>
      <c r="B336" s="22" t="e">
        <f>CONCATENATE("P",(LEFT('BASE OBZ'!#REF!,3)),'BASE OBZ'!#REF!)</f>
        <v>#REF!</v>
      </c>
      <c r="C336" t="s">
        <v>1777</v>
      </c>
    </row>
    <row r="337" spans="1:3" x14ac:dyDescent="0.25">
      <c r="A337" s="22" t="e">
        <f>CONCATENATE('BASE OBZ'!#REF!,"PROG")</f>
        <v>#REF!</v>
      </c>
      <c r="B337" s="22" t="e">
        <f>CONCATENATE("P",(LEFT('BASE OBZ'!#REF!,3)),'BASE OBZ'!#REF!)</f>
        <v>#REF!</v>
      </c>
      <c r="C337" t="s">
        <v>1777</v>
      </c>
    </row>
    <row r="338" spans="1:3" x14ac:dyDescent="0.25">
      <c r="A338" s="22" t="e">
        <f>CONCATENATE('BASE OBZ'!#REF!,"PROG")</f>
        <v>#REF!</v>
      </c>
      <c r="B338" s="22" t="e">
        <f>CONCATENATE("P",(LEFT('BASE OBZ'!#REF!,3)),'BASE OBZ'!#REF!)</f>
        <v>#REF!</v>
      </c>
      <c r="C338" t="s">
        <v>1777</v>
      </c>
    </row>
    <row r="339" spans="1:3" x14ac:dyDescent="0.25">
      <c r="A339" s="22" t="e">
        <f>CONCATENATE('BASE OBZ'!#REF!,"PROG")</f>
        <v>#REF!</v>
      </c>
      <c r="B339" s="22" t="e">
        <f>CONCATENATE("P",(LEFT('BASE OBZ'!#REF!,3)),'BASE OBZ'!#REF!)</f>
        <v>#REF!</v>
      </c>
      <c r="C339" t="s">
        <v>1777</v>
      </c>
    </row>
    <row r="340" spans="1:3" x14ac:dyDescent="0.25">
      <c r="A340" s="22" t="e">
        <f>CONCATENATE('BASE OBZ'!#REF!,"PROG")</f>
        <v>#REF!</v>
      </c>
      <c r="B340" s="22" t="e">
        <f>CONCATENATE("P",(LEFT('BASE OBZ'!#REF!,3)),'BASE OBZ'!#REF!)</f>
        <v>#REF!</v>
      </c>
      <c r="C340" t="s">
        <v>1777</v>
      </c>
    </row>
    <row r="341" spans="1:3" x14ac:dyDescent="0.25">
      <c r="A341" s="22" t="e">
        <f>CONCATENATE('BASE OBZ'!#REF!,"PROG")</f>
        <v>#REF!</v>
      </c>
      <c r="B341" s="22" t="e">
        <f>CONCATENATE("P",(LEFT('BASE OBZ'!#REF!,3)),'BASE OBZ'!#REF!)</f>
        <v>#REF!</v>
      </c>
      <c r="C341" t="s">
        <v>1777</v>
      </c>
    </row>
    <row r="342" spans="1:3" x14ac:dyDescent="0.25">
      <c r="A342" s="22" t="e">
        <f>CONCATENATE('BASE OBZ'!#REF!,"PROG")</f>
        <v>#REF!</v>
      </c>
      <c r="B342" s="22" t="e">
        <f>CONCATENATE("P",(LEFT('BASE OBZ'!#REF!,3)),'BASE OBZ'!#REF!)</f>
        <v>#REF!</v>
      </c>
      <c r="C342" t="s">
        <v>1777</v>
      </c>
    </row>
    <row r="343" spans="1:3" x14ac:dyDescent="0.25">
      <c r="A343" s="22" t="e">
        <f>CONCATENATE('BASE OBZ'!#REF!,"PROG")</f>
        <v>#REF!</v>
      </c>
      <c r="B343" s="22" t="e">
        <f>CONCATENATE("P",(LEFT('BASE OBZ'!#REF!,3)),'BASE OBZ'!#REF!)</f>
        <v>#REF!</v>
      </c>
      <c r="C343" t="s">
        <v>1777</v>
      </c>
    </row>
    <row r="344" spans="1:3" x14ac:dyDescent="0.25">
      <c r="A344" s="22" t="e">
        <f>CONCATENATE('BASE OBZ'!#REF!,"PROG")</f>
        <v>#REF!</v>
      </c>
      <c r="B344" s="22" t="e">
        <f>CONCATENATE("P",(LEFT('BASE OBZ'!#REF!,3)),'BASE OBZ'!#REF!)</f>
        <v>#REF!</v>
      </c>
      <c r="C344" t="s">
        <v>1777</v>
      </c>
    </row>
    <row r="345" spans="1:3" x14ac:dyDescent="0.25">
      <c r="A345" s="22" t="e">
        <f>CONCATENATE('BASE OBZ'!#REF!,"PROG")</f>
        <v>#REF!</v>
      </c>
      <c r="B345" s="22" t="e">
        <f>CONCATENATE("P",(LEFT('BASE OBZ'!#REF!,3)),'BASE OBZ'!#REF!)</f>
        <v>#REF!</v>
      </c>
      <c r="C345" t="s">
        <v>1777</v>
      </c>
    </row>
    <row r="346" spans="1:3" x14ac:dyDescent="0.25">
      <c r="A346" s="22" t="e">
        <f>CONCATENATE('BASE OBZ'!#REF!,"PROG")</f>
        <v>#REF!</v>
      </c>
      <c r="B346" s="22" t="e">
        <f>CONCATENATE("P",(LEFT('BASE OBZ'!#REF!,3)),'BASE OBZ'!#REF!)</f>
        <v>#REF!</v>
      </c>
      <c r="C346" t="s">
        <v>1777</v>
      </c>
    </row>
    <row r="347" spans="1:3" x14ac:dyDescent="0.25">
      <c r="A347" s="22" t="e">
        <f>CONCATENATE('BASE OBZ'!#REF!,"PROG")</f>
        <v>#REF!</v>
      </c>
      <c r="B347" s="22" t="e">
        <f>CONCATENATE("P",(LEFT('BASE OBZ'!#REF!,3)),'BASE OBZ'!#REF!)</f>
        <v>#REF!</v>
      </c>
      <c r="C347" t="s">
        <v>1777</v>
      </c>
    </row>
    <row r="348" spans="1:3" x14ac:dyDescent="0.25">
      <c r="A348" s="22" t="e">
        <f>CONCATENATE('BASE OBZ'!#REF!,"PROG")</f>
        <v>#REF!</v>
      </c>
      <c r="B348" s="22" t="e">
        <f>CONCATENATE("P",(LEFT('BASE OBZ'!#REF!,3)),'BASE OBZ'!#REF!)</f>
        <v>#REF!</v>
      </c>
      <c r="C348" t="s">
        <v>1777</v>
      </c>
    </row>
    <row r="349" spans="1:3" x14ac:dyDescent="0.25">
      <c r="A349" s="22" t="e">
        <f>CONCATENATE('BASE OBZ'!#REF!,"PROG")</f>
        <v>#REF!</v>
      </c>
      <c r="B349" s="22" t="e">
        <f>CONCATENATE("P",(LEFT('BASE OBZ'!#REF!,3)),'BASE OBZ'!#REF!)</f>
        <v>#REF!</v>
      </c>
      <c r="C349" t="s">
        <v>1777</v>
      </c>
    </row>
    <row r="350" spans="1:3" x14ac:dyDescent="0.25">
      <c r="A350" s="22" t="e">
        <f>CONCATENATE('BASE OBZ'!#REF!,"PROG")</f>
        <v>#REF!</v>
      </c>
      <c r="B350" s="22" t="e">
        <f>CONCATENATE("P",(LEFT('BASE OBZ'!#REF!,3)),'BASE OBZ'!#REF!)</f>
        <v>#REF!</v>
      </c>
      <c r="C350" t="s">
        <v>1777</v>
      </c>
    </row>
    <row r="351" spans="1:3" x14ac:dyDescent="0.25">
      <c r="A351" s="22" t="e">
        <f>CONCATENATE('BASE OBZ'!#REF!,"PROG")</f>
        <v>#REF!</v>
      </c>
      <c r="B351" s="22" t="e">
        <f>CONCATENATE("P",(LEFT('BASE OBZ'!#REF!,3)),'BASE OBZ'!#REF!)</f>
        <v>#REF!</v>
      </c>
      <c r="C351" t="s">
        <v>1777</v>
      </c>
    </row>
    <row r="352" spans="1:3" x14ac:dyDescent="0.25">
      <c r="A352" s="22" t="e">
        <f>CONCATENATE('BASE OBZ'!#REF!,"PROG")</f>
        <v>#REF!</v>
      </c>
      <c r="B352" s="22" t="e">
        <f>CONCATENATE("P",(LEFT('BASE OBZ'!#REF!,3)),'BASE OBZ'!#REF!)</f>
        <v>#REF!</v>
      </c>
      <c r="C352" t="s">
        <v>1777</v>
      </c>
    </row>
    <row r="353" spans="1:3" x14ac:dyDescent="0.25">
      <c r="A353" s="22" t="e">
        <f>CONCATENATE('BASE OBZ'!#REF!,"PROG")</f>
        <v>#REF!</v>
      </c>
      <c r="B353" s="22" t="e">
        <f>CONCATENATE("P",(LEFT('BASE OBZ'!#REF!,3)),'BASE OBZ'!#REF!)</f>
        <v>#REF!</v>
      </c>
      <c r="C353" t="s">
        <v>1777</v>
      </c>
    </row>
    <row r="354" spans="1:3" x14ac:dyDescent="0.25">
      <c r="A354" s="22" t="e">
        <f>CONCATENATE('BASE OBZ'!#REF!,"PROG")</f>
        <v>#REF!</v>
      </c>
      <c r="B354" s="22" t="e">
        <f>CONCATENATE("P",(LEFT('BASE OBZ'!#REF!,3)),'BASE OBZ'!#REF!)</f>
        <v>#REF!</v>
      </c>
      <c r="C354" t="s">
        <v>1777</v>
      </c>
    </row>
    <row r="355" spans="1:3" x14ac:dyDescent="0.25">
      <c r="A355" s="22" t="e">
        <f>CONCATENATE('BASE OBZ'!#REF!,"PROG")</f>
        <v>#REF!</v>
      </c>
      <c r="B355" s="22" t="e">
        <f>CONCATENATE("P",(LEFT('BASE OBZ'!#REF!,3)),'BASE OBZ'!#REF!)</f>
        <v>#REF!</v>
      </c>
      <c r="C355" t="s">
        <v>1777</v>
      </c>
    </row>
    <row r="356" spans="1:3" x14ac:dyDescent="0.25">
      <c r="A356" s="22" t="e">
        <f>CONCATENATE('BASE OBZ'!#REF!,"PROG")</f>
        <v>#REF!</v>
      </c>
      <c r="B356" s="22" t="e">
        <f>CONCATENATE("P",(LEFT('BASE OBZ'!#REF!,3)),'BASE OBZ'!#REF!)</f>
        <v>#REF!</v>
      </c>
      <c r="C356" t="s">
        <v>1777</v>
      </c>
    </row>
    <row r="357" spans="1:3" x14ac:dyDescent="0.25">
      <c r="A357" s="22" t="e">
        <f>CONCATENATE('BASE OBZ'!#REF!,"PROG")</f>
        <v>#REF!</v>
      </c>
      <c r="B357" s="22" t="e">
        <f>CONCATENATE("P",(LEFT('BASE OBZ'!#REF!,3)),'BASE OBZ'!#REF!)</f>
        <v>#REF!</v>
      </c>
      <c r="C357" t="s">
        <v>1777</v>
      </c>
    </row>
    <row r="358" spans="1:3" x14ac:dyDescent="0.25">
      <c r="A358" s="22" t="e">
        <f>CONCATENATE('BASE OBZ'!#REF!,"PROG")</f>
        <v>#REF!</v>
      </c>
      <c r="B358" s="22" t="e">
        <f>CONCATENATE("P",(LEFT('BASE OBZ'!#REF!,3)),'BASE OBZ'!#REF!)</f>
        <v>#REF!</v>
      </c>
      <c r="C358" t="s">
        <v>1777</v>
      </c>
    </row>
    <row r="359" spans="1:3" x14ac:dyDescent="0.25">
      <c r="A359" s="22" t="e">
        <f>CONCATENATE('BASE OBZ'!#REF!,"PROG")</f>
        <v>#REF!</v>
      </c>
      <c r="B359" s="22" t="e">
        <f>CONCATENATE("P",(LEFT('BASE OBZ'!#REF!,3)),'BASE OBZ'!#REF!)</f>
        <v>#REF!</v>
      </c>
      <c r="C359" t="s">
        <v>1777</v>
      </c>
    </row>
    <row r="360" spans="1:3" x14ac:dyDescent="0.25">
      <c r="A360" s="22" t="e">
        <f>CONCATENATE('BASE OBZ'!#REF!,"PROG")</f>
        <v>#REF!</v>
      </c>
      <c r="B360" s="22" t="e">
        <f>CONCATENATE("P",(LEFT('BASE OBZ'!#REF!,3)),'BASE OBZ'!#REF!)</f>
        <v>#REF!</v>
      </c>
      <c r="C360" t="s">
        <v>1777</v>
      </c>
    </row>
    <row r="361" spans="1:3" x14ac:dyDescent="0.25">
      <c r="A361" s="22" t="e">
        <f>CONCATENATE('BASE OBZ'!#REF!,"PROG")</f>
        <v>#REF!</v>
      </c>
      <c r="B361" s="22" t="e">
        <f>CONCATENATE("P",(LEFT('BASE OBZ'!#REF!,3)),'BASE OBZ'!#REF!)</f>
        <v>#REF!</v>
      </c>
      <c r="C361" t="s">
        <v>1777</v>
      </c>
    </row>
    <row r="362" spans="1:3" x14ac:dyDescent="0.25">
      <c r="A362" s="22" t="e">
        <f>CONCATENATE('BASE OBZ'!#REF!,"PROG")</f>
        <v>#REF!</v>
      </c>
      <c r="B362" s="22" t="e">
        <f>CONCATENATE("P",(LEFT('BASE OBZ'!#REF!,3)),'BASE OBZ'!#REF!)</f>
        <v>#REF!</v>
      </c>
      <c r="C362" t="s">
        <v>1777</v>
      </c>
    </row>
    <row r="363" spans="1:3" x14ac:dyDescent="0.25">
      <c r="A363" s="22" t="e">
        <f>CONCATENATE('BASE OBZ'!#REF!,"PROG")</f>
        <v>#REF!</v>
      </c>
      <c r="B363" s="22" t="e">
        <f>CONCATENATE("P",(LEFT('BASE OBZ'!#REF!,3)),'BASE OBZ'!#REF!)</f>
        <v>#REF!</v>
      </c>
      <c r="C363" t="s">
        <v>1777</v>
      </c>
    </row>
    <row r="364" spans="1:3" x14ac:dyDescent="0.25">
      <c r="A364" s="22" t="e">
        <f>CONCATENATE('BASE OBZ'!#REF!,"PROG")</f>
        <v>#REF!</v>
      </c>
      <c r="B364" s="22" t="e">
        <f>CONCATENATE("P",(LEFT('BASE OBZ'!#REF!,3)),'BASE OBZ'!#REF!)</f>
        <v>#REF!</v>
      </c>
      <c r="C364" t="s">
        <v>1777</v>
      </c>
    </row>
    <row r="365" spans="1:3" x14ac:dyDescent="0.25">
      <c r="A365" s="22" t="e">
        <f>CONCATENATE('BASE OBZ'!#REF!,"PROG")</f>
        <v>#REF!</v>
      </c>
      <c r="B365" s="22" t="e">
        <f>CONCATENATE("P",(LEFT('BASE OBZ'!#REF!,3)),'BASE OBZ'!#REF!)</f>
        <v>#REF!</v>
      </c>
      <c r="C365" t="s">
        <v>1777</v>
      </c>
    </row>
    <row r="366" spans="1:3" x14ac:dyDescent="0.25">
      <c r="A366" s="22" t="e">
        <f>CONCATENATE('BASE OBZ'!#REF!,"PROG")</f>
        <v>#REF!</v>
      </c>
      <c r="B366" s="22" t="e">
        <f>CONCATENATE("P",(LEFT('BASE OBZ'!#REF!,3)),'BASE OBZ'!#REF!)</f>
        <v>#REF!</v>
      </c>
      <c r="C366" t="s">
        <v>1777</v>
      </c>
    </row>
    <row r="367" spans="1:3" x14ac:dyDescent="0.25">
      <c r="A367" s="22" t="e">
        <f>CONCATENATE('BASE OBZ'!#REF!,"PROG")</f>
        <v>#REF!</v>
      </c>
      <c r="B367" s="22" t="e">
        <f>CONCATENATE("P",(LEFT('BASE OBZ'!#REF!,3)),'BASE OBZ'!#REF!)</f>
        <v>#REF!</v>
      </c>
      <c r="C367" t="s">
        <v>1777</v>
      </c>
    </row>
    <row r="368" spans="1:3" x14ac:dyDescent="0.25">
      <c r="A368" s="22" t="e">
        <f>CONCATENATE('BASE OBZ'!#REF!,"PROG")</f>
        <v>#REF!</v>
      </c>
      <c r="B368" s="22" t="e">
        <f>CONCATENATE("P",(LEFT('BASE OBZ'!#REF!,3)),'BASE OBZ'!#REF!)</f>
        <v>#REF!</v>
      </c>
      <c r="C368" t="s">
        <v>1777</v>
      </c>
    </row>
    <row r="369" spans="1:3" x14ac:dyDescent="0.25">
      <c r="A369" s="22" t="e">
        <f>CONCATENATE('BASE OBZ'!#REF!,"PROG")</f>
        <v>#REF!</v>
      </c>
      <c r="B369" s="22" t="e">
        <f>CONCATENATE("P",(LEFT('BASE OBZ'!#REF!,3)),'BASE OBZ'!#REF!)</f>
        <v>#REF!</v>
      </c>
      <c r="C369" t="s">
        <v>1777</v>
      </c>
    </row>
    <row r="370" spans="1:3" x14ac:dyDescent="0.25">
      <c r="A370" s="22" t="e">
        <f>CONCATENATE('BASE OBZ'!#REF!,"PROG")</f>
        <v>#REF!</v>
      </c>
      <c r="B370" s="22" t="e">
        <f>CONCATENATE("P",(LEFT('BASE OBZ'!#REF!,3)),'BASE OBZ'!#REF!)</f>
        <v>#REF!</v>
      </c>
      <c r="C370" t="s">
        <v>1777</v>
      </c>
    </row>
    <row r="371" spans="1:3" x14ac:dyDescent="0.25">
      <c r="A371" s="22" t="e">
        <f>CONCATENATE('BASE OBZ'!#REF!,"PROG")</f>
        <v>#REF!</v>
      </c>
      <c r="B371" s="22" t="e">
        <f>CONCATENATE("P",(LEFT('BASE OBZ'!#REF!,3)),'BASE OBZ'!#REF!)</f>
        <v>#REF!</v>
      </c>
      <c r="C371" t="s">
        <v>1777</v>
      </c>
    </row>
    <row r="372" spans="1:3" x14ac:dyDescent="0.25">
      <c r="A372" s="22" t="e">
        <f>CONCATENATE('BASE OBZ'!#REF!,"PROG")</f>
        <v>#REF!</v>
      </c>
      <c r="B372" s="22" t="e">
        <f>CONCATENATE("P",(LEFT('BASE OBZ'!#REF!,3)),'BASE OBZ'!#REF!)</f>
        <v>#REF!</v>
      </c>
      <c r="C372" t="s">
        <v>1777</v>
      </c>
    </row>
    <row r="373" spans="1:3" x14ac:dyDescent="0.25">
      <c r="A373" s="22" t="e">
        <f>CONCATENATE('BASE OBZ'!#REF!,"PROG")</f>
        <v>#REF!</v>
      </c>
      <c r="B373" s="22" t="e">
        <f>CONCATENATE("P",(LEFT('BASE OBZ'!#REF!,3)),'BASE OBZ'!#REF!)</f>
        <v>#REF!</v>
      </c>
      <c r="C373" t="s">
        <v>1777</v>
      </c>
    </row>
    <row r="374" spans="1:3" x14ac:dyDescent="0.25">
      <c r="A374" s="22" t="e">
        <f>CONCATENATE('BASE OBZ'!#REF!,"PROG")</f>
        <v>#REF!</v>
      </c>
      <c r="B374" s="22" t="e">
        <f>CONCATENATE("P",(LEFT('BASE OBZ'!#REF!,3)),'BASE OBZ'!#REF!)</f>
        <v>#REF!</v>
      </c>
      <c r="C374" t="s">
        <v>1777</v>
      </c>
    </row>
    <row r="375" spans="1:3" x14ac:dyDescent="0.25">
      <c r="A375" s="22" t="e">
        <f>CONCATENATE('BASE OBZ'!#REF!,"PROG")</f>
        <v>#REF!</v>
      </c>
      <c r="B375" s="22" t="e">
        <f>CONCATENATE("P",(LEFT('BASE OBZ'!#REF!,3)),'BASE OBZ'!#REF!)</f>
        <v>#REF!</v>
      </c>
      <c r="C375" t="s">
        <v>1777</v>
      </c>
    </row>
    <row r="376" spans="1:3" x14ac:dyDescent="0.25">
      <c r="A376" s="22" t="e">
        <f>CONCATENATE('BASE OBZ'!#REF!,"PROG")</f>
        <v>#REF!</v>
      </c>
      <c r="B376" s="22" t="e">
        <f>CONCATENATE("P",(LEFT('BASE OBZ'!#REF!,3)),'BASE OBZ'!#REF!)</f>
        <v>#REF!</v>
      </c>
      <c r="C376" t="s">
        <v>1777</v>
      </c>
    </row>
    <row r="377" spans="1:3" x14ac:dyDescent="0.25">
      <c r="A377" s="22" t="e">
        <f>CONCATENATE('BASE OBZ'!#REF!,"PROG")</f>
        <v>#REF!</v>
      </c>
      <c r="B377" s="22" t="e">
        <f>CONCATENATE("P",(LEFT('BASE OBZ'!#REF!,3)),'BASE OBZ'!#REF!)</f>
        <v>#REF!</v>
      </c>
      <c r="C377" t="s">
        <v>1777</v>
      </c>
    </row>
    <row r="378" spans="1:3" x14ac:dyDescent="0.25">
      <c r="A378" s="22" t="e">
        <f>CONCATENATE('BASE OBZ'!#REF!,"PROG")</f>
        <v>#REF!</v>
      </c>
      <c r="B378" s="22" t="e">
        <f>CONCATENATE("P",(LEFT('BASE OBZ'!#REF!,3)),'BASE OBZ'!#REF!)</f>
        <v>#REF!</v>
      </c>
      <c r="C378" t="s">
        <v>1777</v>
      </c>
    </row>
    <row r="379" spans="1:3" x14ac:dyDescent="0.25">
      <c r="A379" s="22" t="e">
        <f>CONCATENATE('BASE OBZ'!#REF!,"PROG")</f>
        <v>#REF!</v>
      </c>
      <c r="B379" s="22" t="e">
        <f>CONCATENATE("P",(LEFT('BASE OBZ'!#REF!,3)),'BASE OBZ'!#REF!)</f>
        <v>#REF!</v>
      </c>
      <c r="C379" t="s">
        <v>1777</v>
      </c>
    </row>
    <row r="380" spans="1:3" x14ac:dyDescent="0.25">
      <c r="A380" s="22" t="e">
        <f>CONCATENATE('BASE OBZ'!#REF!,"PROG")</f>
        <v>#REF!</v>
      </c>
      <c r="B380" s="22" t="e">
        <f>CONCATENATE("P",(LEFT('BASE OBZ'!#REF!,3)),'BASE OBZ'!#REF!)</f>
        <v>#REF!</v>
      </c>
      <c r="C380" t="s">
        <v>1777</v>
      </c>
    </row>
    <row r="381" spans="1:3" x14ac:dyDescent="0.25">
      <c r="A381" s="22" t="e">
        <f>CONCATENATE('BASE OBZ'!#REF!,"PROG")</f>
        <v>#REF!</v>
      </c>
      <c r="B381" s="22" t="e">
        <f>CONCATENATE("P",(LEFT('BASE OBZ'!#REF!,3)),'BASE OBZ'!#REF!)</f>
        <v>#REF!</v>
      </c>
      <c r="C381" t="s">
        <v>1777</v>
      </c>
    </row>
    <row r="382" spans="1:3" x14ac:dyDescent="0.25">
      <c r="A382" s="22" t="e">
        <f>CONCATENATE('BASE OBZ'!#REF!,"PROG")</f>
        <v>#REF!</v>
      </c>
      <c r="B382" s="22" t="e">
        <f>CONCATENATE("P",(LEFT('BASE OBZ'!#REF!,3)),'BASE OBZ'!#REF!)</f>
        <v>#REF!</v>
      </c>
      <c r="C382" t="s">
        <v>1777</v>
      </c>
    </row>
    <row r="383" spans="1:3" x14ac:dyDescent="0.25">
      <c r="A383" s="22" t="e">
        <f>CONCATENATE('BASE OBZ'!#REF!,"PROG")</f>
        <v>#REF!</v>
      </c>
      <c r="B383" s="22" t="e">
        <f>CONCATENATE("P",(LEFT('BASE OBZ'!#REF!,3)),'BASE OBZ'!#REF!)</f>
        <v>#REF!</v>
      </c>
      <c r="C383" t="s">
        <v>1777</v>
      </c>
    </row>
    <row r="384" spans="1:3" x14ac:dyDescent="0.25">
      <c r="A384" s="22" t="e">
        <f>CONCATENATE('BASE OBZ'!#REF!,"PROG")</f>
        <v>#REF!</v>
      </c>
      <c r="B384" s="22" t="e">
        <f>CONCATENATE("P",(LEFT('BASE OBZ'!#REF!,3)),'BASE OBZ'!#REF!)</f>
        <v>#REF!</v>
      </c>
      <c r="C384" t="s">
        <v>1777</v>
      </c>
    </row>
    <row r="385" spans="1:3" x14ac:dyDescent="0.25">
      <c r="A385" s="22" t="e">
        <f>CONCATENATE('BASE OBZ'!#REF!,"PROG")</f>
        <v>#REF!</v>
      </c>
      <c r="B385" s="22" t="e">
        <f>CONCATENATE("P",(LEFT('BASE OBZ'!#REF!,3)),'BASE OBZ'!#REF!)</f>
        <v>#REF!</v>
      </c>
      <c r="C385" t="s">
        <v>1777</v>
      </c>
    </row>
    <row r="386" spans="1:3" x14ac:dyDescent="0.25">
      <c r="A386" s="22" t="e">
        <f>CONCATENATE('BASE OBZ'!#REF!,"PROG")</f>
        <v>#REF!</v>
      </c>
      <c r="B386" s="22" t="e">
        <f>CONCATENATE("P",(LEFT('BASE OBZ'!#REF!,3)),'BASE OBZ'!#REF!)</f>
        <v>#REF!</v>
      </c>
      <c r="C386" t="s">
        <v>1777</v>
      </c>
    </row>
    <row r="387" spans="1:3" x14ac:dyDescent="0.25">
      <c r="A387" s="22" t="e">
        <f>CONCATENATE('BASE OBZ'!#REF!,"PROG")</f>
        <v>#REF!</v>
      </c>
      <c r="B387" s="22" t="e">
        <f>CONCATENATE("P",(LEFT('BASE OBZ'!#REF!,3)),'BASE OBZ'!#REF!)</f>
        <v>#REF!</v>
      </c>
      <c r="C387" t="s">
        <v>1777</v>
      </c>
    </row>
    <row r="388" spans="1:3" x14ac:dyDescent="0.25">
      <c r="A388" s="22" t="e">
        <f>CONCATENATE('BASE OBZ'!#REF!,"PROG")</f>
        <v>#REF!</v>
      </c>
      <c r="B388" s="22" t="e">
        <f>CONCATENATE("P",(LEFT('BASE OBZ'!#REF!,3)),'BASE OBZ'!#REF!)</f>
        <v>#REF!</v>
      </c>
      <c r="C388" t="s">
        <v>1777</v>
      </c>
    </row>
    <row r="389" spans="1:3" x14ac:dyDescent="0.25">
      <c r="A389" s="22" t="e">
        <f>CONCATENATE('BASE OBZ'!#REF!,"PROG")</f>
        <v>#REF!</v>
      </c>
      <c r="B389" s="22" t="e">
        <f>CONCATENATE("P",(LEFT('BASE OBZ'!#REF!,3)),'BASE OBZ'!#REF!)</f>
        <v>#REF!</v>
      </c>
      <c r="C389" t="s">
        <v>1777</v>
      </c>
    </row>
    <row r="390" spans="1:3" x14ac:dyDescent="0.25">
      <c r="A390" s="22" t="e">
        <f>CONCATENATE('BASE OBZ'!#REF!,"PROG")</f>
        <v>#REF!</v>
      </c>
      <c r="B390" s="22" t="e">
        <f>CONCATENATE("P",(LEFT('BASE OBZ'!#REF!,3)),'BASE OBZ'!#REF!)</f>
        <v>#REF!</v>
      </c>
      <c r="C390" t="s">
        <v>1777</v>
      </c>
    </row>
    <row r="391" spans="1:3" x14ac:dyDescent="0.25">
      <c r="A391" s="22" t="e">
        <f>CONCATENATE('BASE OBZ'!#REF!,"PROG")</f>
        <v>#REF!</v>
      </c>
      <c r="B391" s="22" t="e">
        <f>CONCATENATE("P",(LEFT('BASE OBZ'!#REF!,3)),'BASE OBZ'!#REF!)</f>
        <v>#REF!</v>
      </c>
      <c r="C391" t="s">
        <v>1777</v>
      </c>
    </row>
    <row r="392" spans="1:3" x14ac:dyDescent="0.25">
      <c r="A392" s="22" t="e">
        <f>CONCATENATE('BASE OBZ'!#REF!,"PROG")</f>
        <v>#REF!</v>
      </c>
      <c r="B392" s="22" t="e">
        <f>CONCATENATE("P",(LEFT('BASE OBZ'!#REF!,3)),'BASE OBZ'!#REF!)</f>
        <v>#REF!</v>
      </c>
      <c r="C392" t="s">
        <v>1777</v>
      </c>
    </row>
    <row r="393" spans="1:3" x14ac:dyDescent="0.25">
      <c r="A393" s="22" t="e">
        <f>CONCATENATE('BASE OBZ'!#REF!,"PROG")</f>
        <v>#REF!</v>
      </c>
      <c r="B393" s="22" t="e">
        <f>CONCATENATE("P",(LEFT('BASE OBZ'!#REF!,3)),'BASE OBZ'!#REF!)</f>
        <v>#REF!</v>
      </c>
      <c r="C393" t="s">
        <v>1777</v>
      </c>
    </row>
    <row r="394" spans="1:3" x14ac:dyDescent="0.25">
      <c r="A394" s="22" t="e">
        <f>CONCATENATE('BASE OBZ'!#REF!,"PROG")</f>
        <v>#REF!</v>
      </c>
      <c r="B394" s="22" t="e">
        <f>CONCATENATE("P",(LEFT('BASE OBZ'!#REF!,3)),'BASE OBZ'!#REF!)</f>
        <v>#REF!</v>
      </c>
      <c r="C394" t="s">
        <v>1777</v>
      </c>
    </row>
    <row r="395" spans="1:3" x14ac:dyDescent="0.25">
      <c r="A395" s="22" t="e">
        <f>CONCATENATE('BASE OBZ'!#REF!,"PROG")</f>
        <v>#REF!</v>
      </c>
      <c r="B395" s="22" t="e">
        <f>CONCATENATE("P",(LEFT('BASE OBZ'!#REF!,3)),'BASE OBZ'!#REF!)</f>
        <v>#REF!</v>
      </c>
      <c r="C395" t="s">
        <v>1777</v>
      </c>
    </row>
    <row r="396" spans="1:3" x14ac:dyDescent="0.25">
      <c r="A396" s="22" t="e">
        <f>CONCATENATE('BASE OBZ'!#REF!,"PROG")</f>
        <v>#REF!</v>
      </c>
      <c r="B396" s="22" t="e">
        <f>CONCATENATE("P",(LEFT('BASE OBZ'!#REF!,3)),'BASE OBZ'!#REF!)</f>
        <v>#REF!</v>
      </c>
      <c r="C396" t="s">
        <v>1777</v>
      </c>
    </row>
    <row r="397" spans="1:3" x14ac:dyDescent="0.25">
      <c r="A397" s="22" t="e">
        <f>CONCATENATE('BASE OBZ'!#REF!,"PROG")</f>
        <v>#REF!</v>
      </c>
      <c r="B397" s="22" t="e">
        <f>CONCATENATE("P",(LEFT('BASE OBZ'!#REF!,3)),'BASE OBZ'!#REF!)</f>
        <v>#REF!</v>
      </c>
      <c r="C397" t="s">
        <v>1777</v>
      </c>
    </row>
    <row r="398" spans="1:3" x14ac:dyDescent="0.25">
      <c r="A398" s="22" t="e">
        <f>CONCATENATE('BASE OBZ'!#REF!,"PROG")</f>
        <v>#REF!</v>
      </c>
      <c r="B398" s="22" t="e">
        <f>CONCATENATE("P",(LEFT('BASE OBZ'!#REF!,3)),'BASE OBZ'!#REF!)</f>
        <v>#REF!</v>
      </c>
      <c r="C398" t="s">
        <v>1777</v>
      </c>
    </row>
    <row r="399" spans="1:3" x14ac:dyDescent="0.25">
      <c r="A399" s="22" t="e">
        <f>CONCATENATE('BASE OBZ'!#REF!,"PROG")</f>
        <v>#REF!</v>
      </c>
      <c r="B399" s="22" t="e">
        <f>CONCATENATE("P",(LEFT('BASE OBZ'!#REF!,3)),'BASE OBZ'!#REF!)</f>
        <v>#REF!</v>
      </c>
      <c r="C399" t="s">
        <v>1777</v>
      </c>
    </row>
    <row r="400" spans="1:3" x14ac:dyDescent="0.25">
      <c r="A400" s="22" t="e">
        <f>CONCATENATE('BASE OBZ'!#REF!,"PROG")</f>
        <v>#REF!</v>
      </c>
      <c r="B400" s="22" t="e">
        <f>CONCATENATE("P",(LEFT('BASE OBZ'!#REF!,3)),'BASE OBZ'!#REF!)</f>
        <v>#REF!</v>
      </c>
      <c r="C400" t="s">
        <v>1777</v>
      </c>
    </row>
    <row r="401" spans="1:3" x14ac:dyDescent="0.25">
      <c r="A401" s="22" t="e">
        <f>CONCATENATE('BASE OBZ'!#REF!,"PROG")</f>
        <v>#REF!</v>
      </c>
      <c r="B401" s="22" t="e">
        <f>CONCATENATE("P",(LEFT('BASE OBZ'!#REF!,3)),'BASE OBZ'!#REF!)</f>
        <v>#REF!</v>
      </c>
      <c r="C401" t="s">
        <v>1777</v>
      </c>
    </row>
    <row r="402" spans="1:3" x14ac:dyDescent="0.25">
      <c r="A402" s="22" t="e">
        <f>CONCATENATE('BASE OBZ'!#REF!,"PROG")</f>
        <v>#REF!</v>
      </c>
      <c r="B402" s="22" t="e">
        <f>CONCATENATE("P",(LEFT('BASE OBZ'!#REF!,3)),'BASE OBZ'!#REF!)</f>
        <v>#REF!</v>
      </c>
      <c r="C402" t="s">
        <v>1777</v>
      </c>
    </row>
    <row r="403" spans="1:3" x14ac:dyDescent="0.25">
      <c r="A403" s="22" t="e">
        <f>CONCATENATE('BASE OBZ'!#REF!,"PROG")</f>
        <v>#REF!</v>
      </c>
      <c r="B403" s="22" t="e">
        <f>CONCATENATE("P",(LEFT('BASE OBZ'!#REF!,3)),'BASE OBZ'!#REF!)</f>
        <v>#REF!</v>
      </c>
      <c r="C403" t="s">
        <v>1777</v>
      </c>
    </row>
    <row r="404" spans="1:3" x14ac:dyDescent="0.25">
      <c r="A404" s="22" t="e">
        <f>CONCATENATE('BASE OBZ'!#REF!,"PROG")</f>
        <v>#REF!</v>
      </c>
      <c r="B404" s="22" t="e">
        <f>CONCATENATE("P",(LEFT('BASE OBZ'!#REF!,3)),'BASE OBZ'!#REF!)</f>
        <v>#REF!</v>
      </c>
      <c r="C404" t="s">
        <v>1777</v>
      </c>
    </row>
    <row r="405" spans="1:3" x14ac:dyDescent="0.25">
      <c r="A405" s="22" t="e">
        <f>CONCATENATE('BASE OBZ'!#REF!,"PROG")</f>
        <v>#REF!</v>
      </c>
      <c r="B405" s="22" t="e">
        <f>CONCATENATE("P",(LEFT('BASE OBZ'!#REF!,3)),'BASE OBZ'!#REF!)</f>
        <v>#REF!</v>
      </c>
      <c r="C405" t="s">
        <v>1777</v>
      </c>
    </row>
    <row r="406" spans="1:3" x14ac:dyDescent="0.25">
      <c r="A406" s="22" t="e">
        <f>CONCATENATE('BASE OBZ'!#REF!,"PROG")</f>
        <v>#REF!</v>
      </c>
      <c r="B406" s="22" t="e">
        <f>CONCATENATE("P",(LEFT('BASE OBZ'!#REF!,3)),'BASE OBZ'!#REF!)</f>
        <v>#REF!</v>
      </c>
      <c r="C406" t="s">
        <v>1777</v>
      </c>
    </row>
    <row r="407" spans="1:3" x14ac:dyDescent="0.25">
      <c r="A407" s="22" t="e">
        <f>CONCATENATE('BASE OBZ'!#REF!,"PROG")</f>
        <v>#REF!</v>
      </c>
      <c r="B407" s="22" t="e">
        <f>CONCATENATE("P",(LEFT('BASE OBZ'!#REF!,3)),'BASE OBZ'!#REF!)</f>
        <v>#REF!</v>
      </c>
      <c r="C407" t="s">
        <v>1777</v>
      </c>
    </row>
    <row r="408" spans="1:3" x14ac:dyDescent="0.25">
      <c r="A408" s="22" t="e">
        <f>CONCATENATE('BASE OBZ'!#REF!,"PROG")</f>
        <v>#REF!</v>
      </c>
      <c r="B408" s="22" t="e">
        <f>CONCATENATE("P",(LEFT('BASE OBZ'!#REF!,3)),'BASE OBZ'!#REF!)</f>
        <v>#REF!</v>
      </c>
      <c r="C408" t="s">
        <v>1777</v>
      </c>
    </row>
    <row r="409" spans="1:3" x14ac:dyDescent="0.25">
      <c r="A409" s="22" t="e">
        <f>CONCATENATE('BASE OBZ'!#REF!,"PROG")</f>
        <v>#REF!</v>
      </c>
      <c r="B409" s="22" t="e">
        <f>CONCATENATE("P",(LEFT('BASE OBZ'!#REF!,3)),'BASE OBZ'!#REF!)</f>
        <v>#REF!</v>
      </c>
      <c r="C409" t="s">
        <v>1777</v>
      </c>
    </row>
    <row r="410" spans="1:3" x14ac:dyDescent="0.25">
      <c r="A410" s="22" t="e">
        <f>CONCATENATE('BASE OBZ'!#REF!,"PROG")</f>
        <v>#REF!</v>
      </c>
      <c r="B410" s="22" t="e">
        <f>CONCATENATE("P",(LEFT('BASE OBZ'!#REF!,3)),'BASE OBZ'!#REF!)</f>
        <v>#REF!</v>
      </c>
      <c r="C410" t="s">
        <v>1777</v>
      </c>
    </row>
    <row r="411" spans="1:3" x14ac:dyDescent="0.25">
      <c r="A411" s="22" t="e">
        <f>CONCATENATE('BASE OBZ'!#REF!,"PROG")</f>
        <v>#REF!</v>
      </c>
      <c r="B411" s="22" t="e">
        <f>CONCATENATE("P",(LEFT('BASE OBZ'!#REF!,3)),'BASE OBZ'!#REF!)</f>
        <v>#REF!</v>
      </c>
      <c r="C411" t="s">
        <v>1777</v>
      </c>
    </row>
    <row r="412" spans="1:3" x14ac:dyDescent="0.25">
      <c r="A412" s="22" t="e">
        <f>CONCATENATE('BASE OBZ'!#REF!,"PROG")</f>
        <v>#REF!</v>
      </c>
      <c r="B412" s="22" t="e">
        <f>CONCATENATE("P",(LEFT('BASE OBZ'!#REF!,3)),'BASE OBZ'!#REF!)</f>
        <v>#REF!</v>
      </c>
      <c r="C412" t="s">
        <v>1777</v>
      </c>
    </row>
    <row r="413" spans="1:3" x14ac:dyDescent="0.25">
      <c r="A413" s="22" t="e">
        <f>CONCATENATE('BASE OBZ'!#REF!,"PROG")</f>
        <v>#REF!</v>
      </c>
      <c r="B413" s="22" t="e">
        <f>CONCATENATE("P",(LEFT('BASE OBZ'!#REF!,3)),'BASE OBZ'!#REF!)</f>
        <v>#REF!</v>
      </c>
      <c r="C413" t="s">
        <v>1777</v>
      </c>
    </row>
    <row r="414" spans="1:3" x14ac:dyDescent="0.25">
      <c r="A414" s="22" t="e">
        <f>CONCATENATE('BASE OBZ'!#REF!,"PROG")</f>
        <v>#REF!</v>
      </c>
      <c r="B414" s="22" t="e">
        <f>CONCATENATE("P",(LEFT('BASE OBZ'!#REF!,3)),'BASE OBZ'!#REF!)</f>
        <v>#REF!</v>
      </c>
      <c r="C414" t="s">
        <v>1777</v>
      </c>
    </row>
    <row r="415" spans="1:3" x14ac:dyDescent="0.25">
      <c r="A415" s="22" t="e">
        <f>CONCATENATE('BASE OBZ'!#REF!,"PROG")</f>
        <v>#REF!</v>
      </c>
      <c r="B415" s="22" t="e">
        <f>CONCATENATE("P",(LEFT('BASE OBZ'!#REF!,3)),'BASE OBZ'!#REF!)</f>
        <v>#REF!</v>
      </c>
      <c r="C415" t="s">
        <v>1777</v>
      </c>
    </row>
    <row r="416" spans="1:3" x14ac:dyDescent="0.25">
      <c r="A416" s="22" t="e">
        <f>CONCATENATE('BASE OBZ'!#REF!,"PROG")</f>
        <v>#REF!</v>
      </c>
      <c r="B416" s="22" t="e">
        <f>CONCATENATE("P",(LEFT('BASE OBZ'!#REF!,3)),'BASE OBZ'!#REF!)</f>
        <v>#REF!</v>
      </c>
      <c r="C416" t="s">
        <v>1777</v>
      </c>
    </row>
    <row r="417" spans="1:3" x14ac:dyDescent="0.25">
      <c r="A417" s="22" t="e">
        <f>CONCATENATE('BASE OBZ'!#REF!,"PROG")</f>
        <v>#REF!</v>
      </c>
      <c r="B417" s="22" t="e">
        <f>CONCATENATE("P",(LEFT('BASE OBZ'!#REF!,3)),'BASE OBZ'!#REF!)</f>
        <v>#REF!</v>
      </c>
      <c r="C417" t="s">
        <v>1777</v>
      </c>
    </row>
    <row r="418" spans="1:3" x14ac:dyDescent="0.25">
      <c r="A418" s="22" t="e">
        <f>CONCATENATE('BASE OBZ'!#REF!,"PROG")</f>
        <v>#REF!</v>
      </c>
      <c r="B418" s="22" t="e">
        <f>CONCATENATE("P",(LEFT('BASE OBZ'!#REF!,3)),'BASE OBZ'!#REF!)</f>
        <v>#REF!</v>
      </c>
      <c r="C418" t="s">
        <v>1777</v>
      </c>
    </row>
    <row r="419" spans="1:3" x14ac:dyDescent="0.25">
      <c r="A419" s="22" t="e">
        <f>CONCATENATE('BASE OBZ'!#REF!,"PROG")</f>
        <v>#REF!</v>
      </c>
      <c r="B419" s="22" t="e">
        <f>CONCATENATE("P",(LEFT('BASE OBZ'!#REF!,3)),'BASE OBZ'!#REF!)</f>
        <v>#REF!</v>
      </c>
      <c r="C419" t="s">
        <v>1777</v>
      </c>
    </row>
    <row r="420" spans="1:3" x14ac:dyDescent="0.25">
      <c r="A420" s="22" t="e">
        <f>CONCATENATE('BASE OBZ'!#REF!,"PROG")</f>
        <v>#REF!</v>
      </c>
      <c r="B420" s="22" t="e">
        <f>CONCATENATE("P",(LEFT('BASE OBZ'!#REF!,3)),'BASE OBZ'!#REF!)</f>
        <v>#REF!</v>
      </c>
      <c r="C420" t="s">
        <v>1777</v>
      </c>
    </row>
    <row r="421" spans="1:3" x14ac:dyDescent="0.25">
      <c r="A421" s="22" t="e">
        <f>CONCATENATE('BASE OBZ'!#REF!,"PROG")</f>
        <v>#REF!</v>
      </c>
      <c r="B421" s="22" t="e">
        <f>CONCATENATE("P",(LEFT('BASE OBZ'!#REF!,3)),'BASE OBZ'!#REF!)</f>
        <v>#REF!</v>
      </c>
      <c r="C421" t="s">
        <v>1777</v>
      </c>
    </row>
    <row r="422" spans="1:3" x14ac:dyDescent="0.25">
      <c r="A422" s="22" t="e">
        <f>CONCATENATE('BASE OBZ'!#REF!,"PROG")</f>
        <v>#REF!</v>
      </c>
      <c r="B422" s="22" t="e">
        <f>CONCATENATE("P",(LEFT('BASE OBZ'!#REF!,3)),'BASE OBZ'!#REF!)</f>
        <v>#REF!</v>
      </c>
      <c r="C422" t="s">
        <v>1777</v>
      </c>
    </row>
    <row r="423" spans="1:3" x14ac:dyDescent="0.25">
      <c r="A423" s="22" t="e">
        <f>CONCATENATE('BASE OBZ'!#REF!,"PROG")</f>
        <v>#REF!</v>
      </c>
      <c r="B423" s="22" t="e">
        <f>CONCATENATE("P",(LEFT('BASE OBZ'!#REF!,3)),'BASE OBZ'!#REF!)</f>
        <v>#REF!</v>
      </c>
      <c r="C423" t="s">
        <v>1777</v>
      </c>
    </row>
    <row r="424" spans="1:3" x14ac:dyDescent="0.25">
      <c r="A424" s="22" t="e">
        <f>CONCATENATE('BASE OBZ'!#REF!,"PROG")</f>
        <v>#REF!</v>
      </c>
      <c r="B424" s="22" t="e">
        <f>CONCATENATE("P",(LEFT('BASE OBZ'!#REF!,3)),'BASE OBZ'!#REF!)</f>
        <v>#REF!</v>
      </c>
      <c r="C424" t="s">
        <v>1777</v>
      </c>
    </row>
    <row r="425" spans="1:3" x14ac:dyDescent="0.25">
      <c r="A425" s="22" t="e">
        <f>CONCATENATE('BASE OBZ'!#REF!,"PROG")</f>
        <v>#REF!</v>
      </c>
      <c r="B425" s="22" t="e">
        <f>CONCATENATE("P",(LEFT('BASE OBZ'!#REF!,3)),'BASE OBZ'!#REF!)</f>
        <v>#REF!</v>
      </c>
      <c r="C425" t="s">
        <v>1777</v>
      </c>
    </row>
    <row r="426" spans="1:3" x14ac:dyDescent="0.25">
      <c r="A426" s="22" t="e">
        <f>CONCATENATE('BASE OBZ'!#REF!,"PROG")</f>
        <v>#REF!</v>
      </c>
      <c r="B426" s="22" t="e">
        <f>CONCATENATE("P",(LEFT('BASE OBZ'!#REF!,3)),'BASE OBZ'!#REF!)</f>
        <v>#REF!</v>
      </c>
      <c r="C426" t="s">
        <v>1777</v>
      </c>
    </row>
    <row r="427" spans="1:3" x14ac:dyDescent="0.25">
      <c r="A427" s="22" t="e">
        <f>CONCATENATE('BASE OBZ'!#REF!,"PROG")</f>
        <v>#REF!</v>
      </c>
      <c r="B427" s="22" t="e">
        <f>CONCATENATE("P",(LEFT('BASE OBZ'!#REF!,3)),'BASE OBZ'!#REF!)</f>
        <v>#REF!</v>
      </c>
      <c r="C427" t="s">
        <v>1777</v>
      </c>
    </row>
    <row r="428" spans="1:3" x14ac:dyDescent="0.25">
      <c r="A428" s="22" t="e">
        <f>CONCATENATE('BASE OBZ'!#REF!,"PROG")</f>
        <v>#REF!</v>
      </c>
      <c r="B428" s="22" t="e">
        <f>CONCATENATE("P",(LEFT('BASE OBZ'!#REF!,3)),'BASE OBZ'!#REF!)</f>
        <v>#REF!</v>
      </c>
      <c r="C428" t="s">
        <v>1777</v>
      </c>
    </row>
    <row r="429" spans="1:3" x14ac:dyDescent="0.25">
      <c r="A429" s="22" t="e">
        <f>CONCATENATE('BASE OBZ'!#REF!,"PROG")</f>
        <v>#REF!</v>
      </c>
      <c r="B429" s="22" t="e">
        <f>CONCATENATE("P",(LEFT('BASE OBZ'!#REF!,3)),'BASE OBZ'!#REF!)</f>
        <v>#REF!</v>
      </c>
      <c r="C429" t="s">
        <v>1777</v>
      </c>
    </row>
    <row r="430" spans="1:3" x14ac:dyDescent="0.25">
      <c r="A430" s="22" t="e">
        <f>CONCATENATE('BASE OBZ'!#REF!,"PROG")</f>
        <v>#REF!</v>
      </c>
      <c r="B430" s="22" t="e">
        <f>CONCATENATE("P",(LEFT('BASE OBZ'!#REF!,3)),'BASE OBZ'!#REF!)</f>
        <v>#REF!</v>
      </c>
      <c r="C430" t="s">
        <v>1777</v>
      </c>
    </row>
    <row r="431" spans="1:3" x14ac:dyDescent="0.25">
      <c r="A431" s="22" t="e">
        <f>CONCATENATE('BASE OBZ'!#REF!,"PROG")</f>
        <v>#REF!</v>
      </c>
      <c r="B431" s="22" t="e">
        <f>CONCATENATE("P",(LEFT('BASE OBZ'!#REF!,3)),'BASE OBZ'!#REF!)</f>
        <v>#REF!</v>
      </c>
      <c r="C431" t="s">
        <v>1777</v>
      </c>
    </row>
    <row r="432" spans="1:3" x14ac:dyDescent="0.25">
      <c r="A432" s="22" t="e">
        <f>CONCATENATE('BASE OBZ'!#REF!,"PROG")</f>
        <v>#REF!</v>
      </c>
      <c r="B432" s="22" t="e">
        <f>CONCATENATE("P",(LEFT('BASE OBZ'!#REF!,3)),'BASE OBZ'!#REF!)</f>
        <v>#REF!</v>
      </c>
      <c r="C432" t="s">
        <v>1777</v>
      </c>
    </row>
    <row r="433" spans="1:3" x14ac:dyDescent="0.25">
      <c r="A433" s="22" t="e">
        <f>CONCATENATE('BASE OBZ'!#REF!,"PROG")</f>
        <v>#REF!</v>
      </c>
      <c r="B433" s="22" t="e">
        <f>CONCATENATE("P",(LEFT('BASE OBZ'!#REF!,3)),'BASE OBZ'!#REF!)</f>
        <v>#REF!</v>
      </c>
      <c r="C433" t="s">
        <v>1777</v>
      </c>
    </row>
    <row r="434" spans="1:3" x14ac:dyDescent="0.25">
      <c r="A434" s="22" t="e">
        <f>CONCATENATE('BASE OBZ'!#REF!,"PROG")</f>
        <v>#REF!</v>
      </c>
      <c r="B434" s="22" t="e">
        <f>CONCATENATE("P",(LEFT('BASE OBZ'!#REF!,3)),'BASE OBZ'!#REF!)</f>
        <v>#REF!</v>
      </c>
      <c r="C434" t="s">
        <v>1777</v>
      </c>
    </row>
    <row r="435" spans="1:3" x14ac:dyDescent="0.25">
      <c r="A435" s="22" t="e">
        <f>CONCATENATE('BASE OBZ'!#REF!,"PROG")</f>
        <v>#REF!</v>
      </c>
      <c r="B435" s="22" t="e">
        <f>CONCATENATE("P",(LEFT('BASE OBZ'!#REF!,3)),'BASE OBZ'!#REF!)</f>
        <v>#REF!</v>
      </c>
      <c r="C435" t="s">
        <v>1777</v>
      </c>
    </row>
    <row r="436" spans="1:3" x14ac:dyDescent="0.25">
      <c r="A436" s="22" t="e">
        <f>CONCATENATE('BASE OBZ'!#REF!,"PROG")</f>
        <v>#REF!</v>
      </c>
      <c r="B436" s="22" t="e">
        <f>CONCATENATE("P",(LEFT('BASE OBZ'!#REF!,3)),'BASE OBZ'!#REF!)</f>
        <v>#REF!</v>
      </c>
      <c r="C436" t="s">
        <v>1777</v>
      </c>
    </row>
    <row r="437" spans="1:3" x14ac:dyDescent="0.25">
      <c r="A437" s="22" t="e">
        <f>CONCATENATE('BASE OBZ'!#REF!,"PROG")</f>
        <v>#REF!</v>
      </c>
      <c r="B437" s="22" t="e">
        <f>CONCATENATE("P",(LEFT('BASE OBZ'!#REF!,3)),'BASE OBZ'!#REF!)</f>
        <v>#REF!</v>
      </c>
      <c r="C437" t="s">
        <v>1777</v>
      </c>
    </row>
    <row r="438" spans="1:3" x14ac:dyDescent="0.25">
      <c r="A438" s="22" t="e">
        <f>CONCATENATE('BASE OBZ'!#REF!,"PROG")</f>
        <v>#REF!</v>
      </c>
      <c r="B438" s="22" t="e">
        <f>CONCATENATE("P",(LEFT('BASE OBZ'!#REF!,3)),'BASE OBZ'!#REF!)</f>
        <v>#REF!</v>
      </c>
      <c r="C438" t="s">
        <v>1777</v>
      </c>
    </row>
    <row r="439" spans="1:3" x14ac:dyDescent="0.25">
      <c r="A439" s="22" t="e">
        <f>CONCATENATE('BASE OBZ'!#REF!,"PROG")</f>
        <v>#REF!</v>
      </c>
      <c r="B439" s="22" t="e">
        <f>CONCATENATE("P",(LEFT('BASE OBZ'!#REF!,3)),'BASE OBZ'!#REF!)</f>
        <v>#REF!</v>
      </c>
      <c r="C439" t="s">
        <v>1777</v>
      </c>
    </row>
    <row r="440" spans="1:3" x14ac:dyDescent="0.25">
      <c r="A440" s="22" t="e">
        <f>CONCATENATE('BASE OBZ'!#REF!,"PROG")</f>
        <v>#REF!</v>
      </c>
      <c r="B440" s="22" t="e">
        <f>CONCATENATE("P",(LEFT('BASE OBZ'!#REF!,3)),'BASE OBZ'!#REF!)</f>
        <v>#REF!</v>
      </c>
      <c r="C440" t="s">
        <v>1777</v>
      </c>
    </row>
    <row r="441" spans="1:3" x14ac:dyDescent="0.25">
      <c r="A441" s="22" t="e">
        <f>CONCATENATE('BASE OBZ'!#REF!,"PROG")</f>
        <v>#REF!</v>
      </c>
      <c r="B441" s="22" t="e">
        <f>CONCATENATE("P",(LEFT('BASE OBZ'!#REF!,3)),'BASE OBZ'!#REF!)</f>
        <v>#REF!</v>
      </c>
      <c r="C441" t="s">
        <v>1777</v>
      </c>
    </row>
    <row r="442" spans="1:3" x14ac:dyDescent="0.25">
      <c r="A442" s="22" t="e">
        <f>CONCATENATE('BASE OBZ'!#REF!,"PROG")</f>
        <v>#REF!</v>
      </c>
      <c r="B442" s="22" t="e">
        <f>CONCATENATE("P",(LEFT('BASE OBZ'!#REF!,3)),'BASE OBZ'!#REF!)</f>
        <v>#REF!</v>
      </c>
      <c r="C442" t="s">
        <v>1777</v>
      </c>
    </row>
    <row r="443" spans="1:3" x14ac:dyDescent="0.25">
      <c r="A443" s="22" t="e">
        <f>CONCATENATE('BASE OBZ'!#REF!,"PROG")</f>
        <v>#REF!</v>
      </c>
      <c r="B443" s="22" t="e">
        <f>CONCATENATE("P",(LEFT('BASE OBZ'!#REF!,3)),'BASE OBZ'!#REF!)</f>
        <v>#REF!</v>
      </c>
      <c r="C443" t="s">
        <v>1777</v>
      </c>
    </row>
    <row r="444" spans="1:3" x14ac:dyDescent="0.25">
      <c r="A444" s="22" t="e">
        <f>CONCATENATE('BASE OBZ'!#REF!,"PROG")</f>
        <v>#REF!</v>
      </c>
      <c r="B444" s="22" t="e">
        <f>CONCATENATE("P",(LEFT('BASE OBZ'!#REF!,3)),'BASE OBZ'!#REF!)</f>
        <v>#REF!</v>
      </c>
      <c r="C444" t="s">
        <v>1777</v>
      </c>
    </row>
    <row r="445" spans="1:3" x14ac:dyDescent="0.25">
      <c r="A445" s="22" t="e">
        <f>CONCATENATE('BASE OBZ'!#REF!,"PROG")</f>
        <v>#REF!</v>
      </c>
      <c r="B445" s="22" t="e">
        <f>CONCATENATE("P",(LEFT('BASE OBZ'!#REF!,3)),'BASE OBZ'!#REF!)</f>
        <v>#REF!</v>
      </c>
      <c r="C445" t="s">
        <v>1777</v>
      </c>
    </row>
    <row r="446" spans="1:3" x14ac:dyDescent="0.25">
      <c r="A446" s="22" t="e">
        <f>CONCATENATE('BASE OBZ'!#REF!,"PROG")</f>
        <v>#REF!</v>
      </c>
      <c r="B446" s="22" t="e">
        <f>CONCATENATE("P",(LEFT('BASE OBZ'!#REF!,3)),'BASE OBZ'!#REF!)</f>
        <v>#REF!</v>
      </c>
      <c r="C446" t="s">
        <v>1777</v>
      </c>
    </row>
    <row r="447" spans="1:3" x14ac:dyDescent="0.25">
      <c r="A447" s="22" t="e">
        <f>CONCATENATE('BASE OBZ'!#REF!,"PROG")</f>
        <v>#REF!</v>
      </c>
      <c r="B447" s="22" t="e">
        <f>CONCATENATE("P",(LEFT('BASE OBZ'!#REF!,3)),'BASE OBZ'!#REF!)</f>
        <v>#REF!</v>
      </c>
      <c r="C447" t="s">
        <v>1777</v>
      </c>
    </row>
    <row r="448" spans="1:3" x14ac:dyDescent="0.25">
      <c r="A448" s="22" t="e">
        <f>CONCATENATE('BASE OBZ'!#REF!,"PROG")</f>
        <v>#REF!</v>
      </c>
      <c r="B448" s="22" t="e">
        <f>CONCATENATE("P",(LEFT('BASE OBZ'!#REF!,3)),'BASE OBZ'!#REF!)</f>
        <v>#REF!</v>
      </c>
      <c r="C448" t="s">
        <v>1777</v>
      </c>
    </row>
    <row r="449" spans="1:3" x14ac:dyDescent="0.25">
      <c r="A449" s="22" t="e">
        <f>CONCATENATE('BASE OBZ'!#REF!,"PROG")</f>
        <v>#REF!</v>
      </c>
      <c r="B449" s="22" t="e">
        <f>CONCATENATE("P",(LEFT('BASE OBZ'!#REF!,3)),'BASE OBZ'!#REF!)</f>
        <v>#REF!</v>
      </c>
      <c r="C449" t="s">
        <v>1777</v>
      </c>
    </row>
    <row r="450" spans="1:3" x14ac:dyDescent="0.25">
      <c r="A450" s="22" t="e">
        <f>CONCATENATE('BASE OBZ'!#REF!,"PROG")</f>
        <v>#REF!</v>
      </c>
      <c r="B450" s="22" t="e">
        <f>CONCATENATE("P",(LEFT('BASE OBZ'!#REF!,3)),'BASE OBZ'!#REF!)</f>
        <v>#REF!</v>
      </c>
      <c r="C450" t="s">
        <v>1777</v>
      </c>
    </row>
    <row r="451" spans="1:3" x14ac:dyDescent="0.25">
      <c r="A451" s="22" t="e">
        <f>CONCATENATE('BASE OBZ'!#REF!,"PROG")</f>
        <v>#REF!</v>
      </c>
      <c r="B451" s="22" t="e">
        <f>CONCATENATE("P",(LEFT('BASE OBZ'!#REF!,3)),'BASE OBZ'!#REF!)</f>
        <v>#REF!</v>
      </c>
      <c r="C451" t="s">
        <v>1777</v>
      </c>
    </row>
    <row r="452" spans="1:3" x14ac:dyDescent="0.25">
      <c r="A452" s="22" t="e">
        <f>CONCATENATE('BASE OBZ'!#REF!,"PROG")</f>
        <v>#REF!</v>
      </c>
      <c r="B452" s="22" t="e">
        <f>CONCATENATE("P",(LEFT('BASE OBZ'!#REF!,3)),'BASE OBZ'!#REF!)</f>
        <v>#REF!</v>
      </c>
      <c r="C452" t="s">
        <v>1777</v>
      </c>
    </row>
    <row r="453" spans="1:3" x14ac:dyDescent="0.25">
      <c r="A453" s="22" t="e">
        <f>CONCATENATE('BASE OBZ'!#REF!,"PROG")</f>
        <v>#REF!</v>
      </c>
      <c r="B453" s="22" t="e">
        <f>CONCATENATE("P",(LEFT('BASE OBZ'!#REF!,3)),'BASE OBZ'!#REF!)</f>
        <v>#REF!</v>
      </c>
      <c r="C453" t="s">
        <v>1777</v>
      </c>
    </row>
    <row r="454" spans="1:3" x14ac:dyDescent="0.25">
      <c r="A454" s="22" t="e">
        <f>CONCATENATE('BASE OBZ'!#REF!,"PROG")</f>
        <v>#REF!</v>
      </c>
      <c r="B454" s="22" t="e">
        <f>CONCATENATE("P",(LEFT('BASE OBZ'!#REF!,3)),'BASE OBZ'!#REF!)</f>
        <v>#REF!</v>
      </c>
      <c r="C454" t="s">
        <v>1777</v>
      </c>
    </row>
    <row r="455" spans="1:3" x14ac:dyDescent="0.25">
      <c r="A455" s="22" t="e">
        <f>CONCATENATE('BASE OBZ'!#REF!,"PROG")</f>
        <v>#REF!</v>
      </c>
      <c r="B455" s="22" t="e">
        <f>CONCATENATE("P",(LEFT('BASE OBZ'!#REF!,3)),'BASE OBZ'!#REF!)</f>
        <v>#REF!</v>
      </c>
      <c r="C455" t="s">
        <v>1777</v>
      </c>
    </row>
    <row r="456" spans="1:3" x14ac:dyDescent="0.25">
      <c r="A456" s="22" t="e">
        <f>CONCATENATE('BASE OBZ'!#REF!,"PROG")</f>
        <v>#REF!</v>
      </c>
      <c r="B456" s="22" t="e">
        <f>CONCATENATE("P",(LEFT('BASE OBZ'!#REF!,3)),'BASE OBZ'!#REF!)</f>
        <v>#REF!</v>
      </c>
      <c r="C456" t="s">
        <v>1777</v>
      </c>
    </row>
    <row r="457" spans="1:3" x14ac:dyDescent="0.25">
      <c r="A457" s="22" t="e">
        <f>CONCATENATE('BASE OBZ'!#REF!,"PROG")</f>
        <v>#REF!</v>
      </c>
      <c r="B457" s="22" t="e">
        <f>CONCATENATE("P",(LEFT('BASE OBZ'!#REF!,3)),'BASE OBZ'!#REF!)</f>
        <v>#REF!</v>
      </c>
      <c r="C457" t="s">
        <v>1777</v>
      </c>
    </row>
    <row r="458" spans="1:3" x14ac:dyDescent="0.25">
      <c r="A458" s="22" t="e">
        <f>CONCATENATE('BASE OBZ'!#REF!,"PROG")</f>
        <v>#REF!</v>
      </c>
      <c r="B458" s="22" t="e">
        <f>CONCATENATE("P",(LEFT('BASE OBZ'!#REF!,3)),'BASE OBZ'!#REF!)</f>
        <v>#REF!</v>
      </c>
      <c r="C458" t="s">
        <v>1777</v>
      </c>
    </row>
    <row r="459" spans="1:3" x14ac:dyDescent="0.25">
      <c r="A459" s="22" t="e">
        <f>CONCATENATE('BASE OBZ'!#REF!,"PROG")</f>
        <v>#REF!</v>
      </c>
      <c r="B459" s="22" t="e">
        <f>CONCATENATE("P",(LEFT('BASE OBZ'!#REF!,3)),'BASE OBZ'!#REF!)</f>
        <v>#REF!</v>
      </c>
      <c r="C459" t="s">
        <v>1777</v>
      </c>
    </row>
    <row r="460" spans="1:3" x14ac:dyDescent="0.25">
      <c r="A460" s="22" t="e">
        <f>CONCATENATE('BASE OBZ'!#REF!,"PROG")</f>
        <v>#REF!</v>
      </c>
      <c r="B460" s="22" t="e">
        <f>CONCATENATE("P",(LEFT('BASE OBZ'!#REF!,3)),'BASE OBZ'!#REF!)</f>
        <v>#REF!</v>
      </c>
      <c r="C460" t="s">
        <v>1777</v>
      </c>
    </row>
    <row r="461" spans="1:3" x14ac:dyDescent="0.25">
      <c r="A461" s="22" t="e">
        <f>CONCATENATE('BASE OBZ'!#REF!,"PROG")</f>
        <v>#REF!</v>
      </c>
      <c r="B461" s="22" t="e">
        <f>CONCATENATE("P",(LEFT('BASE OBZ'!#REF!,3)),'BASE OBZ'!#REF!)</f>
        <v>#REF!</v>
      </c>
      <c r="C461" t="s">
        <v>1777</v>
      </c>
    </row>
    <row r="462" spans="1:3" x14ac:dyDescent="0.25">
      <c r="A462" s="22" t="e">
        <f>CONCATENATE('BASE OBZ'!#REF!,"PROG")</f>
        <v>#REF!</v>
      </c>
      <c r="B462" s="22" t="e">
        <f>CONCATENATE("P",(LEFT('BASE OBZ'!#REF!,3)),'BASE OBZ'!#REF!)</f>
        <v>#REF!</v>
      </c>
      <c r="C462" t="s">
        <v>1777</v>
      </c>
    </row>
    <row r="463" spans="1:3" x14ac:dyDescent="0.25">
      <c r="A463" s="22" t="e">
        <f>CONCATENATE('BASE OBZ'!#REF!,"PROG")</f>
        <v>#REF!</v>
      </c>
      <c r="B463" s="22" t="e">
        <f>CONCATENATE("P",(LEFT('BASE OBZ'!#REF!,3)),'BASE OBZ'!#REF!)</f>
        <v>#REF!</v>
      </c>
      <c r="C463" t="s">
        <v>1777</v>
      </c>
    </row>
    <row r="464" spans="1:3" x14ac:dyDescent="0.25">
      <c r="A464" s="22" t="e">
        <f>CONCATENATE('BASE OBZ'!#REF!,"PROG")</f>
        <v>#REF!</v>
      </c>
      <c r="B464" s="22" t="e">
        <f>CONCATENATE("P",(LEFT('BASE OBZ'!#REF!,3)),'BASE OBZ'!#REF!)</f>
        <v>#REF!</v>
      </c>
      <c r="C464" t="s">
        <v>1777</v>
      </c>
    </row>
    <row r="465" spans="1:3" x14ac:dyDescent="0.25">
      <c r="A465" s="22" t="e">
        <f>CONCATENATE('BASE OBZ'!#REF!,"PROG")</f>
        <v>#REF!</v>
      </c>
      <c r="B465" s="22" t="e">
        <f>CONCATENATE("P",(LEFT('BASE OBZ'!#REF!,3)),'BASE OBZ'!#REF!)</f>
        <v>#REF!</v>
      </c>
      <c r="C465" t="s">
        <v>1777</v>
      </c>
    </row>
    <row r="466" spans="1:3" x14ac:dyDescent="0.25">
      <c r="A466" s="22" t="e">
        <f>CONCATENATE('BASE OBZ'!#REF!,"PROG")</f>
        <v>#REF!</v>
      </c>
      <c r="B466" s="22" t="e">
        <f>CONCATENATE("P",(LEFT('BASE OBZ'!#REF!,3)),'BASE OBZ'!#REF!)</f>
        <v>#REF!</v>
      </c>
      <c r="C466" t="s">
        <v>1777</v>
      </c>
    </row>
    <row r="467" spans="1:3" x14ac:dyDescent="0.25">
      <c r="A467" s="22" t="e">
        <f>CONCATENATE('BASE OBZ'!#REF!,"PROG")</f>
        <v>#REF!</v>
      </c>
      <c r="B467" s="22" t="e">
        <f>CONCATENATE("P",(LEFT('BASE OBZ'!#REF!,3)),'BASE OBZ'!#REF!)</f>
        <v>#REF!</v>
      </c>
      <c r="C467" t="s">
        <v>1777</v>
      </c>
    </row>
    <row r="468" spans="1:3" x14ac:dyDescent="0.25">
      <c r="A468" s="22" t="e">
        <f>CONCATENATE('BASE OBZ'!#REF!,"PROG")</f>
        <v>#REF!</v>
      </c>
      <c r="B468" s="22" t="e">
        <f>CONCATENATE("P",(LEFT('BASE OBZ'!#REF!,3)),'BASE OBZ'!#REF!)</f>
        <v>#REF!</v>
      </c>
      <c r="C468" t="s">
        <v>1777</v>
      </c>
    </row>
    <row r="469" spans="1:3" x14ac:dyDescent="0.25">
      <c r="A469" s="22" t="e">
        <f>CONCATENATE('BASE OBZ'!#REF!,"PROG")</f>
        <v>#REF!</v>
      </c>
      <c r="B469" s="22" t="e">
        <f>CONCATENATE("P",(LEFT('BASE OBZ'!#REF!,3)),'BASE OBZ'!#REF!)</f>
        <v>#REF!</v>
      </c>
      <c r="C469" t="s">
        <v>1777</v>
      </c>
    </row>
    <row r="470" spans="1:3" x14ac:dyDescent="0.25">
      <c r="A470" s="22" t="e">
        <f>CONCATENATE('BASE OBZ'!#REF!,"PROG")</f>
        <v>#REF!</v>
      </c>
      <c r="B470" s="22" t="e">
        <f>CONCATENATE("P",(LEFT('BASE OBZ'!#REF!,3)),'BASE OBZ'!#REF!)</f>
        <v>#REF!</v>
      </c>
      <c r="C470" t="s">
        <v>1777</v>
      </c>
    </row>
    <row r="471" spans="1:3" x14ac:dyDescent="0.25">
      <c r="A471" s="22" t="e">
        <f>CONCATENATE('BASE OBZ'!#REF!,"PROG")</f>
        <v>#REF!</v>
      </c>
      <c r="B471" s="22" t="e">
        <f>CONCATENATE("P",(LEFT('BASE OBZ'!#REF!,3)),'BASE OBZ'!#REF!)</f>
        <v>#REF!</v>
      </c>
      <c r="C471" t="s">
        <v>1777</v>
      </c>
    </row>
    <row r="472" spans="1:3" x14ac:dyDescent="0.25">
      <c r="A472" s="22" t="e">
        <f>CONCATENATE('BASE OBZ'!#REF!,"PROG")</f>
        <v>#REF!</v>
      </c>
      <c r="B472" s="22" t="e">
        <f>CONCATENATE("P",(LEFT('BASE OBZ'!#REF!,3)),'BASE OBZ'!#REF!)</f>
        <v>#REF!</v>
      </c>
      <c r="C472" t="s">
        <v>1777</v>
      </c>
    </row>
    <row r="473" spans="1:3" x14ac:dyDescent="0.25">
      <c r="A473" s="22" t="e">
        <f>CONCATENATE('BASE OBZ'!#REF!,"PROG")</f>
        <v>#REF!</v>
      </c>
      <c r="B473" s="22" t="e">
        <f>CONCATENATE("P",(LEFT('BASE OBZ'!#REF!,3)),'BASE OBZ'!#REF!)</f>
        <v>#REF!</v>
      </c>
      <c r="C473" t="s">
        <v>1777</v>
      </c>
    </row>
    <row r="474" spans="1:3" x14ac:dyDescent="0.25">
      <c r="A474" s="22" t="e">
        <f>CONCATENATE('BASE OBZ'!#REF!,"PROG")</f>
        <v>#REF!</v>
      </c>
      <c r="B474" s="22" t="e">
        <f>CONCATENATE("P",(LEFT('BASE OBZ'!#REF!,3)),'BASE OBZ'!#REF!)</f>
        <v>#REF!</v>
      </c>
      <c r="C474" t="s">
        <v>1777</v>
      </c>
    </row>
    <row r="475" spans="1:3" x14ac:dyDescent="0.25">
      <c r="A475" s="22" t="e">
        <f>CONCATENATE('BASE OBZ'!#REF!,"PROG")</f>
        <v>#REF!</v>
      </c>
      <c r="B475" s="22" t="e">
        <f>CONCATENATE("P",(LEFT('BASE OBZ'!#REF!,3)),'BASE OBZ'!#REF!)</f>
        <v>#REF!</v>
      </c>
      <c r="C475" t="s">
        <v>1777</v>
      </c>
    </row>
    <row r="476" spans="1:3" x14ac:dyDescent="0.25">
      <c r="A476" s="22" t="e">
        <f>CONCATENATE('BASE OBZ'!#REF!,"PROG")</f>
        <v>#REF!</v>
      </c>
      <c r="B476" s="22" t="e">
        <f>CONCATENATE("P",(LEFT('BASE OBZ'!#REF!,3)),'BASE OBZ'!#REF!)</f>
        <v>#REF!</v>
      </c>
      <c r="C476" t="s">
        <v>1777</v>
      </c>
    </row>
    <row r="477" spans="1:3" x14ac:dyDescent="0.25">
      <c r="A477" s="22" t="e">
        <f>CONCATENATE('BASE OBZ'!#REF!,"PROG")</f>
        <v>#REF!</v>
      </c>
      <c r="B477" s="22" t="e">
        <f>CONCATENATE("P",(LEFT('BASE OBZ'!#REF!,3)),'BASE OBZ'!#REF!)</f>
        <v>#REF!</v>
      </c>
      <c r="C477" t="s">
        <v>1777</v>
      </c>
    </row>
    <row r="478" spans="1:3" x14ac:dyDescent="0.25">
      <c r="A478" s="22" t="e">
        <f>CONCATENATE('BASE OBZ'!#REF!,"PROG")</f>
        <v>#REF!</v>
      </c>
      <c r="B478" s="22" t="e">
        <f>CONCATENATE("P",(LEFT('BASE OBZ'!#REF!,3)),'BASE OBZ'!#REF!)</f>
        <v>#REF!</v>
      </c>
      <c r="C478" t="s">
        <v>1777</v>
      </c>
    </row>
    <row r="479" spans="1:3" x14ac:dyDescent="0.25">
      <c r="A479" s="22" t="e">
        <f>CONCATENATE('BASE OBZ'!#REF!,"PROG")</f>
        <v>#REF!</v>
      </c>
      <c r="B479" s="22" t="e">
        <f>CONCATENATE("P",(LEFT('BASE OBZ'!#REF!,3)),'BASE OBZ'!#REF!)</f>
        <v>#REF!</v>
      </c>
      <c r="C479" t="s">
        <v>1777</v>
      </c>
    </row>
    <row r="480" spans="1:3" x14ac:dyDescent="0.25">
      <c r="A480" s="22" t="e">
        <f>CONCATENATE('BASE OBZ'!#REF!,"PROG")</f>
        <v>#REF!</v>
      </c>
      <c r="B480" s="22" t="e">
        <f>CONCATENATE("P",(LEFT('BASE OBZ'!#REF!,3)),'BASE OBZ'!#REF!)</f>
        <v>#REF!</v>
      </c>
      <c r="C480" t="s">
        <v>1777</v>
      </c>
    </row>
    <row r="481" spans="1:3" x14ac:dyDescent="0.25">
      <c r="A481" s="22" t="e">
        <f>CONCATENATE('BASE OBZ'!#REF!,"PROG")</f>
        <v>#REF!</v>
      </c>
      <c r="B481" s="22" t="e">
        <f>CONCATENATE("P",(LEFT('BASE OBZ'!#REF!,3)),'BASE OBZ'!#REF!)</f>
        <v>#REF!</v>
      </c>
      <c r="C481" t="s">
        <v>1777</v>
      </c>
    </row>
    <row r="482" spans="1:3" x14ac:dyDescent="0.25">
      <c r="A482" s="22" t="e">
        <f>CONCATENATE('BASE OBZ'!#REF!,"PROG")</f>
        <v>#REF!</v>
      </c>
      <c r="B482" s="22" t="e">
        <f>CONCATENATE("P",(LEFT('BASE OBZ'!#REF!,3)),'BASE OBZ'!#REF!)</f>
        <v>#REF!</v>
      </c>
      <c r="C482" t="s">
        <v>1777</v>
      </c>
    </row>
    <row r="483" spans="1:3" x14ac:dyDescent="0.25">
      <c r="A483" s="22" t="e">
        <f>CONCATENATE('BASE OBZ'!#REF!,"PROG")</f>
        <v>#REF!</v>
      </c>
      <c r="B483" s="22" t="e">
        <f>CONCATENATE("P",(LEFT('BASE OBZ'!#REF!,3)),'BASE OBZ'!#REF!)</f>
        <v>#REF!</v>
      </c>
      <c r="C483" t="s">
        <v>1777</v>
      </c>
    </row>
    <row r="484" spans="1:3" x14ac:dyDescent="0.25">
      <c r="A484" s="22" t="e">
        <f>CONCATENATE('BASE OBZ'!#REF!,"PROG")</f>
        <v>#REF!</v>
      </c>
      <c r="B484" s="22" t="e">
        <f>CONCATENATE("P",(LEFT('BASE OBZ'!#REF!,3)),'BASE OBZ'!#REF!)</f>
        <v>#REF!</v>
      </c>
      <c r="C484" t="s">
        <v>1777</v>
      </c>
    </row>
    <row r="485" spans="1:3" x14ac:dyDescent="0.25">
      <c r="A485" s="22" t="e">
        <f>CONCATENATE('BASE OBZ'!#REF!,"PROG")</f>
        <v>#REF!</v>
      </c>
      <c r="B485" s="22" t="e">
        <f>CONCATENATE("P",(LEFT('BASE OBZ'!#REF!,3)),'BASE OBZ'!#REF!)</f>
        <v>#REF!</v>
      </c>
      <c r="C485" t="s">
        <v>1777</v>
      </c>
    </row>
    <row r="486" spans="1:3" x14ac:dyDescent="0.25">
      <c r="A486" s="22" t="e">
        <f>CONCATENATE('BASE OBZ'!#REF!,"PROG")</f>
        <v>#REF!</v>
      </c>
      <c r="B486" s="22" t="e">
        <f>CONCATENATE("P",(LEFT('BASE OBZ'!#REF!,3)),'BASE OBZ'!#REF!)</f>
        <v>#REF!</v>
      </c>
      <c r="C486" t="s">
        <v>1777</v>
      </c>
    </row>
    <row r="487" spans="1:3" x14ac:dyDescent="0.25">
      <c r="A487" s="22" t="e">
        <f>CONCATENATE('BASE OBZ'!#REF!,"PROG")</f>
        <v>#REF!</v>
      </c>
      <c r="B487" s="22" t="e">
        <f>CONCATENATE("P",(LEFT('BASE OBZ'!#REF!,3)),'BASE OBZ'!#REF!)</f>
        <v>#REF!</v>
      </c>
      <c r="C487" t="s">
        <v>1777</v>
      </c>
    </row>
    <row r="488" spans="1:3" x14ac:dyDescent="0.25">
      <c r="A488" s="22" t="e">
        <f>CONCATENATE('BASE OBZ'!#REF!,"PROG")</f>
        <v>#REF!</v>
      </c>
      <c r="B488" s="22" t="e">
        <f>CONCATENATE("P",(LEFT('BASE OBZ'!#REF!,3)),'BASE OBZ'!#REF!)</f>
        <v>#REF!</v>
      </c>
      <c r="C488" t="s">
        <v>1777</v>
      </c>
    </row>
    <row r="489" spans="1:3" x14ac:dyDescent="0.25">
      <c r="A489" s="22" t="e">
        <f>CONCATENATE('BASE OBZ'!#REF!,"PROG")</f>
        <v>#REF!</v>
      </c>
      <c r="B489" s="22" t="e">
        <f>CONCATENATE("P",(LEFT('BASE OBZ'!#REF!,3)),'BASE OBZ'!#REF!)</f>
        <v>#REF!</v>
      </c>
      <c r="C489" t="s">
        <v>1777</v>
      </c>
    </row>
    <row r="490" spans="1:3" x14ac:dyDescent="0.25">
      <c r="A490" s="22" t="e">
        <f>CONCATENATE('BASE OBZ'!#REF!,"PROG")</f>
        <v>#REF!</v>
      </c>
      <c r="B490" s="22" t="e">
        <f>CONCATENATE("P",(LEFT('BASE OBZ'!#REF!,3)),'BASE OBZ'!#REF!)</f>
        <v>#REF!</v>
      </c>
      <c r="C490" t="s">
        <v>1777</v>
      </c>
    </row>
    <row r="491" spans="1:3" x14ac:dyDescent="0.25">
      <c r="A491" s="22" t="e">
        <f>CONCATENATE('BASE OBZ'!#REF!,"PROG")</f>
        <v>#REF!</v>
      </c>
      <c r="B491" s="22" t="e">
        <f>CONCATENATE("P",(LEFT('BASE OBZ'!#REF!,3)),'BASE OBZ'!#REF!)</f>
        <v>#REF!</v>
      </c>
      <c r="C491" t="s">
        <v>1777</v>
      </c>
    </row>
    <row r="492" spans="1:3" x14ac:dyDescent="0.25">
      <c r="A492" s="22" t="e">
        <f>CONCATENATE('BASE OBZ'!#REF!,"PROG")</f>
        <v>#REF!</v>
      </c>
      <c r="B492" s="22" t="e">
        <f>CONCATENATE("P",(LEFT('BASE OBZ'!#REF!,3)),'BASE OBZ'!#REF!)</f>
        <v>#REF!</v>
      </c>
      <c r="C492" t="s">
        <v>1777</v>
      </c>
    </row>
    <row r="493" spans="1:3" x14ac:dyDescent="0.25">
      <c r="A493" s="22" t="e">
        <f>CONCATENATE('BASE OBZ'!#REF!,"PROG")</f>
        <v>#REF!</v>
      </c>
      <c r="B493" s="22" t="e">
        <f>CONCATENATE("P",(LEFT('BASE OBZ'!#REF!,3)),'BASE OBZ'!#REF!)</f>
        <v>#REF!</v>
      </c>
      <c r="C493" t="s">
        <v>1777</v>
      </c>
    </row>
    <row r="494" spans="1:3" x14ac:dyDescent="0.25">
      <c r="A494" s="22" t="e">
        <f>CONCATENATE('BASE OBZ'!#REF!,"PROG")</f>
        <v>#REF!</v>
      </c>
      <c r="B494" s="22" t="e">
        <f>CONCATENATE("P",(LEFT('BASE OBZ'!#REF!,3)),'BASE OBZ'!#REF!)</f>
        <v>#REF!</v>
      </c>
      <c r="C494" t="s">
        <v>1777</v>
      </c>
    </row>
    <row r="495" spans="1:3" x14ac:dyDescent="0.25">
      <c r="A495" s="22" t="e">
        <f>CONCATENATE('BASE OBZ'!#REF!,"PROG")</f>
        <v>#REF!</v>
      </c>
      <c r="B495" s="22" t="e">
        <f>CONCATENATE("P",(LEFT('BASE OBZ'!#REF!,3)),'BASE OBZ'!#REF!)</f>
        <v>#REF!</v>
      </c>
      <c r="C495" t="s">
        <v>1777</v>
      </c>
    </row>
    <row r="496" spans="1:3" x14ac:dyDescent="0.25">
      <c r="A496" s="22" t="e">
        <f>CONCATENATE('BASE OBZ'!#REF!,"PROG")</f>
        <v>#REF!</v>
      </c>
      <c r="B496" s="22" t="e">
        <f>CONCATENATE("P",(LEFT('BASE OBZ'!#REF!,3)),'BASE OBZ'!#REF!)</f>
        <v>#REF!</v>
      </c>
      <c r="C496" t="s">
        <v>1777</v>
      </c>
    </row>
    <row r="497" spans="1:3" x14ac:dyDescent="0.25">
      <c r="A497" s="22" t="e">
        <f>CONCATENATE('BASE OBZ'!#REF!,"PROG")</f>
        <v>#REF!</v>
      </c>
      <c r="B497" s="22" t="e">
        <f>CONCATENATE("P",(LEFT('BASE OBZ'!#REF!,3)),'BASE OBZ'!#REF!)</f>
        <v>#REF!</v>
      </c>
      <c r="C497" t="s">
        <v>1777</v>
      </c>
    </row>
    <row r="498" spans="1:3" x14ac:dyDescent="0.25">
      <c r="A498" s="22" t="e">
        <f>CONCATENATE('BASE OBZ'!#REF!,"PROG")</f>
        <v>#REF!</v>
      </c>
      <c r="B498" s="22" t="e">
        <f>CONCATENATE("P",(LEFT('BASE OBZ'!#REF!,3)),'BASE OBZ'!#REF!)</f>
        <v>#REF!</v>
      </c>
      <c r="C498" t="s">
        <v>1777</v>
      </c>
    </row>
    <row r="499" spans="1:3" x14ac:dyDescent="0.25">
      <c r="A499" s="22" t="e">
        <f>CONCATENATE('BASE OBZ'!#REF!,"PROG")</f>
        <v>#REF!</v>
      </c>
      <c r="B499" s="22" t="e">
        <f>CONCATENATE("P",(LEFT('BASE OBZ'!#REF!,3)),'BASE OBZ'!#REF!)</f>
        <v>#REF!</v>
      </c>
      <c r="C499" t="s">
        <v>1777</v>
      </c>
    </row>
    <row r="500" spans="1:3" x14ac:dyDescent="0.25">
      <c r="A500" s="22" t="e">
        <f>CONCATENATE('BASE OBZ'!#REF!,"PROG")</f>
        <v>#REF!</v>
      </c>
      <c r="B500" s="22" t="e">
        <f>CONCATENATE("P",(LEFT('BASE OBZ'!#REF!,3)),'BASE OBZ'!#REF!)</f>
        <v>#REF!</v>
      </c>
      <c r="C500" t="s">
        <v>1777</v>
      </c>
    </row>
    <row r="501" spans="1:3" x14ac:dyDescent="0.25">
      <c r="A501" s="22" t="e">
        <f>CONCATENATE('BASE OBZ'!#REF!,"PROG")</f>
        <v>#REF!</v>
      </c>
      <c r="B501" s="22" t="e">
        <f>CONCATENATE("P",(LEFT('BASE OBZ'!#REF!,3)),'BASE OBZ'!#REF!)</f>
        <v>#REF!</v>
      </c>
      <c r="C501" t="s">
        <v>1777</v>
      </c>
    </row>
    <row r="502" spans="1:3" x14ac:dyDescent="0.25">
      <c r="A502" s="22" t="e">
        <f>CONCATENATE('BASE OBZ'!#REF!,"PROG")</f>
        <v>#REF!</v>
      </c>
      <c r="B502" s="22" t="e">
        <f>CONCATENATE("P",(LEFT('BASE OBZ'!#REF!,3)),'BASE OBZ'!#REF!)</f>
        <v>#REF!</v>
      </c>
      <c r="C502" t="s">
        <v>1777</v>
      </c>
    </row>
    <row r="503" spans="1:3" x14ac:dyDescent="0.25">
      <c r="A503" s="22" t="e">
        <f>CONCATENATE('BASE OBZ'!#REF!,"PROG")</f>
        <v>#REF!</v>
      </c>
      <c r="B503" s="22" t="e">
        <f>CONCATENATE("P",(LEFT('BASE OBZ'!#REF!,3)),'BASE OBZ'!#REF!)</f>
        <v>#REF!</v>
      </c>
      <c r="C503" t="s">
        <v>1777</v>
      </c>
    </row>
    <row r="504" spans="1:3" x14ac:dyDescent="0.25">
      <c r="A504" s="22" t="e">
        <f>CONCATENATE('BASE OBZ'!#REF!,"PROG")</f>
        <v>#REF!</v>
      </c>
      <c r="B504" s="22" t="e">
        <f>CONCATENATE("P",(LEFT('BASE OBZ'!#REF!,3)),'BASE OBZ'!#REF!)</f>
        <v>#REF!</v>
      </c>
      <c r="C504" t="s">
        <v>1777</v>
      </c>
    </row>
    <row r="505" spans="1:3" x14ac:dyDescent="0.25">
      <c r="A505" s="22" t="e">
        <f>CONCATENATE('BASE OBZ'!#REF!,"PROG")</f>
        <v>#REF!</v>
      </c>
      <c r="B505" s="22" t="e">
        <f>CONCATENATE("P",(LEFT('BASE OBZ'!#REF!,3)),'BASE OBZ'!#REF!)</f>
        <v>#REF!</v>
      </c>
      <c r="C505" t="s">
        <v>1777</v>
      </c>
    </row>
    <row r="506" spans="1:3" x14ac:dyDescent="0.25">
      <c r="A506" s="22" t="e">
        <f>CONCATENATE('BASE OBZ'!#REF!,"PROG")</f>
        <v>#REF!</v>
      </c>
      <c r="B506" s="22" t="e">
        <f>CONCATENATE("P",(LEFT('BASE OBZ'!#REF!,3)),'BASE OBZ'!#REF!)</f>
        <v>#REF!</v>
      </c>
      <c r="C506" t="s">
        <v>1777</v>
      </c>
    </row>
    <row r="507" spans="1:3" x14ac:dyDescent="0.25">
      <c r="A507" s="22" t="e">
        <f>CONCATENATE('BASE OBZ'!#REF!,"PROG")</f>
        <v>#REF!</v>
      </c>
      <c r="B507" s="22" t="e">
        <f>CONCATENATE("P",(LEFT('BASE OBZ'!#REF!,3)),'BASE OBZ'!#REF!)</f>
        <v>#REF!</v>
      </c>
      <c r="C507" t="s">
        <v>1777</v>
      </c>
    </row>
    <row r="508" spans="1:3" x14ac:dyDescent="0.25">
      <c r="A508" s="22" t="e">
        <f>CONCATENATE('BASE OBZ'!#REF!,"PROG")</f>
        <v>#REF!</v>
      </c>
      <c r="B508" s="22" t="e">
        <f>CONCATENATE("P",(LEFT('BASE OBZ'!#REF!,3)),'BASE OBZ'!#REF!)</f>
        <v>#REF!</v>
      </c>
      <c r="C508" t="s">
        <v>1777</v>
      </c>
    </row>
    <row r="509" spans="1:3" x14ac:dyDescent="0.25">
      <c r="A509" s="22" t="e">
        <f>CONCATENATE('BASE OBZ'!#REF!,"PROG")</f>
        <v>#REF!</v>
      </c>
      <c r="B509" s="22" t="e">
        <f>CONCATENATE("P",(LEFT('BASE OBZ'!#REF!,3)),'BASE OBZ'!#REF!)</f>
        <v>#REF!</v>
      </c>
      <c r="C509" t="s">
        <v>1777</v>
      </c>
    </row>
    <row r="510" spans="1:3" x14ac:dyDescent="0.25">
      <c r="A510" s="22" t="e">
        <f>CONCATENATE('BASE OBZ'!#REF!,"PROG")</f>
        <v>#REF!</v>
      </c>
      <c r="B510" s="22" t="e">
        <f>CONCATENATE("P",(LEFT('BASE OBZ'!#REF!,3)),'BASE OBZ'!#REF!)</f>
        <v>#REF!</v>
      </c>
      <c r="C510" t="s">
        <v>1777</v>
      </c>
    </row>
    <row r="511" spans="1:3" x14ac:dyDescent="0.25">
      <c r="A511" s="22" t="e">
        <f>CONCATENATE('BASE OBZ'!#REF!,"PROG")</f>
        <v>#REF!</v>
      </c>
      <c r="B511" s="22" t="e">
        <f>CONCATENATE("P",(LEFT('BASE OBZ'!#REF!,3)),'BASE OBZ'!#REF!)</f>
        <v>#REF!</v>
      </c>
      <c r="C511" t="s">
        <v>1777</v>
      </c>
    </row>
    <row r="512" spans="1:3" x14ac:dyDescent="0.25">
      <c r="A512" s="22" t="e">
        <f>CONCATENATE('BASE OBZ'!#REF!,"PROG")</f>
        <v>#REF!</v>
      </c>
      <c r="B512" s="22" t="e">
        <f>CONCATENATE("P",(LEFT('BASE OBZ'!#REF!,3)),'BASE OBZ'!#REF!)</f>
        <v>#REF!</v>
      </c>
      <c r="C512" t="s">
        <v>1777</v>
      </c>
    </row>
    <row r="513" spans="1:3" x14ac:dyDescent="0.25">
      <c r="A513" s="22" t="e">
        <f>CONCATENATE('BASE OBZ'!#REF!,"PROG")</f>
        <v>#REF!</v>
      </c>
      <c r="B513" s="22" t="e">
        <f>CONCATENATE("P",(LEFT('BASE OBZ'!#REF!,3)),'BASE OBZ'!#REF!)</f>
        <v>#REF!</v>
      </c>
      <c r="C513" t="s">
        <v>1777</v>
      </c>
    </row>
    <row r="514" spans="1:3" x14ac:dyDescent="0.25">
      <c r="A514" s="22" t="e">
        <f>CONCATENATE('BASE OBZ'!#REF!,"PROG")</f>
        <v>#REF!</v>
      </c>
      <c r="B514" s="22" t="e">
        <f>CONCATENATE("P",(LEFT('BASE OBZ'!#REF!,3)),'BASE OBZ'!#REF!)</f>
        <v>#REF!</v>
      </c>
      <c r="C514" t="s">
        <v>1777</v>
      </c>
    </row>
    <row r="515" spans="1:3" x14ac:dyDescent="0.25">
      <c r="A515" s="22" t="e">
        <f>CONCATENATE('BASE OBZ'!#REF!,"PROG")</f>
        <v>#REF!</v>
      </c>
      <c r="B515" s="22" t="e">
        <f>CONCATENATE("P",(LEFT('BASE OBZ'!#REF!,3)),'BASE OBZ'!#REF!)</f>
        <v>#REF!</v>
      </c>
      <c r="C515" t="s">
        <v>1777</v>
      </c>
    </row>
    <row r="516" spans="1:3" x14ac:dyDescent="0.25">
      <c r="A516" s="22" t="e">
        <f>CONCATENATE('BASE OBZ'!#REF!,"PROG")</f>
        <v>#REF!</v>
      </c>
      <c r="B516" s="22" t="e">
        <f>CONCATENATE("P",(LEFT('BASE OBZ'!#REF!,3)),'BASE OBZ'!#REF!)</f>
        <v>#REF!</v>
      </c>
      <c r="C516" t="s">
        <v>1777</v>
      </c>
    </row>
    <row r="517" spans="1:3" x14ac:dyDescent="0.25">
      <c r="A517" s="22" t="e">
        <f>CONCATENATE('BASE OBZ'!#REF!,"PROG")</f>
        <v>#REF!</v>
      </c>
      <c r="B517" s="22" t="e">
        <f>CONCATENATE("P",(LEFT('BASE OBZ'!#REF!,3)),'BASE OBZ'!#REF!)</f>
        <v>#REF!</v>
      </c>
      <c r="C517" t="s">
        <v>1777</v>
      </c>
    </row>
    <row r="518" spans="1:3" x14ac:dyDescent="0.25">
      <c r="A518" s="22" t="e">
        <f>CONCATENATE('BASE OBZ'!#REF!,"PROG")</f>
        <v>#REF!</v>
      </c>
      <c r="B518" s="22" t="e">
        <f>CONCATENATE("P",(LEFT('BASE OBZ'!#REF!,3)),'BASE OBZ'!#REF!)</f>
        <v>#REF!</v>
      </c>
      <c r="C518" t="s">
        <v>1777</v>
      </c>
    </row>
    <row r="519" spans="1:3" x14ac:dyDescent="0.25">
      <c r="A519" s="22" t="e">
        <f>CONCATENATE('BASE OBZ'!#REF!,"PROG")</f>
        <v>#REF!</v>
      </c>
      <c r="B519" s="22" t="e">
        <f>CONCATENATE("P",(LEFT('BASE OBZ'!#REF!,3)),'BASE OBZ'!#REF!)</f>
        <v>#REF!</v>
      </c>
      <c r="C519" t="s">
        <v>1777</v>
      </c>
    </row>
    <row r="520" spans="1:3" x14ac:dyDescent="0.25">
      <c r="A520" s="22" t="e">
        <f>CONCATENATE('BASE OBZ'!#REF!,"PROG")</f>
        <v>#REF!</v>
      </c>
      <c r="B520" s="22" t="e">
        <f>CONCATENATE("P",(LEFT('BASE OBZ'!#REF!,3)),'BASE OBZ'!#REF!)</f>
        <v>#REF!</v>
      </c>
      <c r="C520" t="s">
        <v>1777</v>
      </c>
    </row>
    <row r="521" spans="1:3" x14ac:dyDescent="0.25">
      <c r="A521" s="22" t="e">
        <f>CONCATENATE('BASE OBZ'!#REF!,"PROG")</f>
        <v>#REF!</v>
      </c>
      <c r="B521" s="22" t="e">
        <f>CONCATENATE("P",(LEFT('BASE OBZ'!#REF!,3)),'BASE OBZ'!#REF!)</f>
        <v>#REF!</v>
      </c>
      <c r="C521" t="s">
        <v>1777</v>
      </c>
    </row>
    <row r="522" spans="1:3" x14ac:dyDescent="0.25">
      <c r="A522" s="22" t="e">
        <f>CONCATENATE('BASE OBZ'!#REF!,"PROG")</f>
        <v>#REF!</v>
      </c>
      <c r="B522" s="22" t="e">
        <f>CONCATENATE("P",(LEFT('BASE OBZ'!#REF!,3)),'BASE OBZ'!#REF!)</f>
        <v>#REF!</v>
      </c>
      <c r="C522" t="s">
        <v>1777</v>
      </c>
    </row>
    <row r="523" spans="1:3" x14ac:dyDescent="0.25">
      <c r="A523" s="22" t="e">
        <f>CONCATENATE('BASE OBZ'!#REF!,"PROG")</f>
        <v>#REF!</v>
      </c>
      <c r="B523" s="22" t="e">
        <f>CONCATENATE("P",(LEFT('BASE OBZ'!#REF!,3)),'BASE OBZ'!#REF!)</f>
        <v>#REF!</v>
      </c>
      <c r="C523" t="s">
        <v>1777</v>
      </c>
    </row>
    <row r="524" spans="1:3" x14ac:dyDescent="0.25">
      <c r="A524" s="22" t="e">
        <f>CONCATENATE('BASE OBZ'!#REF!,"PROG")</f>
        <v>#REF!</v>
      </c>
      <c r="B524" s="22" t="e">
        <f>CONCATENATE("P",(LEFT('BASE OBZ'!#REF!,3)),'BASE OBZ'!#REF!)</f>
        <v>#REF!</v>
      </c>
      <c r="C524" t="s">
        <v>1777</v>
      </c>
    </row>
    <row r="525" spans="1:3" x14ac:dyDescent="0.25">
      <c r="A525" s="22" t="e">
        <f>CONCATENATE('BASE OBZ'!#REF!,"PROG")</f>
        <v>#REF!</v>
      </c>
      <c r="B525" s="22" t="e">
        <f>CONCATENATE("P",(LEFT('BASE OBZ'!#REF!,3)),'BASE OBZ'!#REF!)</f>
        <v>#REF!</v>
      </c>
      <c r="C525" t="s">
        <v>1777</v>
      </c>
    </row>
    <row r="526" spans="1:3" x14ac:dyDescent="0.25">
      <c r="A526" s="22" t="e">
        <f>CONCATENATE('BASE OBZ'!#REF!,"PROG")</f>
        <v>#REF!</v>
      </c>
      <c r="B526" s="22" t="e">
        <f>CONCATENATE("P",(LEFT('BASE OBZ'!#REF!,3)),'BASE OBZ'!#REF!)</f>
        <v>#REF!</v>
      </c>
      <c r="C526" t="s">
        <v>1777</v>
      </c>
    </row>
    <row r="527" spans="1:3" x14ac:dyDescent="0.25">
      <c r="A527" s="22" t="e">
        <f>CONCATENATE('BASE OBZ'!#REF!,"PROG")</f>
        <v>#REF!</v>
      </c>
      <c r="B527" s="22" t="e">
        <f>CONCATENATE("P",(LEFT('BASE OBZ'!#REF!,3)),'BASE OBZ'!#REF!)</f>
        <v>#REF!</v>
      </c>
      <c r="C527" t="s">
        <v>1777</v>
      </c>
    </row>
    <row r="528" spans="1:3" x14ac:dyDescent="0.25">
      <c r="A528" s="22" t="e">
        <f>CONCATENATE('BASE OBZ'!#REF!,"PROG")</f>
        <v>#REF!</v>
      </c>
      <c r="B528" s="22" t="e">
        <f>CONCATENATE("P",(LEFT('BASE OBZ'!#REF!,3)),'BASE OBZ'!#REF!)</f>
        <v>#REF!</v>
      </c>
      <c r="C528" t="s">
        <v>1777</v>
      </c>
    </row>
    <row r="529" spans="1:3" x14ac:dyDescent="0.25">
      <c r="A529" s="22" t="e">
        <f>CONCATENATE('BASE OBZ'!#REF!,"PROG")</f>
        <v>#REF!</v>
      </c>
      <c r="B529" s="22" t="e">
        <f>CONCATENATE("P",(LEFT('BASE OBZ'!#REF!,3)),'BASE OBZ'!#REF!)</f>
        <v>#REF!</v>
      </c>
      <c r="C529" t="s">
        <v>1777</v>
      </c>
    </row>
    <row r="530" spans="1:3" x14ac:dyDescent="0.25">
      <c r="A530" s="22" t="e">
        <f>CONCATENATE('BASE OBZ'!#REF!,"PROG")</f>
        <v>#REF!</v>
      </c>
      <c r="B530" s="22" t="e">
        <f>CONCATENATE("P",(LEFT('BASE OBZ'!#REF!,3)),'BASE OBZ'!#REF!)</f>
        <v>#REF!</v>
      </c>
      <c r="C530" t="s">
        <v>1777</v>
      </c>
    </row>
    <row r="531" spans="1:3" x14ac:dyDescent="0.25">
      <c r="A531" s="22" t="e">
        <f>CONCATENATE('BASE OBZ'!#REF!,"PROG")</f>
        <v>#REF!</v>
      </c>
      <c r="B531" s="22" t="e">
        <f>CONCATENATE("P",(LEFT('BASE OBZ'!#REF!,3)),'BASE OBZ'!#REF!)</f>
        <v>#REF!</v>
      </c>
      <c r="C531" t="s">
        <v>1777</v>
      </c>
    </row>
    <row r="532" spans="1:3" x14ac:dyDescent="0.25">
      <c r="A532" s="22" t="e">
        <f>CONCATENATE('BASE OBZ'!#REF!,"PROG")</f>
        <v>#REF!</v>
      </c>
      <c r="B532" s="22" t="e">
        <f>CONCATENATE("P",(LEFT('BASE OBZ'!#REF!,3)),'BASE OBZ'!#REF!)</f>
        <v>#REF!</v>
      </c>
      <c r="C532" t="s">
        <v>1777</v>
      </c>
    </row>
    <row r="533" spans="1:3" x14ac:dyDescent="0.25">
      <c r="A533" s="22" t="e">
        <f>CONCATENATE('BASE OBZ'!#REF!,"PROG")</f>
        <v>#REF!</v>
      </c>
      <c r="B533" s="22" t="e">
        <f>CONCATENATE("P",(LEFT('BASE OBZ'!#REF!,3)),'BASE OBZ'!#REF!)</f>
        <v>#REF!</v>
      </c>
      <c r="C533" t="s">
        <v>1777</v>
      </c>
    </row>
    <row r="534" spans="1:3" x14ac:dyDescent="0.25">
      <c r="A534" s="22" t="e">
        <f>CONCATENATE('BASE OBZ'!#REF!,"PROG")</f>
        <v>#REF!</v>
      </c>
      <c r="B534" s="22" t="e">
        <f>CONCATENATE("P",(LEFT('BASE OBZ'!#REF!,3)),'BASE OBZ'!#REF!)</f>
        <v>#REF!</v>
      </c>
      <c r="C534" t="s">
        <v>1777</v>
      </c>
    </row>
    <row r="535" spans="1:3" x14ac:dyDescent="0.25">
      <c r="A535" s="22" t="e">
        <f>CONCATENATE('BASE OBZ'!#REF!,"PROG")</f>
        <v>#REF!</v>
      </c>
      <c r="B535" s="22" t="e">
        <f>CONCATENATE("P",(LEFT('BASE OBZ'!#REF!,3)),'BASE OBZ'!#REF!)</f>
        <v>#REF!</v>
      </c>
      <c r="C535" t="s">
        <v>1777</v>
      </c>
    </row>
    <row r="536" spans="1:3" x14ac:dyDescent="0.25">
      <c r="A536" s="22" t="e">
        <f>CONCATENATE('BASE OBZ'!#REF!,"PROG")</f>
        <v>#REF!</v>
      </c>
      <c r="B536" s="22" t="e">
        <f>CONCATENATE("P",(LEFT('BASE OBZ'!#REF!,3)),'BASE OBZ'!#REF!)</f>
        <v>#REF!</v>
      </c>
      <c r="C536" t="s">
        <v>1777</v>
      </c>
    </row>
    <row r="537" spans="1:3" x14ac:dyDescent="0.25">
      <c r="A537" s="22" t="e">
        <f>CONCATENATE('BASE OBZ'!#REF!,"PROG")</f>
        <v>#REF!</v>
      </c>
      <c r="B537" s="22" t="e">
        <f>CONCATENATE("P",(LEFT('BASE OBZ'!#REF!,3)),'BASE OBZ'!#REF!)</f>
        <v>#REF!</v>
      </c>
      <c r="C537" t="s">
        <v>1777</v>
      </c>
    </row>
    <row r="538" spans="1:3" x14ac:dyDescent="0.25">
      <c r="A538" s="22" t="e">
        <f>CONCATENATE('BASE OBZ'!#REF!,"PROG")</f>
        <v>#REF!</v>
      </c>
      <c r="B538" s="22" t="e">
        <f>CONCATENATE("P",(LEFT('BASE OBZ'!#REF!,3)),'BASE OBZ'!#REF!)</f>
        <v>#REF!</v>
      </c>
      <c r="C538" t="s">
        <v>1777</v>
      </c>
    </row>
    <row r="539" spans="1:3" x14ac:dyDescent="0.25">
      <c r="A539" s="22" t="e">
        <f>CONCATENATE('BASE OBZ'!#REF!,"PROG")</f>
        <v>#REF!</v>
      </c>
      <c r="B539" s="22" t="e">
        <f>CONCATENATE("P",(LEFT('BASE OBZ'!#REF!,3)),'BASE OBZ'!#REF!)</f>
        <v>#REF!</v>
      </c>
      <c r="C539" t="s">
        <v>1777</v>
      </c>
    </row>
    <row r="540" spans="1:3" x14ac:dyDescent="0.25">
      <c r="A540" s="22" t="e">
        <f>CONCATENATE('BASE OBZ'!#REF!,"PROG")</f>
        <v>#REF!</v>
      </c>
      <c r="B540" s="22" t="e">
        <f>CONCATENATE("P",(LEFT('BASE OBZ'!#REF!,3)),'BASE OBZ'!#REF!)</f>
        <v>#REF!</v>
      </c>
      <c r="C540" t="s">
        <v>1777</v>
      </c>
    </row>
    <row r="541" spans="1:3" x14ac:dyDescent="0.25">
      <c r="A541" s="22" t="e">
        <f>CONCATENATE('BASE OBZ'!#REF!,"PROG")</f>
        <v>#REF!</v>
      </c>
      <c r="B541" s="22" t="e">
        <f>CONCATENATE("P",(LEFT('BASE OBZ'!#REF!,3)),'BASE OBZ'!#REF!)</f>
        <v>#REF!</v>
      </c>
      <c r="C541" t="s">
        <v>1777</v>
      </c>
    </row>
    <row r="542" spans="1:3" x14ac:dyDescent="0.25">
      <c r="A542" s="22" t="e">
        <f>CONCATENATE('BASE OBZ'!#REF!,"PROG")</f>
        <v>#REF!</v>
      </c>
      <c r="B542" s="22" t="e">
        <f>CONCATENATE("P",(LEFT('BASE OBZ'!#REF!,3)),'BASE OBZ'!#REF!)</f>
        <v>#REF!</v>
      </c>
      <c r="C542" t="s">
        <v>1777</v>
      </c>
    </row>
    <row r="543" spans="1:3" x14ac:dyDescent="0.25">
      <c r="A543" s="22" t="e">
        <f>CONCATENATE('BASE OBZ'!#REF!,"PROG")</f>
        <v>#REF!</v>
      </c>
      <c r="B543" s="22" t="e">
        <f>CONCATENATE("P",(LEFT('BASE OBZ'!#REF!,3)),'BASE OBZ'!#REF!)</f>
        <v>#REF!</v>
      </c>
      <c r="C543" t="s">
        <v>1777</v>
      </c>
    </row>
    <row r="544" spans="1:3" x14ac:dyDescent="0.25">
      <c r="A544" s="22" t="e">
        <f>CONCATENATE('BASE OBZ'!#REF!,"PROG")</f>
        <v>#REF!</v>
      </c>
      <c r="B544" s="22" t="e">
        <f>CONCATENATE("P",(LEFT('BASE OBZ'!#REF!,3)),'BASE OBZ'!#REF!)</f>
        <v>#REF!</v>
      </c>
      <c r="C544" t="s">
        <v>1777</v>
      </c>
    </row>
    <row r="545" spans="1:3" x14ac:dyDescent="0.25">
      <c r="A545" s="22" t="e">
        <f>CONCATENATE('BASE OBZ'!#REF!,"PROG")</f>
        <v>#REF!</v>
      </c>
      <c r="B545" s="22" t="e">
        <f>CONCATENATE("P",(LEFT('BASE OBZ'!#REF!,3)),'BASE OBZ'!#REF!)</f>
        <v>#REF!</v>
      </c>
      <c r="C545" t="s">
        <v>1777</v>
      </c>
    </row>
    <row r="546" spans="1:3" x14ac:dyDescent="0.25">
      <c r="A546" s="22" t="e">
        <f>CONCATENATE('BASE OBZ'!#REF!,"PROG")</f>
        <v>#REF!</v>
      </c>
      <c r="B546" s="22" t="e">
        <f>CONCATENATE("P",(LEFT('BASE OBZ'!#REF!,3)),'BASE OBZ'!#REF!)</f>
        <v>#REF!</v>
      </c>
      <c r="C546" t="s">
        <v>1777</v>
      </c>
    </row>
    <row r="547" spans="1:3" x14ac:dyDescent="0.25">
      <c r="A547" s="22" t="e">
        <f>CONCATENATE('BASE OBZ'!#REF!,"PROG")</f>
        <v>#REF!</v>
      </c>
      <c r="B547" s="22" t="e">
        <f>CONCATENATE("P",(LEFT('BASE OBZ'!#REF!,3)),'BASE OBZ'!#REF!)</f>
        <v>#REF!</v>
      </c>
      <c r="C547" t="s">
        <v>1777</v>
      </c>
    </row>
    <row r="548" spans="1:3" x14ac:dyDescent="0.25">
      <c r="A548" s="22" t="e">
        <f>CONCATENATE('BASE OBZ'!#REF!,"PROG")</f>
        <v>#REF!</v>
      </c>
      <c r="B548" s="22" t="e">
        <f>CONCATENATE("P",(LEFT('BASE OBZ'!#REF!,3)),'BASE OBZ'!#REF!)</f>
        <v>#REF!</v>
      </c>
      <c r="C548" t="s">
        <v>1777</v>
      </c>
    </row>
    <row r="549" spans="1:3" x14ac:dyDescent="0.25">
      <c r="A549" s="22" t="e">
        <f>CONCATENATE('BASE OBZ'!#REF!,"PROG")</f>
        <v>#REF!</v>
      </c>
      <c r="B549" s="22" t="e">
        <f>CONCATENATE("P",(LEFT('BASE OBZ'!#REF!,3)),'BASE OBZ'!#REF!)</f>
        <v>#REF!</v>
      </c>
      <c r="C549" t="s">
        <v>1777</v>
      </c>
    </row>
    <row r="550" spans="1:3" x14ac:dyDescent="0.25">
      <c r="A550" s="22" t="e">
        <f>CONCATENATE('BASE OBZ'!#REF!,"PROG")</f>
        <v>#REF!</v>
      </c>
      <c r="B550" s="22" t="e">
        <f>CONCATENATE("P",(LEFT('BASE OBZ'!#REF!,3)),'BASE OBZ'!#REF!)</f>
        <v>#REF!</v>
      </c>
      <c r="C550" t="s">
        <v>1777</v>
      </c>
    </row>
    <row r="551" spans="1:3" x14ac:dyDescent="0.25">
      <c r="A551" s="22" t="e">
        <f>CONCATENATE('BASE OBZ'!#REF!,"PROG")</f>
        <v>#REF!</v>
      </c>
      <c r="B551" s="22" t="e">
        <f>CONCATENATE("P",(LEFT('BASE OBZ'!#REF!,3)),'BASE OBZ'!#REF!)</f>
        <v>#REF!</v>
      </c>
      <c r="C551" t="s">
        <v>1777</v>
      </c>
    </row>
    <row r="552" spans="1:3" x14ac:dyDescent="0.25">
      <c r="A552" s="22" t="e">
        <f>CONCATENATE('BASE OBZ'!#REF!,"PROG")</f>
        <v>#REF!</v>
      </c>
      <c r="B552" s="22" t="e">
        <f>CONCATENATE("P",(LEFT('BASE OBZ'!#REF!,3)),'BASE OBZ'!#REF!)</f>
        <v>#REF!</v>
      </c>
      <c r="C552" t="s">
        <v>1777</v>
      </c>
    </row>
    <row r="553" spans="1:3" x14ac:dyDescent="0.25">
      <c r="A553" s="22" t="e">
        <f>CONCATENATE('BASE OBZ'!#REF!,"PROG")</f>
        <v>#REF!</v>
      </c>
      <c r="B553" s="22" t="e">
        <f>CONCATENATE("P",(LEFT('BASE OBZ'!#REF!,3)),'BASE OBZ'!#REF!)</f>
        <v>#REF!</v>
      </c>
      <c r="C553" t="s">
        <v>1777</v>
      </c>
    </row>
    <row r="554" spans="1:3" x14ac:dyDescent="0.25">
      <c r="A554" s="22" t="e">
        <f>CONCATENATE('BASE OBZ'!#REF!,"PROG")</f>
        <v>#REF!</v>
      </c>
      <c r="B554" s="22" t="e">
        <f>CONCATENATE("P",(LEFT('BASE OBZ'!#REF!,3)),'BASE OBZ'!#REF!)</f>
        <v>#REF!</v>
      </c>
      <c r="C554" t="s">
        <v>1777</v>
      </c>
    </row>
    <row r="555" spans="1:3" x14ac:dyDescent="0.25">
      <c r="A555" s="22" t="e">
        <f>CONCATENATE('BASE OBZ'!#REF!,"PROG")</f>
        <v>#REF!</v>
      </c>
      <c r="B555" s="22" t="e">
        <f>CONCATENATE("P",(LEFT('BASE OBZ'!#REF!,3)),'BASE OBZ'!#REF!)</f>
        <v>#REF!</v>
      </c>
      <c r="C555" t="s">
        <v>1777</v>
      </c>
    </row>
    <row r="556" spans="1:3" x14ac:dyDescent="0.25">
      <c r="A556" s="22" t="e">
        <f>CONCATENATE('BASE OBZ'!#REF!,"PROG")</f>
        <v>#REF!</v>
      </c>
      <c r="B556" s="22" t="e">
        <f>CONCATENATE("P",(LEFT('BASE OBZ'!#REF!,3)),'BASE OBZ'!#REF!)</f>
        <v>#REF!</v>
      </c>
      <c r="C556" t="s">
        <v>1777</v>
      </c>
    </row>
    <row r="557" spans="1:3" x14ac:dyDescent="0.25">
      <c r="A557" s="22" t="e">
        <f>CONCATENATE('BASE OBZ'!#REF!,"PROG")</f>
        <v>#REF!</v>
      </c>
      <c r="B557" s="22" t="e">
        <f>CONCATENATE("P",(LEFT('BASE OBZ'!#REF!,3)),'BASE OBZ'!#REF!)</f>
        <v>#REF!</v>
      </c>
      <c r="C557" t="s">
        <v>1777</v>
      </c>
    </row>
    <row r="558" spans="1:3" x14ac:dyDescent="0.25">
      <c r="A558" s="22" t="e">
        <f>CONCATENATE('BASE OBZ'!#REF!,"PROG")</f>
        <v>#REF!</v>
      </c>
      <c r="B558" s="22" t="e">
        <f>CONCATENATE("P",(LEFT('BASE OBZ'!#REF!,3)),'BASE OBZ'!#REF!)</f>
        <v>#REF!</v>
      </c>
      <c r="C558" t="s">
        <v>1777</v>
      </c>
    </row>
    <row r="559" spans="1:3" x14ac:dyDescent="0.25">
      <c r="A559" s="22" t="e">
        <f>CONCATENATE('BASE OBZ'!#REF!,"PROG")</f>
        <v>#REF!</v>
      </c>
      <c r="B559" s="22" t="e">
        <f>CONCATENATE("P",(LEFT('BASE OBZ'!#REF!,3)),'BASE OBZ'!#REF!)</f>
        <v>#REF!</v>
      </c>
      <c r="C559" t="s">
        <v>1777</v>
      </c>
    </row>
    <row r="560" spans="1:3" x14ac:dyDescent="0.25">
      <c r="A560" s="22" t="e">
        <f>CONCATENATE('BASE OBZ'!#REF!,"PROG")</f>
        <v>#REF!</v>
      </c>
      <c r="B560" s="22" t="e">
        <f>CONCATENATE("P",(LEFT('BASE OBZ'!#REF!,3)),'BASE OBZ'!#REF!)</f>
        <v>#REF!</v>
      </c>
      <c r="C560" t="s">
        <v>1777</v>
      </c>
    </row>
    <row r="561" spans="1:3" x14ac:dyDescent="0.25">
      <c r="A561" s="22" t="e">
        <f>CONCATENATE('BASE OBZ'!#REF!,"PROG")</f>
        <v>#REF!</v>
      </c>
      <c r="B561" s="22" t="e">
        <f>CONCATENATE("P",(LEFT('BASE OBZ'!#REF!,3)),'BASE OBZ'!#REF!)</f>
        <v>#REF!</v>
      </c>
      <c r="C561" t="s">
        <v>1777</v>
      </c>
    </row>
    <row r="562" spans="1:3" x14ac:dyDescent="0.25">
      <c r="A562" s="22" t="e">
        <f>CONCATENATE('BASE OBZ'!#REF!,"PROG")</f>
        <v>#REF!</v>
      </c>
      <c r="B562" s="22" t="e">
        <f>CONCATENATE("P",(LEFT('BASE OBZ'!#REF!,3)),'BASE OBZ'!#REF!)</f>
        <v>#REF!</v>
      </c>
      <c r="C562" t="s">
        <v>1777</v>
      </c>
    </row>
    <row r="563" spans="1:3" x14ac:dyDescent="0.25">
      <c r="A563" s="22" t="e">
        <f>CONCATENATE('BASE OBZ'!#REF!,"PROG")</f>
        <v>#REF!</v>
      </c>
      <c r="B563" s="22" t="e">
        <f>CONCATENATE("P",(LEFT('BASE OBZ'!#REF!,3)),'BASE OBZ'!#REF!)</f>
        <v>#REF!</v>
      </c>
      <c r="C563" t="s">
        <v>1777</v>
      </c>
    </row>
    <row r="564" spans="1:3" x14ac:dyDescent="0.25">
      <c r="A564" s="22" t="e">
        <f>CONCATENATE('BASE OBZ'!#REF!,"PROG")</f>
        <v>#REF!</v>
      </c>
      <c r="B564" s="22" t="e">
        <f>CONCATENATE("P",(LEFT('BASE OBZ'!#REF!,3)),'BASE OBZ'!#REF!)</f>
        <v>#REF!</v>
      </c>
      <c r="C564" t="s">
        <v>1777</v>
      </c>
    </row>
    <row r="565" spans="1:3" x14ac:dyDescent="0.25">
      <c r="A565" s="22" t="e">
        <f>CONCATENATE('BASE OBZ'!#REF!,"PROG")</f>
        <v>#REF!</v>
      </c>
      <c r="B565" s="22" t="e">
        <f>CONCATENATE("P",(LEFT('BASE OBZ'!#REF!,3)),'BASE OBZ'!#REF!)</f>
        <v>#REF!</v>
      </c>
      <c r="C565" t="s">
        <v>1777</v>
      </c>
    </row>
    <row r="566" spans="1:3" x14ac:dyDescent="0.25">
      <c r="A566" s="22" t="e">
        <f>CONCATENATE('BASE OBZ'!#REF!,"PROG")</f>
        <v>#REF!</v>
      </c>
      <c r="B566" s="22" t="e">
        <f>CONCATENATE("P",(LEFT('BASE OBZ'!#REF!,3)),'BASE OBZ'!#REF!)</f>
        <v>#REF!</v>
      </c>
      <c r="C566" t="s">
        <v>1777</v>
      </c>
    </row>
    <row r="567" spans="1:3" x14ac:dyDescent="0.25">
      <c r="A567" s="22" t="e">
        <f>CONCATENATE('BASE OBZ'!#REF!,"PROG")</f>
        <v>#REF!</v>
      </c>
      <c r="B567" s="22" t="e">
        <f>CONCATENATE("P",(LEFT('BASE OBZ'!#REF!,3)),'BASE OBZ'!#REF!)</f>
        <v>#REF!</v>
      </c>
      <c r="C567" t="s">
        <v>1777</v>
      </c>
    </row>
    <row r="568" spans="1:3" x14ac:dyDescent="0.25">
      <c r="A568" s="22" t="e">
        <f>CONCATENATE('BASE OBZ'!#REF!,"PROG")</f>
        <v>#REF!</v>
      </c>
      <c r="B568" s="22" t="e">
        <f>CONCATENATE("P",(LEFT('BASE OBZ'!#REF!,3)),'BASE OBZ'!#REF!)</f>
        <v>#REF!</v>
      </c>
      <c r="C568" t="s">
        <v>1777</v>
      </c>
    </row>
    <row r="569" spans="1:3" x14ac:dyDescent="0.25">
      <c r="A569" s="22" t="e">
        <f>CONCATENATE('BASE OBZ'!#REF!,"PROG")</f>
        <v>#REF!</v>
      </c>
      <c r="B569" s="22" t="e">
        <f>CONCATENATE("P",(LEFT('BASE OBZ'!#REF!,3)),'BASE OBZ'!#REF!)</f>
        <v>#REF!</v>
      </c>
      <c r="C569" t="s">
        <v>1777</v>
      </c>
    </row>
    <row r="570" spans="1:3" x14ac:dyDescent="0.25">
      <c r="A570" s="22" t="e">
        <f>CONCATENATE('BASE OBZ'!#REF!,"PROG")</f>
        <v>#REF!</v>
      </c>
      <c r="B570" s="22" t="e">
        <f>CONCATENATE("P",(LEFT('BASE OBZ'!#REF!,3)),'BASE OBZ'!#REF!)</f>
        <v>#REF!</v>
      </c>
      <c r="C570" t="s">
        <v>1777</v>
      </c>
    </row>
    <row r="571" spans="1:3" x14ac:dyDescent="0.25">
      <c r="A571" s="22" t="e">
        <f>CONCATENATE('BASE OBZ'!#REF!,"PROG")</f>
        <v>#REF!</v>
      </c>
      <c r="B571" s="22" t="e">
        <f>CONCATENATE("P",(LEFT('BASE OBZ'!#REF!,3)),'BASE OBZ'!#REF!)</f>
        <v>#REF!</v>
      </c>
      <c r="C571" t="s">
        <v>1777</v>
      </c>
    </row>
    <row r="572" spans="1:3" x14ac:dyDescent="0.25">
      <c r="A572" s="22" t="e">
        <f>CONCATENATE('BASE OBZ'!#REF!,"PROG")</f>
        <v>#REF!</v>
      </c>
      <c r="B572" s="22" t="e">
        <f>CONCATENATE("P",(LEFT('BASE OBZ'!#REF!,3)),'BASE OBZ'!#REF!)</f>
        <v>#REF!</v>
      </c>
      <c r="C572" t="s">
        <v>1777</v>
      </c>
    </row>
    <row r="573" spans="1:3" x14ac:dyDescent="0.25">
      <c r="A573" s="22" t="e">
        <f>CONCATENATE('BASE OBZ'!#REF!,"PROG")</f>
        <v>#REF!</v>
      </c>
      <c r="B573" s="22" t="e">
        <f>CONCATENATE("P",(LEFT('BASE OBZ'!#REF!,3)),'BASE OBZ'!#REF!)</f>
        <v>#REF!</v>
      </c>
      <c r="C573" t="s">
        <v>1777</v>
      </c>
    </row>
    <row r="574" spans="1:3" x14ac:dyDescent="0.25">
      <c r="A574" s="22" t="e">
        <f>CONCATENATE('BASE OBZ'!#REF!,"PROG")</f>
        <v>#REF!</v>
      </c>
      <c r="B574" s="22" t="e">
        <f>CONCATENATE("P",(LEFT('BASE OBZ'!#REF!,3)),'BASE OBZ'!#REF!)</f>
        <v>#REF!</v>
      </c>
      <c r="C574" t="s">
        <v>1777</v>
      </c>
    </row>
    <row r="575" spans="1:3" x14ac:dyDescent="0.25">
      <c r="A575" s="22" t="e">
        <f>CONCATENATE('BASE OBZ'!#REF!,"PROG")</f>
        <v>#REF!</v>
      </c>
      <c r="B575" s="22" t="e">
        <f>CONCATENATE("P",(LEFT('BASE OBZ'!#REF!,3)),'BASE OBZ'!#REF!)</f>
        <v>#REF!</v>
      </c>
      <c r="C575" t="s">
        <v>1777</v>
      </c>
    </row>
    <row r="576" spans="1:3" x14ac:dyDescent="0.25">
      <c r="A576" s="22" t="e">
        <f>CONCATENATE('BASE OBZ'!#REF!,"PROG")</f>
        <v>#REF!</v>
      </c>
      <c r="B576" s="22" t="e">
        <f>CONCATENATE("P",(LEFT('BASE OBZ'!#REF!,3)),'BASE OBZ'!#REF!)</f>
        <v>#REF!</v>
      </c>
      <c r="C576" t="s">
        <v>1777</v>
      </c>
    </row>
    <row r="577" spans="1:3" x14ac:dyDescent="0.25">
      <c r="A577" s="22" t="e">
        <f>CONCATENATE('BASE OBZ'!#REF!,"PROG")</f>
        <v>#REF!</v>
      </c>
      <c r="B577" s="22" t="e">
        <f>CONCATENATE("P",(LEFT('BASE OBZ'!#REF!,3)),'BASE OBZ'!#REF!)</f>
        <v>#REF!</v>
      </c>
      <c r="C577" t="s">
        <v>1777</v>
      </c>
    </row>
    <row r="578" spans="1:3" x14ac:dyDescent="0.25">
      <c r="A578" s="22" t="e">
        <f>CONCATENATE('BASE OBZ'!#REF!,"PROG")</f>
        <v>#REF!</v>
      </c>
      <c r="B578" s="22" t="e">
        <f>CONCATENATE("P",(LEFT('BASE OBZ'!#REF!,3)),'BASE OBZ'!#REF!)</f>
        <v>#REF!</v>
      </c>
      <c r="C578" t="s">
        <v>1777</v>
      </c>
    </row>
    <row r="579" spans="1:3" x14ac:dyDescent="0.25">
      <c r="A579" s="22" t="e">
        <f>CONCATENATE('BASE OBZ'!#REF!,"PROG")</f>
        <v>#REF!</v>
      </c>
      <c r="B579" s="22" t="e">
        <f>CONCATENATE("P",(LEFT('BASE OBZ'!#REF!,3)),'BASE OBZ'!#REF!)</f>
        <v>#REF!</v>
      </c>
      <c r="C579" t="s">
        <v>1777</v>
      </c>
    </row>
    <row r="580" spans="1:3" x14ac:dyDescent="0.25">
      <c r="A580" s="22" t="e">
        <f>CONCATENATE('BASE OBZ'!#REF!,"PROG")</f>
        <v>#REF!</v>
      </c>
      <c r="B580" s="22" t="e">
        <f>CONCATENATE("P",(LEFT('BASE OBZ'!#REF!,3)),'BASE OBZ'!#REF!)</f>
        <v>#REF!</v>
      </c>
      <c r="C580" t="s">
        <v>1777</v>
      </c>
    </row>
    <row r="581" spans="1:3" x14ac:dyDescent="0.25">
      <c r="A581" s="22" t="e">
        <f>CONCATENATE('BASE OBZ'!#REF!,"PROG")</f>
        <v>#REF!</v>
      </c>
      <c r="B581" s="22" t="e">
        <f>CONCATENATE("P",(LEFT('BASE OBZ'!#REF!,3)),'BASE OBZ'!#REF!)</f>
        <v>#REF!</v>
      </c>
      <c r="C581" t="s">
        <v>1777</v>
      </c>
    </row>
    <row r="582" spans="1:3" x14ac:dyDescent="0.25">
      <c r="A582" s="22" t="e">
        <f>CONCATENATE('BASE OBZ'!#REF!,"PROG")</f>
        <v>#REF!</v>
      </c>
      <c r="B582" s="22" t="e">
        <f>CONCATENATE("P",(LEFT('BASE OBZ'!#REF!,3)),'BASE OBZ'!#REF!)</f>
        <v>#REF!</v>
      </c>
      <c r="C582" t="s">
        <v>1777</v>
      </c>
    </row>
    <row r="583" spans="1:3" x14ac:dyDescent="0.25">
      <c r="A583" s="22" t="e">
        <f>CONCATENATE('BASE OBZ'!#REF!,"PROG")</f>
        <v>#REF!</v>
      </c>
      <c r="B583" s="22" t="e">
        <f>CONCATENATE("P",(LEFT('BASE OBZ'!#REF!,3)),'BASE OBZ'!#REF!)</f>
        <v>#REF!</v>
      </c>
      <c r="C583" t="s">
        <v>1777</v>
      </c>
    </row>
    <row r="584" spans="1:3" x14ac:dyDescent="0.25">
      <c r="A584" s="22" t="e">
        <f>CONCATENATE('BASE OBZ'!#REF!,"PROG")</f>
        <v>#REF!</v>
      </c>
      <c r="B584" s="22" t="e">
        <f>CONCATENATE("P",(LEFT('BASE OBZ'!#REF!,3)),'BASE OBZ'!#REF!)</f>
        <v>#REF!</v>
      </c>
      <c r="C584" t="s">
        <v>1777</v>
      </c>
    </row>
    <row r="585" spans="1:3" x14ac:dyDescent="0.25">
      <c r="A585" s="22" t="e">
        <f>CONCATENATE('BASE OBZ'!#REF!,"PROG")</f>
        <v>#REF!</v>
      </c>
      <c r="B585" s="22" t="e">
        <f>CONCATENATE("P",(LEFT('BASE OBZ'!#REF!,3)),'BASE OBZ'!#REF!)</f>
        <v>#REF!</v>
      </c>
      <c r="C585" t="s">
        <v>1777</v>
      </c>
    </row>
    <row r="586" spans="1:3" x14ac:dyDescent="0.25">
      <c r="A586" s="22" t="e">
        <f>CONCATENATE('BASE OBZ'!#REF!,"PROG")</f>
        <v>#REF!</v>
      </c>
      <c r="B586" s="22" t="e">
        <f>CONCATENATE("P",(LEFT('BASE OBZ'!#REF!,3)),'BASE OBZ'!#REF!)</f>
        <v>#REF!</v>
      </c>
      <c r="C586" t="s">
        <v>1777</v>
      </c>
    </row>
    <row r="587" spans="1:3" x14ac:dyDescent="0.25">
      <c r="A587" s="22" t="e">
        <f>CONCATENATE('BASE OBZ'!#REF!,"PROG")</f>
        <v>#REF!</v>
      </c>
      <c r="B587" s="22" t="e">
        <f>CONCATENATE("P",(LEFT('BASE OBZ'!#REF!,3)),'BASE OBZ'!#REF!)</f>
        <v>#REF!</v>
      </c>
      <c r="C587" t="s">
        <v>1777</v>
      </c>
    </row>
    <row r="588" spans="1:3" x14ac:dyDescent="0.25">
      <c r="A588" s="22" t="e">
        <f>CONCATENATE('BASE OBZ'!#REF!,"PROG")</f>
        <v>#REF!</v>
      </c>
      <c r="B588" s="22" t="e">
        <f>CONCATENATE("P",(LEFT('BASE OBZ'!#REF!,3)),'BASE OBZ'!#REF!)</f>
        <v>#REF!</v>
      </c>
      <c r="C588" t="s">
        <v>1777</v>
      </c>
    </row>
    <row r="589" spans="1:3" x14ac:dyDescent="0.25">
      <c r="A589" s="22" t="e">
        <f>CONCATENATE('BASE OBZ'!#REF!,"PROG")</f>
        <v>#REF!</v>
      </c>
      <c r="B589" s="22" t="e">
        <f>CONCATENATE("P",(LEFT('BASE OBZ'!#REF!,3)),'BASE OBZ'!#REF!)</f>
        <v>#REF!</v>
      </c>
      <c r="C589" t="s">
        <v>1777</v>
      </c>
    </row>
    <row r="590" spans="1:3" x14ac:dyDescent="0.25">
      <c r="A590" s="22" t="e">
        <f>CONCATENATE('BASE OBZ'!#REF!,"PROG")</f>
        <v>#REF!</v>
      </c>
      <c r="B590" s="22" t="e">
        <f>CONCATENATE("P",(LEFT('BASE OBZ'!#REF!,3)),'BASE OBZ'!#REF!)</f>
        <v>#REF!</v>
      </c>
      <c r="C590" t="s">
        <v>1777</v>
      </c>
    </row>
    <row r="591" spans="1:3" x14ac:dyDescent="0.25">
      <c r="A591" s="22" t="e">
        <f>CONCATENATE('BASE OBZ'!#REF!,"PROG")</f>
        <v>#REF!</v>
      </c>
      <c r="B591" s="22" t="e">
        <f>CONCATENATE("P",(LEFT('BASE OBZ'!#REF!,3)),'BASE OBZ'!#REF!)</f>
        <v>#REF!</v>
      </c>
      <c r="C591" t="s">
        <v>1777</v>
      </c>
    </row>
    <row r="592" spans="1:3" x14ac:dyDescent="0.25">
      <c r="A592" s="22" t="e">
        <f>CONCATENATE('BASE OBZ'!#REF!,"PROG")</f>
        <v>#REF!</v>
      </c>
      <c r="B592" s="22" t="e">
        <f>CONCATENATE("P",(LEFT('BASE OBZ'!#REF!,3)),'BASE OBZ'!#REF!)</f>
        <v>#REF!</v>
      </c>
      <c r="C592" t="s">
        <v>1777</v>
      </c>
    </row>
    <row r="593" spans="1:3" x14ac:dyDescent="0.25">
      <c r="A593" s="22" t="e">
        <f>CONCATENATE('BASE OBZ'!#REF!,"PROG")</f>
        <v>#REF!</v>
      </c>
      <c r="B593" s="22" t="e">
        <f>CONCATENATE("P",(LEFT('BASE OBZ'!#REF!,3)),'BASE OBZ'!#REF!)</f>
        <v>#REF!</v>
      </c>
      <c r="C593" t="s">
        <v>1777</v>
      </c>
    </row>
    <row r="594" spans="1:3" x14ac:dyDescent="0.25">
      <c r="A594" s="22" t="e">
        <f>CONCATENATE('BASE OBZ'!#REF!,"PROG")</f>
        <v>#REF!</v>
      </c>
      <c r="B594" s="22" t="e">
        <f>CONCATENATE("P",(LEFT('BASE OBZ'!#REF!,3)),'BASE OBZ'!#REF!)</f>
        <v>#REF!</v>
      </c>
      <c r="C594" t="s">
        <v>1777</v>
      </c>
    </row>
    <row r="595" spans="1:3" x14ac:dyDescent="0.25">
      <c r="A595" s="22" t="e">
        <f>CONCATENATE('BASE OBZ'!#REF!,"PROG")</f>
        <v>#REF!</v>
      </c>
      <c r="B595" s="22" t="e">
        <f>CONCATENATE("P",(LEFT('BASE OBZ'!#REF!,3)),'BASE OBZ'!#REF!)</f>
        <v>#REF!</v>
      </c>
      <c r="C595" t="s">
        <v>1777</v>
      </c>
    </row>
    <row r="596" spans="1:3" x14ac:dyDescent="0.25">
      <c r="A596" s="22" t="e">
        <f>CONCATENATE('BASE OBZ'!#REF!,"PROG")</f>
        <v>#REF!</v>
      </c>
      <c r="B596" s="22" t="e">
        <f>CONCATENATE("P",(LEFT('BASE OBZ'!#REF!,3)),'BASE OBZ'!#REF!)</f>
        <v>#REF!</v>
      </c>
      <c r="C596" t="s">
        <v>1777</v>
      </c>
    </row>
    <row r="597" spans="1:3" x14ac:dyDescent="0.25">
      <c r="A597" s="22" t="e">
        <f>CONCATENATE('BASE OBZ'!#REF!,"PROG")</f>
        <v>#REF!</v>
      </c>
      <c r="B597" s="22" t="e">
        <f>CONCATENATE("P",(LEFT('BASE OBZ'!#REF!,3)),'BASE OBZ'!#REF!)</f>
        <v>#REF!</v>
      </c>
      <c r="C597" t="s">
        <v>1777</v>
      </c>
    </row>
    <row r="598" spans="1:3" x14ac:dyDescent="0.25">
      <c r="A598" s="22" t="e">
        <f>CONCATENATE('BASE OBZ'!#REF!,"PROG")</f>
        <v>#REF!</v>
      </c>
      <c r="B598" s="22" t="e">
        <f>CONCATENATE("P",(LEFT('BASE OBZ'!#REF!,3)),'BASE OBZ'!#REF!)</f>
        <v>#REF!</v>
      </c>
      <c r="C598" t="s">
        <v>1777</v>
      </c>
    </row>
    <row r="599" spans="1:3" x14ac:dyDescent="0.25">
      <c r="A599" s="22" t="e">
        <f>CONCATENATE('BASE OBZ'!#REF!,"PROG")</f>
        <v>#REF!</v>
      </c>
      <c r="B599" s="22" t="e">
        <f>CONCATENATE("P",(LEFT('BASE OBZ'!#REF!,3)),'BASE OBZ'!#REF!)</f>
        <v>#REF!</v>
      </c>
      <c r="C599" t="s">
        <v>1777</v>
      </c>
    </row>
    <row r="600" spans="1:3" x14ac:dyDescent="0.25">
      <c r="A600" s="22" t="e">
        <f>CONCATENATE('BASE OBZ'!#REF!,"PROG")</f>
        <v>#REF!</v>
      </c>
      <c r="B600" s="22" t="e">
        <f>CONCATENATE("P",(LEFT('BASE OBZ'!#REF!,3)),'BASE OBZ'!#REF!)</f>
        <v>#REF!</v>
      </c>
      <c r="C600" t="s">
        <v>1777</v>
      </c>
    </row>
    <row r="601" spans="1:3" x14ac:dyDescent="0.25">
      <c r="A601" s="22" t="e">
        <f>CONCATENATE('BASE OBZ'!#REF!,"PROG")</f>
        <v>#REF!</v>
      </c>
      <c r="B601" s="22" t="e">
        <f>CONCATENATE("P",(LEFT('BASE OBZ'!#REF!,3)),'BASE OBZ'!#REF!)</f>
        <v>#REF!</v>
      </c>
      <c r="C601" t="s">
        <v>1777</v>
      </c>
    </row>
    <row r="602" spans="1:3" x14ac:dyDescent="0.25">
      <c r="A602" s="22" t="e">
        <f>CONCATENATE('BASE OBZ'!#REF!,"PROG")</f>
        <v>#REF!</v>
      </c>
      <c r="B602" s="22" t="e">
        <f>CONCATENATE("P",(LEFT('BASE OBZ'!#REF!,3)),'BASE OBZ'!#REF!)</f>
        <v>#REF!</v>
      </c>
      <c r="C602" t="s">
        <v>1777</v>
      </c>
    </row>
    <row r="603" spans="1:3" x14ac:dyDescent="0.25">
      <c r="A603" s="22" t="e">
        <f>CONCATENATE('BASE OBZ'!#REF!,"PROG")</f>
        <v>#REF!</v>
      </c>
      <c r="B603" s="22" t="e">
        <f>CONCATENATE("P",(LEFT('BASE OBZ'!#REF!,3)),'BASE OBZ'!#REF!)</f>
        <v>#REF!</v>
      </c>
      <c r="C603" t="s">
        <v>1777</v>
      </c>
    </row>
    <row r="604" spans="1:3" x14ac:dyDescent="0.25">
      <c r="A604" s="22" t="e">
        <f>CONCATENATE('BASE OBZ'!#REF!,"PROG")</f>
        <v>#REF!</v>
      </c>
      <c r="B604" s="22" t="e">
        <f>CONCATENATE("P",(LEFT('BASE OBZ'!#REF!,3)),'BASE OBZ'!#REF!)</f>
        <v>#REF!</v>
      </c>
      <c r="C604" t="s">
        <v>1777</v>
      </c>
    </row>
    <row r="605" spans="1:3" x14ac:dyDescent="0.25">
      <c r="A605" s="22" t="e">
        <f>CONCATENATE('BASE OBZ'!#REF!,"PROG")</f>
        <v>#REF!</v>
      </c>
      <c r="B605" s="22" t="e">
        <f>CONCATENATE("P",(LEFT('BASE OBZ'!#REF!,3)),'BASE OBZ'!#REF!)</f>
        <v>#REF!</v>
      </c>
      <c r="C605" t="s">
        <v>1777</v>
      </c>
    </row>
    <row r="606" spans="1:3" x14ac:dyDescent="0.25">
      <c r="A606" s="22" t="e">
        <f>CONCATENATE('BASE OBZ'!#REF!,"PROG")</f>
        <v>#REF!</v>
      </c>
      <c r="B606" s="22" t="e">
        <f>CONCATENATE("P",(LEFT('BASE OBZ'!#REF!,3)),'BASE OBZ'!#REF!)</f>
        <v>#REF!</v>
      </c>
      <c r="C606" t="s">
        <v>1777</v>
      </c>
    </row>
    <row r="607" spans="1:3" x14ac:dyDescent="0.25">
      <c r="A607" s="22" t="e">
        <f>CONCATENATE('BASE OBZ'!#REF!,"PROG")</f>
        <v>#REF!</v>
      </c>
      <c r="B607" s="22" t="e">
        <f>CONCATENATE("P",(LEFT('BASE OBZ'!#REF!,3)),'BASE OBZ'!#REF!)</f>
        <v>#REF!</v>
      </c>
      <c r="C607" t="s">
        <v>1777</v>
      </c>
    </row>
    <row r="608" spans="1:3" x14ac:dyDescent="0.25">
      <c r="A608" s="22" t="e">
        <f>CONCATENATE('BASE OBZ'!#REF!,"PROG")</f>
        <v>#REF!</v>
      </c>
      <c r="B608" s="22" t="e">
        <f>CONCATENATE("P",(LEFT('BASE OBZ'!#REF!,3)),'BASE OBZ'!#REF!)</f>
        <v>#REF!</v>
      </c>
      <c r="C608" t="s">
        <v>1777</v>
      </c>
    </row>
    <row r="609" spans="1:3" x14ac:dyDescent="0.25">
      <c r="A609" s="22" t="e">
        <f>CONCATENATE('BASE OBZ'!#REF!,"PROG")</f>
        <v>#REF!</v>
      </c>
      <c r="B609" s="22" t="e">
        <f>CONCATENATE("P",(LEFT('BASE OBZ'!#REF!,3)),'BASE OBZ'!#REF!)</f>
        <v>#REF!</v>
      </c>
      <c r="C609" t="s">
        <v>1777</v>
      </c>
    </row>
    <row r="610" spans="1:3" x14ac:dyDescent="0.25">
      <c r="A610" s="22" t="e">
        <f>CONCATENATE('BASE OBZ'!#REF!,"PROG")</f>
        <v>#REF!</v>
      </c>
      <c r="B610" s="22" t="e">
        <f>CONCATENATE("P",(LEFT('BASE OBZ'!#REF!,3)),'BASE OBZ'!#REF!)</f>
        <v>#REF!</v>
      </c>
      <c r="C610" t="s">
        <v>1777</v>
      </c>
    </row>
    <row r="611" spans="1:3" x14ac:dyDescent="0.25">
      <c r="A611" s="22" t="e">
        <f>CONCATENATE('BASE OBZ'!#REF!,"PROG")</f>
        <v>#REF!</v>
      </c>
      <c r="B611" s="22" t="e">
        <f>CONCATENATE("P",(LEFT('BASE OBZ'!#REF!,3)),'BASE OBZ'!#REF!)</f>
        <v>#REF!</v>
      </c>
      <c r="C611" t="s">
        <v>1777</v>
      </c>
    </row>
    <row r="612" spans="1:3" x14ac:dyDescent="0.25">
      <c r="A612" s="22" t="e">
        <f>CONCATENATE('BASE OBZ'!#REF!,"PROG")</f>
        <v>#REF!</v>
      </c>
      <c r="B612" s="22" t="e">
        <f>CONCATENATE("P",(LEFT('BASE OBZ'!#REF!,3)),'BASE OBZ'!#REF!)</f>
        <v>#REF!</v>
      </c>
      <c r="C612" t="s">
        <v>1777</v>
      </c>
    </row>
    <row r="613" spans="1:3" x14ac:dyDescent="0.25">
      <c r="A613" s="22" t="e">
        <f>CONCATENATE('BASE OBZ'!#REF!,"PROG")</f>
        <v>#REF!</v>
      </c>
      <c r="B613" s="22" t="e">
        <f>CONCATENATE("P",(LEFT('BASE OBZ'!#REF!,3)),'BASE OBZ'!#REF!)</f>
        <v>#REF!</v>
      </c>
      <c r="C613" t="s">
        <v>1777</v>
      </c>
    </row>
    <row r="614" spans="1:3" x14ac:dyDescent="0.25">
      <c r="A614" s="22" t="e">
        <f>CONCATENATE('BASE OBZ'!#REF!,"PROG")</f>
        <v>#REF!</v>
      </c>
      <c r="B614" s="22" t="e">
        <f>CONCATENATE("P",(LEFT('BASE OBZ'!#REF!,3)),'BASE OBZ'!#REF!)</f>
        <v>#REF!</v>
      </c>
      <c r="C614" t="s">
        <v>1777</v>
      </c>
    </row>
    <row r="615" spans="1:3" x14ac:dyDescent="0.25">
      <c r="A615" s="22" t="e">
        <f>CONCATENATE('BASE OBZ'!#REF!,"PROG")</f>
        <v>#REF!</v>
      </c>
      <c r="B615" s="22" t="e">
        <f>CONCATENATE("P",(LEFT('BASE OBZ'!#REF!,3)),'BASE OBZ'!#REF!)</f>
        <v>#REF!</v>
      </c>
      <c r="C615" t="s">
        <v>1777</v>
      </c>
    </row>
    <row r="616" spans="1:3" x14ac:dyDescent="0.25">
      <c r="A616" s="22" t="e">
        <f>CONCATENATE('BASE OBZ'!#REF!,"PROG")</f>
        <v>#REF!</v>
      </c>
      <c r="B616" s="22" t="e">
        <f>CONCATENATE("P",(LEFT('BASE OBZ'!#REF!,3)),'BASE OBZ'!#REF!)</f>
        <v>#REF!</v>
      </c>
      <c r="C616" t="s">
        <v>1777</v>
      </c>
    </row>
    <row r="617" spans="1:3" x14ac:dyDescent="0.25">
      <c r="A617" s="22" t="e">
        <f>CONCATENATE('BASE OBZ'!#REF!,"PROG")</f>
        <v>#REF!</v>
      </c>
      <c r="B617" s="22" t="e">
        <f>CONCATENATE("P",(LEFT('BASE OBZ'!#REF!,3)),'BASE OBZ'!#REF!)</f>
        <v>#REF!</v>
      </c>
      <c r="C617" t="s">
        <v>1777</v>
      </c>
    </row>
    <row r="618" spans="1:3" x14ac:dyDescent="0.25">
      <c r="A618" s="22" t="e">
        <f>CONCATENATE('BASE OBZ'!#REF!,"PROG")</f>
        <v>#REF!</v>
      </c>
      <c r="B618" s="22" t="e">
        <f>CONCATENATE("P",(LEFT('BASE OBZ'!#REF!,3)),'BASE OBZ'!#REF!)</f>
        <v>#REF!</v>
      </c>
      <c r="C618" t="s">
        <v>1777</v>
      </c>
    </row>
    <row r="619" spans="1:3" x14ac:dyDescent="0.25">
      <c r="A619" s="22" t="e">
        <f>CONCATENATE('BASE OBZ'!#REF!,"PROG")</f>
        <v>#REF!</v>
      </c>
      <c r="B619" s="22" t="e">
        <f>CONCATENATE("P",(LEFT('BASE OBZ'!#REF!,3)),'BASE OBZ'!#REF!)</f>
        <v>#REF!</v>
      </c>
      <c r="C619" t="s">
        <v>1777</v>
      </c>
    </row>
    <row r="620" spans="1:3" x14ac:dyDescent="0.25">
      <c r="A620" s="22" t="e">
        <f>CONCATENATE('BASE OBZ'!#REF!,"PROG")</f>
        <v>#REF!</v>
      </c>
      <c r="B620" s="22" t="e">
        <f>CONCATENATE("P",(LEFT('BASE OBZ'!#REF!,3)),'BASE OBZ'!#REF!)</f>
        <v>#REF!</v>
      </c>
      <c r="C620" t="s">
        <v>1777</v>
      </c>
    </row>
    <row r="621" spans="1:3" x14ac:dyDescent="0.25">
      <c r="A621" s="22" t="e">
        <f>CONCATENATE('BASE OBZ'!#REF!,"PROG")</f>
        <v>#REF!</v>
      </c>
      <c r="B621" s="22" t="e">
        <f>CONCATENATE("P",(LEFT('BASE OBZ'!#REF!,3)),'BASE OBZ'!#REF!)</f>
        <v>#REF!</v>
      </c>
      <c r="C621" t="s">
        <v>1777</v>
      </c>
    </row>
    <row r="622" spans="1:3" x14ac:dyDescent="0.25">
      <c r="A622" s="22" t="e">
        <f>CONCATENATE('BASE OBZ'!#REF!,"PROG")</f>
        <v>#REF!</v>
      </c>
      <c r="B622" s="22" t="e">
        <f>CONCATENATE("P",(LEFT('BASE OBZ'!#REF!,3)),'BASE OBZ'!#REF!)</f>
        <v>#REF!</v>
      </c>
      <c r="C622" t="s">
        <v>1777</v>
      </c>
    </row>
    <row r="623" spans="1:3" x14ac:dyDescent="0.25">
      <c r="A623" s="22" t="e">
        <f>CONCATENATE('BASE OBZ'!#REF!,"PROG")</f>
        <v>#REF!</v>
      </c>
      <c r="B623" s="22" t="e">
        <f>CONCATENATE("P",(LEFT('BASE OBZ'!#REF!,3)),'BASE OBZ'!#REF!)</f>
        <v>#REF!</v>
      </c>
      <c r="C623" t="s">
        <v>1777</v>
      </c>
    </row>
    <row r="624" spans="1:3" x14ac:dyDescent="0.25">
      <c r="A624" s="22" t="e">
        <f>CONCATENATE('BASE OBZ'!#REF!,"PROG")</f>
        <v>#REF!</v>
      </c>
      <c r="B624" s="22" t="e">
        <f>CONCATENATE("P",(LEFT('BASE OBZ'!#REF!,3)),'BASE OBZ'!#REF!)</f>
        <v>#REF!</v>
      </c>
      <c r="C624" t="s">
        <v>1777</v>
      </c>
    </row>
    <row r="625" spans="1:3" x14ac:dyDescent="0.25">
      <c r="A625" s="22" t="e">
        <f>CONCATENATE('BASE OBZ'!#REF!,"PROG")</f>
        <v>#REF!</v>
      </c>
      <c r="B625" s="22" t="e">
        <f>CONCATENATE("P",(LEFT('BASE OBZ'!#REF!,3)),'BASE OBZ'!#REF!)</f>
        <v>#REF!</v>
      </c>
      <c r="C625" t="s">
        <v>1777</v>
      </c>
    </row>
    <row r="626" spans="1:3" x14ac:dyDescent="0.25">
      <c r="A626" s="22" t="e">
        <f>CONCATENATE('BASE OBZ'!#REF!,"PROG")</f>
        <v>#REF!</v>
      </c>
      <c r="B626" s="22" t="e">
        <f>CONCATENATE("P",(LEFT('BASE OBZ'!#REF!,3)),'BASE OBZ'!#REF!)</f>
        <v>#REF!</v>
      </c>
      <c r="C626" t="s">
        <v>1777</v>
      </c>
    </row>
    <row r="627" spans="1:3" x14ac:dyDescent="0.25">
      <c r="A627" s="22" t="e">
        <f>CONCATENATE('BASE OBZ'!#REF!,"PROG")</f>
        <v>#REF!</v>
      </c>
      <c r="B627" s="22" t="e">
        <f>CONCATENATE("P",(LEFT('BASE OBZ'!#REF!,3)),'BASE OBZ'!#REF!)</f>
        <v>#REF!</v>
      </c>
      <c r="C627" t="s">
        <v>1777</v>
      </c>
    </row>
    <row r="628" spans="1:3" x14ac:dyDescent="0.25">
      <c r="A628" s="22" t="e">
        <f>CONCATENATE('BASE OBZ'!#REF!,"PROG")</f>
        <v>#REF!</v>
      </c>
      <c r="B628" s="22" t="e">
        <f>CONCATENATE("P",(LEFT('BASE OBZ'!#REF!,3)),'BASE OBZ'!#REF!)</f>
        <v>#REF!</v>
      </c>
      <c r="C628" t="s">
        <v>1777</v>
      </c>
    </row>
    <row r="629" spans="1:3" x14ac:dyDescent="0.25">
      <c r="A629" s="22" t="e">
        <f>CONCATENATE('BASE OBZ'!#REF!,"PROG")</f>
        <v>#REF!</v>
      </c>
      <c r="B629" s="22" t="e">
        <f>CONCATENATE("P",(LEFT('BASE OBZ'!#REF!,3)),'BASE OBZ'!#REF!)</f>
        <v>#REF!</v>
      </c>
      <c r="C629" t="s">
        <v>1777</v>
      </c>
    </row>
    <row r="630" spans="1:3" x14ac:dyDescent="0.25">
      <c r="A630" s="22" t="e">
        <f>CONCATENATE('BASE OBZ'!#REF!,"PROG")</f>
        <v>#REF!</v>
      </c>
      <c r="B630" s="22" t="e">
        <f>CONCATENATE("P",(LEFT('BASE OBZ'!#REF!,3)),'BASE OBZ'!#REF!)</f>
        <v>#REF!</v>
      </c>
      <c r="C630" t="s">
        <v>1777</v>
      </c>
    </row>
    <row r="631" spans="1:3" x14ac:dyDescent="0.25">
      <c r="A631" s="22" t="e">
        <f>CONCATENATE('BASE OBZ'!#REF!,"PROG")</f>
        <v>#REF!</v>
      </c>
      <c r="B631" s="22" t="e">
        <f>CONCATENATE("P",(LEFT('BASE OBZ'!#REF!,3)),'BASE OBZ'!#REF!)</f>
        <v>#REF!</v>
      </c>
      <c r="C631" t="s">
        <v>1777</v>
      </c>
    </row>
    <row r="632" spans="1:3" x14ac:dyDescent="0.25">
      <c r="A632" s="22" t="e">
        <f>CONCATENATE('BASE OBZ'!#REF!,"PROG")</f>
        <v>#REF!</v>
      </c>
      <c r="B632" s="22" t="e">
        <f>CONCATENATE("P",(LEFT('BASE OBZ'!#REF!,3)),'BASE OBZ'!#REF!)</f>
        <v>#REF!</v>
      </c>
      <c r="C632" t="s">
        <v>1777</v>
      </c>
    </row>
    <row r="633" spans="1:3" x14ac:dyDescent="0.25">
      <c r="A633" s="22" t="e">
        <f>CONCATENATE('BASE OBZ'!#REF!,"PROG")</f>
        <v>#REF!</v>
      </c>
      <c r="B633" s="22" t="e">
        <f>CONCATENATE("P",(LEFT('BASE OBZ'!#REF!,3)),'BASE OBZ'!#REF!)</f>
        <v>#REF!</v>
      </c>
      <c r="C633" t="s">
        <v>1777</v>
      </c>
    </row>
    <row r="634" spans="1:3" x14ac:dyDescent="0.25">
      <c r="A634" s="22" t="e">
        <f>CONCATENATE('BASE OBZ'!#REF!,"PROG")</f>
        <v>#REF!</v>
      </c>
      <c r="B634" s="22" t="e">
        <f>CONCATENATE("P",(LEFT('BASE OBZ'!#REF!,3)),'BASE OBZ'!#REF!)</f>
        <v>#REF!</v>
      </c>
      <c r="C634" t="s">
        <v>1777</v>
      </c>
    </row>
    <row r="635" spans="1:3" x14ac:dyDescent="0.25">
      <c r="A635" s="22" t="e">
        <f>CONCATENATE('BASE OBZ'!#REF!,"PROG")</f>
        <v>#REF!</v>
      </c>
      <c r="B635" s="22" t="e">
        <f>CONCATENATE("P",(LEFT('BASE OBZ'!#REF!,3)),'BASE OBZ'!#REF!)</f>
        <v>#REF!</v>
      </c>
      <c r="C635" t="s">
        <v>1777</v>
      </c>
    </row>
    <row r="636" spans="1:3" x14ac:dyDescent="0.25">
      <c r="A636" s="22" t="e">
        <f>CONCATENATE('BASE OBZ'!#REF!,"PROG")</f>
        <v>#REF!</v>
      </c>
      <c r="B636" s="22" t="e">
        <f>CONCATENATE("P",(LEFT('BASE OBZ'!#REF!,3)),'BASE OBZ'!#REF!)</f>
        <v>#REF!</v>
      </c>
      <c r="C636" t="s">
        <v>1777</v>
      </c>
    </row>
    <row r="637" spans="1:3" x14ac:dyDescent="0.25">
      <c r="A637" s="22" t="e">
        <f>CONCATENATE('BASE OBZ'!#REF!,"PROG")</f>
        <v>#REF!</v>
      </c>
      <c r="B637" s="22" t="e">
        <f>CONCATENATE("P",(LEFT('BASE OBZ'!#REF!,3)),'BASE OBZ'!#REF!)</f>
        <v>#REF!</v>
      </c>
      <c r="C637" t="s">
        <v>1777</v>
      </c>
    </row>
    <row r="638" spans="1:3" x14ac:dyDescent="0.25">
      <c r="A638" s="22" t="e">
        <f>CONCATENATE('BASE OBZ'!#REF!,"PROG")</f>
        <v>#REF!</v>
      </c>
      <c r="B638" s="22" t="e">
        <f>CONCATENATE("P",(LEFT('BASE OBZ'!#REF!,3)),'BASE OBZ'!#REF!)</f>
        <v>#REF!</v>
      </c>
      <c r="C638" t="s">
        <v>1777</v>
      </c>
    </row>
    <row r="639" spans="1:3" x14ac:dyDescent="0.25">
      <c r="A639" s="22" t="e">
        <f>CONCATENATE('BASE OBZ'!#REF!,"PROG")</f>
        <v>#REF!</v>
      </c>
      <c r="B639" s="22" t="e">
        <f>CONCATENATE("P",(LEFT('BASE OBZ'!#REF!,3)),'BASE OBZ'!#REF!)</f>
        <v>#REF!</v>
      </c>
      <c r="C639" t="s">
        <v>1777</v>
      </c>
    </row>
    <row r="640" spans="1:3" x14ac:dyDescent="0.25">
      <c r="A640" s="22" t="e">
        <f>CONCATENATE('BASE OBZ'!#REF!,"PROG")</f>
        <v>#REF!</v>
      </c>
      <c r="B640" s="22" t="e">
        <f>CONCATENATE("P",(LEFT('BASE OBZ'!#REF!,3)),'BASE OBZ'!#REF!)</f>
        <v>#REF!</v>
      </c>
      <c r="C640" t="s">
        <v>1777</v>
      </c>
    </row>
    <row r="641" spans="1:3" x14ac:dyDescent="0.25">
      <c r="A641" s="22" t="e">
        <f>CONCATENATE('BASE OBZ'!#REF!,"PROG")</f>
        <v>#REF!</v>
      </c>
      <c r="B641" s="22" t="e">
        <f>CONCATENATE("P",(LEFT('BASE OBZ'!#REF!,3)),'BASE OBZ'!#REF!)</f>
        <v>#REF!</v>
      </c>
      <c r="C641" t="s">
        <v>1777</v>
      </c>
    </row>
    <row r="642" spans="1:3" x14ac:dyDescent="0.25">
      <c r="A642" s="22" t="e">
        <f>CONCATENATE('BASE OBZ'!#REF!,"PROG")</f>
        <v>#REF!</v>
      </c>
      <c r="B642" s="22" t="e">
        <f>CONCATENATE("P",(LEFT('BASE OBZ'!#REF!,3)),'BASE OBZ'!#REF!)</f>
        <v>#REF!</v>
      </c>
      <c r="C642" t="s">
        <v>1777</v>
      </c>
    </row>
    <row r="643" spans="1:3" x14ac:dyDescent="0.25">
      <c r="A643" s="22" t="e">
        <f>CONCATENATE('BASE OBZ'!#REF!,"PROG")</f>
        <v>#REF!</v>
      </c>
      <c r="B643" s="22" t="e">
        <f>CONCATENATE("P",(LEFT('BASE OBZ'!#REF!,3)),'BASE OBZ'!#REF!)</f>
        <v>#REF!</v>
      </c>
      <c r="C643" t="s">
        <v>1777</v>
      </c>
    </row>
    <row r="644" spans="1:3" x14ac:dyDescent="0.25">
      <c r="A644" s="22" t="e">
        <f>CONCATENATE('BASE OBZ'!#REF!,"PROG")</f>
        <v>#REF!</v>
      </c>
      <c r="B644" s="22" t="e">
        <f>CONCATENATE("P",(LEFT('BASE OBZ'!#REF!,3)),'BASE OBZ'!#REF!)</f>
        <v>#REF!</v>
      </c>
      <c r="C644" t="s">
        <v>1777</v>
      </c>
    </row>
    <row r="645" spans="1:3" x14ac:dyDescent="0.25">
      <c r="A645" s="22" t="e">
        <f>CONCATENATE('BASE OBZ'!#REF!,"PROG")</f>
        <v>#REF!</v>
      </c>
      <c r="B645" s="22" t="e">
        <f>CONCATENATE("P",(LEFT('BASE OBZ'!#REF!,3)),'BASE OBZ'!#REF!)</f>
        <v>#REF!</v>
      </c>
      <c r="C645" t="s">
        <v>1777</v>
      </c>
    </row>
    <row r="646" spans="1:3" x14ac:dyDescent="0.25">
      <c r="A646" s="22" t="e">
        <f>CONCATENATE('BASE OBZ'!#REF!,"PROG")</f>
        <v>#REF!</v>
      </c>
      <c r="B646" s="22" t="e">
        <f>CONCATENATE("P",(LEFT('BASE OBZ'!#REF!,3)),'BASE OBZ'!#REF!)</f>
        <v>#REF!</v>
      </c>
      <c r="C646" t="s">
        <v>1777</v>
      </c>
    </row>
    <row r="647" spans="1:3" x14ac:dyDescent="0.25">
      <c r="A647" s="22" t="e">
        <f>CONCATENATE('BASE OBZ'!#REF!,"PROG")</f>
        <v>#REF!</v>
      </c>
      <c r="B647" s="22" t="e">
        <f>CONCATENATE("P",(LEFT('BASE OBZ'!#REF!,3)),'BASE OBZ'!#REF!)</f>
        <v>#REF!</v>
      </c>
      <c r="C647" t="s">
        <v>1777</v>
      </c>
    </row>
    <row r="648" spans="1:3" x14ac:dyDescent="0.25">
      <c r="A648" s="22" t="e">
        <f>CONCATENATE('BASE OBZ'!#REF!,"PROG")</f>
        <v>#REF!</v>
      </c>
      <c r="B648" s="22" t="e">
        <f>CONCATENATE("P",(LEFT('BASE OBZ'!#REF!,3)),'BASE OBZ'!#REF!)</f>
        <v>#REF!</v>
      </c>
      <c r="C648" t="s">
        <v>1777</v>
      </c>
    </row>
    <row r="649" spans="1:3" x14ac:dyDescent="0.25">
      <c r="A649" s="22" t="e">
        <f>CONCATENATE('BASE OBZ'!#REF!,"PROG")</f>
        <v>#REF!</v>
      </c>
      <c r="B649" s="22" t="e">
        <f>CONCATENATE("P",(LEFT('BASE OBZ'!#REF!,3)),'BASE OBZ'!#REF!)</f>
        <v>#REF!</v>
      </c>
      <c r="C649" t="s">
        <v>1777</v>
      </c>
    </row>
    <row r="650" spans="1:3" x14ac:dyDescent="0.25">
      <c r="A650" s="22" t="e">
        <f>CONCATENATE('BASE OBZ'!#REF!,"PROG")</f>
        <v>#REF!</v>
      </c>
      <c r="B650" s="22" t="e">
        <f>CONCATENATE("P",(LEFT('BASE OBZ'!#REF!,3)),'BASE OBZ'!#REF!)</f>
        <v>#REF!</v>
      </c>
      <c r="C650" t="s">
        <v>1777</v>
      </c>
    </row>
    <row r="651" spans="1:3" x14ac:dyDescent="0.25">
      <c r="A651" s="22" t="e">
        <f>CONCATENATE('BASE OBZ'!#REF!,"PROG")</f>
        <v>#REF!</v>
      </c>
      <c r="B651" s="22" t="e">
        <f>CONCATENATE("P",(LEFT('BASE OBZ'!#REF!,3)),'BASE OBZ'!#REF!)</f>
        <v>#REF!</v>
      </c>
      <c r="C651" t="s">
        <v>1777</v>
      </c>
    </row>
    <row r="652" spans="1:3" x14ac:dyDescent="0.25">
      <c r="A652" s="22" t="e">
        <f>CONCATENATE('BASE OBZ'!#REF!,"PROG")</f>
        <v>#REF!</v>
      </c>
      <c r="B652" s="22" t="e">
        <f>CONCATENATE("P",(LEFT('BASE OBZ'!#REF!,3)),'BASE OBZ'!#REF!)</f>
        <v>#REF!</v>
      </c>
      <c r="C652" t="s">
        <v>1777</v>
      </c>
    </row>
    <row r="653" spans="1:3" x14ac:dyDescent="0.25">
      <c r="A653" s="22" t="e">
        <f>CONCATENATE('BASE OBZ'!#REF!,"PROG")</f>
        <v>#REF!</v>
      </c>
      <c r="B653" s="22" t="e">
        <f>CONCATENATE("P",(LEFT('BASE OBZ'!#REF!,3)),'BASE OBZ'!#REF!)</f>
        <v>#REF!</v>
      </c>
      <c r="C653" t="s">
        <v>1777</v>
      </c>
    </row>
    <row r="654" spans="1:3" x14ac:dyDescent="0.25">
      <c r="A654" s="22" t="e">
        <f>CONCATENATE('BASE OBZ'!#REF!,"PROG")</f>
        <v>#REF!</v>
      </c>
      <c r="B654" s="22" t="e">
        <f>CONCATENATE("P",(LEFT('BASE OBZ'!#REF!,3)),'BASE OBZ'!#REF!)</f>
        <v>#REF!</v>
      </c>
      <c r="C654" t="s">
        <v>1777</v>
      </c>
    </row>
    <row r="655" spans="1:3" x14ac:dyDescent="0.25">
      <c r="A655" s="22" t="e">
        <f>CONCATENATE('BASE OBZ'!#REF!,"PROG")</f>
        <v>#REF!</v>
      </c>
      <c r="B655" s="22" t="e">
        <f>CONCATENATE("P",(LEFT('BASE OBZ'!#REF!,3)),'BASE OBZ'!#REF!)</f>
        <v>#REF!</v>
      </c>
      <c r="C655" t="s">
        <v>1777</v>
      </c>
    </row>
    <row r="656" spans="1:3" x14ac:dyDescent="0.25">
      <c r="A656" s="22" t="e">
        <f>CONCATENATE('BASE OBZ'!#REF!,"PROG")</f>
        <v>#REF!</v>
      </c>
      <c r="B656" s="22" t="e">
        <f>CONCATENATE("P",(LEFT('BASE OBZ'!#REF!,3)),'BASE OBZ'!#REF!)</f>
        <v>#REF!</v>
      </c>
      <c r="C656" t="s">
        <v>1777</v>
      </c>
    </row>
    <row r="657" spans="1:3" x14ac:dyDescent="0.25">
      <c r="A657" s="22" t="e">
        <f>CONCATENATE('BASE OBZ'!#REF!,"PROG")</f>
        <v>#REF!</v>
      </c>
      <c r="B657" s="22" t="e">
        <f>CONCATENATE("P",(LEFT('BASE OBZ'!#REF!,3)),'BASE OBZ'!#REF!)</f>
        <v>#REF!</v>
      </c>
      <c r="C657" t="s">
        <v>1777</v>
      </c>
    </row>
    <row r="658" spans="1:3" x14ac:dyDescent="0.25">
      <c r="A658" s="22" t="e">
        <f>CONCATENATE('BASE OBZ'!#REF!,"PROG")</f>
        <v>#REF!</v>
      </c>
      <c r="B658" s="22" t="e">
        <f>CONCATENATE("P",(LEFT('BASE OBZ'!#REF!,3)),'BASE OBZ'!#REF!)</f>
        <v>#REF!</v>
      </c>
      <c r="C658" t="s">
        <v>1777</v>
      </c>
    </row>
    <row r="659" spans="1:3" x14ac:dyDescent="0.25">
      <c r="A659" s="22" t="e">
        <f>CONCATENATE('BASE OBZ'!#REF!,"PROG")</f>
        <v>#REF!</v>
      </c>
      <c r="B659" s="22" t="e">
        <f>CONCATENATE("P",(LEFT('BASE OBZ'!#REF!,3)),'BASE OBZ'!#REF!)</f>
        <v>#REF!</v>
      </c>
      <c r="C659" t="s">
        <v>1777</v>
      </c>
    </row>
    <row r="660" spans="1:3" x14ac:dyDescent="0.25">
      <c r="A660" s="22" t="e">
        <f>CONCATENATE('BASE OBZ'!#REF!,"PROG")</f>
        <v>#REF!</v>
      </c>
      <c r="B660" s="22" t="e">
        <f>CONCATENATE("P",(LEFT('BASE OBZ'!#REF!,3)),'BASE OBZ'!#REF!)</f>
        <v>#REF!</v>
      </c>
      <c r="C660" t="s">
        <v>1777</v>
      </c>
    </row>
    <row r="661" spans="1:3" x14ac:dyDescent="0.25">
      <c r="A661" s="22" t="e">
        <f>CONCATENATE('BASE OBZ'!#REF!,"PROG")</f>
        <v>#REF!</v>
      </c>
      <c r="B661" s="22" t="e">
        <f>CONCATENATE("P",(LEFT('BASE OBZ'!#REF!,3)),'BASE OBZ'!#REF!)</f>
        <v>#REF!</v>
      </c>
      <c r="C661" t="s">
        <v>1777</v>
      </c>
    </row>
    <row r="662" spans="1:3" x14ac:dyDescent="0.25">
      <c r="A662" s="22" t="e">
        <f>CONCATENATE('BASE OBZ'!#REF!,"PROG")</f>
        <v>#REF!</v>
      </c>
      <c r="B662" s="22" t="e">
        <f>CONCATENATE("P",(LEFT('BASE OBZ'!#REF!,3)),'BASE OBZ'!#REF!)</f>
        <v>#REF!</v>
      </c>
      <c r="C662" t="s">
        <v>1777</v>
      </c>
    </row>
    <row r="663" spans="1:3" x14ac:dyDescent="0.25">
      <c r="A663" s="22" t="e">
        <f>CONCATENATE('BASE OBZ'!#REF!,"PROG")</f>
        <v>#REF!</v>
      </c>
      <c r="B663" s="22" t="e">
        <f>CONCATENATE("P",(LEFT('BASE OBZ'!#REF!,3)),'BASE OBZ'!#REF!)</f>
        <v>#REF!</v>
      </c>
      <c r="C663" t="s">
        <v>1777</v>
      </c>
    </row>
    <row r="664" spans="1:3" x14ac:dyDescent="0.25">
      <c r="A664" s="22" t="e">
        <f>CONCATENATE('BASE OBZ'!#REF!,"PROG")</f>
        <v>#REF!</v>
      </c>
      <c r="B664" s="22" t="e">
        <f>CONCATENATE("P",(LEFT('BASE OBZ'!#REF!,3)),'BASE OBZ'!#REF!)</f>
        <v>#REF!</v>
      </c>
      <c r="C664" t="s">
        <v>1777</v>
      </c>
    </row>
    <row r="665" spans="1:3" x14ac:dyDescent="0.25">
      <c r="A665" s="22" t="e">
        <f>CONCATENATE('BASE OBZ'!#REF!,"PROG")</f>
        <v>#REF!</v>
      </c>
      <c r="B665" s="22" t="e">
        <f>CONCATENATE("P",(LEFT('BASE OBZ'!#REF!,3)),'BASE OBZ'!#REF!)</f>
        <v>#REF!</v>
      </c>
      <c r="C665" t="s">
        <v>1777</v>
      </c>
    </row>
    <row r="666" spans="1:3" x14ac:dyDescent="0.25">
      <c r="A666" s="22" t="e">
        <f>CONCATENATE('BASE OBZ'!#REF!,"PROG")</f>
        <v>#REF!</v>
      </c>
      <c r="B666" s="22" t="e">
        <f>CONCATENATE("P",(LEFT('BASE OBZ'!#REF!,3)),'BASE OBZ'!#REF!)</f>
        <v>#REF!</v>
      </c>
      <c r="C666" t="s">
        <v>1777</v>
      </c>
    </row>
    <row r="667" spans="1:3" x14ac:dyDescent="0.25">
      <c r="A667" s="22" t="e">
        <f>CONCATENATE('BASE OBZ'!#REF!,"PROG")</f>
        <v>#REF!</v>
      </c>
      <c r="B667" s="22" t="e">
        <f>CONCATENATE("P",(LEFT('BASE OBZ'!#REF!,3)),'BASE OBZ'!#REF!)</f>
        <v>#REF!</v>
      </c>
      <c r="C667" t="s">
        <v>1777</v>
      </c>
    </row>
    <row r="668" spans="1:3" x14ac:dyDescent="0.25">
      <c r="A668" s="22" t="e">
        <f>CONCATENATE('BASE OBZ'!#REF!,"PROG")</f>
        <v>#REF!</v>
      </c>
      <c r="B668" s="22" t="e">
        <f>CONCATENATE("P",(LEFT('BASE OBZ'!#REF!,3)),'BASE OBZ'!#REF!)</f>
        <v>#REF!</v>
      </c>
      <c r="C668" t="s">
        <v>1777</v>
      </c>
    </row>
    <row r="669" spans="1:3" x14ac:dyDescent="0.25">
      <c r="A669" s="22" t="e">
        <f>CONCATENATE('BASE OBZ'!#REF!,"PROG")</f>
        <v>#REF!</v>
      </c>
      <c r="B669" s="22" t="e">
        <f>CONCATENATE("P",(LEFT('BASE OBZ'!#REF!,3)),'BASE OBZ'!#REF!)</f>
        <v>#REF!</v>
      </c>
      <c r="C669" t="s">
        <v>1777</v>
      </c>
    </row>
    <row r="670" spans="1:3" x14ac:dyDescent="0.25">
      <c r="A670" s="22" t="e">
        <f>CONCATENATE('BASE OBZ'!#REF!,"PROG")</f>
        <v>#REF!</v>
      </c>
      <c r="B670" s="22" t="e">
        <f>CONCATENATE("P",(LEFT('BASE OBZ'!#REF!,3)),'BASE OBZ'!#REF!)</f>
        <v>#REF!</v>
      </c>
      <c r="C670" t="s">
        <v>1777</v>
      </c>
    </row>
    <row r="671" spans="1:3" x14ac:dyDescent="0.25">
      <c r="A671" s="22" t="e">
        <f>CONCATENATE('BASE OBZ'!#REF!,"PROG")</f>
        <v>#REF!</v>
      </c>
      <c r="B671" s="22" t="e">
        <f>CONCATENATE("P",(LEFT('BASE OBZ'!#REF!,3)),'BASE OBZ'!#REF!)</f>
        <v>#REF!</v>
      </c>
      <c r="C671" t="s">
        <v>1777</v>
      </c>
    </row>
    <row r="672" spans="1:3" x14ac:dyDescent="0.25">
      <c r="A672" s="22" t="e">
        <f>CONCATENATE('BASE OBZ'!#REF!,"PROG")</f>
        <v>#REF!</v>
      </c>
      <c r="B672" s="22" t="e">
        <f>CONCATENATE("P",(LEFT('BASE OBZ'!#REF!,3)),'BASE OBZ'!#REF!)</f>
        <v>#REF!</v>
      </c>
      <c r="C672" t="s">
        <v>1777</v>
      </c>
    </row>
    <row r="673" spans="1:3" x14ac:dyDescent="0.25">
      <c r="A673" s="22" t="e">
        <f>CONCATENATE('BASE OBZ'!#REF!,"PROG")</f>
        <v>#REF!</v>
      </c>
      <c r="B673" s="22" t="e">
        <f>CONCATENATE("P",(LEFT('BASE OBZ'!#REF!,3)),'BASE OBZ'!#REF!)</f>
        <v>#REF!</v>
      </c>
      <c r="C673" t="s">
        <v>1777</v>
      </c>
    </row>
    <row r="674" spans="1:3" x14ac:dyDescent="0.25">
      <c r="A674" s="22" t="e">
        <f>CONCATENATE('BASE OBZ'!#REF!,"PROG")</f>
        <v>#REF!</v>
      </c>
      <c r="B674" s="22" t="e">
        <f>CONCATENATE("P",(LEFT('BASE OBZ'!#REF!,3)),'BASE OBZ'!#REF!)</f>
        <v>#REF!</v>
      </c>
      <c r="C674" t="s">
        <v>1777</v>
      </c>
    </row>
    <row r="675" spans="1:3" x14ac:dyDescent="0.25">
      <c r="A675" s="22" t="e">
        <f>CONCATENATE('BASE OBZ'!#REF!,"PROG")</f>
        <v>#REF!</v>
      </c>
      <c r="B675" s="22" t="e">
        <f>CONCATENATE("P",(LEFT('BASE OBZ'!#REF!,3)),'BASE OBZ'!#REF!)</f>
        <v>#REF!</v>
      </c>
      <c r="C675" t="s">
        <v>1777</v>
      </c>
    </row>
    <row r="676" spans="1:3" x14ac:dyDescent="0.25">
      <c r="A676" s="22" t="e">
        <f>CONCATENATE('BASE OBZ'!#REF!,"PROG")</f>
        <v>#REF!</v>
      </c>
      <c r="B676" s="22" t="e">
        <f>CONCATENATE("P",(LEFT('BASE OBZ'!#REF!,3)),'BASE OBZ'!#REF!)</f>
        <v>#REF!</v>
      </c>
      <c r="C676" t="s">
        <v>1777</v>
      </c>
    </row>
    <row r="677" spans="1:3" x14ac:dyDescent="0.25">
      <c r="A677" s="22" t="e">
        <f>CONCATENATE('BASE OBZ'!#REF!,"PROG")</f>
        <v>#REF!</v>
      </c>
      <c r="B677" s="22" t="e">
        <f>CONCATENATE("P",(LEFT('BASE OBZ'!#REF!,3)),'BASE OBZ'!#REF!)</f>
        <v>#REF!</v>
      </c>
      <c r="C677" t="s">
        <v>1777</v>
      </c>
    </row>
    <row r="678" spans="1:3" x14ac:dyDescent="0.25">
      <c r="A678" s="22" t="e">
        <f>CONCATENATE('BASE OBZ'!#REF!,"PROG")</f>
        <v>#REF!</v>
      </c>
      <c r="B678" s="22" t="e">
        <f>CONCATENATE("P",(LEFT('BASE OBZ'!#REF!,3)),'BASE OBZ'!#REF!)</f>
        <v>#REF!</v>
      </c>
      <c r="C678" t="s">
        <v>1777</v>
      </c>
    </row>
    <row r="679" spans="1:3" x14ac:dyDescent="0.25">
      <c r="A679" s="22" t="e">
        <f>CONCATENATE('BASE OBZ'!#REF!,"PROG")</f>
        <v>#REF!</v>
      </c>
      <c r="B679" s="22" t="e">
        <f>CONCATENATE("P",(LEFT('BASE OBZ'!#REF!,3)),'BASE OBZ'!#REF!)</f>
        <v>#REF!</v>
      </c>
      <c r="C679" t="s">
        <v>1777</v>
      </c>
    </row>
    <row r="680" spans="1:3" x14ac:dyDescent="0.25">
      <c r="A680" s="22" t="e">
        <f>CONCATENATE('BASE OBZ'!#REF!,"PROG")</f>
        <v>#REF!</v>
      </c>
      <c r="B680" s="22" t="e">
        <f>CONCATENATE("P",(LEFT('BASE OBZ'!#REF!,3)),'BASE OBZ'!#REF!)</f>
        <v>#REF!</v>
      </c>
      <c r="C680" t="s">
        <v>1777</v>
      </c>
    </row>
    <row r="681" spans="1:3" x14ac:dyDescent="0.25">
      <c r="A681" s="22" t="e">
        <f>CONCATENATE('BASE OBZ'!#REF!,"PROG")</f>
        <v>#REF!</v>
      </c>
      <c r="B681" s="22" t="e">
        <f>CONCATENATE("P",(LEFT('BASE OBZ'!#REF!,3)),'BASE OBZ'!#REF!)</f>
        <v>#REF!</v>
      </c>
      <c r="C681" t="s">
        <v>1777</v>
      </c>
    </row>
    <row r="682" spans="1:3" x14ac:dyDescent="0.25">
      <c r="A682" s="22" t="e">
        <f>CONCATENATE('BASE OBZ'!#REF!,"PROG")</f>
        <v>#REF!</v>
      </c>
      <c r="B682" s="22" t="e">
        <f>CONCATENATE("P",(LEFT('BASE OBZ'!#REF!,3)),'BASE OBZ'!#REF!)</f>
        <v>#REF!</v>
      </c>
      <c r="C682" t="s">
        <v>1777</v>
      </c>
    </row>
    <row r="683" spans="1:3" x14ac:dyDescent="0.25">
      <c r="A683" s="22" t="e">
        <f>CONCATENATE('BASE OBZ'!#REF!,"PROG")</f>
        <v>#REF!</v>
      </c>
      <c r="B683" s="22" t="e">
        <f>CONCATENATE("P",(LEFT('BASE OBZ'!#REF!,3)),'BASE OBZ'!#REF!)</f>
        <v>#REF!</v>
      </c>
      <c r="C683" t="s">
        <v>1777</v>
      </c>
    </row>
    <row r="684" spans="1:3" x14ac:dyDescent="0.25">
      <c r="A684" s="22" t="e">
        <f>CONCATENATE('BASE OBZ'!#REF!,"PROG")</f>
        <v>#REF!</v>
      </c>
      <c r="B684" s="22" t="e">
        <f>CONCATENATE("P",(LEFT('BASE OBZ'!#REF!,3)),'BASE OBZ'!#REF!)</f>
        <v>#REF!</v>
      </c>
      <c r="C684" t="s">
        <v>1777</v>
      </c>
    </row>
    <row r="685" spans="1:3" x14ac:dyDescent="0.25">
      <c r="A685" s="22" t="e">
        <f>CONCATENATE('BASE OBZ'!#REF!,"PROG")</f>
        <v>#REF!</v>
      </c>
      <c r="B685" s="22" t="e">
        <f>CONCATENATE("P",(LEFT('BASE OBZ'!#REF!,3)),'BASE OBZ'!#REF!)</f>
        <v>#REF!</v>
      </c>
      <c r="C685" t="s">
        <v>1777</v>
      </c>
    </row>
    <row r="686" spans="1:3" x14ac:dyDescent="0.25">
      <c r="A686" s="22" t="e">
        <f>CONCATENATE('BASE OBZ'!#REF!,"PROG")</f>
        <v>#REF!</v>
      </c>
      <c r="B686" s="22" t="e">
        <f>CONCATENATE("P",(LEFT('BASE OBZ'!#REF!,3)),'BASE OBZ'!#REF!)</f>
        <v>#REF!</v>
      </c>
      <c r="C686" t="s">
        <v>1777</v>
      </c>
    </row>
    <row r="687" spans="1:3" x14ac:dyDescent="0.25">
      <c r="A687" s="22" t="e">
        <f>CONCATENATE('BASE OBZ'!#REF!,"PROG")</f>
        <v>#REF!</v>
      </c>
      <c r="B687" s="22" t="e">
        <f>CONCATENATE("P",(LEFT('BASE OBZ'!#REF!,3)),'BASE OBZ'!#REF!)</f>
        <v>#REF!</v>
      </c>
      <c r="C687" t="s">
        <v>1777</v>
      </c>
    </row>
    <row r="688" spans="1:3" x14ac:dyDescent="0.25">
      <c r="A688" s="22" t="e">
        <f>CONCATENATE('BASE OBZ'!#REF!,"PROG")</f>
        <v>#REF!</v>
      </c>
      <c r="B688" s="22" t="e">
        <f>CONCATENATE("P",(LEFT('BASE OBZ'!#REF!,3)),'BASE OBZ'!#REF!)</f>
        <v>#REF!</v>
      </c>
      <c r="C688" t="s">
        <v>1777</v>
      </c>
    </row>
    <row r="689" spans="1:3" x14ac:dyDescent="0.25">
      <c r="A689" s="22" t="e">
        <f>CONCATENATE('BASE OBZ'!#REF!,"PROG")</f>
        <v>#REF!</v>
      </c>
      <c r="B689" s="22" t="e">
        <f>CONCATENATE("P",(LEFT('BASE OBZ'!#REF!,3)),'BASE OBZ'!#REF!)</f>
        <v>#REF!</v>
      </c>
      <c r="C689" t="s">
        <v>1777</v>
      </c>
    </row>
    <row r="690" spans="1:3" x14ac:dyDescent="0.25">
      <c r="A690" s="22" t="e">
        <f>CONCATENATE('BASE OBZ'!#REF!,"PROG")</f>
        <v>#REF!</v>
      </c>
      <c r="B690" s="22" t="e">
        <f>CONCATENATE("P",(LEFT('BASE OBZ'!#REF!,3)),'BASE OBZ'!#REF!)</f>
        <v>#REF!</v>
      </c>
      <c r="C690" t="s">
        <v>1777</v>
      </c>
    </row>
    <row r="691" spans="1:3" x14ac:dyDescent="0.25">
      <c r="A691" s="22" t="e">
        <f>CONCATENATE('BASE OBZ'!#REF!,"PROG")</f>
        <v>#REF!</v>
      </c>
      <c r="B691" s="22" t="e">
        <f>CONCATENATE("P",(LEFT('BASE OBZ'!#REF!,3)),'BASE OBZ'!#REF!)</f>
        <v>#REF!</v>
      </c>
      <c r="C691" t="s">
        <v>1777</v>
      </c>
    </row>
    <row r="692" spans="1:3" x14ac:dyDescent="0.25">
      <c r="A692" s="22" t="e">
        <f>CONCATENATE('BASE OBZ'!#REF!,"PROG")</f>
        <v>#REF!</v>
      </c>
      <c r="B692" s="22" t="e">
        <f>CONCATENATE("P",(LEFT('BASE OBZ'!#REF!,3)),'BASE OBZ'!#REF!)</f>
        <v>#REF!</v>
      </c>
      <c r="C692" t="s">
        <v>1777</v>
      </c>
    </row>
    <row r="693" spans="1:3" x14ac:dyDescent="0.25">
      <c r="A693" s="22" t="e">
        <f>CONCATENATE('BASE OBZ'!#REF!,"PROG")</f>
        <v>#REF!</v>
      </c>
      <c r="B693" s="22" t="e">
        <f>CONCATENATE("P",(LEFT('BASE OBZ'!#REF!,3)),'BASE OBZ'!#REF!)</f>
        <v>#REF!</v>
      </c>
      <c r="C693" t="s">
        <v>1777</v>
      </c>
    </row>
    <row r="694" spans="1:3" x14ac:dyDescent="0.25">
      <c r="A694" s="22" t="e">
        <f>CONCATENATE('BASE OBZ'!#REF!,"PROG")</f>
        <v>#REF!</v>
      </c>
      <c r="B694" s="22" t="e">
        <f>CONCATENATE("P",(LEFT('BASE OBZ'!#REF!,3)),'BASE OBZ'!#REF!)</f>
        <v>#REF!</v>
      </c>
      <c r="C694" t="s">
        <v>1777</v>
      </c>
    </row>
    <row r="695" spans="1:3" x14ac:dyDescent="0.25">
      <c r="A695" s="22" t="e">
        <f>CONCATENATE('BASE OBZ'!#REF!,"PROG")</f>
        <v>#REF!</v>
      </c>
      <c r="B695" s="22" t="e">
        <f>CONCATENATE("P",(LEFT('BASE OBZ'!#REF!,3)),'BASE OBZ'!#REF!)</f>
        <v>#REF!</v>
      </c>
      <c r="C695" t="s">
        <v>1777</v>
      </c>
    </row>
    <row r="696" spans="1:3" x14ac:dyDescent="0.25">
      <c r="A696" s="22" t="e">
        <f>CONCATENATE('BASE OBZ'!#REF!,"PROG")</f>
        <v>#REF!</v>
      </c>
      <c r="B696" s="22" t="e">
        <f>CONCATENATE("P",(LEFT('BASE OBZ'!#REF!,3)),'BASE OBZ'!#REF!)</f>
        <v>#REF!</v>
      </c>
      <c r="C696" t="s">
        <v>1777</v>
      </c>
    </row>
    <row r="697" spans="1:3" x14ac:dyDescent="0.25">
      <c r="A697" s="22" t="e">
        <f>CONCATENATE('BASE OBZ'!#REF!,"PROG")</f>
        <v>#REF!</v>
      </c>
      <c r="B697" s="22" t="e">
        <f>CONCATENATE("P",(LEFT('BASE OBZ'!#REF!,3)),'BASE OBZ'!#REF!)</f>
        <v>#REF!</v>
      </c>
      <c r="C697" t="s">
        <v>1777</v>
      </c>
    </row>
    <row r="698" spans="1:3" x14ac:dyDescent="0.25">
      <c r="A698" s="22" t="e">
        <f>CONCATENATE('BASE OBZ'!#REF!,"PROG")</f>
        <v>#REF!</v>
      </c>
      <c r="B698" s="22" t="e">
        <f>CONCATENATE("P",(LEFT('BASE OBZ'!#REF!,3)),'BASE OBZ'!#REF!)</f>
        <v>#REF!</v>
      </c>
      <c r="C698" t="s">
        <v>1777</v>
      </c>
    </row>
    <row r="699" spans="1:3" x14ac:dyDescent="0.25">
      <c r="A699" s="22" t="e">
        <f>CONCATENATE('BASE OBZ'!#REF!,"PROG")</f>
        <v>#REF!</v>
      </c>
      <c r="B699" s="22" t="e">
        <f>CONCATENATE("P",(LEFT('BASE OBZ'!#REF!,3)),'BASE OBZ'!#REF!)</f>
        <v>#REF!</v>
      </c>
      <c r="C699" t="s">
        <v>1777</v>
      </c>
    </row>
    <row r="700" spans="1:3" x14ac:dyDescent="0.25">
      <c r="A700" s="22" t="e">
        <f>CONCATENATE('BASE OBZ'!#REF!,"PROG")</f>
        <v>#REF!</v>
      </c>
      <c r="B700" s="22" t="e">
        <f>CONCATENATE("P",(LEFT('BASE OBZ'!#REF!,3)),'BASE OBZ'!#REF!)</f>
        <v>#REF!</v>
      </c>
      <c r="C700" t="s">
        <v>1777</v>
      </c>
    </row>
    <row r="701" spans="1:3" x14ac:dyDescent="0.25">
      <c r="A701" s="22" t="e">
        <f>CONCATENATE('BASE OBZ'!#REF!,"PROG")</f>
        <v>#REF!</v>
      </c>
      <c r="B701" s="22" t="e">
        <f>CONCATENATE("P",(LEFT('BASE OBZ'!#REF!,3)),'BASE OBZ'!#REF!)</f>
        <v>#REF!</v>
      </c>
      <c r="C701" t="s">
        <v>1777</v>
      </c>
    </row>
    <row r="702" spans="1:3" x14ac:dyDescent="0.25">
      <c r="A702" s="22" t="e">
        <f>CONCATENATE('BASE OBZ'!#REF!,"PROG")</f>
        <v>#REF!</v>
      </c>
      <c r="B702" s="22" t="e">
        <f>CONCATENATE("P",(LEFT('BASE OBZ'!#REF!,3)),'BASE OBZ'!#REF!)</f>
        <v>#REF!</v>
      </c>
      <c r="C702" t="s">
        <v>1777</v>
      </c>
    </row>
    <row r="703" spans="1:3" x14ac:dyDescent="0.25">
      <c r="A703" s="22" t="e">
        <f>CONCATENATE('BASE OBZ'!#REF!,"PROG")</f>
        <v>#REF!</v>
      </c>
      <c r="B703" s="22" t="e">
        <f>CONCATENATE("P",(LEFT('BASE OBZ'!#REF!,3)),'BASE OBZ'!#REF!)</f>
        <v>#REF!</v>
      </c>
      <c r="C703" t="s">
        <v>1777</v>
      </c>
    </row>
    <row r="704" spans="1:3" x14ac:dyDescent="0.25">
      <c r="A704" s="22" t="e">
        <f>CONCATENATE('BASE OBZ'!#REF!,"PROG")</f>
        <v>#REF!</v>
      </c>
      <c r="B704" s="22" t="e">
        <f>CONCATENATE("P",(LEFT('BASE OBZ'!#REF!,3)),'BASE OBZ'!#REF!)</f>
        <v>#REF!</v>
      </c>
      <c r="C704" t="s">
        <v>1777</v>
      </c>
    </row>
    <row r="705" spans="1:3" x14ac:dyDescent="0.25">
      <c r="A705" s="22" t="e">
        <f>CONCATENATE('BASE OBZ'!#REF!,"PROG")</f>
        <v>#REF!</v>
      </c>
      <c r="B705" s="22" t="e">
        <f>CONCATENATE("P",(LEFT('BASE OBZ'!#REF!,3)),'BASE OBZ'!#REF!)</f>
        <v>#REF!</v>
      </c>
      <c r="C705" t="s">
        <v>1777</v>
      </c>
    </row>
    <row r="706" spans="1:3" x14ac:dyDescent="0.25">
      <c r="A706" s="22" t="e">
        <f>CONCATENATE('BASE OBZ'!#REF!,"PROG")</f>
        <v>#REF!</v>
      </c>
      <c r="B706" s="22" t="e">
        <f>CONCATENATE("P",(LEFT('BASE OBZ'!#REF!,3)),'BASE OBZ'!#REF!)</f>
        <v>#REF!</v>
      </c>
      <c r="C706" t="s">
        <v>1777</v>
      </c>
    </row>
    <row r="707" spans="1:3" x14ac:dyDescent="0.25">
      <c r="A707" s="22" t="e">
        <f>CONCATENATE('BASE OBZ'!#REF!,"PROG")</f>
        <v>#REF!</v>
      </c>
      <c r="B707" s="22" t="e">
        <f>CONCATENATE("P",(LEFT('BASE OBZ'!#REF!,3)),'BASE OBZ'!#REF!)</f>
        <v>#REF!</v>
      </c>
      <c r="C707" t="s">
        <v>1777</v>
      </c>
    </row>
    <row r="708" spans="1:3" x14ac:dyDescent="0.25">
      <c r="A708" s="22" t="e">
        <f>CONCATENATE('BASE OBZ'!#REF!,"PROG")</f>
        <v>#REF!</v>
      </c>
      <c r="B708" s="22" t="e">
        <f>CONCATENATE("P",(LEFT('BASE OBZ'!#REF!,3)),'BASE OBZ'!#REF!)</f>
        <v>#REF!</v>
      </c>
      <c r="C708" t="s">
        <v>1777</v>
      </c>
    </row>
    <row r="709" spans="1:3" x14ac:dyDescent="0.25">
      <c r="A709" s="22" t="e">
        <f>CONCATENATE('BASE OBZ'!#REF!,"PROG")</f>
        <v>#REF!</v>
      </c>
      <c r="B709" s="22" t="e">
        <f>CONCATENATE("P",(LEFT('BASE OBZ'!#REF!,3)),'BASE OBZ'!#REF!)</f>
        <v>#REF!</v>
      </c>
      <c r="C709" t="s">
        <v>1777</v>
      </c>
    </row>
    <row r="710" spans="1:3" x14ac:dyDescent="0.25">
      <c r="A710" s="22" t="e">
        <f>CONCATENATE('BASE OBZ'!#REF!,"PROG")</f>
        <v>#REF!</v>
      </c>
      <c r="B710" s="22" t="e">
        <f>CONCATENATE("P",(LEFT('BASE OBZ'!#REF!,3)),'BASE OBZ'!#REF!)</f>
        <v>#REF!</v>
      </c>
      <c r="C710" t="s">
        <v>1777</v>
      </c>
    </row>
    <row r="711" spans="1:3" x14ac:dyDescent="0.25">
      <c r="A711" s="22" t="e">
        <f>CONCATENATE('BASE OBZ'!#REF!,"PROG")</f>
        <v>#REF!</v>
      </c>
      <c r="B711" s="22" t="e">
        <f>CONCATENATE("P",(LEFT('BASE OBZ'!#REF!,3)),'BASE OBZ'!#REF!)</f>
        <v>#REF!</v>
      </c>
      <c r="C711" t="s">
        <v>1777</v>
      </c>
    </row>
    <row r="712" spans="1:3" x14ac:dyDescent="0.25">
      <c r="A712" s="22" t="e">
        <f>CONCATENATE('BASE OBZ'!#REF!,"PROG")</f>
        <v>#REF!</v>
      </c>
      <c r="B712" s="22" t="e">
        <f>CONCATENATE("P",(LEFT('BASE OBZ'!#REF!,3)),'BASE OBZ'!#REF!)</f>
        <v>#REF!</v>
      </c>
      <c r="C712" t="s">
        <v>1777</v>
      </c>
    </row>
    <row r="713" spans="1:3" x14ac:dyDescent="0.25">
      <c r="A713" s="22" t="e">
        <f>CONCATENATE('BASE OBZ'!#REF!,"PROG")</f>
        <v>#REF!</v>
      </c>
      <c r="B713" s="22" t="e">
        <f>CONCATENATE("P",(LEFT('BASE OBZ'!#REF!,3)),'BASE OBZ'!#REF!)</f>
        <v>#REF!</v>
      </c>
      <c r="C713" t="s">
        <v>1777</v>
      </c>
    </row>
    <row r="714" spans="1:3" x14ac:dyDescent="0.25">
      <c r="A714" s="22" t="e">
        <f>CONCATENATE('BASE OBZ'!#REF!,"PROG")</f>
        <v>#REF!</v>
      </c>
      <c r="B714" s="22" t="e">
        <f>CONCATENATE("P",(LEFT('BASE OBZ'!#REF!,3)),'BASE OBZ'!#REF!)</f>
        <v>#REF!</v>
      </c>
      <c r="C714" t="s">
        <v>1777</v>
      </c>
    </row>
    <row r="715" spans="1:3" x14ac:dyDescent="0.25">
      <c r="A715" s="22" t="e">
        <f>CONCATENATE('BASE OBZ'!#REF!,"PROG")</f>
        <v>#REF!</v>
      </c>
      <c r="B715" s="22" t="e">
        <f>CONCATENATE("P",(LEFT('BASE OBZ'!#REF!,3)),'BASE OBZ'!#REF!)</f>
        <v>#REF!</v>
      </c>
      <c r="C715" t="s">
        <v>1777</v>
      </c>
    </row>
    <row r="716" spans="1:3" x14ac:dyDescent="0.25">
      <c r="A716" s="22" t="e">
        <f>CONCATENATE('BASE OBZ'!#REF!,"PROG")</f>
        <v>#REF!</v>
      </c>
      <c r="B716" s="22" t="e">
        <f>CONCATENATE("P",(LEFT('BASE OBZ'!#REF!,3)),'BASE OBZ'!#REF!)</f>
        <v>#REF!</v>
      </c>
      <c r="C716" t="s">
        <v>1777</v>
      </c>
    </row>
    <row r="717" spans="1:3" x14ac:dyDescent="0.25">
      <c r="A717" s="22" t="e">
        <f>CONCATENATE('BASE OBZ'!#REF!,"PROG")</f>
        <v>#REF!</v>
      </c>
      <c r="B717" s="22" t="e">
        <f>CONCATENATE("P",(LEFT('BASE OBZ'!#REF!,3)),'BASE OBZ'!#REF!)</f>
        <v>#REF!</v>
      </c>
      <c r="C717" t="s">
        <v>1777</v>
      </c>
    </row>
    <row r="718" spans="1:3" x14ac:dyDescent="0.25">
      <c r="A718" s="22" t="e">
        <f>CONCATENATE('BASE OBZ'!#REF!,"PROG")</f>
        <v>#REF!</v>
      </c>
      <c r="B718" s="22" t="e">
        <f>CONCATENATE("P",(LEFT('BASE OBZ'!#REF!,3)),'BASE OBZ'!#REF!)</f>
        <v>#REF!</v>
      </c>
      <c r="C718" t="s">
        <v>1777</v>
      </c>
    </row>
    <row r="719" spans="1:3" x14ac:dyDescent="0.25">
      <c r="A719" s="22" t="e">
        <f>CONCATENATE('BASE OBZ'!#REF!,"PROG")</f>
        <v>#REF!</v>
      </c>
      <c r="B719" s="22" t="e">
        <f>CONCATENATE("P",(LEFT('BASE OBZ'!#REF!,3)),'BASE OBZ'!#REF!)</f>
        <v>#REF!</v>
      </c>
      <c r="C719" t="s">
        <v>1777</v>
      </c>
    </row>
    <row r="720" spans="1:3" x14ac:dyDescent="0.25">
      <c r="A720" s="22" t="e">
        <f>CONCATENATE('BASE OBZ'!#REF!,"PROG")</f>
        <v>#REF!</v>
      </c>
      <c r="B720" s="22" t="e">
        <f>CONCATENATE("P",(LEFT('BASE OBZ'!#REF!,3)),'BASE OBZ'!#REF!)</f>
        <v>#REF!</v>
      </c>
      <c r="C720" t="s">
        <v>1777</v>
      </c>
    </row>
    <row r="721" spans="1:3" x14ac:dyDescent="0.25">
      <c r="A721" s="22" t="e">
        <f>CONCATENATE('BASE OBZ'!#REF!,"PROG")</f>
        <v>#REF!</v>
      </c>
      <c r="B721" s="22" t="e">
        <f>CONCATENATE("P",(LEFT('BASE OBZ'!#REF!,3)),'BASE OBZ'!#REF!)</f>
        <v>#REF!</v>
      </c>
      <c r="C721" t="s">
        <v>1777</v>
      </c>
    </row>
    <row r="722" spans="1:3" x14ac:dyDescent="0.25">
      <c r="A722" s="22" t="e">
        <f>CONCATENATE('BASE OBZ'!#REF!,"PROG")</f>
        <v>#REF!</v>
      </c>
      <c r="B722" s="22" t="e">
        <f>CONCATENATE("P",(LEFT('BASE OBZ'!#REF!,3)),'BASE OBZ'!#REF!)</f>
        <v>#REF!</v>
      </c>
      <c r="C722" t="s">
        <v>1777</v>
      </c>
    </row>
    <row r="723" spans="1:3" x14ac:dyDescent="0.25">
      <c r="A723" s="22" t="e">
        <f>CONCATENATE('BASE OBZ'!#REF!,"PROG")</f>
        <v>#REF!</v>
      </c>
      <c r="B723" s="22" t="e">
        <f>CONCATENATE("P",(LEFT('BASE OBZ'!#REF!,3)),'BASE OBZ'!#REF!)</f>
        <v>#REF!</v>
      </c>
      <c r="C723" t="s">
        <v>1777</v>
      </c>
    </row>
    <row r="724" spans="1:3" x14ac:dyDescent="0.25">
      <c r="A724" s="22" t="e">
        <f>CONCATENATE('BASE OBZ'!#REF!,"PROG")</f>
        <v>#REF!</v>
      </c>
      <c r="B724" s="22" t="e">
        <f>CONCATENATE("P",(LEFT('BASE OBZ'!#REF!,3)),'BASE OBZ'!#REF!)</f>
        <v>#REF!</v>
      </c>
      <c r="C724" t="s">
        <v>1777</v>
      </c>
    </row>
    <row r="725" spans="1:3" x14ac:dyDescent="0.25">
      <c r="A725" s="22" t="e">
        <f>CONCATENATE('BASE OBZ'!#REF!,"PROG")</f>
        <v>#REF!</v>
      </c>
      <c r="B725" s="22" t="e">
        <f>CONCATENATE("P",(LEFT('BASE OBZ'!#REF!,3)),'BASE OBZ'!#REF!)</f>
        <v>#REF!</v>
      </c>
      <c r="C725" t="s">
        <v>1777</v>
      </c>
    </row>
    <row r="726" spans="1:3" x14ac:dyDescent="0.25">
      <c r="A726" s="22" t="e">
        <f>CONCATENATE('BASE OBZ'!#REF!,"PROG")</f>
        <v>#REF!</v>
      </c>
      <c r="B726" s="22" t="e">
        <f>CONCATENATE("P",(LEFT('BASE OBZ'!#REF!,3)),'BASE OBZ'!#REF!)</f>
        <v>#REF!</v>
      </c>
      <c r="C726" t="s">
        <v>1777</v>
      </c>
    </row>
    <row r="727" spans="1:3" x14ac:dyDescent="0.25">
      <c r="A727" s="22" t="e">
        <f>CONCATENATE('BASE OBZ'!#REF!,"PROG")</f>
        <v>#REF!</v>
      </c>
      <c r="B727" s="22" t="e">
        <f>CONCATENATE("P",(LEFT('BASE OBZ'!#REF!,3)),'BASE OBZ'!#REF!)</f>
        <v>#REF!</v>
      </c>
      <c r="C727" t="s">
        <v>1777</v>
      </c>
    </row>
    <row r="728" spans="1:3" x14ac:dyDescent="0.25">
      <c r="A728" s="22" t="e">
        <f>CONCATENATE('BASE OBZ'!#REF!,"PROG")</f>
        <v>#REF!</v>
      </c>
      <c r="B728" s="22" t="e">
        <f>CONCATENATE("P",(LEFT('BASE OBZ'!#REF!,3)),'BASE OBZ'!#REF!)</f>
        <v>#REF!</v>
      </c>
      <c r="C728" t="s">
        <v>1777</v>
      </c>
    </row>
    <row r="729" spans="1:3" x14ac:dyDescent="0.25">
      <c r="A729" s="22" t="e">
        <f>CONCATENATE('BASE OBZ'!#REF!,"PROG")</f>
        <v>#REF!</v>
      </c>
      <c r="B729" s="22" t="e">
        <f>CONCATENATE("P",(LEFT('BASE OBZ'!#REF!,3)),'BASE OBZ'!#REF!)</f>
        <v>#REF!</v>
      </c>
      <c r="C729" t="s">
        <v>1777</v>
      </c>
    </row>
    <row r="730" spans="1:3" x14ac:dyDescent="0.25">
      <c r="A730" s="22" t="e">
        <f>CONCATENATE('BASE OBZ'!#REF!,"PROG")</f>
        <v>#REF!</v>
      </c>
      <c r="B730" s="22" t="e">
        <f>CONCATENATE("P",(LEFT('BASE OBZ'!#REF!,3)),'BASE OBZ'!#REF!)</f>
        <v>#REF!</v>
      </c>
      <c r="C730" t="s">
        <v>1777</v>
      </c>
    </row>
    <row r="731" spans="1:3" x14ac:dyDescent="0.25">
      <c r="A731" s="22" t="e">
        <f>CONCATENATE('BASE OBZ'!#REF!,"PROG")</f>
        <v>#REF!</v>
      </c>
      <c r="B731" s="22" t="e">
        <f>CONCATENATE("P",(LEFT('BASE OBZ'!#REF!,3)),'BASE OBZ'!#REF!)</f>
        <v>#REF!</v>
      </c>
      <c r="C731" t="s">
        <v>1777</v>
      </c>
    </row>
    <row r="732" spans="1:3" x14ac:dyDescent="0.25">
      <c r="A732" s="22" t="e">
        <f>CONCATENATE('BASE OBZ'!#REF!,"PROG")</f>
        <v>#REF!</v>
      </c>
      <c r="B732" s="22" t="e">
        <f>CONCATENATE("P",(LEFT('BASE OBZ'!#REF!,3)),'BASE OBZ'!#REF!)</f>
        <v>#REF!</v>
      </c>
      <c r="C732" t="s">
        <v>1777</v>
      </c>
    </row>
    <row r="733" spans="1:3" x14ac:dyDescent="0.25">
      <c r="A733" s="22" t="e">
        <f>CONCATENATE('BASE OBZ'!#REF!,"PROG")</f>
        <v>#REF!</v>
      </c>
      <c r="B733" s="22" t="e">
        <f>CONCATENATE("P",(LEFT('BASE OBZ'!#REF!,3)),'BASE OBZ'!#REF!)</f>
        <v>#REF!</v>
      </c>
      <c r="C733" t="s">
        <v>1777</v>
      </c>
    </row>
    <row r="734" spans="1:3" x14ac:dyDescent="0.25">
      <c r="A734" s="22" t="e">
        <f>CONCATENATE('BASE OBZ'!#REF!,"PROG")</f>
        <v>#REF!</v>
      </c>
      <c r="B734" s="22" t="e">
        <f>CONCATENATE("P",(LEFT('BASE OBZ'!#REF!,3)),'BASE OBZ'!#REF!)</f>
        <v>#REF!</v>
      </c>
      <c r="C734" t="s">
        <v>1777</v>
      </c>
    </row>
    <row r="735" spans="1:3" x14ac:dyDescent="0.25">
      <c r="A735" s="22" t="e">
        <f>CONCATENATE('BASE OBZ'!#REF!,"PROG")</f>
        <v>#REF!</v>
      </c>
      <c r="B735" s="22" t="e">
        <f>CONCATENATE("P",(LEFT('BASE OBZ'!#REF!,3)),'BASE OBZ'!#REF!)</f>
        <v>#REF!</v>
      </c>
      <c r="C735" t="s">
        <v>1777</v>
      </c>
    </row>
    <row r="736" spans="1:3" x14ac:dyDescent="0.25">
      <c r="A736" s="22" t="e">
        <f>CONCATENATE('BASE OBZ'!#REF!,"PROG")</f>
        <v>#REF!</v>
      </c>
      <c r="B736" s="22" t="e">
        <f>CONCATENATE("P",(LEFT('BASE OBZ'!#REF!,3)),'BASE OBZ'!#REF!)</f>
        <v>#REF!</v>
      </c>
      <c r="C736" t="s">
        <v>1777</v>
      </c>
    </row>
    <row r="737" spans="1:3" x14ac:dyDescent="0.25">
      <c r="A737" s="22" t="e">
        <f>CONCATENATE('BASE OBZ'!#REF!,"PROG")</f>
        <v>#REF!</v>
      </c>
      <c r="B737" s="22" t="e">
        <f>CONCATENATE("P",(LEFT('BASE OBZ'!#REF!,3)),'BASE OBZ'!#REF!)</f>
        <v>#REF!</v>
      </c>
      <c r="C737" t="s">
        <v>1777</v>
      </c>
    </row>
    <row r="738" spans="1:3" x14ac:dyDescent="0.25">
      <c r="A738" s="22" t="e">
        <f>CONCATENATE('BASE OBZ'!#REF!,"PROG")</f>
        <v>#REF!</v>
      </c>
      <c r="B738" s="22" t="e">
        <f>CONCATENATE("P",(LEFT('BASE OBZ'!#REF!,3)),'BASE OBZ'!#REF!)</f>
        <v>#REF!</v>
      </c>
      <c r="C738" t="s">
        <v>1777</v>
      </c>
    </row>
    <row r="739" spans="1:3" x14ac:dyDescent="0.25">
      <c r="A739" s="22" t="e">
        <f>CONCATENATE('BASE OBZ'!#REF!,"PROG")</f>
        <v>#REF!</v>
      </c>
      <c r="B739" s="22" t="e">
        <f>CONCATENATE("P",(LEFT('BASE OBZ'!#REF!,3)),'BASE OBZ'!#REF!)</f>
        <v>#REF!</v>
      </c>
      <c r="C739" t="s">
        <v>1777</v>
      </c>
    </row>
    <row r="740" spans="1:3" x14ac:dyDescent="0.25">
      <c r="A740" s="22" t="e">
        <f>CONCATENATE('BASE OBZ'!#REF!,"PROG")</f>
        <v>#REF!</v>
      </c>
      <c r="B740" s="22" t="e">
        <f>CONCATENATE("P",(LEFT('BASE OBZ'!#REF!,3)),'BASE OBZ'!#REF!)</f>
        <v>#REF!</v>
      </c>
      <c r="C740" t="s">
        <v>1777</v>
      </c>
    </row>
    <row r="741" spans="1:3" x14ac:dyDescent="0.25">
      <c r="A741" s="22" t="e">
        <f>CONCATENATE('BASE OBZ'!#REF!,"PROG")</f>
        <v>#REF!</v>
      </c>
      <c r="B741" s="22" t="e">
        <f>CONCATENATE("P",(LEFT('BASE OBZ'!#REF!,3)),'BASE OBZ'!#REF!)</f>
        <v>#REF!</v>
      </c>
      <c r="C741" t="s">
        <v>1777</v>
      </c>
    </row>
    <row r="742" spans="1:3" x14ac:dyDescent="0.25">
      <c r="A742" s="22" t="e">
        <f>CONCATENATE('BASE OBZ'!#REF!,"PROG")</f>
        <v>#REF!</v>
      </c>
      <c r="B742" s="22" t="e">
        <f>CONCATENATE("P",(LEFT('BASE OBZ'!#REF!,3)),'BASE OBZ'!#REF!)</f>
        <v>#REF!</v>
      </c>
      <c r="C742" t="s">
        <v>1777</v>
      </c>
    </row>
    <row r="743" spans="1:3" x14ac:dyDescent="0.25">
      <c r="A743" s="22" t="e">
        <f>CONCATENATE('BASE OBZ'!#REF!,"PROG")</f>
        <v>#REF!</v>
      </c>
      <c r="B743" s="22" t="e">
        <f>CONCATENATE("P",(LEFT('BASE OBZ'!#REF!,3)),'BASE OBZ'!#REF!)</f>
        <v>#REF!</v>
      </c>
      <c r="C743" t="s">
        <v>1777</v>
      </c>
    </row>
    <row r="744" spans="1:3" x14ac:dyDescent="0.25">
      <c r="A744" s="22" t="e">
        <f>CONCATENATE('BASE OBZ'!#REF!,"PROG")</f>
        <v>#REF!</v>
      </c>
      <c r="B744" s="22" t="e">
        <f>CONCATENATE("P",(LEFT('BASE OBZ'!#REF!,3)),'BASE OBZ'!#REF!)</f>
        <v>#REF!</v>
      </c>
      <c r="C744" t="s">
        <v>1777</v>
      </c>
    </row>
    <row r="745" spans="1:3" x14ac:dyDescent="0.25">
      <c r="A745" s="22" t="e">
        <f>CONCATENATE('BASE OBZ'!#REF!,"PROG")</f>
        <v>#REF!</v>
      </c>
      <c r="B745" s="22" t="e">
        <f>CONCATENATE("P",(LEFT('BASE OBZ'!#REF!,3)),'BASE OBZ'!#REF!)</f>
        <v>#REF!</v>
      </c>
      <c r="C745" t="s">
        <v>1777</v>
      </c>
    </row>
    <row r="746" spans="1:3" x14ac:dyDescent="0.25">
      <c r="A746" s="22" t="e">
        <f>CONCATENATE('BASE OBZ'!#REF!,"PROG")</f>
        <v>#REF!</v>
      </c>
      <c r="B746" s="22" t="e">
        <f>CONCATENATE("P",(LEFT('BASE OBZ'!#REF!,3)),'BASE OBZ'!#REF!)</f>
        <v>#REF!</v>
      </c>
      <c r="C746" t="s">
        <v>1777</v>
      </c>
    </row>
    <row r="747" spans="1:3" x14ac:dyDescent="0.25">
      <c r="A747" s="22" t="e">
        <f>CONCATENATE('BASE OBZ'!#REF!,"PROG")</f>
        <v>#REF!</v>
      </c>
      <c r="B747" s="22" t="e">
        <f>CONCATENATE("P",(LEFT('BASE OBZ'!#REF!,3)),'BASE OBZ'!#REF!)</f>
        <v>#REF!</v>
      </c>
      <c r="C747" t="s">
        <v>1777</v>
      </c>
    </row>
    <row r="748" spans="1:3" x14ac:dyDescent="0.25">
      <c r="A748" s="22" t="e">
        <f>CONCATENATE('BASE OBZ'!#REF!,"PROG")</f>
        <v>#REF!</v>
      </c>
      <c r="B748" s="22" t="e">
        <f>CONCATENATE("P",(LEFT('BASE OBZ'!#REF!,3)),'BASE OBZ'!#REF!)</f>
        <v>#REF!</v>
      </c>
      <c r="C748" t="s">
        <v>1777</v>
      </c>
    </row>
    <row r="749" spans="1:3" x14ac:dyDescent="0.25">
      <c r="A749" s="22" t="e">
        <f>CONCATENATE('BASE OBZ'!#REF!,"PROG")</f>
        <v>#REF!</v>
      </c>
      <c r="B749" s="22" t="e">
        <f>CONCATENATE("P",(LEFT('BASE OBZ'!#REF!,3)),'BASE OBZ'!#REF!)</f>
        <v>#REF!</v>
      </c>
      <c r="C749" t="s">
        <v>1777</v>
      </c>
    </row>
    <row r="750" spans="1:3" x14ac:dyDescent="0.25">
      <c r="A750" s="22" t="e">
        <f>CONCATENATE('BASE OBZ'!#REF!,"PROG")</f>
        <v>#REF!</v>
      </c>
      <c r="B750" s="22" t="e">
        <f>CONCATENATE("P",(LEFT('BASE OBZ'!#REF!,3)),'BASE OBZ'!#REF!)</f>
        <v>#REF!</v>
      </c>
      <c r="C750" t="s">
        <v>1777</v>
      </c>
    </row>
    <row r="751" spans="1:3" x14ac:dyDescent="0.25">
      <c r="A751" s="22" t="e">
        <f>CONCATENATE('BASE OBZ'!#REF!,"PROG")</f>
        <v>#REF!</v>
      </c>
      <c r="B751" s="22" t="e">
        <f>CONCATENATE("P",(LEFT('BASE OBZ'!#REF!,3)),'BASE OBZ'!#REF!)</f>
        <v>#REF!</v>
      </c>
      <c r="C751" t="s">
        <v>1777</v>
      </c>
    </row>
    <row r="752" spans="1:3" x14ac:dyDescent="0.25">
      <c r="A752" s="22" t="e">
        <f>CONCATENATE('BASE OBZ'!#REF!,"PROG")</f>
        <v>#REF!</v>
      </c>
      <c r="B752" s="22" t="e">
        <f>CONCATENATE("P",(LEFT('BASE OBZ'!#REF!,3)),'BASE OBZ'!#REF!)</f>
        <v>#REF!</v>
      </c>
      <c r="C752" t="s">
        <v>1777</v>
      </c>
    </row>
    <row r="753" spans="1:3" x14ac:dyDescent="0.25">
      <c r="A753" s="22" t="e">
        <f>CONCATENATE('BASE OBZ'!#REF!,"PROG")</f>
        <v>#REF!</v>
      </c>
      <c r="B753" s="22" t="e">
        <f>CONCATENATE("P",(LEFT('BASE OBZ'!#REF!,3)),'BASE OBZ'!#REF!)</f>
        <v>#REF!</v>
      </c>
      <c r="C753" t="s">
        <v>1777</v>
      </c>
    </row>
    <row r="754" spans="1:3" x14ac:dyDescent="0.25">
      <c r="A754" s="22" t="e">
        <f>CONCATENATE('BASE OBZ'!#REF!,"PROG")</f>
        <v>#REF!</v>
      </c>
      <c r="B754" s="22" t="e">
        <f>CONCATENATE("P",(LEFT('BASE OBZ'!#REF!,3)),'BASE OBZ'!#REF!)</f>
        <v>#REF!</v>
      </c>
      <c r="C754" t="s">
        <v>1777</v>
      </c>
    </row>
    <row r="755" spans="1:3" x14ac:dyDescent="0.25">
      <c r="A755" s="22" t="e">
        <f>CONCATENATE('BASE OBZ'!#REF!,"PROG")</f>
        <v>#REF!</v>
      </c>
      <c r="B755" s="22" t="e">
        <f>CONCATENATE("P",(LEFT('BASE OBZ'!#REF!,3)),'BASE OBZ'!#REF!)</f>
        <v>#REF!</v>
      </c>
      <c r="C755" t="s">
        <v>1777</v>
      </c>
    </row>
    <row r="756" spans="1:3" x14ac:dyDescent="0.25">
      <c r="A756" s="22" t="e">
        <f>CONCATENATE('BASE OBZ'!#REF!,"PROG")</f>
        <v>#REF!</v>
      </c>
      <c r="B756" s="22" t="e">
        <f>CONCATENATE("P",(LEFT('BASE OBZ'!#REF!,3)),'BASE OBZ'!#REF!)</f>
        <v>#REF!</v>
      </c>
      <c r="C756" t="s">
        <v>1777</v>
      </c>
    </row>
    <row r="757" spans="1:3" x14ac:dyDescent="0.25">
      <c r="A757" s="22" t="e">
        <f>CONCATENATE('BASE OBZ'!#REF!,"PROG")</f>
        <v>#REF!</v>
      </c>
      <c r="B757" s="22" t="e">
        <f>CONCATENATE("P",(LEFT('BASE OBZ'!#REF!,3)),'BASE OBZ'!#REF!)</f>
        <v>#REF!</v>
      </c>
      <c r="C757" t="s">
        <v>1777</v>
      </c>
    </row>
    <row r="758" spans="1:3" x14ac:dyDescent="0.25">
      <c r="A758" s="22" t="e">
        <f>CONCATENATE('BASE OBZ'!#REF!,"PROG")</f>
        <v>#REF!</v>
      </c>
      <c r="B758" s="22" t="e">
        <f>CONCATENATE("P",(LEFT('BASE OBZ'!#REF!,3)),'BASE OBZ'!#REF!)</f>
        <v>#REF!</v>
      </c>
      <c r="C758" t="s">
        <v>1777</v>
      </c>
    </row>
    <row r="759" spans="1:3" x14ac:dyDescent="0.25">
      <c r="A759" s="22" t="e">
        <f>CONCATENATE('BASE OBZ'!#REF!,"PROG")</f>
        <v>#REF!</v>
      </c>
      <c r="B759" s="22" t="e">
        <f>CONCATENATE("P",(LEFT('BASE OBZ'!#REF!,3)),'BASE OBZ'!#REF!)</f>
        <v>#REF!</v>
      </c>
      <c r="C759" t="s">
        <v>1777</v>
      </c>
    </row>
    <row r="760" spans="1:3" x14ac:dyDescent="0.25">
      <c r="A760" s="22" t="e">
        <f>CONCATENATE('BASE OBZ'!#REF!,"PROG")</f>
        <v>#REF!</v>
      </c>
      <c r="B760" s="22" t="e">
        <f>CONCATENATE("P",(LEFT('BASE OBZ'!#REF!,3)),'BASE OBZ'!#REF!)</f>
        <v>#REF!</v>
      </c>
      <c r="C760" t="s">
        <v>1777</v>
      </c>
    </row>
    <row r="761" spans="1:3" x14ac:dyDescent="0.25">
      <c r="A761" s="22" t="e">
        <f>CONCATENATE('BASE OBZ'!#REF!,"PROG")</f>
        <v>#REF!</v>
      </c>
      <c r="B761" s="22" t="e">
        <f>CONCATENATE("P",(LEFT('BASE OBZ'!#REF!,3)),'BASE OBZ'!#REF!)</f>
        <v>#REF!</v>
      </c>
      <c r="C761" t="s">
        <v>1777</v>
      </c>
    </row>
    <row r="762" spans="1:3" x14ac:dyDescent="0.25">
      <c r="A762" s="22" t="e">
        <f>CONCATENATE('BASE OBZ'!#REF!,"PROG")</f>
        <v>#REF!</v>
      </c>
      <c r="B762" s="22" t="e">
        <f>CONCATENATE("P",(LEFT('BASE OBZ'!#REF!,3)),'BASE OBZ'!#REF!)</f>
        <v>#REF!</v>
      </c>
      <c r="C762" t="s">
        <v>1777</v>
      </c>
    </row>
    <row r="763" spans="1:3" x14ac:dyDescent="0.25">
      <c r="A763" s="22" t="e">
        <f>CONCATENATE('BASE OBZ'!#REF!,"PROG")</f>
        <v>#REF!</v>
      </c>
      <c r="B763" s="22" t="e">
        <f>CONCATENATE("P",(LEFT('BASE OBZ'!#REF!,3)),'BASE OBZ'!#REF!)</f>
        <v>#REF!</v>
      </c>
      <c r="C763" t="s">
        <v>1777</v>
      </c>
    </row>
    <row r="764" spans="1:3" x14ac:dyDescent="0.25">
      <c r="A764" s="22" t="e">
        <f>CONCATENATE('BASE OBZ'!#REF!,"PROG")</f>
        <v>#REF!</v>
      </c>
      <c r="B764" s="22" t="e">
        <f>CONCATENATE("P",(LEFT('BASE OBZ'!#REF!,3)),'BASE OBZ'!#REF!)</f>
        <v>#REF!</v>
      </c>
      <c r="C764" t="s">
        <v>1777</v>
      </c>
    </row>
    <row r="765" spans="1:3" x14ac:dyDescent="0.25">
      <c r="A765" s="22" t="e">
        <f>CONCATENATE('BASE OBZ'!#REF!,"PROG")</f>
        <v>#REF!</v>
      </c>
      <c r="B765" s="22" t="e">
        <f>CONCATENATE("P",(LEFT('BASE OBZ'!#REF!,3)),'BASE OBZ'!#REF!)</f>
        <v>#REF!</v>
      </c>
      <c r="C765" t="s">
        <v>1777</v>
      </c>
    </row>
    <row r="766" spans="1:3" x14ac:dyDescent="0.25">
      <c r="A766" s="22" t="e">
        <f>CONCATENATE('BASE OBZ'!#REF!,"PROG")</f>
        <v>#REF!</v>
      </c>
      <c r="B766" s="22" t="e">
        <f>CONCATENATE("P",(LEFT('BASE OBZ'!#REF!,3)),'BASE OBZ'!#REF!)</f>
        <v>#REF!</v>
      </c>
      <c r="C766" t="s">
        <v>1777</v>
      </c>
    </row>
    <row r="767" spans="1:3" x14ac:dyDescent="0.25">
      <c r="A767" s="22" t="e">
        <f>CONCATENATE('BASE OBZ'!#REF!,"PROG")</f>
        <v>#REF!</v>
      </c>
      <c r="B767" s="22" t="e">
        <f>CONCATENATE("P",(LEFT('BASE OBZ'!#REF!,3)),'BASE OBZ'!#REF!)</f>
        <v>#REF!</v>
      </c>
      <c r="C767" t="s">
        <v>1777</v>
      </c>
    </row>
    <row r="768" spans="1:3" x14ac:dyDescent="0.25">
      <c r="A768" s="22" t="e">
        <f>CONCATENATE('BASE OBZ'!#REF!,"PROG")</f>
        <v>#REF!</v>
      </c>
      <c r="B768" s="22" t="e">
        <f>CONCATENATE("P",(LEFT('BASE OBZ'!#REF!,3)),'BASE OBZ'!#REF!)</f>
        <v>#REF!</v>
      </c>
      <c r="C768" t="s">
        <v>1777</v>
      </c>
    </row>
    <row r="769" spans="1:3" x14ac:dyDescent="0.25">
      <c r="A769" s="22" t="e">
        <f>CONCATENATE('BASE OBZ'!#REF!,"PROG")</f>
        <v>#REF!</v>
      </c>
      <c r="B769" s="22" t="e">
        <f>CONCATENATE("P",(LEFT('BASE OBZ'!#REF!,3)),'BASE OBZ'!#REF!)</f>
        <v>#REF!</v>
      </c>
      <c r="C769" t="s">
        <v>1777</v>
      </c>
    </row>
    <row r="770" spans="1:3" x14ac:dyDescent="0.25">
      <c r="A770" s="22" t="e">
        <f>CONCATENATE('BASE OBZ'!#REF!,"PROG")</f>
        <v>#REF!</v>
      </c>
      <c r="B770" s="22" t="e">
        <f>CONCATENATE("P",(LEFT('BASE OBZ'!#REF!,3)),'BASE OBZ'!#REF!)</f>
        <v>#REF!</v>
      </c>
      <c r="C770" t="s">
        <v>1777</v>
      </c>
    </row>
    <row r="771" spans="1:3" x14ac:dyDescent="0.25">
      <c r="A771" s="22" t="e">
        <f>CONCATENATE('BASE OBZ'!#REF!,"PROG")</f>
        <v>#REF!</v>
      </c>
      <c r="B771" s="22" t="e">
        <f>CONCATENATE("P",(LEFT('BASE OBZ'!#REF!,3)),'BASE OBZ'!#REF!)</f>
        <v>#REF!</v>
      </c>
      <c r="C771" t="s">
        <v>1777</v>
      </c>
    </row>
    <row r="772" spans="1:3" x14ac:dyDescent="0.25">
      <c r="A772" s="22" t="e">
        <f>CONCATENATE('BASE OBZ'!#REF!,"PROG")</f>
        <v>#REF!</v>
      </c>
      <c r="B772" s="22" t="e">
        <f>CONCATENATE("P",(LEFT('BASE OBZ'!#REF!,3)),'BASE OBZ'!#REF!)</f>
        <v>#REF!</v>
      </c>
      <c r="C772" t="s">
        <v>1777</v>
      </c>
    </row>
    <row r="773" spans="1:3" x14ac:dyDescent="0.25">
      <c r="A773" s="22" t="e">
        <f>CONCATENATE('BASE OBZ'!#REF!,"PROG")</f>
        <v>#REF!</v>
      </c>
      <c r="B773" s="22" t="e">
        <f>CONCATENATE("P",(LEFT('BASE OBZ'!#REF!,3)),'BASE OBZ'!#REF!)</f>
        <v>#REF!</v>
      </c>
      <c r="C773" t="s">
        <v>1777</v>
      </c>
    </row>
    <row r="774" spans="1:3" x14ac:dyDescent="0.25">
      <c r="A774" s="22" t="e">
        <f>CONCATENATE('BASE OBZ'!#REF!,"PROG")</f>
        <v>#REF!</v>
      </c>
      <c r="B774" s="22" t="e">
        <f>CONCATENATE("P",(LEFT('BASE OBZ'!#REF!,3)),'BASE OBZ'!#REF!)</f>
        <v>#REF!</v>
      </c>
      <c r="C774" t="s">
        <v>1777</v>
      </c>
    </row>
    <row r="775" spans="1:3" x14ac:dyDescent="0.25">
      <c r="A775" s="22" t="e">
        <f>CONCATENATE('BASE OBZ'!#REF!,"PROG")</f>
        <v>#REF!</v>
      </c>
      <c r="B775" s="22" t="e">
        <f>CONCATENATE("P",(LEFT('BASE OBZ'!#REF!,3)),'BASE OBZ'!#REF!)</f>
        <v>#REF!</v>
      </c>
      <c r="C775" t="s">
        <v>1777</v>
      </c>
    </row>
    <row r="776" spans="1:3" x14ac:dyDescent="0.25">
      <c r="A776" s="22" t="e">
        <f>CONCATENATE('BASE OBZ'!#REF!,"PROG")</f>
        <v>#REF!</v>
      </c>
      <c r="B776" s="22" t="e">
        <f>CONCATENATE("P",(LEFT('BASE OBZ'!#REF!,3)),'BASE OBZ'!#REF!)</f>
        <v>#REF!</v>
      </c>
      <c r="C776" t="s">
        <v>1777</v>
      </c>
    </row>
    <row r="777" spans="1:3" x14ac:dyDescent="0.25">
      <c r="A777" s="22" t="e">
        <f>CONCATENATE('BASE OBZ'!#REF!,"PROG")</f>
        <v>#REF!</v>
      </c>
      <c r="B777" s="22" t="e">
        <f>CONCATENATE("P",(LEFT('BASE OBZ'!#REF!,3)),'BASE OBZ'!#REF!)</f>
        <v>#REF!</v>
      </c>
      <c r="C777" t="s">
        <v>1777</v>
      </c>
    </row>
    <row r="778" spans="1:3" x14ac:dyDescent="0.25">
      <c r="A778" s="22" t="e">
        <f>CONCATENATE('BASE OBZ'!#REF!,"PROG")</f>
        <v>#REF!</v>
      </c>
      <c r="B778" s="22" t="e">
        <f>CONCATENATE("P",(LEFT('BASE OBZ'!#REF!,3)),'BASE OBZ'!#REF!)</f>
        <v>#REF!</v>
      </c>
      <c r="C778" t="s">
        <v>1777</v>
      </c>
    </row>
    <row r="779" spans="1:3" x14ac:dyDescent="0.25">
      <c r="A779" s="22" t="e">
        <f>CONCATENATE('BASE OBZ'!#REF!,"PROG")</f>
        <v>#REF!</v>
      </c>
      <c r="B779" s="22" t="e">
        <f>CONCATENATE("P",(LEFT('BASE OBZ'!#REF!,3)),'BASE OBZ'!#REF!)</f>
        <v>#REF!</v>
      </c>
      <c r="C779" t="s">
        <v>1777</v>
      </c>
    </row>
    <row r="780" spans="1:3" x14ac:dyDescent="0.25">
      <c r="A780" s="22" t="e">
        <f>CONCATENATE('BASE OBZ'!#REF!,"PROG")</f>
        <v>#REF!</v>
      </c>
      <c r="B780" s="22" t="e">
        <f>CONCATENATE("P",(LEFT('BASE OBZ'!#REF!,3)),'BASE OBZ'!#REF!)</f>
        <v>#REF!</v>
      </c>
      <c r="C780" t="s">
        <v>1777</v>
      </c>
    </row>
    <row r="781" spans="1:3" x14ac:dyDescent="0.25">
      <c r="A781" s="22" t="e">
        <f>CONCATENATE('BASE OBZ'!#REF!,"PROG")</f>
        <v>#REF!</v>
      </c>
      <c r="B781" s="22" t="e">
        <f>CONCATENATE("P",(LEFT('BASE OBZ'!#REF!,3)),'BASE OBZ'!#REF!)</f>
        <v>#REF!</v>
      </c>
      <c r="C781" t="s">
        <v>1777</v>
      </c>
    </row>
    <row r="782" spans="1:3" x14ac:dyDescent="0.25">
      <c r="A782" s="22" t="e">
        <f>CONCATENATE('BASE OBZ'!#REF!,"PROG")</f>
        <v>#REF!</v>
      </c>
      <c r="B782" s="22" t="e">
        <f>CONCATENATE("P",(LEFT('BASE OBZ'!#REF!,3)),'BASE OBZ'!#REF!)</f>
        <v>#REF!</v>
      </c>
      <c r="C782" t="s">
        <v>1777</v>
      </c>
    </row>
    <row r="783" spans="1:3" x14ac:dyDescent="0.25">
      <c r="A783" s="22" t="e">
        <f>CONCATENATE('BASE OBZ'!#REF!,"PROG")</f>
        <v>#REF!</v>
      </c>
      <c r="B783" s="22" t="e">
        <f>CONCATENATE("P",(LEFT('BASE OBZ'!#REF!,3)),'BASE OBZ'!#REF!)</f>
        <v>#REF!</v>
      </c>
      <c r="C783" t="s">
        <v>1777</v>
      </c>
    </row>
    <row r="784" spans="1:3" x14ac:dyDescent="0.25">
      <c r="A784" s="22" t="e">
        <f>CONCATENATE('BASE OBZ'!#REF!,"PROG")</f>
        <v>#REF!</v>
      </c>
      <c r="B784" s="22" t="e">
        <f>CONCATENATE("P",(LEFT('BASE OBZ'!#REF!,3)),'BASE OBZ'!#REF!)</f>
        <v>#REF!</v>
      </c>
      <c r="C784" t="s">
        <v>1777</v>
      </c>
    </row>
    <row r="785" spans="1:3" x14ac:dyDescent="0.25">
      <c r="A785" s="22" t="e">
        <f>CONCATENATE('BASE OBZ'!#REF!,"PROG")</f>
        <v>#REF!</v>
      </c>
      <c r="B785" s="22" t="e">
        <f>CONCATENATE("P",(LEFT('BASE OBZ'!#REF!,3)),'BASE OBZ'!#REF!)</f>
        <v>#REF!</v>
      </c>
      <c r="C785" t="s">
        <v>1777</v>
      </c>
    </row>
    <row r="786" spans="1:3" x14ac:dyDescent="0.25">
      <c r="A786" s="22" t="e">
        <f>CONCATENATE('BASE OBZ'!#REF!,"PROG")</f>
        <v>#REF!</v>
      </c>
      <c r="B786" s="22" t="e">
        <f>CONCATENATE("P",(LEFT('BASE OBZ'!#REF!,3)),'BASE OBZ'!#REF!)</f>
        <v>#REF!</v>
      </c>
      <c r="C786" t="s">
        <v>1777</v>
      </c>
    </row>
    <row r="787" spans="1:3" x14ac:dyDescent="0.25">
      <c r="A787" s="22" t="e">
        <f>CONCATENATE('BASE OBZ'!#REF!,"PROG")</f>
        <v>#REF!</v>
      </c>
      <c r="B787" s="22" t="e">
        <f>CONCATENATE("P",(LEFT('BASE OBZ'!#REF!,3)),'BASE OBZ'!#REF!)</f>
        <v>#REF!</v>
      </c>
      <c r="C787" t="s">
        <v>1777</v>
      </c>
    </row>
    <row r="788" spans="1:3" x14ac:dyDescent="0.25">
      <c r="A788" s="22" t="e">
        <f>CONCATENATE('BASE OBZ'!#REF!,"PROG")</f>
        <v>#REF!</v>
      </c>
      <c r="B788" s="22" t="e">
        <f>CONCATENATE("P",(LEFT('BASE OBZ'!#REF!,3)),'BASE OBZ'!#REF!)</f>
        <v>#REF!</v>
      </c>
      <c r="C788" t="s">
        <v>1777</v>
      </c>
    </row>
    <row r="789" spans="1:3" x14ac:dyDescent="0.25">
      <c r="A789" s="22" t="e">
        <f>CONCATENATE('BASE OBZ'!#REF!,"PROG")</f>
        <v>#REF!</v>
      </c>
      <c r="B789" s="22" t="e">
        <f>CONCATENATE("P",(LEFT('BASE OBZ'!#REF!,3)),'BASE OBZ'!#REF!)</f>
        <v>#REF!</v>
      </c>
      <c r="C789" t="s">
        <v>1777</v>
      </c>
    </row>
    <row r="790" spans="1:3" x14ac:dyDescent="0.25">
      <c r="A790" s="22" t="e">
        <f>CONCATENATE('BASE OBZ'!#REF!,"PROG")</f>
        <v>#REF!</v>
      </c>
      <c r="B790" s="22" t="e">
        <f>CONCATENATE("P",(LEFT('BASE OBZ'!#REF!,3)),'BASE OBZ'!#REF!)</f>
        <v>#REF!</v>
      </c>
      <c r="C790" t="s">
        <v>1777</v>
      </c>
    </row>
    <row r="791" spans="1:3" x14ac:dyDescent="0.25">
      <c r="A791" s="22" t="e">
        <f>CONCATENATE('BASE OBZ'!#REF!,"PROG")</f>
        <v>#REF!</v>
      </c>
      <c r="B791" s="22" t="e">
        <f>CONCATENATE("P",(LEFT('BASE OBZ'!#REF!,3)),'BASE OBZ'!#REF!)</f>
        <v>#REF!</v>
      </c>
      <c r="C791" t="s">
        <v>1777</v>
      </c>
    </row>
    <row r="792" spans="1:3" x14ac:dyDescent="0.25">
      <c r="A792" s="22" t="e">
        <f>CONCATENATE('BASE OBZ'!#REF!,"PROG")</f>
        <v>#REF!</v>
      </c>
      <c r="B792" s="22" t="e">
        <f>CONCATENATE("P",(LEFT('BASE OBZ'!#REF!,3)),'BASE OBZ'!#REF!)</f>
        <v>#REF!</v>
      </c>
      <c r="C792" t="s">
        <v>1777</v>
      </c>
    </row>
    <row r="793" spans="1:3" x14ac:dyDescent="0.25">
      <c r="A793" s="22" t="e">
        <f>CONCATENATE('BASE OBZ'!#REF!,"PROG")</f>
        <v>#REF!</v>
      </c>
      <c r="B793" s="22" t="e">
        <f>CONCATENATE("P",(LEFT('BASE OBZ'!#REF!,3)),'BASE OBZ'!#REF!)</f>
        <v>#REF!</v>
      </c>
      <c r="C793" t="s">
        <v>1777</v>
      </c>
    </row>
    <row r="794" spans="1:3" x14ac:dyDescent="0.25">
      <c r="A794" s="22" t="e">
        <f>CONCATENATE('BASE OBZ'!#REF!,"PROG")</f>
        <v>#REF!</v>
      </c>
      <c r="B794" s="22" t="e">
        <f>CONCATENATE("P",(LEFT('BASE OBZ'!#REF!,3)),'BASE OBZ'!#REF!)</f>
        <v>#REF!</v>
      </c>
      <c r="C794" t="s">
        <v>1777</v>
      </c>
    </row>
    <row r="795" spans="1:3" x14ac:dyDescent="0.25">
      <c r="A795" s="22" t="e">
        <f>CONCATENATE('BASE OBZ'!#REF!,"PROG")</f>
        <v>#REF!</v>
      </c>
      <c r="B795" s="22" t="e">
        <f>CONCATENATE("P",(LEFT('BASE OBZ'!#REF!,3)),'BASE OBZ'!#REF!)</f>
        <v>#REF!</v>
      </c>
      <c r="C795" t="s">
        <v>1777</v>
      </c>
    </row>
    <row r="796" spans="1:3" x14ac:dyDescent="0.25">
      <c r="A796" s="22" t="e">
        <f>CONCATENATE('BASE OBZ'!#REF!,"PROG")</f>
        <v>#REF!</v>
      </c>
      <c r="B796" s="22" t="e">
        <f>CONCATENATE("P",(LEFT('BASE OBZ'!#REF!,3)),'BASE OBZ'!#REF!)</f>
        <v>#REF!</v>
      </c>
      <c r="C796" t="s">
        <v>1777</v>
      </c>
    </row>
    <row r="797" spans="1:3" x14ac:dyDescent="0.25">
      <c r="A797" s="22" t="e">
        <f>CONCATENATE('BASE OBZ'!#REF!,"PROG")</f>
        <v>#REF!</v>
      </c>
      <c r="B797" s="22" t="e">
        <f>CONCATENATE("P",(LEFT('BASE OBZ'!#REF!,3)),'BASE OBZ'!#REF!)</f>
        <v>#REF!</v>
      </c>
      <c r="C797" t="s">
        <v>1777</v>
      </c>
    </row>
    <row r="798" spans="1:3" x14ac:dyDescent="0.25">
      <c r="A798" s="22" t="e">
        <f>CONCATENATE('BASE OBZ'!#REF!,"PROG")</f>
        <v>#REF!</v>
      </c>
      <c r="B798" s="22" t="e">
        <f>CONCATENATE("P",(LEFT('BASE OBZ'!#REF!,3)),'BASE OBZ'!#REF!)</f>
        <v>#REF!</v>
      </c>
      <c r="C798" t="s">
        <v>1777</v>
      </c>
    </row>
    <row r="799" spans="1:3" x14ac:dyDescent="0.25">
      <c r="A799" s="22" t="e">
        <f>CONCATENATE('BASE OBZ'!#REF!,"PROG")</f>
        <v>#REF!</v>
      </c>
      <c r="B799" s="22" t="e">
        <f>CONCATENATE("P",(LEFT('BASE OBZ'!#REF!,3)),'BASE OBZ'!#REF!)</f>
        <v>#REF!</v>
      </c>
      <c r="C799" t="s">
        <v>1777</v>
      </c>
    </row>
    <row r="800" spans="1:3" x14ac:dyDescent="0.25">
      <c r="A800" s="22" t="e">
        <f>CONCATENATE('BASE OBZ'!#REF!,"PROG")</f>
        <v>#REF!</v>
      </c>
      <c r="B800" s="22" t="e">
        <f>CONCATENATE("P",(LEFT('BASE OBZ'!#REF!,3)),'BASE OBZ'!#REF!)</f>
        <v>#REF!</v>
      </c>
      <c r="C800" t="s">
        <v>1777</v>
      </c>
    </row>
    <row r="801" spans="1:3" x14ac:dyDescent="0.25">
      <c r="A801" s="22" t="e">
        <f>CONCATENATE('BASE OBZ'!#REF!,"PROG")</f>
        <v>#REF!</v>
      </c>
      <c r="B801" s="22" t="e">
        <f>CONCATENATE("P",(LEFT('BASE OBZ'!#REF!,3)),'BASE OBZ'!#REF!)</f>
        <v>#REF!</v>
      </c>
      <c r="C801" t="s">
        <v>1777</v>
      </c>
    </row>
    <row r="802" spans="1:3" x14ac:dyDescent="0.25">
      <c r="A802" s="22" t="e">
        <f>CONCATENATE('BASE OBZ'!#REF!,"PROG")</f>
        <v>#REF!</v>
      </c>
      <c r="B802" s="22" t="e">
        <f>CONCATENATE("P",(LEFT('BASE OBZ'!#REF!,3)),'BASE OBZ'!#REF!)</f>
        <v>#REF!</v>
      </c>
      <c r="C802" t="s">
        <v>1777</v>
      </c>
    </row>
    <row r="803" spans="1:3" x14ac:dyDescent="0.25">
      <c r="A803" s="22" t="e">
        <f>CONCATENATE('BASE OBZ'!#REF!,"PROG")</f>
        <v>#REF!</v>
      </c>
      <c r="B803" s="22" t="e">
        <f>CONCATENATE("P",(LEFT('BASE OBZ'!#REF!,3)),'BASE OBZ'!#REF!)</f>
        <v>#REF!</v>
      </c>
      <c r="C803" t="s">
        <v>1777</v>
      </c>
    </row>
    <row r="804" spans="1:3" x14ac:dyDescent="0.25">
      <c r="A804" s="22" t="e">
        <f>CONCATENATE('BASE OBZ'!#REF!,"PROG")</f>
        <v>#REF!</v>
      </c>
      <c r="B804" s="22" t="e">
        <f>CONCATENATE("P",(LEFT('BASE OBZ'!#REF!,3)),'BASE OBZ'!#REF!)</f>
        <v>#REF!</v>
      </c>
      <c r="C804" t="s">
        <v>1777</v>
      </c>
    </row>
    <row r="805" spans="1:3" x14ac:dyDescent="0.25">
      <c r="A805" s="22" t="e">
        <f>CONCATENATE('BASE OBZ'!#REF!,"PROG")</f>
        <v>#REF!</v>
      </c>
      <c r="B805" s="22" t="e">
        <f>CONCATENATE("P",(LEFT('BASE OBZ'!#REF!,3)),'BASE OBZ'!#REF!)</f>
        <v>#REF!</v>
      </c>
      <c r="C805" t="s">
        <v>1777</v>
      </c>
    </row>
    <row r="806" spans="1:3" x14ac:dyDescent="0.25">
      <c r="A806" s="22" t="e">
        <f>CONCATENATE('BASE OBZ'!#REF!,"PROG")</f>
        <v>#REF!</v>
      </c>
      <c r="B806" s="22" t="e">
        <f>CONCATENATE("P",(LEFT('BASE OBZ'!#REF!,3)),'BASE OBZ'!#REF!)</f>
        <v>#REF!</v>
      </c>
      <c r="C806" t="s">
        <v>1777</v>
      </c>
    </row>
    <row r="807" spans="1:3" x14ac:dyDescent="0.25">
      <c r="A807" s="22" t="e">
        <f>CONCATENATE('BASE OBZ'!#REF!,"PROG")</f>
        <v>#REF!</v>
      </c>
      <c r="B807" s="22" t="e">
        <f>CONCATENATE("P",(LEFT('BASE OBZ'!#REF!,3)),'BASE OBZ'!#REF!)</f>
        <v>#REF!</v>
      </c>
      <c r="C807" t="s">
        <v>1777</v>
      </c>
    </row>
    <row r="808" spans="1:3" x14ac:dyDescent="0.25">
      <c r="A808" s="22" t="e">
        <f>CONCATENATE('BASE OBZ'!#REF!,"PROG")</f>
        <v>#REF!</v>
      </c>
      <c r="B808" s="22" t="e">
        <f>CONCATENATE("P",(LEFT('BASE OBZ'!#REF!,3)),'BASE OBZ'!#REF!)</f>
        <v>#REF!</v>
      </c>
      <c r="C808" t="s">
        <v>1777</v>
      </c>
    </row>
    <row r="809" spans="1:3" x14ac:dyDescent="0.25">
      <c r="A809" s="22" t="e">
        <f>CONCATENATE('BASE OBZ'!#REF!,"PROG")</f>
        <v>#REF!</v>
      </c>
      <c r="B809" s="22" t="e">
        <f>CONCATENATE("P",(LEFT('BASE OBZ'!#REF!,3)),'BASE OBZ'!#REF!)</f>
        <v>#REF!</v>
      </c>
      <c r="C809" t="s">
        <v>1777</v>
      </c>
    </row>
    <row r="810" spans="1:3" x14ac:dyDescent="0.25">
      <c r="A810" s="22" t="e">
        <f>CONCATENATE('BASE OBZ'!#REF!,"PROG")</f>
        <v>#REF!</v>
      </c>
      <c r="B810" s="22" t="e">
        <f>CONCATENATE("P",(LEFT('BASE OBZ'!#REF!,3)),'BASE OBZ'!#REF!)</f>
        <v>#REF!</v>
      </c>
      <c r="C810" t="s">
        <v>1777</v>
      </c>
    </row>
    <row r="811" spans="1:3" x14ac:dyDescent="0.25">
      <c r="A811" s="22" t="e">
        <f>CONCATENATE('BASE OBZ'!#REF!,"PROG")</f>
        <v>#REF!</v>
      </c>
      <c r="B811" s="22" t="e">
        <f>CONCATENATE("P",(LEFT('BASE OBZ'!#REF!,3)),'BASE OBZ'!#REF!)</f>
        <v>#REF!</v>
      </c>
      <c r="C811" t="s">
        <v>1777</v>
      </c>
    </row>
    <row r="812" spans="1:3" x14ac:dyDescent="0.25">
      <c r="A812" s="22" t="e">
        <f>CONCATENATE('BASE OBZ'!#REF!,"PROG")</f>
        <v>#REF!</v>
      </c>
      <c r="B812" s="22" t="e">
        <f>CONCATENATE("P",(LEFT('BASE OBZ'!#REF!,3)),'BASE OBZ'!#REF!)</f>
        <v>#REF!</v>
      </c>
      <c r="C812" t="s">
        <v>1777</v>
      </c>
    </row>
    <row r="813" spans="1:3" x14ac:dyDescent="0.25">
      <c r="A813" s="22" t="e">
        <f>CONCATENATE('BASE OBZ'!#REF!,"PROG")</f>
        <v>#REF!</v>
      </c>
      <c r="B813" s="22" t="e">
        <f>CONCATENATE("P",(LEFT('BASE OBZ'!#REF!,3)),'BASE OBZ'!#REF!)</f>
        <v>#REF!</v>
      </c>
      <c r="C813" t="s">
        <v>1777</v>
      </c>
    </row>
    <row r="814" spans="1:3" x14ac:dyDescent="0.25">
      <c r="A814" s="22" t="e">
        <f>CONCATENATE('BASE OBZ'!#REF!,"PROG")</f>
        <v>#REF!</v>
      </c>
      <c r="B814" s="22" t="e">
        <f>CONCATENATE("P",(LEFT('BASE OBZ'!#REF!,3)),'BASE OBZ'!#REF!)</f>
        <v>#REF!</v>
      </c>
      <c r="C814" t="s">
        <v>1777</v>
      </c>
    </row>
    <row r="815" spans="1:3" x14ac:dyDescent="0.25">
      <c r="A815" s="22" t="e">
        <f>CONCATENATE('BASE OBZ'!#REF!,"PROG")</f>
        <v>#REF!</v>
      </c>
      <c r="B815" s="22" t="e">
        <f>CONCATENATE("P",(LEFT('BASE OBZ'!#REF!,3)),'BASE OBZ'!#REF!)</f>
        <v>#REF!</v>
      </c>
      <c r="C815" t="s">
        <v>1777</v>
      </c>
    </row>
    <row r="816" spans="1:3" x14ac:dyDescent="0.25">
      <c r="A816" s="22" t="e">
        <f>CONCATENATE('BASE OBZ'!#REF!,"PROG")</f>
        <v>#REF!</v>
      </c>
      <c r="B816" s="22" t="e">
        <f>CONCATENATE("P",(LEFT('BASE OBZ'!#REF!,3)),'BASE OBZ'!#REF!)</f>
        <v>#REF!</v>
      </c>
      <c r="C816" t="s">
        <v>1777</v>
      </c>
    </row>
    <row r="817" spans="1:3" x14ac:dyDescent="0.25">
      <c r="A817" s="22" t="e">
        <f>CONCATENATE('BASE OBZ'!#REF!,"PROG")</f>
        <v>#REF!</v>
      </c>
      <c r="B817" s="22" t="e">
        <f>CONCATENATE("P",(LEFT('BASE OBZ'!#REF!,3)),'BASE OBZ'!#REF!)</f>
        <v>#REF!</v>
      </c>
      <c r="C817" t="s">
        <v>1777</v>
      </c>
    </row>
    <row r="818" spans="1:3" x14ac:dyDescent="0.25">
      <c r="A818" s="22" t="e">
        <f>CONCATENATE('BASE OBZ'!#REF!,"PROG")</f>
        <v>#REF!</v>
      </c>
      <c r="B818" s="22" t="e">
        <f>CONCATENATE("P",(LEFT('BASE OBZ'!#REF!,3)),'BASE OBZ'!#REF!)</f>
        <v>#REF!</v>
      </c>
      <c r="C818" t="s">
        <v>1777</v>
      </c>
    </row>
    <row r="819" spans="1:3" x14ac:dyDescent="0.25">
      <c r="A819" s="22" t="e">
        <f>CONCATENATE('BASE OBZ'!#REF!,"PROG")</f>
        <v>#REF!</v>
      </c>
      <c r="B819" s="22" t="e">
        <f>CONCATENATE("P",(LEFT('BASE OBZ'!#REF!,3)),'BASE OBZ'!#REF!)</f>
        <v>#REF!</v>
      </c>
      <c r="C819" t="s">
        <v>1777</v>
      </c>
    </row>
    <row r="820" spans="1:3" x14ac:dyDescent="0.25">
      <c r="A820" s="22" t="e">
        <f>CONCATENATE('BASE OBZ'!#REF!,"PROG")</f>
        <v>#REF!</v>
      </c>
      <c r="B820" s="22" t="e">
        <f>CONCATENATE("P",(LEFT('BASE OBZ'!#REF!,3)),'BASE OBZ'!#REF!)</f>
        <v>#REF!</v>
      </c>
      <c r="C820" t="s">
        <v>1777</v>
      </c>
    </row>
    <row r="821" spans="1:3" x14ac:dyDescent="0.25">
      <c r="A821" s="22" t="e">
        <f>CONCATENATE('BASE OBZ'!#REF!,"PROG")</f>
        <v>#REF!</v>
      </c>
      <c r="B821" s="22" t="e">
        <f>CONCATENATE("P",(LEFT('BASE OBZ'!#REF!,3)),'BASE OBZ'!#REF!)</f>
        <v>#REF!</v>
      </c>
      <c r="C821" t="s">
        <v>1777</v>
      </c>
    </row>
    <row r="822" spans="1:3" x14ac:dyDescent="0.25">
      <c r="A822" s="22" t="e">
        <f>CONCATENATE('BASE OBZ'!#REF!,"PROG")</f>
        <v>#REF!</v>
      </c>
      <c r="B822" s="22" t="e">
        <f>CONCATENATE("P",(LEFT('BASE OBZ'!#REF!,3)),'BASE OBZ'!#REF!)</f>
        <v>#REF!</v>
      </c>
      <c r="C822" t="s">
        <v>1777</v>
      </c>
    </row>
    <row r="823" spans="1:3" x14ac:dyDescent="0.25">
      <c r="A823" s="22" t="e">
        <f>CONCATENATE('BASE OBZ'!#REF!,"PROG")</f>
        <v>#REF!</v>
      </c>
      <c r="B823" s="22" t="e">
        <f>CONCATENATE("P",(LEFT('BASE OBZ'!#REF!,3)),'BASE OBZ'!#REF!)</f>
        <v>#REF!</v>
      </c>
      <c r="C823" t="s">
        <v>1777</v>
      </c>
    </row>
    <row r="824" spans="1:3" x14ac:dyDescent="0.25">
      <c r="A824" s="22" t="e">
        <f>CONCATENATE('BASE OBZ'!#REF!,"PROG")</f>
        <v>#REF!</v>
      </c>
      <c r="B824" s="22" t="e">
        <f>CONCATENATE("P",(LEFT('BASE OBZ'!#REF!,3)),'BASE OBZ'!#REF!)</f>
        <v>#REF!</v>
      </c>
      <c r="C824" t="s">
        <v>1777</v>
      </c>
    </row>
    <row r="825" spans="1:3" x14ac:dyDescent="0.25">
      <c r="A825" s="22" t="e">
        <f>CONCATENATE('BASE OBZ'!#REF!,"PROG")</f>
        <v>#REF!</v>
      </c>
      <c r="B825" s="22" t="e">
        <f>CONCATENATE("P",(LEFT('BASE OBZ'!#REF!,3)),'BASE OBZ'!#REF!)</f>
        <v>#REF!</v>
      </c>
      <c r="C825" t="s">
        <v>1777</v>
      </c>
    </row>
    <row r="826" spans="1:3" x14ac:dyDescent="0.25">
      <c r="A826" s="22" t="e">
        <f>CONCATENATE('BASE OBZ'!#REF!,"PROG")</f>
        <v>#REF!</v>
      </c>
      <c r="B826" s="22" t="e">
        <f>CONCATENATE("P",(LEFT('BASE OBZ'!#REF!,3)),'BASE OBZ'!#REF!)</f>
        <v>#REF!</v>
      </c>
      <c r="C826" t="s">
        <v>1777</v>
      </c>
    </row>
    <row r="827" spans="1:3" x14ac:dyDescent="0.25">
      <c r="A827" s="22" t="e">
        <f>CONCATENATE('BASE OBZ'!#REF!,"PROG")</f>
        <v>#REF!</v>
      </c>
      <c r="B827" s="22" t="e">
        <f>CONCATENATE("P",(LEFT('BASE OBZ'!#REF!,3)),'BASE OBZ'!#REF!)</f>
        <v>#REF!</v>
      </c>
      <c r="C827" t="s">
        <v>1777</v>
      </c>
    </row>
    <row r="828" spans="1:3" x14ac:dyDescent="0.25">
      <c r="A828" s="22" t="e">
        <f>CONCATENATE('BASE OBZ'!#REF!,"PROG")</f>
        <v>#REF!</v>
      </c>
      <c r="B828" s="22" t="e">
        <f>CONCATENATE("P",(LEFT('BASE OBZ'!#REF!,3)),'BASE OBZ'!#REF!)</f>
        <v>#REF!</v>
      </c>
      <c r="C828" t="s">
        <v>1777</v>
      </c>
    </row>
    <row r="829" spans="1:3" x14ac:dyDescent="0.25">
      <c r="A829" s="22" t="e">
        <f>CONCATENATE('BASE OBZ'!#REF!,"PROG")</f>
        <v>#REF!</v>
      </c>
      <c r="B829" s="22" t="e">
        <f>CONCATENATE("P",(LEFT('BASE OBZ'!#REF!,3)),'BASE OBZ'!#REF!)</f>
        <v>#REF!</v>
      </c>
      <c r="C829" t="s">
        <v>1777</v>
      </c>
    </row>
    <row r="830" spans="1:3" x14ac:dyDescent="0.25">
      <c r="A830" s="22" t="e">
        <f>CONCATENATE('BASE OBZ'!#REF!,"PROG")</f>
        <v>#REF!</v>
      </c>
      <c r="B830" s="22" t="e">
        <f>CONCATENATE("P",(LEFT('BASE OBZ'!#REF!,3)),'BASE OBZ'!#REF!)</f>
        <v>#REF!</v>
      </c>
      <c r="C830" t="s">
        <v>1777</v>
      </c>
    </row>
    <row r="831" spans="1:3" x14ac:dyDescent="0.25">
      <c r="A831" s="22" t="e">
        <f>CONCATENATE('BASE OBZ'!#REF!,"PROG")</f>
        <v>#REF!</v>
      </c>
      <c r="B831" s="22" t="e">
        <f>CONCATENATE("P",(LEFT('BASE OBZ'!#REF!,3)),'BASE OBZ'!#REF!)</f>
        <v>#REF!</v>
      </c>
      <c r="C831" t="s">
        <v>1777</v>
      </c>
    </row>
    <row r="832" spans="1:3" x14ac:dyDescent="0.25">
      <c r="A832" s="22" t="e">
        <f>CONCATENATE('BASE OBZ'!#REF!,"PROG")</f>
        <v>#REF!</v>
      </c>
      <c r="B832" s="22" t="e">
        <f>CONCATENATE("P",(LEFT('BASE OBZ'!#REF!,3)),'BASE OBZ'!#REF!)</f>
        <v>#REF!</v>
      </c>
      <c r="C832" t="s">
        <v>1777</v>
      </c>
    </row>
    <row r="833" spans="1:3" x14ac:dyDescent="0.25">
      <c r="A833" s="22" t="e">
        <f>CONCATENATE('BASE OBZ'!#REF!,"PROG")</f>
        <v>#REF!</v>
      </c>
      <c r="B833" s="22" t="e">
        <f>CONCATENATE("P",(LEFT('BASE OBZ'!#REF!,3)),'BASE OBZ'!#REF!)</f>
        <v>#REF!</v>
      </c>
      <c r="C833" t="s">
        <v>1777</v>
      </c>
    </row>
    <row r="834" spans="1:3" x14ac:dyDescent="0.25">
      <c r="A834" s="22" t="e">
        <f>CONCATENATE('BASE OBZ'!#REF!,"PROG")</f>
        <v>#REF!</v>
      </c>
      <c r="B834" s="22" t="e">
        <f>CONCATENATE("P",(LEFT('BASE OBZ'!#REF!,3)),'BASE OBZ'!#REF!)</f>
        <v>#REF!</v>
      </c>
      <c r="C834" t="s">
        <v>1777</v>
      </c>
    </row>
    <row r="835" spans="1:3" x14ac:dyDescent="0.25">
      <c r="A835" s="22" t="e">
        <f>CONCATENATE('BASE OBZ'!#REF!,"PROG")</f>
        <v>#REF!</v>
      </c>
      <c r="B835" s="22" t="e">
        <f>CONCATENATE("P",(LEFT('BASE OBZ'!#REF!,3)),'BASE OBZ'!#REF!)</f>
        <v>#REF!</v>
      </c>
      <c r="C835" t="s">
        <v>1777</v>
      </c>
    </row>
    <row r="836" spans="1:3" x14ac:dyDescent="0.25">
      <c r="A836" s="22" t="e">
        <f>CONCATENATE('BASE OBZ'!#REF!,"PROG")</f>
        <v>#REF!</v>
      </c>
      <c r="B836" s="22" t="e">
        <f>CONCATENATE("P",(LEFT('BASE OBZ'!#REF!,3)),'BASE OBZ'!#REF!)</f>
        <v>#REF!</v>
      </c>
      <c r="C836" t="s">
        <v>1777</v>
      </c>
    </row>
    <row r="837" spans="1:3" x14ac:dyDescent="0.25">
      <c r="A837" s="22" t="e">
        <f>CONCATENATE('BASE OBZ'!#REF!,"PROG")</f>
        <v>#REF!</v>
      </c>
      <c r="B837" s="22" t="e">
        <f>CONCATENATE("P",(LEFT('BASE OBZ'!#REF!,3)),'BASE OBZ'!#REF!)</f>
        <v>#REF!</v>
      </c>
      <c r="C837" t="s">
        <v>1777</v>
      </c>
    </row>
    <row r="838" spans="1:3" x14ac:dyDescent="0.25">
      <c r="A838" s="22" t="e">
        <f>CONCATENATE('BASE OBZ'!#REF!,"PROG")</f>
        <v>#REF!</v>
      </c>
      <c r="B838" s="22" t="e">
        <f>CONCATENATE("P",(LEFT('BASE OBZ'!#REF!,3)),'BASE OBZ'!#REF!)</f>
        <v>#REF!</v>
      </c>
      <c r="C838" t="s">
        <v>1777</v>
      </c>
    </row>
    <row r="839" spans="1:3" x14ac:dyDescent="0.25">
      <c r="A839" s="22" t="e">
        <f>CONCATENATE('BASE OBZ'!#REF!,"PROG")</f>
        <v>#REF!</v>
      </c>
      <c r="B839" s="22" t="e">
        <f>CONCATENATE("P",(LEFT('BASE OBZ'!#REF!,3)),'BASE OBZ'!#REF!)</f>
        <v>#REF!</v>
      </c>
      <c r="C839" t="s">
        <v>1777</v>
      </c>
    </row>
    <row r="840" spans="1:3" x14ac:dyDescent="0.25">
      <c r="A840" s="22" t="e">
        <f>CONCATENATE('BASE OBZ'!#REF!,"PROG")</f>
        <v>#REF!</v>
      </c>
      <c r="B840" s="22" t="e">
        <f>CONCATENATE("P",(LEFT('BASE OBZ'!#REF!,3)),'BASE OBZ'!#REF!)</f>
        <v>#REF!</v>
      </c>
      <c r="C840" t="s">
        <v>1777</v>
      </c>
    </row>
    <row r="841" spans="1:3" x14ac:dyDescent="0.25">
      <c r="A841" s="22" t="e">
        <f>CONCATENATE('BASE OBZ'!#REF!,"PROG")</f>
        <v>#REF!</v>
      </c>
      <c r="B841" s="22" t="e">
        <f>CONCATENATE("P",(LEFT('BASE OBZ'!#REF!,3)),'BASE OBZ'!#REF!)</f>
        <v>#REF!</v>
      </c>
      <c r="C841" t="s">
        <v>1777</v>
      </c>
    </row>
    <row r="842" spans="1:3" x14ac:dyDescent="0.25">
      <c r="A842" s="22" t="e">
        <f>CONCATENATE('BASE OBZ'!#REF!,"PROG")</f>
        <v>#REF!</v>
      </c>
      <c r="B842" s="22" t="e">
        <f>CONCATENATE("P",(LEFT('BASE OBZ'!#REF!,3)),'BASE OBZ'!#REF!)</f>
        <v>#REF!</v>
      </c>
      <c r="C842" t="s">
        <v>1777</v>
      </c>
    </row>
    <row r="843" spans="1:3" x14ac:dyDescent="0.25">
      <c r="A843" s="22" t="e">
        <f>CONCATENATE('BASE OBZ'!#REF!,"PROG")</f>
        <v>#REF!</v>
      </c>
      <c r="B843" s="22" t="e">
        <f>CONCATENATE("P",(LEFT('BASE OBZ'!#REF!,3)),'BASE OBZ'!#REF!)</f>
        <v>#REF!</v>
      </c>
      <c r="C843" t="s">
        <v>1777</v>
      </c>
    </row>
    <row r="844" spans="1:3" x14ac:dyDescent="0.25">
      <c r="A844" s="22" t="e">
        <f>CONCATENATE('BASE OBZ'!#REF!,"PROG")</f>
        <v>#REF!</v>
      </c>
      <c r="B844" s="22" t="e">
        <f>CONCATENATE("P",(LEFT('BASE OBZ'!#REF!,3)),'BASE OBZ'!#REF!)</f>
        <v>#REF!</v>
      </c>
      <c r="C844" t="s">
        <v>1777</v>
      </c>
    </row>
    <row r="845" spans="1:3" x14ac:dyDescent="0.25">
      <c r="A845" s="22" t="e">
        <f>CONCATENATE('BASE OBZ'!#REF!,"PROG")</f>
        <v>#REF!</v>
      </c>
      <c r="B845" s="22" t="e">
        <f>CONCATENATE("P",(LEFT('BASE OBZ'!#REF!,3)),'BASE OBZ'!#REF!)</f>
        <v>#REF!</v>
      </c>
      <c r="C845" t="s">
        <v>1777</v>
      </c>
    </row>
    <row r="846" spans="1:3" x14ac:dyDescent="0.25">
      <c r="A846" s="22" t="e">
        <f>CONCATENATE('BASE OBZ'!#REF!,"PROG")</f>
        <v>#REF!</v>
      </c>
      <c r="B846" s="22" t="e">
        <f>CONCATENATE("P",(LEFT('BASE OBZ'!#REF!,3)),'BASE OBZ'!#REF!)</f>
        <v>#REF!</v>
      </c>
      <c r="C846" t="s">
        <v>1777</v>
      </c>
    </row>
    <row r="847" spans="1:3" x14ac:dyDescent="0.25">
      <c r="A847" s="22" t="e">
        <f>CONCATENATE('BASE OBZ'!#REF!,"PROG")</f>
        <v>#REF!</v>
      </c>
      <c r="B847" s="22" t="e">
        <f>CONCATENATE("P",(LEFT('BASE OBZ'!#REF!,3)),'BASE OBZ'!#REF!)</f>
        <v>#REF!</v>
      </c>
      <c r="C847" t="s">
        <v>1777</v>
      </c>
    </row>
    <row r="848" spans="1:3" x14ac:dyDescent="0.25">
      <c r="A848" s="22" t="e">
        <f>CONCATENATE('BASE OBZ'!#REF!,"PROG")</f>
        <v>#REF!</v>
      </c>
      <c r="B848" s="22" t="e">
        <f>CONCATENATE("P",(LEFT('BASE OBZ'!#REF!,3)),'BASE OBZ'!#REF!)</f>
        <v>#REF!</v>
      </c>
      <c r="C848" t="s">
        <v>1777</v>
      </c>
    </row>
    <row r="849" spans="1:3" x14ac:dyDescent="0.25">
      <c r="A849" s="22" t="e">
        <f>CONCATENATE('BASE OBZ'!#REF!,"PROG")</f>
        <v>#REF!</v>
      </c>
      <c r="B849" s="22" t="e">
        <f>CONCATENATE("P",(LEFT('BASE OBZ'!#REF!,3)),'BASE OBZ'!#REF!)</f>
        <v>#REF!</v>
      </c>
      <c r="C849" t="s">
        <v>1777</v>
      </c>
    </row>
    <row r="850" spans="1:3" x14ac:dyDescent="0.25">
      <c r="A850" s="22" t="e">
        <f>CONCATENATE('BASE OBZ'!#REF!,"PROG")</f>
        <v>#REF!</v>
      </c>
      <c r="B850" s="22" t="e">
        <f>CONCATENATE("P",(LEFT('BASE OBZ'!#REF!,3)),'BASE OBZ'!#REF!)</f>
        <v>#REF!</v>
      </c>
      <c r="C850" t="s">
        <v>1777</v>
      </c>
    </row>
    <row r="851" spans="1:3" x14ac:dyDescent="0.25">
      <c r="A851" s="22" t="e">
        <f>CONCATENATE('BASE OBZ'!#REF!,"PROG")</f>
        <v>#REF!</v>
      </c>
      <c r="B851" s="22" t="e">
        <f>CONCATENATE("P",(LEFT('BASE OBZ'!#REF!,3)),'BASE OBZ'!#REF!)</f>
        <v>#REF!</v>
      </c>
      <c r="C851" t="s">
        <v>1777</v>
      </c>
    </row>
    <row r="852" spans="1:3" x14ac:dyDescent="0.25">
      <c r="A852" s="22" t="e">
        <f>CONCATENATE('BASE OBZ'!#REF!,"PROG")</f>
        <v>#REF!</v>
      </c>
      <c r="B852" s="22" t="e">
        <f>CONCATENATE("P",(LEFT('BASE OBZ'!#REF!,3)),'BASE OBZ'!#REF!)</f>
        <v>#REF!</v>
      </c>
      <c r="C852" t="s">
        <v>1777</v>
      </c>
    </row>
    <row r="853" spans="1:3" x14ac:dyDescent="0.25">
      <c r="A853" s="22" t="e">
        <f>CONCATENATE('BASE OBZ'!#REF!,"PROG")</f>
        <v>#REF!</v>
      </c>
      <c r="B853" s="22" t="e">
        <f>CONCATENATE("P",(LEFT('BASE OBZ'!#REF!,3)),'BASE OBZ'!#REF!)</f>
        <v>#REF!</v>
      </c>
      <c r="C853" t="s">
        <v>1777</v>
      </c>
    </row>
    <row r="854" spans="1:3" x14ac:dyDescent="0.25">
      <c r="A854" s="22" t="e">
        <f>CONCATENATE('BASE OBZ'!#REF!,"PROG")</f>
        <v>#REF!</v>
      </c>
      <c r="B854" s="22" t="e">
        <f>CONCATENATE("P",(LEFT('BASE OBZ'!#REF!,3)),'BASE OBZ'!#REF!)</f>
        <v>#REF!</v>
      </c>
      <c r="C854" t="s">
        <v>1777</v>
      </c>
    </row>
    <row r="855" spans="1:3" x14ac:dyDescent="0.25">
      <c r="A855" s="22" t="e">
        <f>CONCATENATE('BASE OBZ'!#REF!,"PROG")</f>
        <v>#REF!</v>
      </c>
      <c r="B855" s="22" t="e">
        <f>CONCATENATE("P",(LEFT('BASE OBZ'!#REF!,3)),'BASE OBZ'!#REF!)</f>
        <v>#REF!</v>
      </c>
      <c r="C855" t="s">
        <v>1777</v>
      </c>
    </row>
    <row r="856" spans="1:3" x14ac:dyDescent="0.25">
      <c r="A856" s="22" t="e">
        <f>CONCATENATE('BASE OBZ'!#REF!,"PROG")</f>
        <v>#REF!</v>
      </c>
      <c r="B856" s="22" t="e">
        <f>CONCATENATE("P",(LEFT('BASE OBZ'!#REF!,3)),'BASE OBZ'!#REF!)</f>
        <v>#REF!</v>
      </c>
      <c r="C856" t="s">
        <v>1777</v>
      </c>
    </row>
    <row r="857" spans="1:3" x14ac:dyDescent="0.25">
      <c r="A857" s="22" t="e">
        <f>CONCATENATE('BASE OBZ'!#REF!,"PROG")</f>
        <v>#REF!</v>
      </c>
      <c r="B857" s="22" t="e">
        <f>CONCATENATE("P",(LEFT('BASE OBZ'!#REF!,3)),'BASE OBZ'!#REF!)</f>
        <v>#REF!</v>
      </c>
      <c r="C857" t="s">
        <v>1777</v>
      </c>
    </row>
    <row r="858" spans="1:3" x14ac:dyDescent="0.25">
      <c r="A858" s="22" t="e">
        <f>CONCATENATE('BASE OBZ'!#REF!,"PROG")</f>
        <v>#REF!</v>
      </c>
      <c r="B858" s="22" t="e">
        <f>CONCATENATE("P",(LEFT('BASE OBZ'!#REF!,3)),'BASE OBZ'!#REF!)</f>
        <v>#REF!</v>
      </c>
      <c r="C858" t="s">
        <v>1777</v>
      </c>
    </row>
    <row r="859" spans="1:3" x14ac:dyDescent="0.25">
      <c r="A859" s="22" t="e">
        <f>CONCATENATE('BASE OBZ'!#REF!,"PROG")</f>
        <v>#REF!</v>
      </c>
      <c r="B859" s="22" t="e">
        <f>CONCATENATE("P",(LEFT('BASE OBZ'!#REF!,3)),'BASE OBZ'!#REF!)</f>
        <v>#REF!</v>
      </c>
      <c r="C859" t="s">
        <v>1777</v>
      </c>
    </row>
    <row r="860" spans="1:3" x14ac:dyDescent="0.25">
      <c r="A860" s="22" t="e">
        <f>CONCATENATE('BASE OBZ'!#REF!,"PROG")</f>
        <v>#REF!</v>
      </c>
      <c r="B860" s="22" t="e">
        <f>CONCATENATE("P",(LEFT('BASE OBZ'!#REF!,3)),'BASE OBZ'!#REF!)</f>
        <v>#REF!</v>
      </c>
      <c r="C860" t="s">
        <v>1777</v>
      </c>
    </row>
    <row r="861" spans="1:3" x14ac:dyDescent="0.25">
      <c r="A861" s="22" t="e">
        <f>CONCATENATE('BASE OBZ'!#REF!,"PROG")</f>
        <v>#REF!</v>
      </c>
      <c r="B861" s="22" t="e">
        <f>CONCATENATE("P",(LEFT('BASE OBZ'!#REF!,3)),'BASE OBZ'!#REF!)</f>
        <v>#REF!</v>
      </c>
      <c r="C861" t="s">
        <v>1777</v>
      </c>
    </row>
    <row r="862" spans="1:3" x14ac:dyDescent="0.25">
      <c r="A862" s="22" t="e">
        <f>CONCATENATE('BASE OBZ'!#REF!,"PROG")</f>
        <v>#REF!</v>
      </c>
      <c r="B862" s="22" t="e">
        <f>CONCATENATE("P",(LEFT('BASE OBZ'!#REF!,3)),'BASE OBZ'!#REF!)</f>
        <v>#REF!</v>
      </c>
      <c r="C862" t="s">
        <v>1777</v>
      </c>
    </row>
    <row r="863" spans="1:3" x14ac:dyDescent="0.25">
      <c r="A863" s="22" t="e">
        <f>CONCATENATE('BASE OBZ'!#REF!,"PROG")</f>
        <v>#REF!</v>
      </c>
      <c r="B863" s="22" t="e">
        <f>CONCATENATE("P",(LEFT('BASE OBZ'!#REF!,3)),'BASE OBZ'!#REF!)</f>
        <v>#REF!</v>
      </c>
      <c r="C863" t="s">
        <v>1777</v>
      </c>
    </row>
    <row r="864" spans="1:3" x14ac:dyDescent="0.25">
      <c r="A864" s="22" t="e">
        <f>CONCATENATE('BASE OBZ'!#REF!,"PROG")</f>
        <v>#REF!</v>
      </c>
      <c r="B864" s="22" t="e">
        <f>CONCATENATE("P",(LEFT('BASE OBZ'!#REF!,3)),'BASE OBZ'!#REF!)</f>
        <v>#REF!</v>
      </c>
      <c r="C864" t="s">
        <v>1777</v>
      </c>
    </row>
    <row r="865" spans="1:3" x14ac:dyDescent="0.25">
      <c r="A865" s="22" t="e">
        <f>CONCATENATE('BASE OBZ'!#REF!,"PROG")</f>
        <v>#REF!</v>
      </c>
      <c r="B865" s="22" t="e">
        <f>CONCATENATE("P",(LEFT('BASE OBZ'!#REF!,3)),'BASE OBZ'!#REF!)</f>
        <v>#REF!</v>
      </c>
      <c r="C865" t="s">
        <v>1777</v>
      </c>
    </row>
    <row r="866" spans="1:3" x14ac:dyDescent="0.25">
      <c r="A866" s="22" t="e">
        <f>CONCATENATE('BASE OBZ'!#REF!,"PROG")</f>
        <v>#REF!</v>
      </c>
      <c r="B866" s="22" t="e">
        <f>CONCATENATE("P",(LEFT('BASE OBZ'!#REF!,3)),'BASE OBZ'!#REF!)</f>
        <v>#REF!</v>
      </c>
      <c r="C866" t="s">
        <v>1777</v>
      </c>
    </row>
    <row r="867" spans="1:3" x14ac:dyDescent="0.25">
      <c r="A867" s="22" t="e">
        <f>CONCATENATE('BASE OBZ'!#REF!,"PROG")</f>
        <v>#REF!</v>
      </c>
      <c r="B867" s="22" t="e">
        <f>CONCATENATE("P",(LEFT('BASE OBZ'!#REF!,3)),'BASE OBZ'!#REF!)</f>
        <v>#REF!</v>
      </c>
      <c r="C867" t="s">
        <v>1777</v>
      </c>
    </row>
    <row r="868" spans="1:3" x14ac:dyDescent="0.25">
      <c r="A868" s="22" t="e">
        <f>CONCATENATE('BASE OBZ'!#REF!,"PROG")</f>
        <v>#REF!</v>
      </c>
      <c r="B868" s="22" t="e">
        <f>CONCATENATE("P",(LEFT('BASE OBZ'!#REF!,3)),'BASE OBZ'!#REF!)</f>
        <v>#REF!</v>
      </c>
      <c r="C868" t="s">
        <v>1777</v>
      </c>
    </row>
    <row r="869" spans="1:3" x14ac:dyDescent="0.25">
      <c r="A869" s="22" t="e">
        <f>CONCATENATE('BASE OBZ'!#REF!,"PROG")</f>
        <v>#REF!</v>
      </c>
      <c r="B869" s="22" t="e">
        <f>CONCATENATE("P",(LEFT('BASE OBZ'!#REF!,3)),'BASE OBZ'!#REF!)</f>
        <v>#REF!</v>
      </c>
      <c r="C869" t="s">
        <v>1777</v>
      </c>
    </row>
    <row r="870" spans="1:3" x14ac:dyDescent="0.25">
      <c r="A870" s="22" t="e">
        <f>CONCATENATE('BASE OBZ'!#REF!,"PROG")</f>
        <v>#REF!</v>
      </c>
      <c r="B870" s="22" t="e">
        <f>CONCATENATE("P",(LEFT('BASE OBZ'!#REF!,3)),'BASE OBZ'!#REF!)</f>
        <v>#REF!</v>
      </c>
      <c r="C870" t="s">
        <v>1777</v>
      </c>
    </row>
    <row r="871" spans="1:3" x14ac:dyDescent="0.25">
      <c r="A871" s="22" t="e">
        <f>CONCATENATE('BASE OBZ'!#REF!,"PROG")</f>
        <v>#REF!</v>
      </c>
      <c r="B871" s="22" t="e">
        <f>CONCATENATE("P",(LEFT('BASE OBZ'!#REF!,3)),'BASE OBZ'!#REF!)</f>
        <v>#REF!</v>
      </c>
      <c r="C871" t="s">
        <v>1777</v>
      </c>
    </row>
    <row r="872" spans="1:3" x14ac:dyDescent="0.25">
      <c r="A872" s="22" t="e">
        <f>CONCATENATE('BASE OBZ'!#REF!,"PROG")</f>
        <v>#REF!</v>
      </c>
      <c r="B872" s="22" t="e">
        <f>CONCATENATE("P",(LEFT('BASE OBZ'!#REF!,3)),'BASE OBZ'!#REF!)</f>
        <v>#REF!</v>
      </c>
      <c r="C872" t="s">
        <v>1777</v>
      </c>
    </row>
    <row r="873" spans="1:3" x14ac:dyDescent="0.25">
      <c r="A873" s="22" t="e">
        <f>CONCATENATE('BASE OBZ'!#REF!,"PROG")</f>
        <v>#REF!</v>
      </c>
      <c r="B873" s="22" t="e">
        <f>CONCATENATE("P",(LEFT('BASE OBZ'!#REF!,3)),'BASE OBZ'!#REF!)</f>
        <v>#REF!</v>
      </c>
      <c r="C873" t="s">
        <v>1777</v>
      </c>
    </row>
    <row r="874" spans="1:3" x14ac:dyDescent="0.25">
      <c r="A874" s="22" t="e">
        <f>CONCATENATE('BASE OBZ'!#REF!,"PROG")</f>
        <v>#REF!</v>
      </c>
      <c r="B874" s="22" t="e">
        <f>CONCATENATE("P",(LEFT('BASE OBZ'!#REF!,3)),'BASE OBZ'!#REF!)</f>
        <v>#REF!</v>
      </c>
      <c r="C874" t="s">
        <v>1777</v>
      </c>
    </row>
    <row r="875" spans="1:3" x14ac:dyDescent="0.25">
      <c r="A875" s="22" t="e">
        <f>CONCATENATE('BASE OBZ'!#REF!,"PROG")</f>
        <v>#REF!</v>
      </c>
      <c r="B875" s="22" t="e">
        <f>CONCATENATE("P",(LEFT('BASE OBZ'!#REF!,3)),'BASE OBZ'!#REF!)</f>
        <v>#REF!</v>
      </c>
      <c r="C875" t="s">
        <v>1777</v>
      </c>
    </row>
    <row r="876" spans="1:3" x14ac:dyDescent="0.25">
      <c r="A876" s="22" t="e">
        <f>CONCATENATE('BASE OBZ'!#REF!,"PROG")</f>
        <v>#REF!</v>
      </c>
      <c r="B876" s="22" t="e">
        <f>CONCATENATE("P",(LEFT('BASE OBZ'!#REF!,3)),'BASE OBZ'!#REF!)</f>
        <v>#REF!</v>
      </c>
      <c r="C876" t="s">
        <v>1777</v>
      </c>
    </row>
    <row r="877" spans="1:3" x14ac:dyDescent="0.25">
      <c r="A877" s="22" t="e">
        <f>CONCATENATE('BASE OBZ'!#REF!,"PROG")</f>
        <v>#REF!</v>
      </c>
      <c r="B877" s="22" t="e">
        <f>CONCATENATE("P",(LEFT('BASE OBZ'!#REF!,3)),'BASE OBZ'!#REF!)</f>
        <v>#REF!</v>
      </c>
      <c r="C877" t="s">
        <v>1777</v>
      </c>
    </row>
    <row r="878" spans="1:3" x14ac:dyDescent="0.25">
      <c r="A878" s="22" t="e">
        <f>CONCATENATE('BASE OBZ'!#REF!,"PROG")</f>
        <v>#REF!</v>
      </c>
      <c r="B878" s="22" t="e">
        <f>CONCATENATE("P",(LEFT('BASE OBZ'!#REF!,3)),'BASE OBZ'!#REF!)</f>
        <v>#REF!</v>
      </c>
      <c r="C878" t="s">
        <v>1777</v>
      </c>
    </row>
    <row r="879" spans="1:3" x14ac:dyDescent="0.25">
      <c r="A879" s="22" t="e">
        <f>CONCATENATE('BASE OBZ'!#REF!,"PROG")</f>
        <v>#REF!</v>
      </c>
      <c r="B879" s="22" t="e">
        <f>CONCATENATE("P",(LEFT('BASE OBZ'!#REF!,3)),'BASE OBZ'!#REF!)</f>
        <v>#REF!</v>
      </c>
      <c r="C879" t="s">
        <v>1777</v>
      </c>
    </row>
    <row r="880" spans="1:3" x14ac:dyDescent="0.25">
      <c r="A880" s="22" t="e">
        <f>CONCATENATE('BASE OBZ'!#REF!,"PROG")</f>
        <v>#REF!</v>
      </c>
      <c r="B880" s="22" t="e">
        <f>CONCATENATE("P",(LEFT('BASE OBZ'!#REF!,3)),'BASE OBZ'!#REF!)</f>
        <v>#REF!</v>
      </c>
      <c r="C880" t="s">
        <v>1777</v>
      </c>
    </row>
    <row r="881" spans="1:3" x14ac:dyDescent="0.25">
      <c r="A881" s="22" t="e">
        <f>CONCATENATE('BASE OBZ'!#REF!,"PROG")</f>
        <v>#REF!</v>
      </c>
      <c r="B881" s="22" t="e">
        <f>CONCATENATE("P",(LEFT('BASE OBZ'!#REF!,3)),'BASE OBZ'!#REF!)</f>
        <v>#REF!</v>
      </c>
      <c r="C881" t="s">
        <v>1777</v>
      </c>
    </row>
    <row r="882" spans="1:3" x14ac:dyDescent="0.25">
      <c r="A882" s="22" t="e">
        <f>CONCATENATE('BASE OBZ'!#REF!,"PROG")</f>
        <v>#REF!</v>
      </c>
      <c r="B882" s="22" t="e">
        <f>CONCATENATE("P",(LEFT('BASE OBZ'!#REF!,3)),'BASE OBZ'!#REF!)</f>
        <v>#REF!</v>
      </c>
      <c r="C882" t="s">
        <v>1777</v>
      </c>
    </row>
    <row r="883" spans="1:3" x14ac:dyDescent="0.25">
      <c r="A883" s="22" t="e">
        <f>CONCATENATE('BASE OBZ'!#REF!,"PROG")</f>
        <v>#REF!</v>
      </c>
      <c r="B883" s="22" t="e">
        <f>CONCATENATE("P",(LEFT('BASE OBZ'!#REF!,3)),'BASE OBZ'!#REF!)</f>
        <v>#REF!</v>
      </c>
      <c r="C883" t="s">
        <v>1777</v>
      </c>
    </row>
    <row r="884" spans="1:3" x14ac:dyDescent="0.25">
      <c r="A884" s="22" t="e">
        <f>CONCATENATE('BASE OBZ'!#REF!,"PROG")</f>
        <v>#REF!</v>
      </c>
      <c r="B884" s="22" t="e">
        <f>CONCATENATE("P",(LEFT('BASE OBZ'!#REF!,3)),'BASE OBZ'!#REF!)</f>
        <v>#REF!</v>
      </c>
      <c r="C884" t="s">
        <v>1777</v>
      </c>
    </row>
    <row r="885" spans="1:3" x14ac:dyDescent="0.25">
      <c r="A885" s="22" t="e">
        <f>CONCATENATE('BASE OBZ'!#REF!,"PROG")</f>
        <v>#REF!</v>
      </c>
      <c r="B885" s="22" t="e">
        <f>CONCATENATE("P",(LEFT('BASE OBZ'!#REF!,3)),'BASE OBZ'!#REF!)</f>
        <v>#REF!</v>
      </c>
      <c r="C885" t="s">
        <v>1777</v>
      </c>
    </row>
    <row r="886" spans="1:3" x14ac:dyDescent="0.25">
      <c r="A886" s="22" t="e">
        <f>CONCATENATE('BASE OBZ'!#REF!,"PROG")</f>
        <v>#REF!</v>
      </c>
      <c r="B886" s="22" t="e">
        <f>CONCATENATE("P",(LEFT('BASE OBZ'!#REF!,3)),'BASE OBZ'!#REF!)</f>
        <v>#REF!</v>
      </c>
      <c r="C886" t="s">
        <v>1777</v>
      </c>
    </row>
    <row r="887" spans="1:3" x14ac:dyDescent="0.25">
      <c r="A887" s="22" t="e">
        <f>CONCATENATE('BASE OBZ'!#REF!,"PROG")</f>
        <v>#REF!</v>
      </c>
      <c r="B887" s="22" t="e">
        <f>CONCATENATE("P",(LEFT('BASE OBZ'!#REF!,3)),'BASE OBZ'!#REF!)</f>
        <v>#REF!</v>
      </c>
      <c r="C887" t="s">
        <v>1777</v>
      </c>
    </row>
    <row r="888" spans="1:3" x14ac:dyDescent="0.25">
      <c r="A888" s="22" t="e">
        <f>CONCATENATE('BASE OBZ'!#REF!,"PROG")</f>
        <v>#REF!</v>
      </c>
      <c r="B888" s="22" t="e">
        <f>CONCATENATE("P",(LEFT('BASE OBZ'!#REF!,3)),'BASE OBZ'!#REF!)</f>
        <v>#REF!</v>
      </c>
      <c r="C888" t="s">
        <v>1777</v>
      </c>
    </row>
    <row r="889" spans="1:3" x14ac:dyDescent="0.25">
      <c r="A889" s="22" t="e">
        <f>CONCATENATE('BASE OBZ'!#REF!,"PROG")</f>
        <v>#REF!</v>
      </c>
      <c r="B889" s="22" t="e">
        <f>CONCATENATE("P",(LEFT('BASE OBZ'!#REF!,3)),'BASE OBZ'!#REF!)</f>
        <v>#REF!</v>
      </c>
      <c r="C889" t="s">
        <v>1777</v>
      </c>
    </row>
    <row r="890" spans="1:3" x14ac:dyDescent="0.25">
      <c r="A890" s="22" t="e">
        <f>CONCATENATE('BASE OBZ'!#REF!,"PROG")</f>
        <v>#REF!</v>
      </c>
      <c r="B890" s="22" t="e">
        <f>CONCATENATE("P",(LEFT('BASE OBZ'!#REF!,3)),'BASE OBZ'!#REF!)</f>
        <v>#REF!</v>
      </c>
      <c r="C890" t="s">
        <v>1777</v>
      </c>
    </row>
    <row r="891" spans="1:3" x14ac:dyDescent="0.25">
      <c r="A891" s="22" t="e">
        <f>CONCATENATE('BASE OBZ'!#REF!,"PROG")</f>
        <v>#REF!</v>
      </c>
      <c r="B891" s="22" t="e">
        <f>CONCATENATE("P",(LEFT('BASE OBZ'!#REF!,3)),'BASE OBZ'!#REF!)</f>
        <v>#REF!</v>
      </c>
      <c r="C891" t="s">
        <v>1777</v>
      </c>
    </row>
    <row r="892" spans="1:3" x14ac:dyDescent="0.25">
      <c r="A892" s="22" t="e">
        <f>CONCATENATE('BASE OBZ'!#REF!,"PROG")</f>
        <v>#REF!</v>
      </c>
      <c r="B892" s="22" t="e">
        <f>CONCATENATE("P",(LEFT('BASE OBZ'!#REF!,3)),'BASE OBZ'!#REF!)</f>
        <v>#REF!</v>
      </c>
      <c r="C892" t="s">
        <v>1777</v>
      </c>
    </row>
    <row r="893" spans="1:3" x14ac:dyDescent="0.25">
      <c r="A893" s="22" t="e">
        <f>CONCATENATE('BASE OBZ'!#REF!,"PROG")</f>
        <v>#REF!</v>
      </c>
      <c r="B893" s="22" t="e">
        <f>CONCATENATE("P",(LEFT('BASE OBZ'!#REF!,3)),'BASE OBZ'!#REF!)</f>
        <v>#REF!</v>
      </c>
      <c r="C893" t="s">
        <v>1777</v>
      </c>
    </row>
    <row r="894" spans="1:3" x14ac:dyDescent="0.25">
      <c r="A894" s="22" t="e">
        <f>CONCATENATE('BASE OBZ'!#REF!,"PROG")</f>
        <v>#REF!</v>
      </c>
      <c r="B894" s="22" t="e">
        <f>CONCATENATE("P",(LEFT('BASE OBZ'!#REF!,3)),'BASE OBZ'!#REF!)</f>
        <v>#REF!</v>
      </c>
      <c r="C894" t="s">
        <v>1777</v>
      </c>
    </row>
    <row r="895" spans="1:3" x14ac:dyDescent="0.25">
      <c r="A895" s="22" t="e">
        <f>CONCATENATE('BASE OBZ'!#REF!,"PROG")</f>
        <v>#REF!</v>
      </c>
      <c r="B895" s="22" t="e">
        <f>CONCATENATE("P",(LEFT('BASE OBZ'!#REF!,3)),'BASE OBZ'!#REF!)</f>
        <v>#REF!</v>
      </c>
      <c r="C895" t="s">
        <v>1777</v>
      </c>
    </row>
    <row r="896" spans="1:3" x14ac:dyDescent="0.25">
      <c r="A896" s="22" t="e">
        <f>CONCATENATE('BASE OBZ'!#REF!,"PROG")</f>
        <v>#REF!</v>
      </c>
      <c r="B896" s="22" t="e">
        <f>CONCATENATE("P",(LEFT('BASE OBZ'!#REF!,3)),'BASE OBZ'!#REF!)</f>
        <v>#REF!</v>
      </c>
      <c r="C896" t="s">
        <v>1777</v>
      </c>
    </row>
    <row r="897" spans="1:3" x14ac:dyDescent="0.25">
      <c r="A897" s="22" t="e">
        <f>CONCATENATE('BASE OBZ'!#REF!,"PROG")</f>
        <v>#REF!</v>
      </c>
      <c r="B897" s="22" t="e">
        <f>CONCATENATE("P",(LEFT('BASE OBZ'!#REF!,3)),'BASE OBZ'!#REF!)</f>
        <v>#REF!</v>
      </c>
      <c r="C897" t="s">
        <v>1777</v>
      </c>
    </row>
    <row r="898" spans="1:3" x14ac:dyDescent="0.25">
      <c r="A898" s="22" t="e">
        <f>CONCATENATE('BASE OBZ'!#REF!,"PROG")</f>
        <v>#REF!</v>
      </c>
      <c r="B898" s="22" t="e">
        <f>CONCATENATE("P",(LEFT('BASE OBZ'!#REF!,3)),'BASE OBZ'!#REF!)</f>
        <v>#REF!</v>
      </c>
      <c r="C898" t="s">
        <v>1777</v>
      </c>
    </row>
    <row r="899" spans="1:3" x14ac:dyDescent="0.25">
      <c r="A899" s="22" t="e">
        <f>CONCATENATE('BASE OBZ'!#REF!,"PROG")</f>
        <v>#REF!</v>
      </c>
      <c r="B899" s="22" t="e">
        <f>CONCATENATE("P",(LEFT('BASE OBZ'!#REF!,3)),'BASE OBZ'!#REF!)</f>
        <v>#REF!</v>
      </c>
      <c r="C899" t="s">
        <v>1777</v>
      </c>
    </row>
    <row r="900" spans="1:3" x14ac:dyDescent="0.25">
      <c r="A900" s="22" t="e">
        <f>CONCATENATE('BASE OBZ'!#REF!,"PROG")</f>
        <v>#REF!</v>
      </c>
      <c r="B900" s="22" t="e">
        <f>CONCATENATE("P",(LEFT('BASE OBZ'!#REF!,3)),'BASE OBZ'!#REF!)</f>
        <v>#REF!</v>
      </c>
      <c r="C900" t="s">
        <v>1777</v>
      </c>
    </row>
    <row r="901" spans="1:3" x14ac:dyDescent="0.25">
      <c r="A901" s="22" t="e">
        <f>CONCATENATE('BASE OBZ'!#REF!,"PROG")</f>
        <v>#REF!</v>
      </c>
      <c r="B901" s="22" t="e">
        <f>CONCATENATE("P",(LEFT('BASE OBZ'!#REF!,3)),'BASE OBZ'!#REF!)</f>
        <v>#REF!</v>
      </c>
      <c r="C901" t="s">
        <v>1777</v>
      </c>
    </row>
    <row r="902" spans="1:3" x14ac:dyDescent="0.25">
      <c r="A902" s="22" t="e">
        <f>CONCATENATE('BASE OBZ'!#REF!,"PROG")</f>
        <v>#REF!</v>
      </c>
      <c r="B902" s="22" t="e">
        <f>CONCATENATE("P",(LEFT('BASE OBZ'!#REF!,3)),'BASE OBZ'!#REF!)</f>
        <v>#REF!</v>
      </c>
      <c r="C902" t="s">
        <v>1777</v>
      </c>
    </row>
    <row r="903" spans="1:3" x14ac:dyDescent="0.25">
      <c r="A903" s="22" t="e">
        <f>CONCATENATE('BASE OBZ'!#REF!,"PROG")</f>
        <v>#REF!</v>
      </c>
      <c r="B903" s="22" t="e">
        <f>CONCATENATE("P",(LEFT('BASE OBZ'!#REF!,3)),'BASE OBZ'!#REF!)</f>
        <v>#REF!</v>
      </c>
      <c r="C903" t="s">
        <v>1777</v>
      </c>
    </row>
    <row r="904" spans="1:3" x14ac:dyDescent="0.25">
      <c r="A904" s="22" t="e">
        <f>CONCATENATE('BASE OBZ'!#REF!,"PROG")</f>
        <v>#REF!</v>
      </c>
      <c r="B904" s="22" t="e">
        <f>CONCATENATE("P",(LEFT('BASE OBZ'!#REF!,3)),'BASE OBZ'!#REF!)</f>
        <v>#REF!</v>
      </c>
      <c r="C904" t="s">
        <v>1777</v>
      </c>
    </row>
    <row r="905" spans="1:3" x14ac:dyDescent="0.25">
      <c r="A905" s="22" t="e">
        <f>CONCATENATE('BASE OBZ'!#REF!,"PROG")</f>
        <v>#REF!</v>
      </c>
      <c r="B905" s="22" t="e">
        <f>CONCATENATE("P",(LEFT('BASE OBZ'!#REF!,3)),'BASE OBZ'!#REF!)</f>
        <v>#REF!</v>
      </c>
      <c r="C905" t="s">
        <v>1777</v>
      </c>
    </row>
    <row r="906" spans="1:3" x14ac:dyDescent="0.25">
      <c r="A906" s="22" t="e">
        <f>CONCATENATE('BASE OBZ'!#REF!,"PROG")</f>
        <v>#REF!</v>
      </c>
      <c r="B906" s="22" t="e">
        <f>CONCATENATE("P",(LEFT('BASE OBZ'!#REF!,3)),'BASE OBZ'!#REF!)</f>
        <v>#REF!</v>
      </c>
      <c r="C906" t="s">
        <v>1777</v>
      </c>
    </row>
    <row r="907" spans="1:3" x14ac:dyDescent="0.25">
      <c r="A907" s="22" t="e">
        <f>CONCATENATE('BASE OBZ'!#REF!,"PROG")</f>
        <v>#REF!</v>
      </c>
      <c r="B907" s="22" t="e">
        <f>CONCATENATE("P",(LEFT('BASE OBZ'!#REF!,3)),'BASE OBZ'!#REF!)</f>
        <v>#REF!</v>
      </c>
      <c r="C907" t="s">
        <v>1777</v>
      </c>
    </row>
    <row r="908" spans="1:3" x14ac:dyDescent="0.25">
      <c r="A908" s="22" t="e">
        <f>CONCATENATE('BASE OBZ'!#REF!,"PROG")</f>
        <v>#REF!</v>
      </c>
      <c r="B908" s="22" t="e">
        <f>CONCATENATE("P",(LEFT('BASE OBZ'!#REF!,3)),'BASE OBZ'!#REF!)</f>
        <v>#REF!</v>
      </c>
      <c r="C908" t="s">
        <v>1777</v>
      </c>
    </row>
    <row r="909" spans="1:3" x14ac:dyDescent="0.25">
      <c r="A909" s="22" t="e">
        <f>CONCATENATE('BASE OBZ'!#REF!,"PROG")</f>
        <v>#REF!</v>
      </c>
      <c r="B909" s="22" t="e">
        <f>CONCATENATE("P",(LEFT('BASE OBZ'!#REF!,3)),'BASE OBZ'!#REF!)</f>
        <v>#REF!</v>
      </c>
      <c r="C909" t="s">
        <v>1777</v>
      </c>
    </row>
    <row r="910" spans="1:3" x14ac:dyDescent="0.25">
      <c r="A910" s="22" t="e">
        <f>CONCATENATE('BASE OBZ'!#REF!,"PROG")</f>
        <v>#REF!</v>
      </c>
      <c r="B910" s="22" t="e">
        <f>CONCATENATE("P",(LEFT('BASE OBZ'!#REF!,3)),'BASE OBZ'!#REF!)</f>
        <v>#REF!</v>
      </c>
      <c r="C910" t="s">
        <v>1777</v>
      </c>
    </row>
    <row r="911" spans="1:3" x14ac:dyDescent="0.25">
      <c r="A911" s="22" t="e">
        <f>CONCATENATE('BASE OBZ'!#REF!,"PROG")</f>
        <v>#REF!</v>
      </c>
      <c r="B911" s="22" t="e">
        <f>CONCATENATE("P",(LEFT('BASE OBZ'!#REF!,3)),'BASE OBZ'!#REF!)</f>
        <v>#REF!</v>
      </c>
      <c r="C911" t="s">
        <v>1777</v>
      </c>
    </row>
    <row r="912" spans="1:3" x14ac:dyDescent="0.25">
      <c r="A912" s="22" t="e">
        <f>CONCATENATE('BASE OBZ'!#REF!,"PROG")</f>
        <v>#REF!</v>
      </c>
      <c r="B912" s="22" t="e">
        <f>CONCATENATE("P",(LEFT('BASE OBZ'!#REF!,3)),'BASE OBZ'!#REF!)</f>
        <v>#REF!</v>
      </c>
      <c r="C912" t="s">
        <v>1777</v>
      </c>
    </row>
    <row r="913" spans="1:3" x14ac:dyDescent="0.25">
      <c r="A913" s="22" t="e">
        <f>CONCATENATE('BASE OBZ'!#REF!,"PROG")</f>
        <v>#REF!</v>
      </c>
      <c r="B913" s="22" t="e">
        <f>CONCATENATE("P",(LEFT('BASE OBZ'!#REF!,3)),'BASE OBZ'!#REF!)</f>
        <v>#REF!</v>
      </c>
      <c r="C913" t="s">
        <v>1777</v>
      </c>
    </row>
    <row r="914" spans="1:3" x14ac:dyDescent="0.25">
      <c r="A914" s="22" t="e">
        <f>CONCATENATE('BASE OBZ'!#REF!,"PROG")</f>
        <v>#REF!</v>
      </c>
      <c r="B914" s="22" t="e">
        <f>CONCATENATE("P",(LEFT('BASE OBZ'!#REF!,3)),'BASE OBZ'!#REF!)</f>
        <v>#REF!</v>
      </c>
      <c r="C914" t="s">
        <v>1777</v>
      </c>
    </row>
    <row r="915" spans="1:3" x14ac:dyDescent="0.25">
      <c r="A915" s="22" t="e">
        <f>CONCATENATE('BASE OBZ'!#REF!,"PROG")</f>
        <v>#REF!</v>
      </c>
      <c r="B915" s="22" t="e">
        <f>CONCATENATE("P",(LEFT('BASE OBZ'!#REF!,3)),'BASE OBZ'!#REF!)</f>
        <v>#REF!</v>
      </c>
      <c r="C915" t="s">
        <v>1777</v>
      </c>
    </row>
    <row r="916" spans="1:3" x14ac:dyDescent="0.25">
      <c r="A916" s="22" t="e">
        <f>CONCATENATE('BASE OBZ'!#REF!,"PROG")</f>
        <v>#REF!</v>
      </c>
      <c r="B916" s="22" t="e">
        <f>CONCATENATE("P",(LEFT('BASE OBZ'!#REF!,3)),'BASE OBZ'!#REF!)</f>
        <v>#REF!</v>
      </c>
      <c r="C916" t="s">
        <v>1777</v>
      </c>
    </row>
    <row r="917" spans="1:3" x14ac:dyDescent="0.25">
      <c r="A917" s="22" t="e">
        <f>CONCATENATE('BASE OBZ'!#REF!,"PROG")</f>
        <v>#REF!</v>
      </c>
      <c r="B917" s="22" t="e">
        <f>CONCATENATE("P",(LEFT('BASE OBZ'!#REF!,3)),'BASE OBZ'!#REF!)</f>
        <v>#REF!</v>
      </c>
      <c r="C917" t="s">
        <v>1777</v>
      </c>
    </row>
    <row r="918" spans="1:3" x14ac:dyDescent="0.25">
      <c r="A918" s="22" t="e">
        <f>CONCATENATE('BASE OBZ'!#REF!,"PROG")</f>
        <v>#REF!</v>
      </c>
      <c r="B918" s="22" t="e">
        <f>CONCATENATE("P",(LEFT('BASE OBZ'!#REF!,3)),'BASE OBZ'!#REF!)</f>
        <v>#REF!</v>
      </c>
      <c r="C918" t="s">
        <v>1777</v>
      </c>
    </row>
    <row r="919" spans="1:3" x14ac:dyDescent="0.25">
      <c r="A919" s="22" t="e">
        <f>CONCATENATE('BASE OBZ'!#REF!,"PROG")</f>
        <v>#REF!</v>
      </c>
      <c r="B919" s="22" t="e">
        <f>CONCATENATE("P",(LEFT('BASE OBZ'!#REF!,3)),'BASE OBZ'!#REF!)</f>
        <v>#REF!</v>
      </c>
      <c r="C919" t="s">
        <v>1777</v>
      </c>
    </row>
    <row r="920" spans="1:3" x14ac:dyDescent="0.25">
      <c r="A920" s="22" t="e">
        <f>CONCATENATE('BASE OBZ'!#REF!,"PROG")</f>
        <v>#REF!</v>
      </c>
      <c r="B920" s="22" t="e">
        <f>CONCATENATE("P",(LEFT('BASE OBZ'!#REF!,3)),'BASE OBZ'!#REF!)</f>
        <v>#REF!</v>
      </c>
      <c r="C920" t="s">
        <v>1777</v>
      </c>
    </row>
    <row r="921" spans="1:3" x14ac:dyDescent="0.25">
      <c r="A921" s="22" t="e">
        <f>CONCATENATE('BASE OBZ'!#REF!,"PROG")</f>
        <v>#REF!</v>
      </c>
      <c r="B921" s="22" t="e">
        <f>CONCATENATE("P",(LEFT('BASE OBZ'!#REF!,3)),'BASE OBZ'!#REF!)</f>
        <v>#REF!</v>
      </c>
      <c r="C921" t="s">
        <v>1777</v>
      </c>
    </row>
    <row r="922" spans="1:3" x14ac:dyDescent="0.25">
      <c r="A922" s="22" t="e">
        <f>CONCATENATE('BASE OBZ'!#REF!,"PROG")</f>
        <v>#REF!</v>
      </c>
      <c r="B922" s="22" t="e">
        <f>CONCATENATE("P",(LEFT('BASE OBZ'!#REF!,3)),'BASE OBZ'!#REF!)</f>
        <v>#REF!</v>
      </c>
      <c r="C922" t="s">
        <v>1777</v>
      </c>
    </row>
    <row r="923" spans="1:3" x14ac:dyDescent="0.25">
      <c r="A923" s="22" t="e">
        <f>CONCATENATE('BASE OBZ'!#REF!,"PROG")</f>
        <v>#REF!</v>
      </c>
      <c r="B923" s="22" t="e">
        <f>CONCATENATE("P",(LEFT('BASE OBZ'!#REF!,3)),'BASE OBZ'!#REF!)</f>
        <v>#REF!</v>
      </c>
      <c r="C923" t="s">
        <v>1777</v>
      </c>
    </row>
    <row r="924" spans="1:3" x14ac:dyDescent="0.25">
      <c r="A924" s="22" t="e">
        <f>CONCATENATE('BASE OBZ'!#REF!,"PROG")</f>
        <v>#REF!</v>
      </c>
      <c r="B924" s="22" t="e">
        <f>CONCATENATE("P",(LEFT('BASE OBZ'!#REF!,3)),'BASE OBZ'!#REF!)</f>
        <v>#REF!</v>
      </c>
      <c r="C924" t="s">
        <v>1777</v>
      </c>
    </row>
    <row r="925" spans="1:3" x14ac:dyDescent="0.25">
      <c r="A925" s="22" t="e">
        <f>CONCATENATE('BASE OBZ'!#REF!,"PROG")</f>
        <v>#REF!</v>
      </c>
      <c r="B925" s="22" t="e">
        <f>CONCATENATE("P",(LEFT('BASE OBZ'!#REF!,3)),'BASE OBZ'!#REF!)</f>
        <v>#REF!</v>
      </c>
      <c r="C925" t="s">
        <v>1777</v>
      </c>
    </row>
    <row r="926" spans="1:3" x14ac:dyDescent="0.25">
      <c r="A926" s="22" t="e">
        <f>CONCATENATE('BASE OBZ'!#REF!,"PROG")</f>
        <v>#REF!</v>
      </c>
      <c r="B926" s="22" t="e">
        <f>CONCATENATE("P",(LEFT('BASE OBZ'!#REF!,3)),'BASE OBZ'!#REF!)</f>
        <v>#REF!</v>
      </c>
      <c r="C926" t="s">
        <v>1777</v>
      </c>
    </row>
    <row r="927" spans="1:3" x14ac:dyDescent="0.25">
      <c r="A927" s="22" t="e">
        <f>CONCATENATE('BASE OBZ'!#REF!,"PROG")</f>
        <v>#REF!</v>
      </c>
      <c r="B927" s="22" t="e">
        <f>CONCATENATE("P",(LEFT('BASE OBZ'!#REF!,3)),'BASE OBZ'!#REF!)</f>
        <v>#REF!</v>
      </c>
      <c r="C927" t="s">
        <v>1777</v>
      </c>
    </row>
    <row r="928" spans="1:3" x14ac:dyDescent="0.25">
      <c r="A928" s="22" t="e">
        <f>CONCATENATE('BASE OBZ'!#REF!,"PROG")</f>
        <v>#REF!</v>
      </c>
      <c r="B928" s="22" t="e">
        <f>CONCATENATE("P",(LEFT('BASE OBZ'!#REF!,3)),'BASE OBZ'!#REF!)</f>
        <v>#REF!</v>
      </c>
      <c r="C928" t="s">
        <v>1777</v>
      </c>
    </row>
    <row r="929" spans="1:3" x14ac:dyDescent="0.25">
      <c r="A929" s="22" t="e">
        <f>CONCATENATE('BASE OBZ'!#REF!,"PROG")</f>
        <v>#REF!</v>
      </c>
      <c r="B929" s="22" t="e">
        <f>CONCATENATE("P",(LEFT('BASE OBZ'!#REF!,3)),'BASE OBZ'!#REF!)</f>
        <v>#REF!</v>
      </c>
      <c r="C929" t="s">
        <v>1777</v>
      </c>
    </row>
    <row r="930" spans="1:3" x14ac:dyDescent="0.25">
      <c r="A930" s="22" t="e">
        <f>CONCATENATE('BASE OBZ'!#REF!,"PROG")</f>
        <v>#REF!</v>
      </c>
      <c r="B930" s="22" t="e">
        <f>CONCATENATE("P",(LEFT('BASE OBZ'!#REF!,3)),'BASE OBZ'!#REF!)</f>
        <v>#REF!</v>
      </c>
      <c r="C930" t="s">
        <v>1777</v>
      </c>
    </row>
    <row r="931" spans="1:3" x14ac:dyDescent="0.25">
      <c r="A931" s="22" t="e">
        <f>CONCATENATE('BASE OBZ'!#REF!,"PROG")</f>
        <v>#REF!</v>
      </c>
      <c r="B931" s="22" t="e">
        <f>CONCATENATE("P",(LEFT('BASE OBZ'!#REF!,3)),'BASE OBZ'!#REF!)</f>
        <v>#REF!</v>
      </c>
      <c r="C931" t="s">
        <v>1777</v>
      </c>
    </row>
    <row r="932" spans="1:3" x14ac:dyDescent="0.25">
      <c r="A932" s="22" t="e">
        <f>CONCATENATE('BASE OBZ'!#REF!,"PROG")</f>
        <v>#REF!</v>
      </c>
      <c r="B932" s="22" t="e">
        <f>CONCATENATE("P",(LEFT('BASE OBZ'!#REF!,3)),'BASE OBZ'!#REF!)</f>
        <v>#REF!</v>
      </c>
      <c r="C932" t="s">
        <v>1777</v>
      </c>
    </row>
    <row r="933" spans="1:3" x14ac:dyDescent="0.25">
      <c r="A933" s="22" t="e">
        <f>CONCATENATE('BASE OBZ'!#REF!,"PROG")</f>
        <v>#REF!</v>
      </c>
      <c r="B933" s="22" t="e">
        <f>CONCATENATE("P",(LEFT('BASE OBZ'!#REF!,3)),'BASE OBZ'!#REF!)</f>
        <v>#REF!</v>
      </c>
      <c r="C933" t="s">
        <v>1777</v>
      </c>
    </row>
    <row r="934" spans="1:3" x14ac:dyDescent="0.25">
      <c r="A934" s="22" t="e">
        <f>CONCATENATE('BASE OBZ'!#REF!,"PROG")</f>
        <v>#REF!</v>
      </c>
      <c r="B934" s="22" t="e">
        <f>CONCATENATE("P",(LEFT('BASE OBZ'!#REF!,3)),'BASE OBZ'!#REF!)</f>
        <v>#REF!</v>
      </c>
      <c r="C934" t="s">
        <v>1777</v>
      </c>
    </row>
    <row r="935" spans="1:3" x14ac:dyDescent="0.25">
      <c r="A935" s="22" t="e">
        <f>CONCATENATE('BASE OBZ'!#REF!,"PROG")</f>
        <v>#REF!</v>
      </c>
      <c r="B935" s="22" t="e">
        <f>CONCATENATE("P",(LEFT('BASE OBZ'!#REF!,3)),'BASE OBZ'!#REF!)</f>
        <v>#REF!</v>
      </c>
      <c r="C935" t="s">
        <v>1777</v>
      </c>
    </row>
    <row r="936" spans="1:3" x14ac:dyDescent="0.25">
      <c r="A936" s="22" t="e">
        <f>CONCATENATE('BASE OBZ'!#REF!,"PROG")</f>
        <v>#REF!</v>
      </c>
      <c r="B936" s="22" t="e">
        <f>CONCATENATE("P",(LEFT('BASE OBZ'!#REF!,3)),'BASE OBZ'!#REF!)</f>
        <v>#REF!</v>
      </c>
      <c r="C936" t="s">
        <v>1777</v>
      </c>
    </row>
    <row r="937" spans="1:3" x14ac:dyDescent="0.25">
      <c r="A937" s="22" t="e">
        <f>CONCATENATE('BASE OBZ'!#REF!,"PROG")</f>
        <v>#REF!</v>
      </c>
      <c r="B937" s="22" t="e">
        <f>CONCATENATE("P",(LEFT('BASE OBZ'!#REF!,3)),'BASE OBZ'!#REF!)</f>
        <v>#REF!</v>
      </c>
      <c r="C937" t="s">
        <v>1777</v>
      </c>
    </row>
    <row r="938" spans="1:3" x14ac:dyDescent="0.25">
      <c r="A938" s="22" t="e">
        <f>CONCATENATE('BASE OBZ'!#REF!,"PROG")</f>
        <v>#REF!</v>
      </c>
      <c r="B938" s="22" t="e">
        <f>CONCATENATE("P",(LEFT('BASE OBZ'!#REF!,3)),'BASE OBZ'!#REF!)</f>
        <v>#REF!</v>
      </c>
      <c r="C938" t="s">
        <v>1777</v>
      </c>
    </row>
    <row r="939" spans="1:3" x14ac:dyDescent="0.25">
      <c r="A939" s="22" t="e">
        <f>CONCATENATE('BASE OBZ'!#REF!,"PROG")</f>
        <v>#REF!</v>
      </c>
      <c r="B939" s="22" t="e">
        <f>CONCATENATE("P",(LEFT('BASE OBZ'!#REF!,3)),'BASE OBZ'!#REF!)</f>
        <v>#REF!</v>
      </c>
      <c r="C939" t="s">
        <v>1777</v>
      </c>
    </row>
    <row r="940" spans="1:3" x14ac:dyDescent="0.25">
      <c r="A940" s="22" t="e">
        <f>CONCATENATE('BASE OBZ'!#REF!,"PROG")</f>
        <v>#REF!</v>
      </c>
      <c r="B940" s="22" t="e">
        <f>CONCATENATE("P",(LEFT('BASE OBZ'!#REF!,3)),'BASE OBZ'!#REF!)</f>
        <v>#REF!</v>
      </c>
      <c r="C940" t="s">
        <v>1777</v>
      </c>
    </row>
    <row r="941" spans="1:3" x14ac:dyDescent="0.25">
      <c r="A941" s="22" t="e">
        <f>CONCATENATE('BASE OBZ'!#REF!,"PROG")</f>
        <v>#REF!</v>
      </c>
      <c r="B941" s="22" t="e">
        <f>CONCATENATE("P",(LEFT('BASE OBZ'!#REF!,3)),'BASE OBZ'!#REF!)</f>
        <v>#REF!</v>
      </c>
      <c r="C941" t="s">
        <v>1777</v>
      </c>
    </row>
    <row r="942" spans="1:3" x14ac:dyDescent="0.25">
      <c r="A942" s="22" t="e">
        <f>CONCATENATE('BASE OBZ'!#REF!,"PROG")</f>
        <v>#REF!</v>
      </c>
      <c r="B942" s="22" t="e">
        <f>CONCATENATE("P",(LEFT('BASE OBZ'!#REF!,3)),'BASE OBZ'!#REF!)</f>
        <v>#REF!</v>
      </c>
      <c r="C942" t="s">
        <v>1777</v>
      </c>
    </row>
    <row r="943" spans="1:3" x14ac:dyDescent="0.25">
      <c r="A943" s="22" t="e">
        <f>CONCATENATE('BASE OBZ'!#REF!,"PROG")</f>
        <v>#REF!</v>
      </c>
      <c r="B943" s="22" t="e">
        <f>CONCATENATE("P",(LEFT('BASE OBZ'!#REF!,3)),'BASE OBZ'!#REF!)</f>
        <v>#REF!</v>
      </c>
      <c r="C943" t="s">
        <v>1777</v>
      </c>
    </row>
    <row r="944" spans="1:3" x14ac:dyDescent="0.25">
      <c r="A944" s="22" t="e">
        <f>CONCATENATE('BASE OBZ'!#REF!,"PROG")</f>
        <v>#REF!</v>
      </c>
      <c r="B944" s="22" t="e">
        <f>CONCATENATE("P",(LEFT('BASE OBZ'!#REF!,3)),'BASE OBZ'!#REF!)</f>
        <v>#REF!</v>
      </c>
      <c r="C944" t="s">
        <v>1777</v>
      </c>
    </row>
    <row r="945" spans="1:3" x14ac:dyDescent="0.25">
      <c r="A945" s="22" t="e">
        <f>CONCATENATE('BASE OBZ'!#REF!,"PROG")</f>
        <v>#REF!</v>
      </c>
      <c r="B945" s="22" t="e">
        <f>CONCATENATE("P",(LEFT('BASE OBZ'!#REF!,3)),'BASE OBZ'!#REF!)</f>
        <v>#REF!</v>
      </c>
      <c r="C945" t="s">
        <v>1777</v>
      </c>
    </row>
    <row r="946" spans="1:3" x14ac:dyDescent="0.25">
      <c r="A946" s="22" t="e">
        <f>CONCATENATE('BASE OBZ'!#REF!,"PROG")</f>
        <v>#REF!</v>
      </c>
      <c r="B946" s="22" t="e">
        <f>CONCATENATE("P",(LEFT('BASE OBZ'!#REF!,3)),'BASE OBZ'!#REF!)</f>
        <v>#REF!</v>
      </c>
      <c r="C946" t="s">
        <v>1777</v>
      </c>
    </row>
    <row r="947" spans="1:3" x14ac:dyDescent="0.25">
      <c r="A947" s="22" t="e">
        <f>CONCATENATE('BASE OBZ'!#REF!,"PROG")</f>
        <v>#REF!</v>
      </c>
      <c r="B947" s="22" t="e">
        <f>CONCATENATE("P",(LEFT('BASE OBZ'!#REF!,3)),'BASE OBZ'!#REF!)</f>
        <v>#REF!</v>
      </c>
      <c r="C947" t="s">
        <v>1777</v>
      </c>
    </row>
    <row r="948" spans="1:3" x14ac:dyDescent="0.25">
      <c r="A948" s="22" t="e">
        <f>CONCATENATE('BASE OBZ'!#REF!,"PROG")</f>
        <v>#REF!</v>
      </c>
      <c r="B948" s="22" t="e">
        <f>CONCATENATE("P",(LEFT('BASE OBZ'!#REF!,3)),'BASE OBZ'!#REF!)</f>
        <v>#REF!</v>
      </c>
      <c r="C948" t="s">
        <v>1777</v>
      </c>
    </row>
    <row r="949" spans="1:3" x14ac:dyDescent="0.25">
      <c r="A949" s="22" t="e">
        <f>CONCATENATE('BASE OBZ'!#REF!,"PROG")</f>
        <v>#REF!</v>
      </c>
      <c r="B949" s="22" t="e">
        <f>CONCATENATE("P",(LEFT('BASE OBZ'!#REF!,3)),'BASE OBZ'!#REF!)</f>
        <v>#REF!</v>
      </c>
      <c r="C949" t="s">
        <v>1777</v>
      </c>
    </row>
    <row r="950" spans="1:3" x14ac:dyDescent="0.25">
      <c r="A950" s="22" t="e">
        <f>CONCATENATE('BASE OBZ'!#REF!,"PROG")</f>
        <v>#REF!</v>
      </c>
      <c r="B950" s="22" t="e">
        <f>CONCATENATE("P",(LEFT('BASE OBZ'!#REF!,3)),'BASE OBZ'!#REF!)</f>
        <v>#REF!</v>
      </c>
      <c r="C950" t="s">
        <v>1777</v>
      </c>
    </row>
    <row r="951" spans="1:3" x14ac:dyDescent="0.25">
      <c r="A951" s="22" t="e">
        <f>CONCATENATE('BASE OBZ'!#REF!,"PROG")</f>
        <v>#REF!</v>
      </c>
      <c r="B951" s="22" t="e">
        <f>CONCATENATE("P",(LEFT('BASE OBZ'!#REF!,3)),'BASE OBZ'!#REF!)</f>
        <v>#REF!</v>
      </c>
      <c r="C951" t="s">
        <v>1777</v>
      </c>
    </row>
    <row r="952" spans="1:3" x14ac:dyDescent="0.25">
      <c r="A952" s="22" t="e">
        <f>CONCATENATE('BASE OBZ'!#REF!,"PROG")</f>
        <v>#REF!</v>
      </c>
      <c r="B952" s="22" t="e">
        <f>CONCATENATE("P",(LEFT('BASE OBZ'!#REF!,3)),'BASE OBZ'!#REF!)</f>
        <v>#REF!</v>
      </c>
      <c r="C952" t="s">
        <v>1777</v>
      </c>
    </row>
    <row r="953" spans="1:3" x14ac:dyDescent="0.25">
      <c r="A953" s="22" t="e">
        <f>CONCATENATE('BASE OBZ'!#REF!,"PROG")</f>
        <v>#REF!</v>
      </c>
      <c r="B953" s="22" t="e">
        <f>CONCATENATE("P",(LEFT('BASE OBZ'!#REF!,3)),'BASE OBZ'!#REF!)</f>
        <v>#REF!</v>
      </c>
      <c r="C953" t="s">
        <v>1777</v>
      </c>
    </row>
    <row r="954" spans="1:3" x14ac:dyDescent="0.25">
      <c r="A954" s="22" t="e">
        <f>CONCATENATE('BASE OBZ'!#REF!,"PROG")</f>
        <v>#REF!</v>
      </c>
      <c r="B954" s="22" t="e">
        <f>CONCATENATE("P",(LEFT('BASE OBZ'!#REF!,3)),'BASE OBZ'!#REF!)</f>
        <v>#REF!</v>
      </c>
      <c r="C954" t="s">
        <v>1777</v>
      </c>
    </row>
    <row r="955" spans="1:3" x14ac:dyDescent="0.25">
      <c r="A955" s="22" t="e">
        <f>CONCATENATE('BASE OBZ'!#REF!,"PROG")</f>
        <v>#REF!</v>
      </c>
      <c r="B955" s="22" t="e">
        <f>CONCATENATE("P",(LEFT('BASE OBZ'!#REF!,3)),'BASE OBZ'!#REF!)</f>
        <v>#REF!</v>
      </c>
      <c r="C955" t="s">
        <v>1777</v>
      </c>
    </row>
    <row r="956" spans="1:3" x14ac:dyDescent="0.25">
      <c r="A956" s="22" t="e">
        <f>CONCATENATE('BASE OBZ'!#REF!,"PROG")</f>
        <v>#REF!</v>
      </c>
      <c r="B956" s="22" t="e">
        <f>CONCATENATE("P",(LEFT('BASE OBZ'!#REF!,3)),'BASE OBZ'!#REF!)</f>
        <v>#REF!</v>
      </c>
      <c r="C956" t="s">
        <v>1777</v>
      </c>
    </row>
    <row r="957" spans="1:3" x14ac:dyDescent="0.25">
      <c r="A957" s="22" t="e">
        <f>CONCATENATE('BASE OBZ'!#REF!,"PROG")</f>
        <v>#REF!</v>
      </c>
      <c r="B957" s="22" t="e">
        <f>CONCATENATE("P",(LEFT('BASE OBZ'!#REF!,3)),'BASE OBZ'!#REF!)</f>
        <v>#REF!</v>
      </c>
      <c r="C957" t="s">
        <v>1777</v>
      </c>
    </row>
    <row r="958" spans="1:3" x14ac:dyDescent="0.25">
      <c r="A958" s="22" t="e">
        <f>CONCATENATE('BASE OBZ'!#REF!,"PROG")</f>
        <v>#REF!</v>
      </c>
      <c r="B958" s="22" t="e">
        <f>CONCATENATE("P",(LEFT('BASE OBZ'!#REF!,3)),'BASE OBZ'!#REF!)</f>
        <v>#REF!</v>
      </c>
      <c r="C958" t="s">
        <v>1777</v>
      </c>
    </row>
    <row r="959" spans="1:3" x14ac:dyDescent="0.25">
      <c r="A959" s="22" t="e">
        <f>CONCATENATE('BASE OBZ'!#REF!,"PROG")</f>
        <v>#REF!</v>
      </c>
      <c r="B959" s="22" t="e">
        <f>CONCATENATE("P",(LEFT('BASE OBZ'!#REF!,3)),'BASE OBZ'!#REF!)</f>
        <v>#REF!</v>
      </c>
      <c r="C959" t="s">
        <v>1777</v>
      </c>
    </row>
    <row r="960" spans="1:3" x14ac:dyDescent="0.25">
      <c r="A960" s="22" t="e">
        <f>CONCATENATE('BASE OBZ'!#REF!,"PROG")</f>
        <v>#REF!</v>
      </c>
      <c r="B960" s="22" t="e">
        <f>CONCATENATE("P",(LEFT('BASE OBZ'!#REF!,3)),'BASE OBZ'!#REF!)</f>
        <v>#REF!</v>
      </c>
      <c r="C960" t="s">
        <v>1777</v>
      </c>
    </row>
    <row r="961" spans="1:3" x14ac:dyDescent="0.25">
      <c r="A961" s="22" t="e">
        <f>CONCATENATE('BASE OBZ'!#REF!,"PROG")</f>
        <v>#REF!</v>
      </c>
      <c r="B961" s="22" t="e">
        <f>CONCATENATE("P",(LEFT('BASE OBZ'!#REF!,3)),'BASE OBZ'!#REF!)</f>
        <v>#REF!</v>
      </c>
      <c r="C961" t="s">
        <v>1777</v>
      </c>
    </row>
    <row r="962" spans="1:3" x14ac:dyDescent="0.25">
      <c r="A962" s="22" t="e">
        <f>CONCATENATE('BASE OBZ'!#REF!,"PROG")</f>
        <v>#REF!</v>
      </c>
      <c r="B962" s="22" t="e">
        <f>CONCATENATE("P",(LEFT('BASE OBZ'!#REF!,3)),'BASE OBZ'!#REF!)</f>
        <v>#REF!</v>
      </c>
      <c r="C962" t="s">
        <v>1777</v>
      </c>
    </row>
    <row r="963" spans="1:3" x14ac:dyDescent="0.25">
      <c r="A963" s="22" t="e">
        <f>CONCATENATE('BASE OBZ'!#REF!,"PROG")</f>
        <v>#REF!</v>
      </c>
      <c r="B963" s="22" t="e">
        <f>CONCATENATE("P",(LEFT('BASE OBZ'!#REF!,3)),'BASE OBZ'!#REF!)</f>
        <v>#REF!</v>
      </c>
      <c r="C963" t="s">
        <v>1777</v>
      </c>
    </row>
    <row r="964" spans="1:3" x14ac:dyDescent="0.25">
      <c r="A964" s="22" t="e">
        <f>CONCATENATE('BASE OBZ'!#REF!,"PROG")</f>
        <v>#REF!</v>
      </c>
      <c r="B964" s="22" t="e">
        <f>CONCATENATE("P",(LEFT('BASE OBZ'!#REF!,3)),'BASE OBZ'!#REF!)</f>
        <v>#REF!</v>
      </c>
      <c r="C964" t="s">
        <v>1777</v>
      </c>
    </row>
    <row r="965" spans="1:3" x14ac:dyDescent="0.25">
      <c r="A965" s="22" t="e">
        <f>CONCATENATE('BASE OBZ'!#REF!,"PROG")</f>
        <v>#REF!</v>
      </c>
      <c r="B965" s="22" t="e">
        <f>CONCATENATE("P",(LEFT('BASE OBZ'!#REF!,3)),'BASE OBZ'!#REF!)</f>
        <v>#REF!</v>
      </c>
      <c r="C965" t="s">
        <v>1777</v>
      </c>
    </row>
    <row r="966" spans="1:3" x14ac:dyDescent="0.25">
      <c r="A966" s="22" t="e">
        <f>CONCATENATE('BASE OBZ'!#REF!,"PROG")</f>
        <v>#REF!</v>
      </c>
      <c r="B966" s="22" t="e">
        <f>CONCATENATE("P",(LEFT('BASE OBZ'!#REF!,3)),'BASE OBZ'!#REF!)</f>
        <v>#REF!</v>
      </c>
      <c r="C966" t="s">
        <v>1777</v>
      </c>
    </row>
    <row r="967" spans="1:3" x14ac:dyDescent="0.25">
      <c r="A967" s="22" t="e">
        <f>CONCATENATE('BASE OBZ'!#REF!,"PROG")</f>
        <v>#REF!</v>
      </c>
      <c r="B967" s="22" t="e">
        <f>CONCATENATE("P",(LEFT('BASE OBZ'!#REF!,3)),'BASE OBZ'!#REF!)</f>
        <v>#REF!</v>
      </c>
      <c r="C967" t="s">
        <v>1777</v>
      </c>
    </row>
    <row r="968" spans="1:3" x14ac:dyDescent="0.25">
      <c r="A968" s="22" t="e">
        <f>CONCATENATE('BASE OBZ'!#REF!,"PROG")</f>
        <v>#REF!</v>
      </c>
      <c r="B968" s="22" t="e">
        <f>CONCATENATE("P",(LEFT('BASE OBZ'!#REF!,3)),'BASE OBZ'!#REF!)</f>
        <v>#REF!</v>
      </c>
      <c r="C968" t="s">
        <v>1777</v>
      </c>
    </row>
    <row r="969" spans="1:3" x14ac:dyDescent="0.25">
      <c r="A969" s="22" t="e">
        <f>CONCATENATE('BASE OBZ'!#REF!,"PROG")</f>
        <v>#REF!</v>
      </c>
      <c r="B969" s="22" t="e">
        <f>CONCATENATE("P",(LEFT('BASE OBZ'!#REF!,3)),'BASE OBZ'!#REF!)</f>
        <v>#REF!</v>
      </c>
      <c r="C969" t="s">
        <v>1777</v>
      </c>
    </row>
    <row r="970" spans="1:3" x14ac:dyDescent="0.25">
      <c r="A970" s="22" t="e">
        <f>CONCATENATE('BASE OBZ'!#REF!,"PROG")</f>
        <v>#REF!</v>
      </c>
      <c r="B970" s="22" t="e">
        <f>CONCATENATE("P",(LEFT('BASE OBZ'!#REF!,3)),'BASE OBZ'!#REF!)</f>
        <v>#REF!</v>
      </c>
      <c r="C970" t="s">
        <v>1777</v>
      </c>
    </row>
    <row r="971" spans="1:3" x14ac:dyDescent="0.25">
      <c r="A971" s="22" t="e">
        <f>CONCATENATE('BASE OBZ'!#REF!,"PROG")</f>
        <v>#REF!</v>
      </c>
      <c r="B971" s="22" t="e">
        <f>CONCATENATE("P",(LEFT('BASE OBZ'!#REF!,3)),'BASE OBZ'!#REF!)</f>
        <v>#REF!</v>
      </c>
      <c r="C971" t="s">
        <v>1777</v>
      </c>
    </row>
    <row r="972" spans="1:3" x14ac:dyDescent="0.25">
      <c r="A972" s="22" t="e">
        <f>CONCATENATE('BASE OBZ'!#REF!,"PROG")</f>
        <v>#REF!</v>
      </c>
      <c r="B972" s="22" t="e">
        <f>CONCATENATE("P",(LEFT('BASE OBZ'!#REF!,3)),'BASE OBZ'!#REF!)</f>
        <v>#REF!</v>
      </c>
      <c r="C972" t="s">
        <v>1777</v>
      </c>
    </row>
    <row r="973" spans="1:3" x14ac:dyDescent="0.25">
      <c r="A973" s="22" t="e">
        <f>CONCATENATE('BASE OBZ'!#REF!,"PROG")</f>
        <v>#REF!</v>
      </c>
      <c r="B973" s="22" t="e">
        <f>CONCATENATE("P",(LEFT('BASE OBZ'!#REF!,3)),'BASE OBZ'!#REF!)</f>
        <v>#REF!</v>
      </c>
      <c r="C973" t="s">
        <v>1777</v>
      </c>
    </row>
    <row r="974" spans="1:3" x14ac:dyDescent="0.25">
      <c r="A974" s="22" t="e">
        <f>CONCATENATE('BASE OBZ'!#REF!,"PROG")</f>
        <v>#REF!</v>
      </c>
      <c r="B974" s="22" t="e">
        <f>CONCATENATE("P",(LEFT('BASE OBZ'!#REF!,3)),'BASE OBZ'!#REF!)</f>
        <v>#REF!</v>
      </c>
      <c r="C974" t="s">
        <v>1777</v>
      </c>
    </row>
    <row r="975" spans="1:3" x14ac:dyDescent="0.25">
      <c r="A975" s="22" t="e">
        <f>CONCATENATE('BASE OBZ'!#REF!,"PROG")</f>
        <v>#REF!</v>
      </c>
      <c r="B975" s="22" t="e">
        <f>CONCATENATE("P",(LEFT('BASE OBZ'!#REF!,3)),'BASE OBZ'!#REF!)</f>
        <v>#REF!</v>
      </c>
      <c r="C975" t="s">
        <v>1777</v>
      </c>
    </row>
    <row r="976" spans="1:3" x14ac:dyDescent="0.25">
      <c r="A976" s="22" t="e">
        <f>CONCATENATE('BASE OBZ'!#REF!,"PROG")</f>
        <v>#REF!</v>
      </c>
      <c r="B976" s="22" t="e">
        <f>CONCATENATE("P",(LEFT('BASE OBZ'!#REF!,3)),'BASE OBZ'!#REF!)</f>
        <v>#REF!</v>
      </c>
      <c r="C976" t="s">
        <v>1777</v>
      </c>
    </row>
    <row r="977" spans="1:3" x14ac:dyDescent="0.25">
      <c r="A977" s="22" t="e">
        <f>CONCATENATE('BASE OBZ'!#REF!,"PROG")</f>
        <v>#REF!</v>
      </c>
      <c r="B977" s="22" t="e">
        <f>CONCATENATE("P",(LEFT('BASE OBZ'!#REF!,3)),'BASE OBZ'!#REF!)</f>
        <v>#REF!</v>
      </c>
      <c r="C977" t="s">
        <v>1777</v>
      </c>
    </row>
    <row r="978" spans="1:3" x14ac:dyDescent="0.25">
      <c r="A978" s="22" t="e">
        <f>CONCATENATE('BASE OBZ'!#REF!,"PROG")</f>
        <v>#REF!</v>
      </c>
      <c r="B978" s="22" t="e">
        <f>CONCATENATE("P",(LEFT('BASE OBZ'!#REF!,3)),'BASE OBZ'!#REF!)</f>
        <v>#REF!</v>
      </c>
      <c r="C978" t="s">
        <v>1777</v>
      </c>
    </row>
    <row r="979" spans="1:3" x14ac:dyDescent="0.25">
      <c r="A979" s="22" t="e">
        <f>CONCATENATE('BASE OBZ'!#REF!,"PROG")</f>
        <v>#REF!</v>
      </c>
      <c r="B979" s="22" t="e">
        <f>CONCATENATE("P",(LEFT('BASE OBZ'!#REF!,3)),'BASE OBZ'!#REF!)</f>
        <v>#REF!</v>
      </c>
      <c r="C979" t="s">
        <v>1777</v>
      </c>
    </row>
    <row r="980" spans="1:3" x14ac:dyDescent="0.25">
      <c r="A980" s="22" t="e">
        <f>CONCATENATE('BASE OBZ'!#REF!,"PROG")</f>
        <v>#REF!</v>
      </c>
      <c r="B980" s="22" t="e">
        <f>CONCATENATE("P",(LEFT('BASE OBZ'!#REF!,3)),'BASE OBZ'!#REF!)</f>
        <v>#REF!</v>
      </c>
      <c r="C980" t="s">
        <v>1777</v>
      </c>
    </row>
    <row r="981" spans="1:3" x14ac:dyDescent="0.25">
      <c r="A981" s="22" t="e">
        <f>CONCATENATE('BASE OBZ'!#REF!,"PROG")</f>
        <v>#REF!</v>
      </c>
      <c r="B981" s="22" t="e">
        <f>CONCATENATE("P",(LEFT('BASE OBZ'!#REF!,3)),'BASE OBZ'!#REF!)</f>
        <v>#REF!</v>
      </c>
      <c r="C981" t="s">
        <v>1777</v>
      </c>
    </row>
    <row r="982" spans="1:3" x14ac:dyDescent="0.25">
      <c r="A982" s="22" t="e">
        <f>CONCATENATE('BASE OBZ'!#REF!,"PROG")</f>
        <v>#REF!</v>
      </c>
      <c r="B982" s="22" t="e">
        <f>CONCATENATE("P",(LEFT('BASE OBZ'!#REF!,3)),'BASE OBZ'!#REF!)</f>
        <v>#REF!</v>
      </c>
      <c r="C982" t="s">
        <v>1777</v>
      </c>
    </row>
    <row r="983" spans="1:3" x14ac:dyDescent="0.25">
      <c r="A983" s="22" t="e">
        <f>CONCATENATE('BASE OBZ'!#REF!,"PROG")</f>
        <v>#REF!</v>
      </c>
      <c r="B983" s="22" t="e">
        <f>CONCATENATE("P",(LEFT('BASE OBZ'!#REF!,3)),'BASE OBZ'!#REF!)</f>
        <v>#REF!</v>
      </c>
      <c r="C983" t="s">
        <v>1777</v>
      </c>
    </row>
    <row r="984" spans="1:3" x14ac:dyDescent="0.25">
      <c r="A984" s="22" t="e">
        <f>CONCATENATE('BASE OBZ'!#REF!,"PROG")</f>
        <v>#REF!</v>
      </c>
      <c r="B984" s="22" t="e">
        <f>CONCATENATE("P",(LEFT('BASE OBZ'!#REF!,3)),'BASE OBZ'!#REF!)</f>
        <v>#REF!</v>
      </c>
      <c r="C984" t="s">
        <v>1777</v>
      </c>
    </row>
    <row r="985" spans="1:3" x14ac:dyDescent="0.25">
      <c r="A985" s="22" t="e">
        <f>CONCATENATE('BASE OBZ'!#REF!,"PROG")</f>
        <v>#REF!</v>
      </c>
      <c r="B985" s="22" t="e">
        <f>CONCATENATE("P",(LEFT('BASE OBZ'!#REF!,3)),'BASE OBZ'!#REF!)</f>
        <v>#REF!</v>
      </c>
      <c r="C985" t="s">
        <v>1777</v>
      </c>
    </row>
    <row r="986" spans="1:3" x14ac:dyDescent="0.25">
      <c r="A986" s="22" t="e">
        <f>CONCATENATE('BASE OBZ'!#REF!,"PROG")</f>
        <v>#REF!</v>
      </c>
      <c r="B986" s="22" t="e">
        <f>CONCATENATE("P",(LEFT('BASE OBZ'!#REF!,3)),'BASE OBZ'!#REF!)</f>
        <v>#REF!</v>
      </c>
      <c r="C986" t="s">
        <v>1777</v>
      </c>
    </row>
    <row r="987" spans="1:3" x14ac:dyDescent="0.25">
      <c r="A987" s="22" t="e">
        <f>CONCATENATE('BASE OBZ'!#REF!,"PROG")</f>
        <v>#REF!</v>
      </c>
      <c r="B987" s="22" t="e">
        <f>CONCATENATE("P",(LEFT('BASE OBZ'!#REF!,3)),'BASE OBZ'!#REF!)</f>
        <v>#REF!</v>
      </c>
      <c r="C987" t="s">
        <v>1777</v>
      </c>
    </row>
    <row r="988" spans="1:3" x14ac:dyDescent="0.25">
      <c r="A988" s="22" t="e">
        <f>CONCATENATE('BASE OBZ'!#REF!,"PROG")</f>
        <v>#REF!</v>
      </c>
      <c r="B988" s="22" t="e">
        <f>CONCATENATE("P",(LEFT('BASE OBZ'!#REF!,3)),'BASE OBZ'!#REF!)</f>
        <v>#REF!</v>
      </c>
      <c r="C988" t="s">
        <v>1777</v>
      </c>
    </row>
    <row r="989" spans="1:3" x14ac:dyDescent="0.25">
      <c r="A989" s="22" t="e">
        <f>CONCATENATE('BASE OBZ'!#REF!,"PROG")</f>
        <v>#REF!</v>
      </c>
      <c r="B989" s="22" t="e">
        <f>CONCATENATE("P",(LEFT('BASE OBZ'!#REF!,3)),'BASE OBZ'!#REF!)</f>
        <v>#REF!</v>
      </c>
      <c r="C989" t="s">
        <v>1777</v>
      </c>
    </row>
    <row r="990" spans="1:3" x14ac:dyDescent="0.25">
      <c r="A990" s="22" t="e">
        <f>CONCATENATE('BASE OBZ'!#REF!,"PROG")</f>
        <v>#REF!</v>
      </c>
      <c r="B990" s="22" t="e">
        <f>CONCATENATE("P",(LEFT('BASE OBZ'!#REF!,3)),'BASE OBZ'!#REF!)</f>
        <v>#REF!</v>
      </c>
      <c r="C990" t="s">
        <v>1777</v>
      </c>
    </row>
    <row r="991" spans="1:3" x14ac:dyDescent="0.25">
      <c r="A991" s="22" t="e">
        <f>CONCATENATE('BASE OBZ'!#REF!,"PROG")</f>
        <v>#REF!</v>
      </c>
      <c r="B991" s="22" t="e">
        <f>CONCATENATE("P",(LEFT('BASE OBZ'!#REF!,3)),'BASE OBZ'!#REF!)</f>
        <v>#REF!</v>
      </c>
      <c r="C991" t="s">
        <v>1777</v>
      </c>
    </row>
    <row r="992" spans="1:3" x14ac:dyDescent="0.25">
      <c r="A992" s="22" t="e">
        <f>CONCATENATE('BASE OBZ'!#REF!,"PROG")</f>
        <v>#REF!</v>
      </c>
      <c r="B992" s="22" t="e">
        <f>CONCATENATE("P",(LEFT('BASE OBZ'!#REF!,3)),'BASE OBZ'!#REF!)</f>
        <v>#REF!</v>
      </c>
      <c r="C992" t="s">
        <v>1777</v>
      </c>
    </row>
    <row r="993" spans="1:3" x14ac:dyDescent="0.25">
      <c r="A993" s="22" t="e">
        <f>CONCATENATE('BASE OBZ'!#REF!,"PROG")</f>
        <v>#REF!</v>
      </c>
      <c r="B993" s="22" t="e">
        <f>CONCATENATE("P",(LEFT('BASE OBZ'!#REF!,3)),'BASE OBZ'!#REF!)</f>
        <v>#REF!</v>
      </c>
      <c r="C993" t="s">
        <v>1777</v>
      </c>
    </row>
    <row r="994" spans="1:3" x14ac:dyDescent="0.25">
      <c r="A994" s="22" t="e">
        <f>CONCATENATE('BASE OBZ'!#REF!,"PROG")</f>
        <v>#REF!</v>
      </c>
      <c r="B994" s="22" t="e">
        <f>CONCATENATE("P",(LEFT('BASE OBZ'!#REF!,3)),'BASE OBZ'!#REF!)</f>
        <v>#REF!</v>
      </c>
      <c r="C994" t="s">
        <v>1777</v>
      </c>
    </row>
    <row r="995" spans="1:3" x14ac:dyDescent="0.25">
      <c r="A995" s="22" t="e">
        <f>CONCATENATE('BASE OBZ'!#REF!,"PROG")</f>
        <v>#REF!</v>
      </c>
      <c r="B995" s="22" t="e">
        <f>CONCATENATE("P",(LEFT('BASE OBZ'!#REF!,3)),'BASE OBZ'!#REF!)</f>
        <v>#REF!</v>
      </c>
      <c r="C995" t="s">
        <v>1777</v>
      </c>
    </row>
    <row r="996" spans="1:3" x14ac:dyDescent="0.25">
      <c r="A996" s="22" t="e">
        <f>CONCATENATE('BASE OBZ'!#REF!,"PROG")</f>
        <v>#REF!</v>
      </c>
      <c r="B996" s="22" t="e">
        <f>CONCATENATE("P",(LEFT('BASE OBZ'!#REF!,3)),'BASE OBZ'!#REF!)</f>
        <v>#REF!</v>
      </c>
      <c r="C996" t="s">
        <v>1777</v>
      </c>
    </row>
    <row r="997" spans="1:3" x14ac:dyDescent="0.25">
      <c r="A997" s="22" t="e">
        <f>CONCATENATE('BASE OBZ'!#REF!,"PROG")</f>
        <v>#REF!</v>
      </c>
      <c r="B997" s="22" t="e">
        <f>CONCATENATE("P",(LEFT('BASE OBZ'!#REF!,3)),'BASE OBZ'!#REF!)</f>
        <v>#REF!</v>
      </c>
      <c r="C997" t="s">
        <v>1777</v>
      </c>
    </row>
    <row r="998" spans="1:3" x14ac:dyDescent="0.25">
      <c r="A998" s="22" t="e">
        <f>CONCATENATE('BASE OBZ'!#REF!,"PROG")</f>
        <v>#REF!</v>
      </c>
      <c r="B998" s="22" t="e">
        <f>CONCATENATE("P",(LEFT('BASE OBZ'!#REF!,3)),'BASE OBZ'!#REF!)</f>
        <v>#REF!</v>
      </c>
      <c r="C998" t="s">
        <v>1777</v>
      </c>
    </row>
    <row r="999" spans="1:3" x14ac:dyDescent="0.25">
      <c r="A999" s="22" t="e">
        <f>CONCATENATE('BASE OBZ'!#REF!,"PROG")</f>
        <v>#REF!</v>
      </c>
      <c r="B999" s="22" t="e">
        <f>CONCATENATE("P",(LEFT('BASE OBZ'!#REF!,3)),'BASE OBZ'!#REF!)</f>
        <v>#REF!</v>
      </c>
      <c r="C999" t="s">
        <v>1777</v>
      </c>
    </row>
    <row r="1000" spans="1:3" x14ac:dyDescent="0.25">
      <c r="A1000" s="22" t="e">
        <f>CONCATENATE('BASE OBZ'!#REF!,"PROG")</f>
        <v>#REF!</v>
      </c>
      <c r="B1000" s="22" t="e">
        <f>CONCATENATE("P",(LEFT('BASE OBZ'!#REF!,3)),'BASE OBZ'!#REF!)</f>
        <v>#REF!</v>
      </c>
      <c r="C1000" t="s">
        <v>1777</v>
      </c>
    </row>
    <row r="1001" spans="1:3" x14ac:dyDescent="0.25">
      <c r="A1001" s="22" t="e">
        <f>CONCATENATE('BASE OBZ'!#REF!,"PROG")</f>
        <v>#REF!</v>
      </c>
      <c r="B1001" s="22" t="e">
        <f>CONCATENATE("P",(LEFT('BASE OBZ'!#REF!,3)),'BASE OBZ'!#REF!)</f>
        <v>#REF!</v>
      </c>
      <c r="C1001" t="s">
        <v>1777</v>
      </c>
    </row>
    <row r="1002" spans="1:3" x14ac:dyDescent="0.25">
      <c r="A1002" s="22" t="e">
        <f>CONCATENATE('BASE OBZ'!#REF!,"PROG")</f>
        <v>#REF!</v>
      </c>
      <c r="B1002" s="22" t="e">
        <f>CONCATENATE("P",(LEFT('BASE OBZ'!#REF!,3)),'BASE OBZ'!#REF!)</f>
        <v>#REF!</v>
      </c>
      <c r="C1002" t="s">
        <v>1777</v>
      </c>
    </row>
    <row r="1003" spans="1:3" x14ac:dyDescent="0.25">
      <c r="A1003" s="22" t="e">
        <f>CONCATENATE('BASE OBZ'!#REF!,"PROG")</f>
        <v>#REF!</v>
      </c>
      <c r="B1003" s="22" t="e">
        <f>CONCATENATE("P",(LEFT('BASE OBZ'!#REF!,3)),'BASE OBZ'!#REF!)</f>
        <v>#REF!</v>
      </c>
      <c r="C1003" t="s">
        <v>1777</v>
      </c>
    </row>
    <row r="1004" spans="1:3" x14ac:dyDescent="0.25">
      <c r="A1004" s="22" t="e">
        <f>CONCATENATE('BASE OBZ'!#REF!,"PROG")</f>
        <v>#REF!</v>
      </c>
      <c r="B1004" s="22" t="e">
        <f>CONCATENATE("P",(LEFT('BASE OBZ'!#REF!,3)),'BASE OBZ'!#REF!)</f>
        <v>#REF!</v>
      </c>
      <c r="C1004" t="s">
        <v>1777</v>
      </c>
    </row>
    <row r="1005" spans="1:3" x14ac:dyDescent="0.25">
      <c r="A1005" s="22" t="e">
        <f>CONCATENATE('BASE OBZ'!#REF!,"PROG")</f>
        <v>#REF!</v>
      </c>
      <c r="B1005" s="22" t="e">
        <f>CONCATENATE("P",(LEFT('BASE OBZ'!#REF!,3)),'BASE OBZ'!#REF!)</f>
        <v>#REF!</v>
      </c>
      <c r="C1005" t="s">
        <v>1777</v>
      </c>
    </row>
    <row r="1006" spans="1:3" x14ac:dyDescent="0.25">
      <c r="A1006" s="22" t="e">
        <f>CONCATENATE('BASE OBZ'!#REF!,"PROG")</f>
        <v>#REF!</v>
      </c>
      <c r="B1006" s="22" t="e">
        <f>CONCATENATE("P",(LEFT('BASE OBZ'!#REF!,3)),'BASE OBZ'!#REF!)</f>
        <v>#REF!</v>
      </c>
      <c r="C1006" t="s">
        <v>1777</v>
      </c>
    </row>
    <row r="1007" spans="1:3" x14ac:dyDescent="0.25">
      <c r="A1007" s="22" t="e">
        <f>CONCATENATE('BASE OBZ'!#REF!,"PROG")</f>
        <v>#REF!</v>
      </c>
      <c r="B1007" s="22" t="e">
        <f>CONCATENATE("P",(LEFT('BASE OBZ'!#REF!,3)),'BASE OBZ'!#REF!)</f>
        <v>#REF!</v>
      </c>
      <c r="C1007" t="s">
        <v>1777</v>
      </c>
    </row>
    <row r="1008" spans="1:3" x14ac:dyDescent="0.25">
      <c r="A1008" s="22" t="e">
        <f>CONCATENATE('BASE OBZ'!#REF!,"PROG")</f>
        <v>#REF!</v>
      </c>
      <c r="B1008" s="22" t="e">
        <f>CONCATENATE("P",(LEFT('BASE OBZ'!#REF!,3)),'BASE OBZ'!#REF!)</f>
        <v>#REF!</v>
      </c>
      <c r="C1008" t="s">
        <v>1777</v>
      </c>
    </row>
    <row r="1009" spans="1:3" x14ac:dyDescent="0.25">
      <c r="A1009" s="22" t="e">
        <f>CONCATENATE('BASE OBZ'!#REF!,"PROG")</f>
        <v>#REF!</v>
      </c>
      <c r="B1009" s="22" t="e">
        <f>CONCATENATE("P",(LEFT('BASE OBZ'!#REF!,3)),'BASE OBZ'!#REF!)</f>
        <v>#REF!</v>
      </c>
      <c r="C1009" t="s">
        <v>1777</v>
      </c>
    </row>
    <row r="1010" spans="1:3" x14ac:dyDescent="0.25">
      <c r="A1010" s="22" t="e">
        <f>CONCATENATE('BASE OBZ'!#REF!,"PROG")</f>
        <v>#REF!</v>
      </c>
      <c r="B1010" s="22" t="e">
        <f>CONCATENATE("P",(LEFT('BASE OBZ'!#REF!,3)),'BASE OBZ'!#REF!)</f>
        <v>#REF!</v>
      </c>
      <c r="C1010" t="s">
        <v>1777</v>
      </c>
    </row>
    <row r="1011" spans="1:3" x14ac:dyDescent="0.25">
      <c r="A1011" s="22" t="e">
        <f>CONCATENATE('BASE OBZ'!#REF!,"PROG")</f>
        <v>#REF!</v>
      </c>
      <c r="B1011" s="22" t="e">
        <f>CONCATENATE("P",(LEFT('BASE OBZ'!#REF!,3)),'BASE OBZ'!#REF!)</f>
        <v>#REF!</v>
      </c>
      <c r="C1011" t="s">
        <v>1777</v>
      </c>
    </row>
    <row r="1012" spans="1:3" x14ac:dyDescent="0.25">
      <c r="A1012" s="22" t="e">
        <f>CONCATENATE('BASE OBZ'!#REF!,"PROG")</f>
        <v>#REF!</v>
      </c>
      <c r="B1012" s="22" t="e">
        <f>CONCATENATE("P",(LEFT('BASE OBZ'!#REF!,3)),'BASE OBZ'!#REF!)</f>
        <v>#REF!</v>
      </c>
      <c r="C1012" t="s">
        <v>1777</v>
      </c>
    </row>
    <row r="1013" spans="1:3" x14ac:dyDescent="0.25">
      <c r="A1013" s="22" t="e">
        <f>CONCATENATE('BASE OBZ'!#REF!,"PROG")</f>
        <v>#REF!</v>
      </c>
      <c r="B1013" s="22" t="e">
        <f>CONCATENATE("P",(LEFT('BASE OBZ'!#REF!,3)),'BASE OBZ'!#REF!)</f>
        <v>#REF!</v>
      </c>
      <c r="C1013" t="s">
        <v>1777</v>
      </c>
    </row>
    <row r="1014" spans="1:3" x14ac:dyDescent="0.25">
      <c r="A1014" s="22" t="e">
        <f>CONCATENATE('BASE OBZ'!#REF!,"PROG")</f>
        <v>#REF!</v>
      </c>
      <c r="B1014" s="22" t="e">
        <f>CONCATENATE("P",(LEFT('BASE OBZ'!#REF!,3)),'BASE OBZ'!#REF!)</f>
        <v>#REF!</v>
      </c>
      <c r="C1014" t="s">
        <v>1777</v>
      </c>
    </row>
    <row r="1015" spans="1:3" x14ac:dyDescent="0.25">
      <c r="A1015" s="22" t="e">
        <f>CONCATENATE('BASE OBZ'!#REF!,"PROG")</f>
        <v>#REF!</v>
      </c>
      <c r="B1015" s="22" t="e">
        <f>CONCATENATE("P",(LEFT('BASE OBZ'!#REF!,3)),'BASE OBZ'!#REF!)</f>
        <v>#REF!</v>
      </c>
      <c r="C1015" t="s">
        <v>1777</v>
      </c>
    </row>
    <row r="1016" spans="1:3" x14ac:dyDescent="0.25">
      <c r="A1016" s="22" t="e">
        <f>CONCATENATE('BASE OBZ'!#REF!,"PROG")</f>
        <v>#REF!</v>
      </c>
      <c r="B1016" s="22" t="e">
        <f>CONCATENATE("P",(LEFT('BASE OBZ'!#REF!,3)),'BASE OBZ'!#REF!)</f>
        <v>#REF!</v>
      </c>
      <c r="C1016" t="s">
        <v>1777</v>
      </c>
    </row>
    <row r="1017" spans="1:3" x14ac:dyDescent="0.25">
      <c r="A1017" s="22" t="e">
        <f>CONCATENATE('BASE OBZ'!#REF!,"PROG")</f>
        <v>#REF!</v>
      </c>
      <c r="B1017" s="22" t="e">
        <f>CONCATENATE("P",(LEFT('BASE OBZ'!#REF!,3)),'BASE OBZ'!#REF!)</f>
        <v>#REF!</v>
      </c>
      <c r="C1017" t="s">
        <v>1777</v>
      </c>
    </row>
    <row r="1018" spans="1:3" x14ac:dyDescent="0.25">
      <c r="A1018" s="22" t="e">
        <f>CONCATENATE('BASE OBZ'!#REF!,"PROG")</f>
        <v>#REF!</v>
      </c>
      <c r="B1018" s="22" t="e">
        <f>CONCATENATE("P",(LEFT('BASE OBZ'!#REF!,3)),'BASE OBZ'!#REF!)</f>
        <v>#REF!</v>
      </c>
      <c r="C1018" t="s">
        <v>1777</v>
      </c>
    </row>
    <row r="1019" spans="1:3" x14ac:dyDescent="0.25">
      <c r="A1019" s="22" t="e">
        <f>CONCATENATE('BASE OBZ'!#REF!,"PROG")</f>
        <v>#REF!</v>
      </c>
      <c r="B1019" s="22" t="e">
        <f>CONCATENATE("P",(LEFT('BASE OBZ'!#REF!,3)),'BASE OBZ'!#REF!)</f>
        <v>#REF!</v>
      </c>
      <c r="C1019" t="s">
        <v>1777</v>
      </c>
    </row>
    <row r="1020" spans="1:3" x14ac:dyDescent="0.25">
      <c r="A1020" s="22" t="e">
        <f>CONCATENATE('BASE OBZ'!#REF!,"PROG")</f>
        <v>#REF!</v>
      </c>
      <c r="B1020" s="22" t="e">
        <f>CONCATENATE("P",(LEFT('BASE OBZ'!#REF!,3)),'BASE OBZ'!#REF!)</f>
        <v>#REF!</v>
      </c>
      <c r="C1020" t="s">
        <v>1777</v>
      </c>
    </row>
    <row r="1021" spans="1:3" x14ac:dyDescent="0.25">
      <c r="A1021" s="22" t="e">
        <f>CONCATENATE('BASE OBZ'!#REF!,"PROG")</f>
        <v>#REF!</v>
      </c>
      <c r="B1021" s="22" t="e">
        <f>CONCATENATE("P",(LEFT('BASE OBZ'!#REF!,3)),'BASE OBZ'!#REF!)</f>
        <v>#REF!</v>
      </c>
      <c r="C1021" t="s">
        <v>1777</v>
      </c>
    </row>
    <row r="1022" spans="1:3" x14ac:dyDescent="0.25">
      <c r="A1022" s="22" t="e">
        <f>CONCATENATE('BASE OBZ'!#REF!,"PROG")</f>
        <v>#REF!</v>
      </c>
      <c r="B1022" s="22" t="e">
        <f>CONCATENATE("P",(LEFT('BASE OBZ'!#REF!,3)),'BASE OBZ'!#REF!)</f>
        <v>#REF!</v>
      </c>
      <c r="C1022" t="s">
        <v>1777</v>
      </c>
    </row>
    <row r="1023" spans="1:3" x14ac:dyDescent="0.25">
      <c r="A1023" s="22" t="e">
        <f>CONCATENATE('BASE OBZ'!#REF!,"PROG")</f>
        <v>#REF!</v>
      </c>
      <c r="B1023" s="22" t="e">
        <f>CONCATENATE("P",(LEFT('BASE OBZ'!#REF!,3)),'BASE OBZ'!#REF!)</f>
        <v>#REF!</v>
      </c>
      <c r="C1023" t="s">
        <v>1777</v>
      </c>
    </row>
    <row r="1024" spans="1:3" x14ac:dyDescent="0.25">
      <c r="A1024" s="22" t="e">
        <f>CONCATENATE('BASE OBZ'!#REF!,"PROG")</f>
        <v>#REF!</v>
      </c>
      <c r="B1024" s="22" t="e">
        <f>CONCATENATE("P",(LEFT('BASE OBZ'!#REF!,3)),'BASE OBZ'!#REF!)</f>
        <v>#REF!</v>
      </c>
      <c r="C1024" t="s">
        <v>1777</v>
      </c>
    </row>
    <row r="1025" spans="1:3" x14ac:dyDescent="0.25">
      <c r="A1025" s="22" t="e">
        <f>CONCATENATE('BASE OBZ'!#REF!,"PROG")</f>
        <v>#REF!</v>
      </c>
      <c r="B1025" s="22" t="e">
        <f>CONCATENATE("P",(LEFT('BASE OBZ'!#REF!,3)),'BASE OBZ'!#REF!)</f>
        <v>#REF!</v>
      </c>
      <c r="C1025" t="s">
        <v>1777</v>
      </c>
    </row>
    <row r="1026" spans="1:3" x14ac:dyDescent="0.25">
      <c r="A1026" s="22" t="e">
        <f>CONCATENATE('BASE OBZ'!#REF!,"PROG")</f>
        <v>#REF!</v>
      </c>
      <c r="B1026" s="22" t="e">
        <f>CONCATENATE("P",(LEFT('BASE OBZ'!#REF!,3)),'BASE OBZ'!#REF!)</f>
        <v>#REF!</v>
      </c>
      <c r="C1026" t="s">
        <v>1777</v>
      </c>
    </row>
    <row r="1027" spans="1:3" x14ac:dyDescent="0.25">
      <c r="A1027" s="22" t="e">
        <f>CONCATENATE('BASE OBZ'!#REF!,"PROG")</f>
        <v>#REF!</v>
      </c>
      <c r="B1027" s="22" t="e">
        <f>CONCATENATE("P",(LEFT('BASE OBZ'!#REF!,3)),'BASE OBZ'!#REF!)</f>
        <v>#REF!</v>
      </c>
      <c r="C1027" t="s">
        <v>1777</v>
      </c>
    </row>
    <row r="1028" spans="1:3" x14ac:dyDescent="0.25">
      <c r="A1028" s="22" t="e">
        <f>CONCATENATE('BASE OBZ'!#REF!,"PROG")</f>
        <v>#REF!</v>
      </c>
      <c r="B1028" s="22" t="e">
        <f>CONCATENATE("P",(LEFT('BASE OBZ'!#REF!,3)),'BASE OBZ'!#REF!)</f>
        <v>#REF!</v>
      </c>
      <c r="C1028" t="s">
        <v>1777</v>
      </c>
    </row>
    <row r="1029" spans="1:3" x14ac:dyDescent="0.25">
      <c r="A1029" s="22" t="e">
        <f>CONCATENATE('BASE OBZ'!#REF!,"PROG")</f>
        <v>#REF!</v>
      </c>
      <c r="B1029" s="22" t="e">
        <f>CONCATENATE("P",(LEFT('BASE OBZ'!#REF!,3)),'BASE OBZ'!#REF!)</f>
        <v>#REF!</v>
      </c>
      <c r="C1029" t="s">
        <v>1777</v>
      </c>
    </row>
    <row r="1030" spans="1:3" x14ac:dyDescent="0.25">
      <c r="A1030" s="22" t="e">
        <f>CONCATENATE('BASE OBZ'!#REF!,"PROG")</f>
        <v>#REF!</v>
      </c>
      <c r="B1030" s="22" t="e">
        <f>CONCATENATE("P",(LEFT('BASE OBZ'!#REF!,3)),'BASE OBZ'!#REF!)</f>
        <v>#REF!</v>
      </c>
      <c r="C1030" t="s">
        <v>1777</v>
      </c>
    </row>
    <row r="1031" spans="1:3" x14ac:dyDescent="0.25">
      <c r="A1031" s="22" t="e">
        <f>CONCATENATE('BASE OBZ'!#REF!,"PROG")</f>
        <v>#REF!</v>
      </c>
      <c r="B1031" s="22" t="e">
        <f>CONCATENATE("P",(LEFT('BASE OBZ'!#REF!,3)),'BASE OBZ'!#REF!)</f>
        <v>#REF!</v>
      </c>
      <c r="C1031" t="s">
        <v>1777</v>
      </c>
    </row>
    <row r="1032" spans="1:3" x14ac:dyDescent="0.25">
      <c r="A1032" s="22" t="e">
        <f>CONCATENATE('BASE OBZ'!#REF!,"PROG")</f>
        <v>#REF!</v>
      </c>
      <c r="B1032" s="22" t="e">
        <f>CONCATENATE("P",(LEFT('BASE OBZ'!#REF!,3)),'BASE OBZ'!#REF!)</f>
        <v>#REF!</v>
      </c>
      <c r="C1032" t="s">
        <v>1777</v>
      </c>
    </row>
    <row r="1033" spans="1:3" x14ac:dyDescent="0.25">
      <c r="A1033" s="22" t="e">
        <f>CONCATENATE('BASE OBZ'!#REF!,"PROG")</f>
        <v>#REF!</v>
      </c>
      <c r="B1033" s="22" t="e">
        <f>CONCATENATE("P",(LEFT('BASE OBZ'!#REF!,3)),'BASE OBZ'!#REF!)</f>
        <v>#REF!</v>
      </c>
      <c r="C1033" t="s">
        <v>1777</v>
      </c>
    </row>
    <row r="1034" spans="1:3" x14ac:dyDescent="0.25">
      <c r="A1034" s="22" t="e">
        <f>CONCATENATE('BASE OBZ'!#REF!,"PROG")</f>
        <v>#REF!</v>
      </c>
      <c r="B1034" s="22" t="e">
        <f>CONCATENATE("P",(LEFT('BASE OBZ'!#REF!,3)),'BASE OBZ'!#REF!)</f>
        <v>#REF!</v>
      </c>
      <c r="C1034" t="s">
        <v>1777</v>
      </c>
    </row>
    <row r="1035" spans="1:3" x14ac:dyDescent="0.25">
      <c r="A1035" s="22" t="e">
        <f>CONCATENATE('BASE OBZ'!#REF!,"PROG")</f>
        <v>#REF!</v>
      </c>
      <c r="B1035" s="22" t="e">
        <f>CONCATENATE("P",(LEFT('BASE OBZ'!#REF!,3)),'BASE OBZ'!#REF!)</f>
        <v>#REF!</v>
      </c>
      <c r="C1035" t="s">
        <v>1777</v>
      </c>
    </row>
    <row r="1036" spans="1:3" x14ac:dyDescent="0.25">
      <c r="A1036" s="22" t="e">
        <f>CONCATENATE('BASE OBZ'!#REF!,"PROG")</f>
        <v>#REF!</v>
      </c>
      <c r="B1036" s="22" t="e">
        <f>CONCATENATE("P",(LEFT('BASE OBZ'!#REF!,3)),'BASE OBZ'!#REF!)</f>
        <v>#REF!</v>
      </c>
      <c r="C1036" t="s">
        <v>1777</v>
      </c>
    </row>
    <row r="1037" spans="1:3" x14ac:dyDescent="0.25">
      <c r="A1037" s="22" t="e">
        <f>CONCATENATE('BASE OBZ'!#REF!,"PROG")</f>
        <v>#REF!</v>
      </c>
      <c r="B1037" s="22" t="e">
        <f>CONCATENATE("P",(LEFT('BASE OBZ'!#REF!,3)),'BASE OBZ'!#REF!)</f>
        <v>#REF!</v>
      </c>
      <c r="C1037" t="s">
        <v>1777</v>
      </c>
    </row>
    <row r="1038" spans="1:3" x14ac:dyDescent="0.25">
      <c r="A1038" s="22" t="e">
        <f>CONCATENATE('BASE OBZ'!#REF!,"PROG")</f>
        <v>#REF!</v>
      </c>
      <c r="B1038" s="22" t="e">
        <f>CONCATENATE("P",(LEFT('BASE OBZ'!#REF!,3)),'BASE OBZ'!#REF!)</f>
        <v>#REF!</v>
      </c>
      <c r="C1038" t="s">
        <v>1777</v>
      </c>
    </row>
    <row r="1039" spans="1:3" x14ac:dyDescent="0.25">
      <c r="A1039" s="22" t="e">
        <f>CONCATENATE('BASE OBZ'!#REF!,"PROG")</f>
        <v>#REF!</v>
      </c>
      <c r="B1039" s="22" t="e">
        <f>CONCATENATE("P",(LEFT('BASE OBZ'!#REF!,3)),'BASE OBZ'!#REF!)</f>
        <v>#REF!</v>
      </c>
      <c r="C1039" t="s">
        <v>1777</v>
      </c>
    </row>
    <row r="1040" spans="1:3" x14ac:dyDescent="0.25">
      <c r="A1040" s="22" t="e">
        <f>CONCATENATE('BASE OBZ'!#REF!,"PROG")</f>
        <v>#REF!</v>
      </c>
      <c r="B1040" s="22" t="e">
        <f>CONCATENATE("P",(LEFT('BASE OBZ'!#REF!,3)),'BASE OBZ'!#REF!)</f>
        <v>#REF!</v>
      </c>
      <c r="C1040" t="s">
        <v>1777</v>
      </c>
    </row>
    <row r="1041" spans="1:3" x14ac:dyDescent="0.25">
      <c r="A1041" s="22" t="e">
        <f>CONCATENATE('BASE OBZ'!#REF!,"PROG")</f>
        <v>#REF!</v>
      </c>
      <c r="B1041" s="22" t="e">
        <f>CONCATENATE("P",(LEFT('BASE OBZ'!#REF!,3)),'BASE OBZ'!#REF!)</f>
        <v>#REF!</v>
      </c>
      <c r="C1041" t="s">
        <v>1777</v>
      </c>
    </row>
    <row r="1042" spans="1:3" x14ac:dyDescent="0.25">
      <c r="A1042" s="22" t="e">
        <f>CONCATENATE('BASE OBZ'!#REF!,"PROG")</f>
        <v>#REF!</v>
      </c>
      <c r="B1042" s="22" t="e">
        <f>CONCATENATE("P",(LEFT('BASE OBZ'!#REF!,3)),'BASE OBZ'!#REF!)</f>
        <v>#REF!</v>
      </c>
      <c r="C1042" t="s">
        <v>1777</v>
      </c>
    </row>
    <row r="1043" spans="1:3" x14ac:dyDescent="0.25">
      <c r="A1043" s="22" t="e">
        <f>CONCATENATE('BASE OBZ'!#REF!,"PROG")</f>
        <v>#REF!</v>
      </c>
      <c r="B1043" s="22" t="e">
        <f>CONCATENATE("P",(LEFT('BASE OBZ'!#REF!,3)),'BASE OBZ'!#REF!)</f>
        <v>#REF!</v>
      </c>
      <c r="C1043" t="s">
        <v>1777</v>
      </c>
    </row>
    <row r="1044" spans="1:3" x14ac:dyDescent="0.25">
      <c r="A1044" s="22" t="e">
        <f>CONCATENATE('BASE OBZ'!#REF!,"PROG")</f>
        <v>#REF!</v>
      </c>
      <c r="B1044" s="22" t="e">
        <f>CONCATENATE("P",(LEFT('BASE OBZ'!#REF!,3)),'BASE OBZ'!#REF!)</f>
        <v>#REF!</v>
      </c>
      <c r="C1044" t="s">
        <v>1777</v>
      </c>
    </row>
    <row r="1045" spans="1:3" x14ac:dyDescent="0.25">
      <c r="A1045" s="22" t="e">
        <f>CONCATENATE('BASE OBZ'!#REF!,"PROG")</f>
        <v>#REF!</v>
      </c>
      <c r="B1045" s="22" t="e">
        <f>CONCATENATE("P",(LEFT('BASE OBZ'!#REF!,3)),'BASE OBZ'!#REF!)</f>
        <v>#REF!</v>
      </c>
      <c r="C1045" t="s">
        <v>1777</v>
      </c>
    </row>
    <row r="1046" spans="1:3" x14ac:dyDescent="0.25">
      <c r="A1046" s="22" t="e">
        <f>CONCATENATE('BASE OBZ'!#REF!,"PROG")</f>
        <v>#REF!</v>
      </c>
      <c r="B1046" s="22" t="e">
        <f>CONCATENATE("P",(LEFT('BASE OBZ'!#REF!,3)),'BASE OBZ'!#REF!)</f>
        <v>#REF!</v>
      </c>
      <c r="C1046" t="s">
        <v>1777</v>
      </c>
    </row>
    <row r="1047" spans="1:3" x14ac:dyDescent="0.25">
      <c r="A1047" s="22" t="e">
        <f>CONCATENATE('BASE OBZ'!#REF!,"PROG")</f>
        <v>#REF!</v>
      </c>
      <c r="B1047" s="22" t="e">
        <f>CONCATENATE("P",(LEFT('BASE OBZ'!#REF!,3)),'BASE OBZ'!#REF!)</f>
        <v>#REF!</v>
      </c>
      <c r="C1047" t="s">
        <v>1777</v>
      </c>
    </row>
    <row r="1048" spans="1:3" x14ac:dyDescent="0.25">
      <c r="A1048" s="22" t="e">
        <f>CONCATENATE('BASE OBZ'!#REF!,"PROG")</f>
        <v>#REF!</v>
      </c>
      <c r="B1048" s="22" t="e">
        <f>CONCATENATE("P",(LEFT('BASE OBZ'!#REF!,3)),'BASE OBZ'!#REF!)</f>
        <v>#REF!</v>
      </c>
      <c r="C1048" t="s">
        <v>1777</v>
      </c>
    </row>
    <row r="1049" spans="1:3" x14ac:dyDescent="0.25">
      <c r="A1049" s="22" t="e">
        <f>CONCATENATE('BASE OBZ'!#REF!,"PROG")</f>
        <v>#REF!</v>
      </c>
      <c r="B1049" s="22" t="e">
        <f>CONCATENATE("P",(LEFT('BASE OBZ'!#REF!,3)),'BASE OBZ'!#REF!)</f>
        <v>#REF!</v>
      </c>
      <c r="C1049" t="s">
        <v>1777</v>
      </c>
    </row>
    <row r="1050" spans="1:3" x14ac:dyDescent="0.25">
      <c r="A1050" s="22" t="e">
        <f>CONCATENATE('BASE OBZ'!#REF!,"PROG")</f>
        <v>#REF!</v>
      </c>
      <c r="B1050" s="22" t="e">
        <f>CONCATENATE("P",(LEFT('BASE OBZ'!#REF!,3)),'BASE OBZ'!#REF!)</f>
        <v>#REF!</v>
      </c>
      <c r="C1050" t="s">
        <v>1777</v>
      </c>
    </row>
    <row r="1051" spans="1:3" x14ac:dyDescent="0.25">
      <c r="A1051" s="22" t="e">
        <f>CONCATENATE('BASE OBZ'!#REF!,"PROG")</f>
        <v>#REF!</v>
      </c>
      <c r="B1051" s="22" t="e">
        <f>CONCATENATE("P",(LEFT('BASE OBZ'!#REF!,3)),'BASE OBZ'!#REF!)</f>
        <v>#REF!</v>
      </c>
      <c r="C1051" t="s">
        <v>1777</v>
      </c>
    </row>
    <row r="1052" spans="1:3" x14ac:dyDescent="0.25">
      <c r="A1052" s="22" t="e">
        <f>CONCATENATE('BASE OBZ'!#REF!,"PROG")</f>
        <v>#REF!</v>
      </c>
      <c r="B1052" s="22" t="e">
        <f>CONCATENATE("P",(LEFT('BASE OBZ'!#REF!,3)),'BASE OBZ'!#REF!)</f>
        <v>#REF!</v>
      </c>
      <c r="C1052" t="s">
        <v>1777</v>
      </c>
    </row>
    <row r="1053" spans="1:3" x14ac:dyDescent="0.25">
      <c r="A1053" s="22" t="e">
        <f>CONCATENATE('BASE OBZ'!#REF!,"PROG")</f>
        <v>#REF!</v>
      </c>
      <c r="B1053" s="22" t="e">
        <f>CONCATENATE("P",(LEFT('BASE OBZ'!#REF!,3)),'BASE OBZ'!#REF!)</f>
        <v>#REF!</v>
      </c>
      <c r="C1053" t="s">
        <v>1777</v>
      </c>
    </row>
    <row r="1054" spans="1:3" x14ac:dyDescent="0.25">
      <c r="A1054" s="22" t="e">
        <f>CONCATENATE('BASE OBZ'!#REF!,"PROG")</f>
        <v>#REF!</v>
      </c>
      <c r="B1054" s="22" t="e">
        <f>CONCATENATE("P",(LEFT('BASE OBZ'!#REF!,3)),'BASE OBZ'!#REF!)</f>
        <v>#REF!</v>
      </c>
      <c r="C1054" t="s">
        <v>1777</v>
      </c>
    </row>
    <row r="1055" spans="1:3" x14ac:dyDescent="0.25">
      <c r="A1055" s="22" t="e">
        <f>CONCATENATE('BASE OBZ'!#REF!,"PROG")</f>
        <v>#REF!</v>
      </c>
      <c r="B1055" s="22" t="e">
        <f>CONCATENATE("P",(LEFT('BASE OBZ'!#REF!,3)),'BASE OBZ'!#REF!)</f>
        <v>#REF!</v>
      </c>
      <c r="C1055" t="s">
        <v>1777</v>
      </c>
    </row>
    <row r="1056" spans="1:3" x14ac:dyDescent="0.25">
      <c r="A1056" s="22" t="e">
        <f>CONCATENATE('BASE OBZ'!#REF!,"PROG")</f>
        <v>#REF!</v>
      </c>
      <c r="B1056" s="22" t="e">
        <f>CONCATENATE("P",(LEFT('BASE OBZ'!#REF!,3)),'BASE OBZ'!#REF!)</f>
        <v>#REF!</v>
      </c>
      <c r="C1056" t="s">
        <v>1777</v>
      </c>
    </row>
    <row r="1057" spans="1:3" x14ac:dyDescent="0.25">
      <c r="A1057" s="22" t="e">
        <f>CONCATENATE('BASE OBZ'!#REF!,"PROG")</f>
        <v>#REF!</v>
      </c>
      <c r="B1057" s="22" t="e">
        <f>CONCATENATE("P",(LEFT('BASE OBZ'!#REF!,3)),'BASE OBZ'!#REF!)</f>
        <v>#REF!</v>
      </c>
      <c r="C1057" t="s">
        <v>1777</v>
      </c>
    </row>
    <row r="1058" spans="1:3" x14ac:dyDescent="0.25">
      <c r="A1058" s="22" t="e">
        <f>CONCATENATE('BASE OBZ'!#REF!,"PROG")</f>
        <v>#REF!</v>
      </c>
      <c r="B1058" s="22" t="e">
        <f>CONCATENATE("P",(LEFT('BASE OBZ'!#REF!,3)),'BASE OBZ'!#REF!)</f>
        <v>#REF!</v>
      </c>
      <c r="C1058" t="s">
        <v>1777</v>
      </c>
    </row>
    <row r="1059" spans="1:3" x14ac:dyDescent="0.25">
      <c r="A1059" s="22" t="e">
        <f>CONCATENATE('BASE OBZ'!#REF!,"PROG")</f>
        <v>#REF!</v>
      </c>
      <c r="B1059" s="22" t="e">
        <f>CONCATENATE("P",(LEFT('BASE OBZ'!#REF!,3)),'BASE OBZ'!#REF!)</f>
        <v>#REF!</v>
      </c>
      <c r="C1059" t="s">
        <v>1777</v>
      </c>
    </row>
    <row r="1060" spans="1:3" x14ac:dyDescent="0.25">
      <c r="A1060" s="22" t="e">
        <f>CONCATENATE('BASE OBZ'!#REF!,"PROG")</f>
        <v>#REF!</v>
      </c>
      <c r="B1060" s="22" t="e">
        <f>CONCATENATE("P",(LEFT('BASE OBZ'!#REF!,3)),'BASE OBZ'!#REF!)</f>
        <v>#REF!</v>
      </c>
      <c r="C1060" t="s">
        <v>1777</v>
      </c>
    </row>
    <row r="1061" spans="1:3" x14ac:dyDescent="0.25">
      <c r="A1061" s="22" t="e">
        <f>CONCATENATE('BASE OBZ'!#REF!,"PROG")</f>
        <v>#REF!</v>
      </c>
      <c r="B1061" s="22" t="e">
        <f>CONCATENATE("P",(LEFT('BASE OBZ'!#REF!,3)),'BASE OBZ'!#REF!)</f>
        <v>#REF!</v>
      </c>
      <c r="C1061" t="s">
        <v>1777</v>
      </c>
    </row>
    <row r="1062" spans="1:3" x14ac:dyDescent="0.25">
      <c r="A1062" s="22" t="e">
        <f>CONCATENATE('BASE OBZ'!#REF!,"PROG")</f>
        <v>#REF!</v>
      </c>
      <c r="B1062" s="22" t="e">
        <f>CONCATENATE("P",(LEFT('BASE OBZ'!#REF!,3)),'BASE OBZ'!#REF!)</f>
        <v>#REF!</v>
      </c>
      <c r="C1062" t="s">
        <v>1777</v>
      </c>
    </row>
    <row r="1063" spans="1:3" x14ac:dyDescent="0.25">
      <c r="A1063" s="22" t="e">
        <f>CONCATENATE('BASE OBZ'!#REF!,"PROG")</f>
        <v>#REF!</v>
      </c>
      <c r="B1063" s="22" t="e">
        <f>CONCATENATE("P",(LEFT('BASE OBZ'!#REF!,3)),'BASE OBZ'!#REF!)</f>
        <v>#REF!</v>
      </c>
      <c r="C1063" t="s">
        <v>1777</v>
      </c>
    </row>
    <row r="1064" spans="1:3" x14ac:dyDescent="0.25">
      <c r="A1064" s="22" t="e">
        <f>CONCATENATE('BASE OBZ'!#REF!,"PROG")</f>
        <v>#REF!</v>
      </c>
      <c r="B1064" s="22" t="e">
        <f>CONCATENATE("P",(LEFT('BASE OBZ'!#REF!,3)),'BASE OBZ'!#REF!)</f>
        <v>#REF!</v>
      </c>
      <c r="C1064" t="s">
        <v>1777</v>
      </c>
    </row>
    <row r="1065" spans="1:3" x14ac:dyDescent="0.25">
      <c r="A1065" s="22" t="e">
        <f>CONCATENATE('BASE OBZ'!#REF!,"PROG")</f>
        <v>#REF!</v>
      </c>
      <c r="B1065" s="22" t="e">
        <f>CONCATENATE("P",(LEFT('BASE OBZ'!#REF!,3)),'BASE OBZ'!#REF!)</f>
        <v>#REF!</v>
      </c>
      <c r="C1065" t="s">
        <v>1777</v>
      </c>
    </row>
    <row r="1066" spans="1:3" x14ac:dyDescent="0.25">
      <c r="A1066" s="22" t="e">
        <f>CONCATENATE('BASE OBZ'!#REF!,"PROG")</f>
        <v>#REF!</v>
      </c>
      <c r="B1066" s="22" t="e">
        <f>CONCATENATE("P",(LEFT('BASE OBZ'!#REF!,3)),'BASE OBZ'!#REF!)</f>
        <v>#REF!</v>
      </c>
      <c r="C1066" t="s">
        <v>1777</v>
      </c>
    </row>
    <row r="1067" spans="1:3" x14ac:dyDescent="0.25">
      <c r="A1067" s="22" t="e">
        <f>CONCATENATE('BASE OBZ'!#REF!,"PROG")</f>
        <v>#REF!</v>
      </c>
      <c r="B1067" s="22" t="e">
        <f>CONCATENATE("P",(LEFT('BASE OBZ'!#REF!,3)),'BASE OBZ'!#REF!)</f>
        <v>#REF!</v>
      </c>
      <c r="C1067" t="s">
        <v>1777</v>
      </c>
    </row>
    <row r="1068" spans="1:3" x14ac:dyDescent="0.25">
      <c r="A1068" s="22" t="e">
        <f>CONCATENATE('BASE OBZ'!#REF!,"PROG")</f>
        <v>#REF!</v>
      </c>
      <c r="B1068" s="22" t="e">
        <f>CONCATENATE("P",(LEFT('BASE OBZ'!#REF!,3)),'BASE OBZ'!#REF!)</f>
        <v>#REF!</v>
      </c>
      <c r="C1068" t="s">
        <v>1777</v>
      </c>
    </row>
    <row r="1069" spans="1:3" x14ac:dyDescent="0.25">
      <c r="A1069" s="22" t="e">
        <f>CONCATENATE('BASE OBZ'!#REF!,"PROG")</f>
        <v>#REF!</v>
      </c>
      <c r="B1069" s="22" t="e">
        <f>CONCATENATE("P",(LEFT('BASE OBZ'!#REF!,3)),'BASE OBZ'!#REF!)</f>
        <v>#REF!</v>
      </c>
      <c r="C1069" t="s">
        <v>1777</v>
      </c>
    </row>
    <row r="1070" spans="1:3" x14ac:dyDescent="0.25">
      <c r="A1070" s="22" t="e">
        <f>CONCATENATE('BASE OBZ'!#REF!,"PROG")</f>
        <v>#REF!</v>
      </c>
      <c r="B1070" s="22" t="e">
        <f>CONCATENATE("P",(LEFT('BASE OBZ'!#REF!,3)),'BASE OBZ'!#REF!)</f>
        <v>#REF!</v>
      </c>
      <c r="C1070" t="s">
        <v>1777</v>
      </c>
    </row>
    <row r="1071" spans="1:3" x14ac:dyDescent="0.25">
      <c r="A1071" s="22" t="e">
        <f>CONCATENATE('BASE OBZ'!#REF!,"PROG")</f>
        <v>#REF!</v>
      </c>
      <c r="B1071" s="22" t="e">
        <f>CONCATENATE("P",(LEFT('BASE OBZ'!#REF!,3)),'BASE OBZ'!#REF!)</f>
        <v>#REF!</v>
      </c>
      <c r="C1071" t="s">
        <v>1777</v>
      </c>
    </row>
    <row r="1072" spans="1:3" x14ac:dyDescent="0.25">
      <c r="A1072" s="22" t="e">
        <f>CONCATENATE('BASE OBZ'!#REF!,"PROG")</f>
        <v>#REF!</v>
      </c>
      <c r="B1072" s="22" t="e">
        <f>CONCATENATE("P",(LEFT('BASE OBZ'!#REF!,3)),'BASE OBZ'!#REF!)</f>
        <v>#REF!</v>
      </c>
      <c r="C1072" t="s">
        <v>1777</v>
      </c>
    </row>
    <row r="1073" spans="1:3" x14ac:dyDescent="0.25">
      <c r="A1073" s="22" t="e">
        <f>CONCATENATE('BASE OBZ'!#REF!,"PROG")</f>
        <v>#REF!</v>
      </c>
      <c r="B1073" s="22" t="e">
        <f>CONCATENATE("P",(LEFT('BASE OBZ'!#REF!,3)),'BASE OBZ'!#REF!)</f>
        <v>#REF!</v>
      </c>
      <c r="C1073" t="s">
        <v>1777</v>
      </c>
    </row>
    <row r="1074" spans="1:3" x14ac:dyDescent="0.25">
      <c r="A1074" s="22" t="e">
        <f>CONCATENATE('BASE OBZ'!#REF!,"PROG")</f>
        <v>#REF!</v>
      </c>
      <c r="B1074" s="22" t="e">
        <f>CONCATENATE("P",(LEFT('BASE OBZ'!#REF!,3)),'BASE OBZ'!#REF!)</f>
        <v>#REF!</v>
      </c>
      <c r="C1074" t="s">
        <v>1777</v>
      </c>
    </row>
    <row r="1075" spans="1:3" x14ac:dyDescent="0.25">
      <c r="A1075" s="22" t="e">
        <f>CONCATENATE('BASE OBZ'!#REF!,"PROG")</f>
        <v>#REF!</v>
      </c>
      <c r="B1075" s="22" t="e">
        <f>CONCATENATE("P",(LEFT('BASE OBZ'!#REF!,3)),'BASE OBZ'!#REF!)</f>
        <v>#REF!</v>
      </c>
      <c r="C1075" t="s">
        <v>1777</v>
      </c>
    </row>
    <row r="1076" spans="1:3" x14ac:dyDescent="0.25">
      <c r="A1076" s="22" t="e">
        <f>CONCATENATE('BASE OBZ'!#REF!,"PROG")</f>
        <v>#REF!</v>
      </c>
      <c r="B1076" s="22" t="e">
        <f>CONCATENATE("P",(LEFT('BASE OBZ'!#REF!,3)),'BASE OBZ'!#REF!)</f>
        <v>#REF!</v>
      </c>
      <c r="C1076" t="s">
        <v>1777</v>
      </c>
    </row>
    <row r="1077" spans="1:3" x14ac:dyDescent="0.25">
      <c r="A1077" s="22" t="e">
        <f>CONCATENATE('BASE OBZ'!#REF!,"PROG")</f>
        <v>#REF!</v>
      </c>
      <c r="B1077" s="22" t="e">
        <f>CONCATENATE("P",(LEFT('BASE OBZ'!#REF!,3)),'BASE OBZ'!#REF!)</f>
        <v>#REF!</v>
      </c>
      <c r="C1077" t="s">
        <v>1777</v>
      </c>
    </row>
    <row r="1078" spans="1:3" x14ac:dyDescent="0.25">
      <c r="A1078" s="22" t="e">
        <f>CONCATENATE('BASE OBZ'!#REF!,"PROG")</f>
        <v>#REF!</v>
      </c>
      <c r="B1078" s="22" t="e">
        <f>CONCATENATE("P",(LEFT('BASE OBZ'!#REF!,3)),'BASE OBZ'!#REF!)</f>
        <v>#REF!</v>
      </c>
      <c r="C1078" t="s">
        <v>1777</v>
      </c>
    </row>
    <row r="1079" spans="1:3" x14ac:dyDescent="0.25">
      <c r="A1079" s="22" t="e">
        <f>CONCATENATE('BASE OBZ'!#REF!,"PROG")</f>
        <v>#REF!</v>
      </c>
      <c r="B1079" s="22" t="e">
        <f>CONCATENATE("P",(LEFT('BASE OBZ'!#REF!,3)),'BASE OBZ'!#REF!)</f>
        <v>#REF!</v>
      </c>
      <c r="C1079" t="s">
        <v>1777</v>
      </c>
    </row>
    <row r="1080" spans="1:3" x14ac:dyDescent="0.25">
      <c r="A1080" s="22" t="e">
        <f>CONCATENATE('BASE OBZ'!#REF!,"PROG")</f>
        <v>#REF!</v>
      </c>
      <c r="B1080" s="22" t="e">
        <f>CONCATENATE("P",(LEFT('BASE OBZ'!#REF!,3)),'BASE OBZ'!#REF!)</f>
        <v>#REF!</v>
      </c>
      <c r="C1080" t="s">
        <v>1777</v>
      </c>
    </row>
    <row r="1081" spans="1:3" x14ac:dyDescent="0.25">
      <c r="A1081" s="22" t="e">
        <f>CONCATENATE('BASE OBZ'!#REF!,"PROG")</f>
        <v>#REF!</v>
      </c>
      <c r="B1081" s="22" t="e">
        <f>CONCATENATE("P",(LEFT('BASE OBZ'!#REF!,3)),'BASE OBZ'!#REF!)</f>
        <v>#REF!</v>
      </c>
      <c r="C1081" t="s">
        <v>1777</v>
      </c>
    </row>
    <row r="1082" spans="1:3" x14ac:dyDescent="0.25">
      <c r="A1082" s="22" t="e">
        <f>CONCATENATE('BASE OBZ'!#REF!,"PROG")</f>
        <v>#REF!</v>
      </c>
      <c r="B1082" s="22" t="e">
        <f>CONCATENATE("P",(LEFT('BASE OBZ'!#REF!,3)),'BASE OBZ'!#REF!)</f>
        <v>#REF!</v>
      </c>
      <c r="C1082" t="s">
        <v>1777</v>
      </c>
    </row>
    <row r="1083" spans="1:3" x14ac:dyDescent="0.25">
      <c r="A1083" s="22" t="e">
        <f>CONCATENATE('BASE OBZ'!#REF!,"PROG")</f>
        <v>#REF!</v>
      </c>
      <c r="B1083" s="22" t="e">
        <f>CONCATENATE("P",(LEFT('BASE OBZ'!#REF!,3)),'BASE OBZ'!#REF!)</f>
        <v>#REF!</v>
      </c>
      <c r="C1083" t="s">
        <v>1777</v>
      </c>
    </row>
    <row r="1084" spans="1:3" x14ac:dyDescent="0.25">
      <c r="A1084" s="22" t="e">
        <f>CONCATENATE('BASE OBZ'!#REF!,"PROG")</f>
        <v>#REF!</v>
      </c>
      <c r="B1084" s="22" t="e">
        <f>CONCATENATE("P",(LEFT('BASE OBZ'!#REF!,3)),'BASE OBZ'!#REF!)</f>
        <v>#REF!</v>
      </c>
      <c r="C1084" t="s">
        <v>1777</v>
      </c>
    </row>
    <row r="1085" spans="1:3" x14ac:dyDescent="0.25">
      <c r="A1085" s="22" t="e">
        <f>CONCATENATE('BASE OBZ'!#REF!,"PROG")</f>
        <v>#REF!</v>
      </c>
      <c r="B1085" s="22" t="e">
        <f>CONCATENATE("P",(LEFT('BASE OBZ'!#REF!,3)),'BASE OBZ'!#REF!)</f>
        <v>#REF!</v>
      </c>
      <c r="C1085" t="s">
        <v>1777</v>
      </c>
    </row>
    <row r="1086" spans="1:3" x14ac:dyDescent="0.25">
      <c r="A1086" s="22" t="e">
        <f>CONCATENATE('BASE OBZ'!#REF!,"PROG")</f>
        <v>#REF!</v>
      </c>
      <c r="B1086" s="22" t="e">
        <f>CONCATENATE("P",(LEFT('BASE OBZ'!#REF!,3)),'BASE OBZ'!#REF!)</f>
        <v>#REF!</v>
      </c>
      <c r="C1086" t="s">
        <v>1777</v>
      </c>
    </row>
    <row r="1087" spans="1:3" x14ac:dyDescent="0.25">
      <c r="A1087" s="22" t="e">
        <f>CONCATENATE('BASE OBZ'!#REF!,"PROG")</f>
        <v>#REF!</v>
      </c>
      <c r="B1087" s="22" t="e">
        <f>CONCATENATE("P",(LEFT('BASE OBZ'!#REF!,3)),'BASE OBZ'!#REF!)</f>
        <v>#REF!</v>
      </c>
      <c r="C1087" t="s">
        <v>1777</v>
      </c>
    </row>
    <row r="1088" spans="1:3" x14ac:dyDescent="0.25">
      <c r="A1088" s="22" t="e">
        <f>CONCATENATE('BASE OBZ'!#REF!,"PROG")</f>
        <v>#REF!</v>
      </c>
      <c r="B1088" s="22" t="e">
        <f>CONCATENATE("P",(LEFT('BASE OBZ'!#REF!,3)),'BASE OBZ'!#REF!)</f>
        <v>#REF!</v>
      </c>
      <c r="C1088" t="s">
        <v>1777</v>
      </c>
    </row>
    <row r="1089" spans="1:3" x14ac:dyDescent="0.25">
      <c r="A1089" s="22" t="e">
        <f>CONCATENATE('BASE OBZ'!#REF!,"PROG")</f>
        <v>#REF!</v>
      </c>
      <c r="B1089" s="22" t="e">
        <f>CONCATENATE("P",(LEFT('BASE OBZ'!#REF!,3)),'BASE OBZ'!#REF!)</f>
        <v>#REF!</v>
      </c>
      <c r="C1089" t="s">
        <v>1777</v>
      </c>
    </row>
    <row r="1090" spans="1:3" x14ac:dyDescent="0.25">
      <c r="A1090" s="22" t="e">
        <f>CONCATENATE('BASE OBZ'!#REF!,"PROG")</f>
        <v>#REF!</v>
      </c>
      <c r="B1090" s="22" t="e">
        <f>CONCATENATE("P",(LEFT('BASE OBZ'!#REF!,3)),'BASE OBZ'!#REF!)</f>
        <v>#REF!</v>
      </c>
      <c r="C1090" t="s">
        <v>1777</v>
      </c>
    </row>
    <row r="1091" spans="1:3" x14ac:dyDescent="0.25">
      <c r="A1091" s="22" t="e">
        <f>CONCATENATE('BASE OBZ'!#REF!,"PROG")</f>
        <v>#REF!</v>
      </c>
      <c r="B1091" s="22" t="e">
        <f>CONCATENATE("P",(LEFT('BASE OBZ'!#REF!,3)),'BASE OBZ'!#REF!)</f>
        <v>#REF!</v>
      </c>
      <c r="C1091" t="s">
        <v>1777</v>
      </c>
    </row>
    <row r="1092" spans="1:3" x14ac:dyDescent="0.25">
      <c r="A1092" s="22" t="e">
        <f>CONCATENATE('BASE OBZ'!#REF!,"PROG")</f>
        <v>#REF!</v>
      </c>
      <c r="B1092" s="22" t="e">
        <f>CONCATENATE("P",(LEFT('BASE OBZ'!#REF!,3)),'BASE OBZ'!#REF!)</f>
        <v>#REF!</v>
      </c>
      <c r="C1092" t="s">
        <v>1777</v>
      </c>
    </row>
    <row r="1093" spans="1:3" x14ac:dyDescent="0.25">
      <c r="A1093" s="22" t="e">
        <f>CONCATENATE('BASE OBZ'!#REF!,"PROG")</f>
        <v>#REF!</v>
      </c>
      <c r="B1093" s="22" t="e">
        <f>CONCATENATE("P",(LEFT('BASE OBZ'!#REF!,3)),'BASE OBZ'!#REF!)</f>
        <v>#REF!</v>
      </c>
      <c r="C1093" t="s">
        <v>1777</v>
      </c>
    </row>
    <row r="1094" spans="1:3" x14ac:dyDescent="0.25">
      <c r="A1094" s="22" t="e">
        <f>CONCATENATE('BASE OBZ'!#REF!,"PROG")</f>
        <v>#REF!</v>
      </c>
      <c r="B1094" s="22" t="e">
        <f>CONCATENATE("P",(LEFT('BASE OBZ'!#REF!,3)),'BASE OBZ'!#REF!)</f>
        <v>#REF!</v>
      </c>
      <c r="C1094" t="s">
        <v>1777</v>
      </c>
    </row>
    <row r="1095" spans="1:3" x14ac:dyDescent="0.25">
      <c r="A1095" s="22" t="e">
        <f>CONCATENATE('BASE OBZ'!#REF!,"PROG")</f>
        <v>#REF!</v>
      </c>
      <c r="B1095" s="22" t="e">
        <f>CONCATENATE("P",(LEFT('BASE OBZ'!#REF!,3)),'BASE OBZ'!#REF!)</f>
        <v>#REF!</v>
      </c>
      <c r="C1095" t="s">
        <v>1777</v>
      </c>
    </row>
    <row r="1096" spans="1:3" x14ac:dyDescent="0.25">
      <c r="A1096" s="22" t="e">
        <f>CONCATENATE('BASE OBZ'!#REF!,"PROG")</f>
        <v>#REF!</v>
      </c>
      <c r="B1096" s="22" t="e">
        <f>CONCATENATE("P",(LEFT('BASE OBZ'!#REF!,3)),'BASE OBZ'!#REF!)</f>
        <v>#REF!</v>
      </c>
      <c r="C1096" t="s">
        <v>1777</v>
      </c>
    </row>
    <row r="1097" spans="1:3" x14ac:dyDescent="0.25">
      <c r="A1097" s="22" t="e">
        <f>CONCATENATE('BASE OBZ'!#REF!,"PROG")</f>
        <v>#REF!</v>
      </c>
      <c r="B1097" s="22" t="e">
        <f>CONCATENATE("P",(LEFT('BASE OBZ'!#REF!,3)),'BASE OBZ'!#REF!)</f>
        <v>#REF!</v>
      </c>
      <c r="C1097" t="s">
        <v>1777</v>
      </c>
    </row>
    <row r="1098" spans="1:3" x14ac:dyDescent="0.25">
      <c r="A1098" s="22" t="e">
        <f>CONCATENATE('BASE OBZ'!#REF!,"PROG")</f>
        <v>#REF!</v>
      </c>
      <c r="B1098" s="22" t="e">
        <f>CONCATENATE("P",(LEFT('BASE OBZ'!#REF!,3)),'BASE OBZ'!#REF!)</f>
        <v>#REF!</v>
      </c>
      <c r="C1098" t="s">
        <v>1777</v>
      </c>
    </row>
    <row r="1099" spans="1:3" x14ac:dyDescent="0.25">
      <c r="A1099" s="22" t="e">
        <f>CONCATENATE('BASE OBZ'!#REF!,"PROG")</f>
        <v>#REF!</v>
      </c>
      <c r="B1099" s="22" t="e">
        <f>CONCATENATE("P",(LEFT('BASE OBZ'!#REF!,3)),'BASE OBZ'!#REF!)</f>
        <v>#REF!</v>
      </c>
      <c r="C1099" t="s">
        <v>1777</v>
      </c>
    </row>
    <row r="1100" spans="1:3" x14ac:dyDescent="0.25">
      <c r="A1100" s="22" t="e">
        <f>CONCATENATE('BASE OBZ'!#REF!,"PROG")</f>
        <v>#REF!</v>
      </c>
      <c r="B1100" s="22" t="e">
        <f>CONCATENATE("P",(LEFT('BASE OBZ'!#REF!,3)),'BASE OBZ'!#REF!)</f>
        <v>#REF!</v>
      </c>
      <c r="C1100" t="s">
        <v>1777</v>
      </c>
    </row>
    <row r="1101" spans="1:3" x14ac:dyDescent="0.25">
      <c r="A1101" s="22" t="e">
        <f>CONCATENATE('BASE OBZ'!#REF!,"PROG")</f>
        <v>#REF!</v>
      </c>
      <c r="B1101" s="22" t="e">
        <f>CONCATENATE("P",(LEFT('BASE OBZ'!#REF!,3)),'BASE OBZ'!#REF!)</f>
        <v>#REF!</v>
      </c>
      <c r="C1101" t="s">
        <v>1777</v>
      </c>
    </row>
    <row r="1102" spans="1:3" x14ac:dyDescent="0.25">
      <c r="A1102" s="22" t="e">
        <f>CONCATENATE('BASE OBZ'!#REF!,"PROG")</f>
        <v>#REF!</v>
      </c>
      <c r="B1102" s="22" t="e">
        <f>CONCATENATE("P",(LEFT('BASE OBZ'!#REF!,3)),'BASE OBZ'!#REF!)</f>
        <v>#REF!</v>
      </c>
      <c r="C1102" t="s">
        <v>1777</v>
      </c>
    </row>
    <row r="1103" spans="1:3" x14ac:dyDescent="0.25">
      <c r="A1103" s="22" t="e">
        <f>CONCATENATE('BASE OBZ'!#REF!,"PROG")</f>
        <v>#REF!</v>
      </c>
      <c r="B1103" s="22" t="e">
        <f>CONCATENATE("P",(LEFT('BASE OBZ'!#REF!,3)),'BASE OBZ'!#REF!)</f>
        <v>#REF!</v>
      </c>
      <c r="C1103" t="s">
        <v>1777</v>
      </c>
    </row>
    <row r="1104" spans="1:3" x14ac:dyDescent="0.25">
      <c r="A1104" s="22" t="e">
        <f>CONCATENATE('BASE OBZ'!#REF!,"PROG")</f>
        <v>#REF!</v>
      </c>
      <c r="B1104" s="22" t="e">
        <f>CONCATENATE("P",(LEFT('BASE OBZ'!#REF!,3)),'BASE OBZ'!#REF!)</f>
        <v>#REF!</v>
      </c>
      <c r="C1104" t="s">
        <v>1777</v>
      </c>
    </row>
    <row r="1105" spans="1:3" x14ac:dyDescent="0.25">
      <c r="A1105" s="22" t="e">
        <f>CONCATENATE('BASE OBZ'!#REF!,"PROG")</f>
        <v>#REF!</v>
      </c>
      <c r="B1105" s="22" t="e">
        <f>CONCATENATE("P",(LEFT('BASE OBZ'!#REF!,3)),'BASE OBZ'!#REF!)</f>
        <v>#REF!</v>
      </c>
      <c r="C1105" t="s">
        <v>1777</v>
      </c>
    </row>
    <row r="1106" spans="1:3" x14ac:dyDescent="0.25">
      <c r="A1106" s="22" t="e">
        <f>CONCATENATE('BASE OBZ'!#REF!,"PROG")</f>
        <v>#REF!</v>
      </c>
      <c r="B1106" s="22" t="e">
        <f>CONCATENATE("P",(LEFT('BASE OBZ'!#REF!,3)),'BASE OBZ'!#REF!)</f>
        <v>#REF!</v>
      </c>
      <c r="C1106" t="s">
        <v>1777</v>
      </c>
    </row>
    <row r="1107" spans="1:3" x14ac:dyDescent="0.25">
      <c r="A1107" s="22" t="e">
        <f>CONCATENATE('BASE OBZ'!#REF!,"PROG")</f>
        <v>#REF!</v>
      </c>
      <c r="B1107" s="22" t="e">
        <f>CONCATENATE("P",(LEFT('BASE OBZ'!#REF!,3)),'BASE OBZ'!#REF!)</f>
        <v>#REF!</v>
      </c>
      <c r="C1107" t="s">
        <v>1777</v>
      </c>
    </row>
    <row r="1108" spans="1:3" x14ac:dyDescent="0.25">
      <c r="A1108" s="22" t="e">
        <f>CONCATENATE('BASE OBZ'!#REF!,"PROG")</f>
        <v>#REF!</v>
      </c>
      <c r="B1108" s="22" t="e">
        <f>CONCATENATE("P",(LEFT('BASE OBZ'!#REF!,3)),'BASE OBZ'!#REF!)</f>
        <v>#REF!</v>
      </c>
      <c r="C1108" t="s">
        <v>1777</v>
      </c>
    </row>
    <row r="1109" spans="1:3" x14ac:dyDescent="0.25">
      <c r="A1109" s="22" t="e">
        <f>CONCATENATE('BASE OBZ'!#REF!,"PROG")</f>
        <v>#REF!</v>
      </c>
      <c r="B1109" s="22" t="e">
        <f>CONCATENATE("P",(LEFT('BASE OBZ'!#REF!,3)),'BASE OBZ'!#REF!)</f>
        <v>#REF!</v>
      </c>
      <c r="C1109" t="s">
        <v>1777</v>
      </c>
    </row>
    <row r="1110" spans="1:3" x14ac:dyDescent="0.25">
      <c r="A1110" s="22" t="e">
        <f>CONCATENATE('BASE OBZ'!#REF!,"PROG")</f>
        <v>#REF!</v>
      </c>
      <c r="B1110" s="22" t="e">
        <f>CONCATENATE("P",(LEFT('BASE OBZ'!#REF!,3)),'BASE OBZ'!#REF!)</f>
        <v>#REF!</v>
      </c>
      <c r="C1110" t="s">
        <v>1777</v>
      </c>
    </row>
    <row r="1111" spans="1:3" x14ac:dyDescent="0.25">
      <c r="A1111" s="22" t="e">
        <f>CONCATENATE('BASE OBZ'!#REF!,"PROG")</f>
        <v>#REF!</v>
      </c>
      <c r="B1111" s="22" t="e">
        <f>CONCATENATE("P",(LEFT('BASE OBZ'!#REF!,3)),'BASE OBZ'!#REF!)</f>
        <v>#REF!</v>
      </c>
      <c r="C1111" t="s">
        <v>1777</v>
      </c>
    </row>
    <row r="1112" spans="1:3" x14ac:dyDescent="0.25">
      <c r="A1112" s="22" t="e">
        <f>CONCATENATE('BASE OBZ'!#REF!,"PROG")</f>
        <v>#REF!</v>
      </c>
      <c r="B1112" s="22" t="e">
        <f>CONCATENATE("P",(LEFT('BASE OBZ'!#REF!,3)),'BASE OBZ'!#REF!)</f>
        <v>#REF!</v>
      </c>
      <c r="C1112" t="s">
        <v>1777</v>
      </c>
    </row>
    <row r="1113" spans="1:3" x14ac:dyDescent="0.25">
      <c r="A1113" s="22" t="e">
        <f>CONCATENATE('BASE OBZ'!#REF!,"PROG")</f>
        <v>#REF!</v>
      </c>
      <c r="B1113" s="22" t="e">
        <f>CONCATENATE("P",(LEFT('BASE OBZ'!#REF!,3)),'BASE OBZ'!#REF!)</f>
        <v>#REF!</v>
      </c>
      <c r="C1113" t="s">
        <v>1777</v>
      </c>
    </row>
    <row r="1114" spans="1:3" x14ac:dyDescent="0.25">
      <c r="A1114" s="22" t="e">
        <f>CONCATENATE('BASE OBZ'!#REF!,"PROG")</f>
        <v>#REF!</v>
      </c>
      <c r="B1114" s="22" t="e">
        <f>CONCATENATE("P",(LEFT('BASE OBZ'!#REF!,3)),'BASE OBZ'!#REF!)</f>
        <v>#REF!</v>
      </c>
      <c r="C1114" t="s">
        <v>1777</v>
      </c>
    </row>
    <row r="1115" spans="1:3" x14ac:dyDescent="0.25">
      <c r="A1115" s="22" t="e">
        <f>CONCATENATE('BASE OBZ'!#REF!,"PROG")</f>
        <v>#REF!</v>
      </c>
      <c r="B1115" s="22" t="e">
        <f>CONCATENATE("P",(LEFT('BASE OBZ'!#REF!,3)),'BASE OBZ'!#REF!)</f>
        <v>#REF!</v>
      </c>
      <c r="C1115" t="s">
        <v>1777</v>
      </c>
    </row>
    <row r="1116" spans="1:3" x14ac:dyDescent="0.25">
      <c r="A1116" s="22" t="e">
        <f>CONCATENATE('BASE OBZ'!#REF!,"PROG")</f>
        <v>#REF!</v>
      </c>
      <c r="B1116" s="22" t="e">
        <f>CONCATENATE("P",(LEFT('BASE OBZ'!#REF!,3)),'BASE OBZ'!#REF!)</f>
        <v>#REF!</v>
      </c>
      <c r="C1116" t="s">
        <v>1777</v>
      </c>
    </row>
    <row r="1117" spans="1:3" x14ac:dyDescent="0.25">
      <c r="A1117" s="22" t="e">
        <f>CONCATENATE('BASE OBZ'!#REF!,"PROG")</f>
        <v>#REF!</v>
      </c>
      <c r="B1117" s="22" t="e">
        <f>CONCATENATE("P",(LEFT('BASE OBZ'!#REF!,3)),'BASE OBZ'!#REF!)</f>
        <v>#REF!</v>
      </c>
      <c r="C1117" t="s">
        <v>1777</v>
      </c>
    </row>
    <row r="1118" spans="1:3" x14ac:dyDescent="0.25">
      <c r="A1118" s="22" t="e">
        <f>CONCATENATE('BASE OBZ'!#REF!,"PROG")</f>
        <v>#REF!</v>
      </c>
      <c r="B1118" s="22" t="e">
        <f>CONCATENATE("P",(LEFT('BASE OBZ'!#REF!,3)),'BASE OBZ'!#REF!)</f>
        <v>#REF!</v>
      </c>
      <c r="C1118" t="s">
        <v>1777</v>
      </c>
    </row>
    <row r="1119" spans="1:3" x14ac:dyDescent="0.25">
      <c r="A1119" s="22" t="e">
        <f>CONCATENATE('BASE OBZ'!#REF!,"PROG")</f>
        <v>#REF!</v>
      </c>
      <c r="B1119" s="22" t="e">
        <f>CONCATENATE("P",(LEFT('BASE OBZ'!#REF!,3)),'BASE OBZ'!#REF!)</f>
        <v>#REF!</v>
      </c>
      <c r="C1119" t="s">
        <v>1777</v>
      </c>
    </row>
    <row r="1120" spans="1:3" x14ac:dyDescent="0.25">
      <c r="A1120" s="22" t="e">
        <f>CONCATENATE('BASE OBZ'!#REF!,"PROG")</f>
        <v>#REF!</v>
      </c>
      <c r="B1120" s="22" t="e">
        <f>CONCATENATE("P",(LEFT('BASE OBZ'!#REF!,3)),'BASE OBZ'!#REF!)</f>
        <v>#REF!</v>
      </c>
      <c r="C1120" t="s">
        <v>1777</v>
      </c>
    </row>
    <row r="1121" spans="1:3" x14ac:dyDescent="0.25">
      <c r="A1121" s="22" t="e">
        <f>CONCATENATE('BASE OBZ'!#REF!,"PROG")</f>
        <v>#REF!</v>
      </c>
      <c r="B1121" s="22" t="e">
        <f>CONCATENATE("P",(LEFT('BASE OBZ'!#REF!,3)),'BASE OBZ'!#REF!)</f>
        <v>#REF!</v>
      </c>
      <c r="C1121" t="s">
        <v>1777</v>
      </c>
    </row>
    <row r="1122" spans="1:3" x14ac:dyDescent="0.25">
      <c r="A1122" s="22" t="e">
        <f>CONCATENATE('BASE OBZ'!#REF!,"PROG")</f>
        <v>#REF!</v>
      </c>
      <c r="B1122" s="22" t="e">
        <f>CONCATENATE("P",(LEFT('BASE OBZ'!#REF!,3)),'BASE OBZ'!#REF!)</f>
        <v>#REF!</v>
      </c>
      <c r="C1122" t="s">
        <v>1777</v>
      </c>
    </row>
    <row r="1123" spans="1:3" x14ac:dyDescent="0.25">
      <c r="A1123" s="22" t="e">
        <f>CONCATENATE('BASE OBZ'!#REF!,"PROG")</f>
        <v>#REF!</v>
      </c>
      <c r="B1123" s="22" t="e">
        <f>CONCATENATE("P",(LEFT('BASE OBZ'!#REF!,3)),'BASE OBZ'!#REF!)</f>
        <v>#REF!</v>
      </c>
      <c r="C1123" t="s">
        <v>1777</v>
      </c>
    </row>
    <row r="1124" spans="1:3" x14ac:dyDescent="0.25">
      <c r="A1124" s="22" t="e">
        <f>CONCATENATE('BASE OBZ'!#REF!,"PROG")</f>
        <v>#REF!</v>
      </c>
      <c r="B1124" s="22" t="e">
        <f>CONCATENATE("P",(LEFT('BASE OBZ'!#REF!,3)),'BASE OBZ'!#REF!)</f>
        <v>#REF!</v>
      </c>
      <c r="C1124" t="s">
        <v>1777</v>
      </c>
    </row>
    <row r="1125" spans="1:3" x14ac:dyDescent="0.25">
      <c r="A1125" s="22" t="e">
        <f>CONCATENATE('BASE OBZ'!#REF!,"PROG")</f>
        <v>#REF!</v>
      </c>
      <c r="B1125" s="22" t="e">
        <f>CONCATENATE("P",(LEFT('BASE OBZ'!#REF!,3)),'BASE OBZ'!#REF!)</f>
        <v>#REF!</v>
      </c>
      <c r="C1125" t="s">
        <v>1777</v>
      </c>
    </row>
    <row r="1126" spans="1:3" x14ac:dyDescent="0.25">
      <c r="A1126" s="22" t="e">
        <f>CONCATENATE('BASE OBZ'!#REF!,"PROG")</f>
        <v>#REF!</v>
      </c>
      <c r="B1126" s="22" t="e">
        <f>CONCATENATE("P",(LEFT('BASE OBZ'!#REF!,3)),'BASE OBZ'!#REF!)</f>
        <v>#REF!</v>
      </c>
      <c r="C1126" t="s">
        <v>1777</v>
      </c>
    </row>
    <row r="1127" spans="1:3" x14ac:dyDescent="0.25">
      <c r="A1127" s="22" t="e">
        <f>CONCATENATE('BASE OBZ'!#REF!,"PROG")</f>
        <v>#REF!</v>
      </c>
      <c r="B1127" s="22" t="e">
        <f>CONCATENATE("P",(LEFT('BASE OBZ'!#REF!,3)),'BASE OBZ'!#REF!)</f>
        <v>#REF!</v>
      </c>
      <c r="C1127" t="s">
        <v>1777</v>
      </c>
    </row>
    <row r="1128" spans="1:3" x14ac:dyDescent="0.25">
      <c r="A1128" s="22" t="e">
        <f>CONCATENATE('BASE OBZ'!#REF!,"PROG")</f>
        <v>#REF!</v>
      </c>
      <c r="B1128" s="22" t="e">
        <f>CONCATENATE("P",(LEFT('BASE OBZ'!#REF!,3)),'BASE OBZ'!#REF!)</f>
        <v>#REF!</v>
      </c>
      <c r="C1128" t="s">
        <v>1777</v>
      </c>
    </row>
    <row r="1129" spans="1:3" x14ac:dyDescent="0.25">
      <c r="A1129" s="22" t="e">
        <f>CONCATENATE('BASE OBZ'!#REF!,"PROG")</f>
        <v>#REF!</v>
      </c>
      <c r="B1129" s="22" t="e">
        <f>CONCATENATE("P",(LEFT('BASE OBZ'!#REF!,3)),'BASE OBZ'!#REF!)</f>
        <v>#REF!</v>
      </c>
      <c r="C1129" t="s">
        <v>1777</v>
      </c>
    </row>
    <row r="1130" spans="1:3" x14ac:dyDescent="0.25">
      <c r="A1130" s="22" t="e">
        <f>CONCATENATE('BASE OBZ'!#REF!,"PROG")</f>
        <v>#REF!</v>
      </c>
      <c r="B1130" s="22" t="e">
        <f>CONCATENATE("P",(LEFT('BASE OBZ'!#REF!,3)),'BASE OBZ'!#REF!)</f>
        <v>#REF!</v>
      </c>
      <c r="C1130" t="s">
        <v>1777</v>
      </c>
    </row>
    <row r="1131" spans="1:3" x14ac:dyDescent="0.25">
      <c r="A1131" s="22" t="e">
        <f>CONCATENATE('BASE OBZ'!#REF!,"PROG")</f>
        <v>#REF!</v>
      </c>
      <c r="B1131" s="22" t="e">
        <f>CONCATENATE("P",(LEFT('BASE OBZ'!#REF!,3)),'BASE OBZ'!#REF!)</f>
        <v>#REF!</v>
      </c>
      <c r="C1131" t="s">
        <v>1777</v>
      </c>
    </row>
    <row r="1132" spans="1:3" x14ac:dyDescent="0.25">
      <c r="A1132" s="22" t="e">
        <f>CONCATENATE('BASE OBZ'!#REF!,"PROG")</f>
        <v>#REF!</v>
      </c>
      <c r="B1132" s="22" t="e">
        <f>CONCATENATE("P",(LEFT('BASE OBZ'!#REF!,3)),'BASE OBZ'!#REF!)</f>
        <v>#REF!</v>
      </c>
      <c r="C1132" t="s">
        <v>1777</v>
      </c>
    </row>
    <row r="1133" spans="1:3" x14ac:dyDescent="0.25">
      <c r="A1133" s="22" t="e">
        <f>CONCATENATE('BASE OBZ'!#REF!,"PROG")</f>
        <v>#REF!</v>
      </c>
      <c r="B1133" s="22" t="e">
        <f>CONCATENATE("P",(LEFT('BASE OBZ'!#REF!,3)),'BASE OBZ'!#REF!)</f>
        <v>#REF!</v>
      </c>
      <c r="C1133" t="s">
        <v>1777</v>
      </c>
    </row>
    <row r="1134" spans="1:3" x14ac:dyDescent="0.25">
      <c r="A1134" s="22" t="e">
        <f>CONCATENATE('BASE OBZ'!#REF!,"PROG")</f>
        <v>#REF!</v>
      </c>
      <c r="B1134" s="22" t="e">
        <f>CONCATENATE("P",(LEFT('BASE OBZ'!#REF!,3)),'BASE OBZ'!#REF!)</f>
        <v>#REF!</v>
      </c>
      <c r="C1134" t="s">
        <v>1777</v>
      </c>
    </row>
    <row r="1135" spans="1:3" x14ac:dyDescent="0.25">
      <c r="A1135" s="22" t="e">
        <f>CONCATENATE('BASE OBZ'!#REF!,"PROG")</f>
        <v>#REF!</v>
      </c>
      <c r="B1135" s="22" t="e">
        <f>CONCATENATE("P",(LEFT('BASE OBZ'!#REF!,3)),'BASE OBZ'!#REF!)</f>
        <v>#REF!</v>
      </c>
      <c r="C1135" t="s">
        <v>1777</v>
      </c>
    </row>
    <row r="1136" spans="1:3" x14ac:dyDescent="0.25">
      <c r="A1136" s="22" t="e">
        <f>CONCATENATE('BASE OBZ'!#REF!,"PROG")</f>
        <v>#REF!</v>
      </c>
      <c r="B1136" s="22" t="e">
        <f>CONCATENATE("P",(LEFT('BASE OBZ'!#REF!,3)),'BASE OBZ'!#REF!)</f>
        <v>#REF!</v>
      </c>
      <c r="C1136" t="s">
        <v>1777</v>
      </c>
    </row>
    <row r="1137" spans="1:3" x14ac:dyDescent="0.25">
      <c r="A1137" s="22" t="e">
        <f>CONCATENATE('BASE OBZ'!#REF!,"PROG")</f>
        <v>#REF!</v>
      </c>
      <c r="B1137" s="22" t="e">
        <f>CONCATENATE("P",(LEFT('BASE OBZ'!#REF!,3)),'BASE OBZ'!#REF!)</f>
        <v>#REF!</v>
      </c>
      <c r="C1137" t="s">
        <v>1777</v>
      </c>
    </row>
    <row r="1138" spans="1:3" x14ac:dyDescent="0.25">
      <c r="A1138" s="22" t="e">
        <f>CONCATENATE('BASE OBZ'!#REF!,"PROG")</f>
        <v>#REF!</v>
      </c>
      <c r="B1138" s="22" t="e">
        <f>CONCATENATE("P",(LEFT('BASE OBZ'!#REF!,3)),'BASE OBZ'!#REF!)</f>
        <v>#REF!</v>
      </c>
      <c r="C1138" t="s">
        <v>1777</v>
      </c>
    </row>
    <row r="1139" spans="1:3" x14ac:dyDescent="0.25">
      <c r="A1139" s="22" t="e">
        <f>CONCATENATE('BASE OBZ'!#REF!,"PROG")</f>
        <v>#REF!</v>
      </c>
      <c r="B1139" s="22" t="e">
        <f>CONCATENATE("P",(LEFT('BASE OBZ'!#REF!,3)),'BASE OBZ'!#REF!)</f>
        <v>#REF!</v>
      </c>
      <c r="C1139" t="s">
        <v>1777</v>
      </c>
    </row>
    <row r="1140" spans="1:3" x14ac:dyDescent="0.25">
      <c r="A1140" s="22" t="e">
        <f>CONCATENATE('BASE OBZ'!#REF!,"PROG")</f>
        <v>#REF!</v>
      </c>
      <c r="B1140" s="22" t="e">
        <f>CONCATENATE("P",(LEFT('BASE OBZ'!#REF!,3)),'BASE OBZ'!#REF!)</f>
        <v>#REF!</v>
      </c>
      <c r="C1140" t="s">
        <v>1777</v>
      </c>
    </row>
    <row r="1141" spans="1:3" x14ac:dyDescent="0.25">
      <c r="A1141" s="22" t="e">
        <f>CONCATENATE('BASE OBZ'!#REF!,"PROG")</f>
        <v>#REF!</v>
      </c>
      <c r="B1141" s="22" t="e">
        <f>CONCATENATE("P",(LEFT('BASE OBZ'!#REF!,3)),'BASE OBZ'!#REF!)</f>
        <v>#REF!</v>
      </c>
      <c r="C1141" t="s">
        <v>1777</v>
      </c>
    </row>
    <row r="1142" spans="1:3" x14ac:dyDescent="0.25">
      <c r="A1142" s="22" t="e">
        <f>CONCATENATE('BASE OBZ'!#REF!,"PROG")</f>
        <v>#REF!</v>
      </c>
      <c r="B1142" s="22" t="e">
        <f>CONCATENATE("P",(LEFT('BASE OBZ'!#REF!,3)),'BASE OBZ'!#REF!)</f>
        <v>#REF!</v>
      </c>
      <c r="C1142" t="s">
        <v>1777</v>
      </c>
    </row>
    <row r="1143" spans="1:3" x14ac:dyDescent="0.25">
      <c r="A1143" s="22" t="e">
        <f>CONCATENATE('BASE OBZ'!#REF!,"PROG")</f>
        <v>#REF!</v>
      </c>
      <c r="B1143" s="22" t="e">
        <f>CONCATENATE("P",(LEFT('BASE OBZ'!#REF!,3)),'BASE OBZ'!#REF!)</f>
        <v>#REF!</v>
      </c>
      <c r="C1143" t="s">
        <v>1777</v>
      </c>
    </row>
    <row r="1144" spans="1:3" x14ac:dyDescent="0.25">
      <c r="A1144" s="22" t="e">
        <f>CONCATENATE('BASE OBZ'!#REF!,"PROG")</f>
        <v>#REF!</v>
      </c>
      <c r="B1144" s="22" t="e">
        <f>CONCATENATE("P",(LEFT('BASE OBZ'!#REF!,3)),'BASE OBZ'!#REF!)</f>
        <v>#REF!</v>
      </c>
      <c r="C1144" t="s">
        <v>1777</v>
      </c>
    </row>
    <row r="1145" spans="1:3" x14ac:dyDescent="0.25">
      <c r="A1145" s="22" t="e">
        <f>CONCATENATE('BASE OBZ'!#REF!,"PROG")</f>
        <v>#REF!</v>
      </c>
      <c r="B1145" s="22" t="e">
        <f>CONCATENATE("P",(LEFT('BASE OBZ'!#REF!,3)),'BASE OBZ'!#REF!)</f>
        <v>#REF!</v>
      </c>
      <c r="C1145" t="s">
        <v>1777</v>
      </c>
    </row>
    <row r="1146" spans="1:3" x14ac:dyDescent="0.25">
      <c r="A1146" s="22" t="e">
        <f>CONCATENATE('BASE OBZ'!#REF!,"PROG")</f>
        <v>#REF!</v>
      </c>
      <c r="B1146" s="22" t="e">
        <f>CONCATENATE("P",(LEFT('BASE OBZ'!#REF!,3)),'BASE OBZ'!#REF!)</f>
        <v>#REF!</v>
      </c>
      <c r="C1146" t="s">
        <v>1777</v>
      </c>
    </row>
    <row r="1147" spans="1:3" x14ac:dyDescent="0.25">
      <c r="A1147" s="22" t="e">
        <f>CONCATENATE('BASE OBZ'!#REF!,"PROG")</f>
        <v>#REF!</v>
      </c>
      <c r="B1147" s="22" t="e">
        <f>CONCATENATE("P",(LEFT('BASE OBZ'!#REF!,3)),'BASE OBZ'!#REF!)</f>
        <v>#REF!</v>
      </c>
      <c r="C1147" t="s">
        <v>1777</v>
      </c>
    </row>
    <row r="1148" spans="1:3" x14ac:dyDescent="0.25">
      <c r="A1148" s="22" t="e">
        <f>CONCATENATE('BASE OBZ'!#REF!,"PROG")</f>
        <v>#REF!</v>
      </c>
      <c r="B1148" s="22" t="e">
        <f>CONCATENATE("P",(LEFT('BASE OBZ'!#REF!,3)),'BASE OBZ'!#REF!)</f>
        <v>#REF!</v>
      </c>
      <c r="C1148" t="s">
        <v>1777</v>
      </c>
    </row>
    <row r="1149" spans="1:3" x14ac:dyDescent="0.25">
      <c r="A1149" s="22" t="e">
        <f>CONCATENATE('BASE OBZ'!#REF!,"PROG")</f>
        <v>#REF!</v>
      </c>
      <c r="B1149" s="22" t="e">
        <f>CONCATENATE("P",(LEFT('BASE OBZ'!#REF!,3)),'BASE OBZ'!#REF!)</f>
        <v>#REF!</v>
      </c>
      <c r="C1149" t="s">
        <v>1777</v>
      </c>
    </row>
    <row r="1150" spans="1:3" x14ac:dyDescent="0.25">
      <c r="A1150" s="22" t="e">
        <f>CONCATENATE('BASE OBZ'!#REF!,"PROG")</f>
        <v>#REF!</v>
      </c>
      <c r="B1150" s="22" t="e">
        <f>CONCATENATE("P",(LEFT('BASE OBZ'!#REF!,3)),'BASE OBZ'!#REF!)</f>
        <v>#REF!</v>
      </c>
      <c r="C1150" t="s">
        <v>1777</v>
      </c>
    </row>
    <row r="1151" spans="1:3" x14ac:dyDescent="0.25">
      <c r="A1151" s="22" t="e">
        <f>CONCATENATE('BASE OBZ'!#REF!,"PROG")</f>
        <v>#REF!</v>
      </c>
      <c r="B1151" s="22" t="e">
        <f>CONCATENATE("P",(LEFT('BASE OBZ'!#REF!,3)),'BASE OBZ'!#REF!)</f>
        <v>#REF!</v>
      </c>
      <c r="C1151" t="s">
        <v>1777</v>
      </c>
    </row>
    <row r="1152" spans="1:3" x14ac:dyDescent="0.25">
      <c r="A1152" s="22" t="e">
        <f>CONCATENATE('BASE OBZ'!#REF!,"PROG")</f>
        <v>#REF!</v>
      </c>
      <c r="B1152" s="22" t="e">
        <f>CONCATENATE("P",(LEFT('BASE OBZ'!#REF!,3)),'BASE OBZ'!#REF!)</f>
        <v>#REF!</v>
      </c>
      <c r="C1152" t="s">
        <v>1777</v>
      </c>
    </row>
    <row r="1153" spans="1:3" x14ac:dyDescent="0.25">
      <c r="A1153" s="22" t="e">
        <f>CONCATENATE('BASE OBZ'!#REF!,"PROG")</f>
        <v>#REF!</v>
      </c>
      <c r="B1153" s="22" t="e">
        <f>CONCATENATE("P",(LEFT('BASE OBZ'!#REF!,3)),'BASE OBZ'!#REF!)</f>
        <v>#REF!</v>
      </c>
      <c r="C1153" t="s">
        <v>1777</v>
      </c>
    </row>
    <row r="1154" spans="1:3" x14ac:dyDescent="0.25">
      <c r="A1154" s="22" t="e">
        <f>CONCATENATE('BASE OBZ'!#REF!,"PROG")</f>
        <v>#REF!</v>
      </c>
      <c r="B1154" s="22" t="e">
        <f>CONCATENATE("P",(LEFT('BASE OBZ'!#REF!,3)),'BASE OBZ'!#REF!)</f>
        <v>#REF!</v>
      </c>
      <c r="C1154" t="s">
        <v>1777</v>
      </c>
    </row>
    <row r="1155" spans="1:3" x14ac:dyDescent="0.25">
      <c r="A1155" s="22" t="e">
        <f>CONCATENATE('BASE OBZ'!#REF!,"PROG")</f>
        <v>#REF!</v>
      </c>
      <c r="B1155" s="22" t="e">
        <f>CONCATENATE("P",(LEFT('BASE OBZ'!#REF!,3)),'BASE OBZ'!#REF!)</f>
        <v>#REF!</v>
      </c>
      <c r="C1155" t="s">
        <v>1777</v>
      </c>
    </row>
    <row r="1156" spans="1:3" x14ac:dyDescent="0.25">
      <c r="A1156" s="22" t="e">
        <f>CONCATENATE('BASE OBZ'!#REF!,"PROG")</f>
        <v>#REF!</v>
      </c>
      <c r="B1156" s="22" t="e">
        <f>CONCATENATE("P",(LEFT('BASE OBZ'!#REF!,3)),'BASE OBZ'!#REF!)</f>
        <v>#REF!</v>
      </c>
      <c r="C1156" t="s">
        <v>1777</v>
      </c>
    </row>
    <row r="1157" spans="1:3" x14ac:dyDescent="0.25">
      <c r="A1157" s="22" t="e">
        <f>CONCATENATE('BASE OBZ'!#REF!,"PROG")</f>
        <v>#REF!</v>
      </c>
      <c r="B1157" s="22" t="e">
        <f>CONCATENATE("P",(LEFT('BASE OBZ'!#REF!,3)),'BASE OBZ'!#REF!)</f>
        <v>#REF!</v>
      </c>
      <c r="C1157" t="s">
        <v>1777</v>
      </c>
    </row>
    <row r="1158" spans="1:3" x14ac:dyDescent="0.25">
      <c r="A1158" s="22" t="e">
        <f>CONCATENATE('BASE OBZ'!#REF!,"PROG")</f>
        <v>#REF!</v>
      </c>
      <c r="B1158" s="22" t="e">
        <f>CONCATENATE("P",(LEFT('BASE OBZ'!#REF!,3)),'BASE OBZ'!#REF!)</f>
        <v>#REF!</v>
      </c>
      <c r="C1158" t="s">
        <v>1777</v>
      </c>
    </row>
    <row r="1159" spans="1:3" x14ac:dyDescent="0.25">
      <c r="A1159" s="22" t="e">
        <f>CONCATENATE('BASE OBZ'!#REF!,"PROG")</f>
        <v>#REF!</v>
      </c>
      <c r="B1159" s="22" t="e">
        <f>CONCATENATE("P",(LEFT('BASE OBZ'!#REF!,3)),'BASE OBZ'!#REF!)</f>
        <v>#REF!</v>
      </c>
      <c r="C1159" t="s">
        <v>1777</v>
      </c>
    </row>
    <row r="1160" spans="1:3" x14ac:dyDescent="0.25">
      <c r="A1160" s="22" t="e">
        <f>CONCATENATE('BASE OBZ'!#REF!,"PROG")</f>
        <v>#REF!</v>
      </c>
      <c r="B1160" s="22" t="e">
        <f>CONCATENATE("P",(LEFT('BASE OBZ'!#REF!,3)),'BASE OBZ'!#REF!)</f>
        <v>#REF!</v>
      </c>
      <c r="C1160" t="s">
        <v>1777</v>
      </c>
    </row>
    <row r="1161" spans="1:3" x14ac:dyDescent="0.25">
      <c r="A1161" s="22" t="e">
        <f>CONCATENATE('BASE OBZ'!#REF!,"PROG")</f>
        <v>#REF!</v>
      </c>
      <c r="B1161" s="22" t="e">
        <f>CONCATENATE("P",(LEFT('BASE OBZ'!#REF!,3)),'BASE OBZ'!#REF!)</f>
        <v>#REF!</v>
      </c>
      <c r="C1161" t="s">
        <v>1777</v>
      </c>
    </row>
    <row r="1162" spans="1:3" x14ac:dyDescent="0.25">
      <c r="A1162" s="22" t="e">
        <f>CONCATENATE('BASE OBZ'!#REF!,"PROG")</f>
        <v>#REF!</v>
      </c>
      <c r="B1162" s="22" t="e">
        <f>CONCATENATE("P",(LEFT('BASE OBZ'!#REF!,3)),'BASE OBZ'!#REF!)</f>
        <v>#REF!</v>
      </c>
      <c r="C1162" t="s">
        <v>1777</v>
      </c>
    </row>
    <row r="1163" spans="1:3" x14ac:dyDescent="0.25">
      <c r="A1163" s="22" t="e">
        <f>CONCATENATE('BASE OBZ'!#REF!,"PROG")</f>
        <v>#REF!</v>
      </c>
      <c r="B1163" s="22" t="e">
        <f>CONCATENATE("P",(LEFT('BASE OBZ'!#REF!,3)),'BASE OBZ'!#REF!)</f>
        <v>#REF!</v>
      </c>
      <c r="C1163" t="s">
        <v>1777</v>
      </c>
    </row>
    <row r="1164" spans="1:3" x14ac:dyDescent="0.25">
      <c r="A1164" s="22" t="e">
        <f>CONCATENATE('BASE OBZ'!#REF!,"PROG")</f>
        <v>#REF!</v>
      </c>
      <c r="B1164" s="22" t="e">
        <f>CONCATENATE("P",(LEFT('BASE OBZ'!#REF!,3)),'BASE OBZ'!#REF!)</f>
        <v>#REF!</v>
      </c>
      <c r="C1164" t="s">
        <v>1777</v>
      </c>
    </row>
    <row r="1165" spans="1:3" x14ac:dyDescent="0.25">
      <c r="A1165" s="22" t="e">
        <f>CONCATENATE('BASE OBZ'!#REF!,"PROG")</f>
        <v>#REF!</v>
      </c>
      <c r="B1165" s="22" t="e">
        <f>CONCATENATE("P",(LEFT('BASE OBZ'!#REF!,3)),'BASE OBZ'!#REF!)</f>
        <v>#REF!</v>
      </c>
      <c r="C1165" t="s">
        <v>1777</v>
      </c>
    </row>
    <row r="1166" spans="1:3" x14ac:dyDescent="0.25">
      <c r="A1166" s="22" t="e">
        <f>CONCATENATE('BASE OBZ'!#REF!,"PROG")</f>
        <v>#REF!</v>
      </c>
      <c r="B1166" s="22" t="e">
        <f>CONCATENATE("P",(LEFT('BASE OBZ'!#REF!,3)),'BASE OBZ'!#REF!)</f>
        <v>#REF!</v>
      </c>
      <c r="C1166" t="s">
        <v>1777</v>
      </c>
    </row>
    <row r="1167" spans="1:3" x14ac:dyDescent="0.25">
      <c r="A1167" s="22" t="e">
        <f>CONCATENATE('BASE OBZ'!#REF!,"PROG")</f>
        <v>#REF!</v>
      </c>
      <c r="B1167" s="22" t="e">
        <f>CONCATENATE("P",(LEFT('BASE OBZ'!#REF!,3)),'BASE OBZ'!#REF!)</f>
        <v>#REF!</v>
      </c>
      <c r="C1167" t="s">
        <v>1777</v>
      </c>
    </row>
    <row r="1168" spans="1:3" x14ac:dyDescent="0.25">
      <c r="A1168" s="22" t="e">
        <f>CONCATENATE('BASE OBZ'!#REF!,"PROG")</f>
        <v>#REF!</v>
      </c>
      <c r="B1168" s="22" t="e">
        <f>CONCATENATE("P",(LEFT('BASE OBZ'!#REF!,3)),'BASE OBZ'!#REF!)</f>
        <v>#REF!</v>
      </c>
      <c r="C1168" t="s">
        <v>1777</v>
      </c>
    </row>
    <row r="1169" spans="1:3" x14ac:dyDescent="0.25">
      <c r="A1169" s="22" t="e">
        <f>CONCATENATE('BASE OBZ'!#REF!,"PROG")</f>
        <v>#REF!</v>
      </c>
      <c r="B1169" s="22" t="e">
        <f>CONCATENATE("P",(LEFT('BASE OBZ'!#REF!,3)),'BASE OBZ'!#REF!)</f>
        <v>#REF!</v>
      </c>
      <c r="C1169" t="s">
        <v>1777</v>
      </c>
    </row>
    <row r="1170" spans="1:3" x14ac:dyDescent="0.25">
      <c r="A1170" s="22" t="e">
        <f>CONCATENATE('BASE OBZ'!#REF!,"PROG")</f>
        <v>#REF!</v>
      </c>
      <c r="B1170" s="22" t="e">
        <f>CONCATENATE("P",(LEFT('BASE OBZ'!#REF!,3)),'BASE OBZ'!#REF!)</f>
        <v>#REF!</v>
      </c>
      <c r="C1170" t="s">
        <v>1777</v>
      </c>
    </row>
    <row r="1171" spans="1:3" x14ac:dyDescent="0.25">
      <c r="A1171" s="22" t="e">
        <f>CONCATENATE('BASE OBZ'!#REF!,"PROG")</f>
        <v>#REF!</v>
      </c>
      <c r="B1171" s="22" t="e">
        <f>CONCATENATE("P",(LEFT('BASE OBZ'!#REF!,3)),'BASE OBZ'!#REF!)</f>
        <v>#REF!</v>
      </c>
      <c r="C1171" t="s">
        <v>1777</v>
      </c>
    </row>
    <row r="1172" spans="1:3" x14ac:dyDescent="0.25">
      <c r="A1172" s="22" t="e">
        <f>CONCATENATE('BASE OBZ'!#REF!,"PROG")</f>
        <v>#REF!</v>
      </c>
      <c r="B1172" s="22" t="e">
        <f>CONCATENATE("P",(LEFT('BASE OBZ'!#REF!,3)),'BASE OBZ'!#REF!)</f>
        <v>#REF!</v>
      </c>
      <c r="C1172" t="s">
        <v>1777</v>
      </c>
    </row>
    <row r="1173" spans="1:3" x14ac:dyDescent="0.25">
      <c r="A1173" s="22" t="e">
        <f>CONCATENATE('BASE OBZ'!#REF!,"PROG")</f>
        <v>#REF!</v>
      </c>
      <c r="B1173" s="22" t="e">
        <f>CONCATENATE("P",(LEFT('BASE OBZ'!#REF!,3)),'BASE OBZ'!#REF!)</f>
        <v>#REF!</v>
      </c>
      <c r="C1173" t="s">
        <v>1777</v>
      </c>
    </row>
    <row r="1174" spans="1:3" x14ac:dyDescent="0.25">
      <c r="A1174" s="22" t="e">
        <f>CONCATENATE('BASE OBZ'!#REF!,"PROG")</f>
        <v>#REF!</v>
      </c>
      <c r="B1174" s="22" t="e">
        <f>CONCATENATE("P",(LEFT('BASE OBZ'!#REF!,3)),'BASE OBZ'!#REF!)</f>
        <v>#REF!</v>
      </c>
      <c r="C1174" t="s">
        <v>1777</v>
      </c>
    </row>
    <row r="1175" spans="1:3" x14ac:dyDescent="0.25">
      <c r="A1175" s="22" t="e">
        <f>CONCATENATE('BASE OBZ'!#REF!,"PROG")</f>
        <v>#REF!</v>
      </c>
      <c r="B1175" s="22" t="e">
        <f>CONCATENATE("P",(LEFT('BASE OBZ'!#REF!,3)),'BASE OBZ'!#REF!)</f>
        <v>#REF!</v>
      </c>
      <c r="C1175" t="s">
        <v>1777</v>
      </c>
    </row>
    <row r="1176" spans="1:3" x14ac:dyDescent="0.25">
      <c r="A1176" s="22" t="e">
        <f>CONCATENATE('BASE OBZ'!#REF!,"PROG")</f>
        <v>#REF!</v>
      </c>
      <c r="B1176" s="22" t="e">
        <f>CONCATENATE("P",(LEFT('BASE OBZ'!#REF!,3)),'BASE OBZ'!#REF!)</f>
        <v>#REF!</v>
      </c>
      <c r="C1176" t="s">
        <v>1777</v>
      </c>
    </row>
    <row r="1177" spans="1:3" x14ac:dyDescent="0.25">
      <c r="A1177" s="22" t="e">
        <f>CONCATENATE('BASE OBZ'!#REF!,"PROG")</f>
        <v>#REF!</v>
      </c>
      <c r="B1177" s="22" t="e">
        <f>CONCATENATE("P",(LEFT('BASE OBZ'!#REF!,3)),'BASE OBZ'!#REF!)</f>
        <v>#REF!</v>
      </c>
      <c r="C1177" t="s">
        <v>1777</v>
      </c>
    </row>
    <row r="1178" spans="1:3" x14ac:dyDescent="0.25">
      <c r="A1178" s="22" t="e">
        <f>CONCATENATE('BASE OBZ'!#REF!,"PROG")</f>
        <v>#REF!</v>
      </c>
      <c r="B1178" s="22" t="e">
        <f>CONCATENATE("P",(LEFT('BASE OBZ'!#REF!,3)),'BASE OBZ'!#REF!)</f>
        <v>#REF!</v>
      </c>
      <c r="C1178" t="s">
        <v>1777</v>
      </c>
    </row>
    <row r="1179" spans="1:3" x14ac:dyDescent="0.25">
      <c r="A1179" s="22" t="e">
        <f>CONCATENATE('BASE OBZ'!#REF!,"PROG")</f>
        <v>#REF!</v>
      </c>
      <c r="B1179" s="22" t="e">
        <f>CONCATENATE("P",(LEFT('BASE OBZ'!#REF!,3)),'BASE OBZ'!#REF!)</f>
        <v>#REF!</v>
      </c>
      <c r="C1179" t="s">
        <v>1777</v>
      </c>
    </row>
    <row r="1180" spans="1:3" x14ac:dyDescent="0.25">
      <c r="A1180" s="22" t="e">
        <f>CONCATENATE('BASE OBZ'!#REF!,"PROG")</f>
        <v>#REF!</v>
      </c>
      <c r="B1180" s="22" t="e">
        <f>CONCATENATE("P",(LEFT('BASE OBZ'!#REF!,3)),'BASE OBZ'!#REF!)</f>
        <v>#REF!</v>
      </c>
      <c r="C1180" t="s">
        <v>1777</v>
      </c>
    </row>
    <row r="1181" spans="1:3" x14ac:dyDescent="0.25">
      <c r="A1181" s="22" t="e">
        <f>CONCATENATE('BASE OBZ'!#REF!,"PROG")</f>
        <v>#REF!</v>
      </c>
      <c r="B1181" s="22" t="e">
        <f>CONCATENATE("P",(LEFT('BASE OBZ'!#REF!,3)),'BASE OBZ'!#REF!)</f>
        <v>#REF!</v>
      </c>
      <c r="C1181" t="s">
        <v>1777</v>
      </c>
    </row>
    <row r="1182" spans="1:3" x14ac:dyDescent="0.25">
      <c r="A1182" s="22" t="e">
        <f>CONCATENATE('BASE OBZ'!#REF!,"PROG")</f>
        <v>#REF!</v>
      </c>
      <c r="B1182" s="22" t="e">
        <f>CONCATENATE("P",(LEFT('BASE OBZ'!#REF!,3)),'BASE OBZ'!#REF!)</f>
        <v>#REF!</v>
      </c>
      <c r="C1182" t="s">
        <v>1777</v>
      </c>
    </row>
    <row r="1183" spans="1:3" x14ac:dyDescent="0.25">
      <c r="A1183" s="22" t="e">
        <f>CONCATENATE('BASE OBZ'!#REF!,"PROG")</f>
        <v>#REF!</v>
      </c>
      <c r="B1183" s="22" t="e">
        <f>CONCATENATE("P",(LEFT('BASE OBZ'!#REF!,3)),'BASE OBZ'!#REF!)</f>
        <v>#REF!</v>
      </c>
      <c r="C1183" t="s">
        <v>1777</v>
      </c>
    </row>
    <row r="1184" spans="1:3" x14ac:dyDescent="0.25">
      <c r="A1184" s="22" t="e">
        <f>CONCATENATE('BASE OBZ'!#REF!,"PROG")</f>
        <v>#REF!</v>
      </c>
      <c r="B1184" s="22" t="e">
        <f>CONCATENATE("P",(LEFT('BASE OBZ'!#REF!,3)),'BASE OBZ'!#REF!)</f>
        <v>#REF!</v>
      </c>
      <c r="C1184" t="s">
        <v>1777</v>
      </c>
    </row>
    <row r="1185" spans="1:3" x14ac:dyDescent="0.25">
      <c r="A1185" s="22" t="e">
        <f>CONCATENATE('BASE OBZ'!#REF!,"PROG")</f>
        <v>#REF!</v>
      </c>
      <c r="B1185" s="22" t="e">
        <f>CONCATENATE("P",(LEFT('BASE OBZ'!#REF!,3)),'BASE OBZ'!#REF!)</f>
        <v>#REF!</v>
      </c>
      <c r="C1185" t="s">
        <v>1777</v>
      </c>
    </row>
    <row r="1186" spans="1:3" x14ac:dyDescent="0.25">
      <c r="A1186" s="22" t="e">
        <f>CONCATENATE('BASE OBZ'!#REF!,"PROG")</f>
        <v>#REF!</v>
      </c>
      <c r="B1186" s="22" t="e">
        <f>CONCATENATE("P",(LEFT('BASE OBZ'!#REF!,3)),'BASE OBZ'!#REF!)</f>
        <v>#REF!</v>
      </c>
      <c r="C1186" t="s">
        <v>1777</v>
      </c>
    </row>
    <row r="1187" spans="1:3" x14ac:dyDescent="0.25">
      <c r="A1187" s="22" t="e">
        <f>CONCATENATE('BASE OBZ'!#REF!,"PROG")</f>
        <v>#REF!</v>
      </c>
      <c r="B1187" s="22" t="e">
        <f>CONCATENATE("P",(LEFT('BASE OBZ'!#REF!,3)),'BASE OBZ'!#REF!)</f>
        <v>#REF!</v>
      </c>
      <c r="C1187" t="s">
        <v>1777</v>
      </c>
    </row>
    <row r="1188" spans="1:3" x14ac:dyDescent="0.25">
      <c r="A1188" s="22" t="e">
        <f>CONCATENATE('BASE OBZ'!#REF!,"PROG")</f>
        <v>#REF!</v>
      </c>
      <c r="B1188" s="22" t="e">
        <f>CONCATENATE("P",(LEFT('BASE OBZ'!#REF!,3)),'BASE OBZ'!#REF!)</f>
        <v>#REF!</v>
      </c>
      <c r="C1188" t="s">
        <v>1777</v>
      </c>
    </row>
    <row r="1189" spans="1:3" x14ac:dyDescent="0.25">
      <c r="A1189" s="22" t="e">
        <f>CONCATENATE('BASE OBZ'!#REF!,"PROG")</f>
        <v>#REF!</v>
      </c>
      <c r="B1189" s="22" t="e">
        <f>CONCATENATE("P",(LEFT('BASE OBZ'!#REF!,3)),'BASE OBZ'!#REF!)</f>
        <v>#REF!</v>
      </c>
      <c r="C1189" t="s">
        <v>1777</v>
      </c>
    </row>
    <row r="1190" spans="1:3" x14ac:dyDescent="0.25">
      <c r="A1190" s="22" t="e">
        <f>CONCATENATE('BASE OBZ'!#REF!,"PROG")</f>
        <v>#REF!</v>
      </c>
      <c r="B1190" s="22" t="e">
        <f>CONCATENATE("P",(LEFT('BASE OBZ'!#REF!,3)),'BASE OBZ'!#REF!)</f>
        <v>#REF!</v>
      </c>
      <c r="C1190" t="s">
        <v>1777</v>
      </c>
    </row>
    <row r="1191" spans="1:3" x14ac:dyDescent="0.25">
      <c r="A1191" s="22" t="e">
        <f>CONCATENATE('BASE OBZ'!#REF!,"PROG")</f>
        <v>#REF!</v>
      </c>
      <c r="B1191" s="22" t="e">
        <f>CONCATENATE("P",(LEFT('BASE OBZ'!#REF!,3)),'BASE OBZ'!#REF!)</f>
        <v>#REF!</v>
      </c>
      <c r="C1191" t="s">
        <v>1777</v>
      </c>
    </row>
    <row r="1192" spans="1:3" x14ac:dyDescent="0.25">
      <c r="A1192" s="22" t="e">
        <f>CONCATENATE('BASE OBZ'!#REF!,"PROG")</f>
        <v>#REF!</v>
      </c>
      <c r="B1192" s="22" t="e">
        <f>CONCATENATE("P",(LEFT('BASE OBZ'!#REF!,3)),'BASE OBZ'!#REF!)</f>
        <v>#REF!</v>
      </c>
      <c r="C1192" t="s">
        <v>1777</v>
      </c>
    </row>
    <row r="1193" spans="1:3" x14ac:dyDescent="0.25">
      <c r="A1193" s="22" t="e">
        <f>CONCATENATE('BASE OBZ'!#REF!,"PROG")</f>
        <v>#REF!</v>
      </c>
      <c r="B1193" s="22" t="e">
        <f>CONCATENATE("P",(LEFT('BASE OBZ'!#REF!,3)),'BASE OBZ'!#REF!)</f>
        <v>#REF!</v>
      </c>
      <c r="C1193" t="s">
        <v>1777</v>
      </c>
    </row>
    <row r="1194" spans="1:3" x14ac:dyDescent="0.25">
      <c r="A1194" s="22" t="e">
        <f>CONCATENATE('BASE OBZ'!#REF!,"PROG")</f>
        <v>#REF!</v>
      </c>
      <c r="B1194" s="22" t="e">
        <f>CONCATENATE("P",(LEFT('BASE OBZ'!#REF!,3)),'BASE OBZ'!#REF!)</f>
        <v>#REF!</v>
      </c>
      <c r="C1194" t="s">
        <v>1777</v>
      </c>
    </row>
    <row r="1195" spans="1:3" x14ac:dyDescent="0.25">
      <c r="A1195" s="22" t="e">
        <f>CONCATENATE('BASE OBZ'!#REF!,"PROG")</f>
        <v>#REF!</v>
      </c>
      <c r="B1195" s="22" t="e">
        <f>CONCATENATE("P",(LEFT('BASE OBZ'!#REF!,3)),'BASE OBZ'!#REF!)</f>
        <v>#REF!</v>
      </c>
      <c r="C1195" t="s">
        <v>1777</v>
      </c>
    </row>
    <row r="1196" spans="1:3" x14ac:dyDescent="0.25">
      <c r="A1196" s="22" t="e">
        <f>CONCATENATE('BASE OBZ'!#REF!,"PROG")</f>
        <v>#REF!</v>
      </c>
      <c r="B1196" s="22" t="e">
        <f>CONCATENATE("P",(LEFT('BASE OBZ'!#REF!,3)),'BASE OBZ'!#REF!)</f>
        <v>#REF!</v>
      </c>
      <c r="C1196" t="s">
        <v>1777</v>
      </c>
    </row>
    <row r="1197" spans="1:3" x14ac:dyDescent="0.25">
      <c r="A1197" s="22" t="e">
        <f>CONCATENATE('BASE OBZ'!#REF!,"PROG")</f>
        <v>#REF!</v>
      </c>
      <c r="B1197" s="22" t="e">
        <f>CONCATENATE("P",(LEFT('BASE OBZ'!#REF!,3)),'BASE OBZ'!#REF!)</f>
        <v>#REF!</v>
      </c>
      <c r="C1197" t="s">
        <v>1777</v>
      </c>
    </row>
    <row r="1198" spans="1:3" x14ac:dyDescent="0.25">
      <c r="A1198" s="22" t="e">
        <f>CONCATENATE('BASE OBZ'!#REF!,"PROG")</f>
        <v>#REF!</v>
      </c>
      <c r="B1198" s="22" t="e">
        <f>CONCATENATE("P",(LEFT('BASE OBZ'!#REF!,3)),'BASE OBZ'!#REF!)</f>
        <v>#REF!</v>
      </c>
      <c r="C1198" t="s">
        <v>1777</v>
      </c>
    </row>
    <row r="1199" spans="1:3" x14ac:dyDescent="0.25">
      <c r="A1199" s="22" t="e">
        <f>CONCATENATE('BASE OBZ'!#REF!,"PROG")</f>
        <v>#REF!</v>
      </c>
      <c r="B1199" s="22" t="e">
        <f>CONCATENATE("P",(LEFT('BASE OBZ'!#REF!,3)),'BASE OBZ'!#REF!)</f>
        <v>#REF!</v>
      </c>
      <c r="C1199" t="s">
        <v>1777</v>
      </c>
    </row>
    <row r="1200" spans="1:3" x14ac:dyDescent="0.25">
      <c r="A1200" s="22" t="e">
        <f>CONCATENATE('BASE OBZ'!#REF!,"PROG")</f>
        <v>#REF!</v>
      </c>
      <c r="B1200" s="22" t="e">
        <f>CONCATENATE("P",(LEFT('BASE OBZ'!#REF!,3)),'BASE OBZ'!#REF!)</f>
        <v>#REF!</v>
      </c>
      <c r="C1200" t="s">
        <v>1777</v>
      </c>
    </row>
    <row r="1201" spans="1:3" x14ac:dyDescent="0.25">
      <c r="A1201" s="22" t="e">
        <f>CONCATENATE('BASE OBZ'!#REF!,"PROG")</f>
        <v>#REF!</v>
      </c>
      <c r="B1201" s="22" t="e">
        <f>CONCATENATE("P",(LEFT('BASE OBZ'!#REF!,3)),'BASE OBZ'!#REF!)</f>
        <v>#REF!</v>
      </c>
      <c r="C1201" t="s">
        <v>1777</v>
      </c>
    </row>
    <row r="1202" spans="1:3" x14ac:dyDescent="0.25">
      <c r="A1202" s="22" t="e">
        <f>CONCATENATE('BASE OBZ'!#REF!,"PROG")</f>
        <v>#REF!</v>
      </c>
      <c r="B1202" s="22" t="e">
        <f>CONCATENATE("P",(LEFT('BASE OBZ'!#REF!,3)),'BASE OBZ'!#REF!)</f>
        <v>#REF!</v>
      </c>
      <c r="C1202" t="s">
        <v>1777</v>
      </c>
    </row>
    <row r="1203" spans="1:3" x14ac:dyDescent="0.25">
      <c r="A1203" s="22" t="e">
        <f>CONCATENATE('BASE OBZ'!#REF!,"PROG")</f>
        <v>#REF!</v>
      </c>
      <c r="B1203" s="22" t="e">
        <f>CONCATENATE("P",(LEFT('BASE OBZ'!#REF!,3)),'BASE OBZ'!#REF!)</f>
        <v>#REF!</v>
      </c>
      <c r="C1203" t="s">
        <v>1777</v>
      </c>
    </row>
    <row r="1204" spans="1:3" x14ac:dyDescent="0.25">
      <c r="A1204" s="22" t="e">
        <f>CONCATENATE('BASE OBZ'!#REF!,"PROG")</f>
        <v>#REF!</v>
      </c>
      <c r="B1204" s="22" t="e">
        <f>CONCATENATE("P",(LEFT('BASE OBZ'!#REF!,3)),'BASE OBZ'!#REF!)</f>
        <v>#REF!</v>
      </c>
      <c r="C1204" t="s">
        <v>1777</v>
      </c>
    </row>
    <row r="1205" spans="1:3" x14ac:dyDescent="0.25">
      <c r="A1205" s="22" t="e">
        <f>CONCATENATE('BASE OBZ'!#REF!,"PROG")</f>
        <v>#REF!</v>
      </c>
      <c r="B1205" s="22" t="e">
        <f>CONCATENATE("P",(LEFT('BASE OBZ'!#REF!,3)),'BASE OBZ'!#REF!)</f>
        <v>#REF!</v>
      </c>
      <c r="C1205" t="s">
        <v>1777</v>
      </c>
    </row>
    <row r="1206" spans="1:3" x14ac:dyDescent="0.25">
      <c r="A1206" s="22" t="e">
        <f>CONCATENATE('BASE OBZ'!#REF!,"PROG")</f>
        <v>#REF!</v>
      </c>
      <c r="B1206" s="22" t="e">
        <f>CONCATENATE("P",(LEFT('BASE OBZ'!#REF!,3)),'BASE OBZ'!#REF!)</f>
        <v>#REF!</v>
      </c>
      <c r="C1206" t="s">
        <v>1777</v>
      </c>
    </row>
    <row r="1207" spans="1:3" x14ac:dyDescent="0.25">
      <c r="A1207" s="22" t="e">
        <f>CONCATENATE('BASE OBZ'!#REF!,"PROG")</f>
        <v>#REF!</v>
      </c>
      <c r="B1207" s="22" t="e">
        <f>CONCATENATE("P",(LEFT('BASE OBZ'!#REF!,3)),'BASE OBZ'!#REF!)</f>
        <v>#REF!</v>
      </c>
      <c r="C1207" t="s">
        <v>1777</v>
      </c>
    </row>
    <row r="1208" spans="1:3" x14ac:dyDescent="0.25">
      <c r="A1208" s="22" t="e">
        <f>CONCATENATE('BASE OBZ'!#REF!,"PROG")</f>
        <v>#REF!</v>
      </c>
      <c r="B1208" s="22" t="e">
        <f>CONCATENATE("P",(LEFT('BASE OBZ'!#REF!,3)),'BASE OBZ'!#REF!)</f>
        <v>#REF!</v>
      </c>
      <c r="C1208" t="s">
        <v>1777</v>
      </c>
    </row>
    <row r="1209" spans="1:3" x14ac:dyDescent="0.25">
      <c r="A1209" s="22" t="e">
        <f>CONCATENATE('BASE OBZ'!#REF!,"PROG")</f>
        <v>#REF!</v>
      </c>
      <c r="B1209" s="22" t="e">
        <f>CONCATENATE("P",(LEFT('BASE OBZ'!#REF!,3)),'BASE OBZ'!#REF!)</f>
        <v>#REF!</v>
      </c>
      <c r="C1209" t="s">
        <v>1777</v>
      </c>
    </row>
    <row r="1210" spans="1:3" x14ac:dyDescent="0.25">
      <c r="A1210" s="22" t="e">
        <f>CONCATENATE('BASE OBZ'!#REF!,"PROG")</f>
        <v>#REF!</v>
      </c>
      <c r="B1210" s="22" t="e">
        <f>CONCATENATE("P",(LEFT('BASE OBZ'!#REF!,3)),'BASE OBZ'!#REF!)</f>
        <v>#REF!</v>
      </c>
      <c r="C1210" t="s">
        <v>1777</v>
      </c>
    </row>
    <row r="1211" spans="1:3" x14ac:dyDescent="0.25">
      <c r="A1211" s="22" t="e">
        <f>CONCATENATE('BASE OBZ'!#REF!,"PROG")</f>
        <v>#REF!</v>
      </c>
      <c r="B1211" s="22" t="e">
        <f>CONCATENATE("P",(LEFT('BASE OBZ'!#REF!,3)),'BASE OBZ'!#REF!)</f>
        <v>#REF!</v>
      </c>
      <c r="C1211" t="s">
        <v>1777</v>
      </c>
    </row>
    <row r="1212" spans="1:3" x14ac:dyDescent="0.25">
      <c r="A1212" s="22" t="e">
        <f>CONCATENATE('BASE OBZ'!#REF!,"PROG")</f>
        <v>#REF!</v>
      </c>
      <c r="B1212" s="22" t="e">
        <f>CONCATENATE("P",(LEFT('BASE OBZ'!#REF!,3)),'BASE OBZ'!#REF!)</f>
        <v>#REF!</v>
      </c>
      <c r="C1212" t="s">
        <v>1777</v>
      </c>
    </row>
    <row r="1213" spans="1:3" x14ac:dyDescent="0.25">
      <c r="A1213" s="22" t="e">
        <f>CONCATENATE('BASE OBZ'!#REF!,"PROG")</f>
        <v>#REF!</v>
      </c>
      <c r="B1213" s="22" t="e">
        <f>CONCATENATE("P",(LEFT('BASE OBZ'!#REF!,3)),'BASE OBZ'!#REF!)</f>
        <v>#REF!</v>
      </c>
      <c r="C1213" t="s">
        <v>1777</v>
      </c>
    </row>
    <row r="1214" spans="1:3" x14ac:dyDescent="0.25">
      <c r="A1214" s="22" t="e">
        <f>CONCATENATE('BASE OBZ'!#REF!,"PROG")</f>
        <v>#REF!</v>
      </c>
      <c r="B1214" s="22" t="e">
        <f>CONCATENATE("P",(LEFT('BASE OBZ'!#REF!,3)),'BASE OBZ'!#REF!)</f>
        <v>#REF!</v>
      </c>
      <c r="C1214" t="s">
        <v>1777</v>
      </c>
    </row>
    <row r="1215" spans="1:3" x14ac:dyDescent="0.25">
      <c r="A1215" s="22" t="e">
        <f>CONCATENATE('BASE OBZ'!#REF!,"PROG")</f>
        <v>#REF!</v>
      </c>
      <c r="B1215" s="22" t="e">
        <f>CONCATENATE("P",(LEFT('BASE OBZ'!#REF!,3)),'BASE OBZ'!#REF!)</f>
        <v>#REF!</v>
      </c>
      <c r="C1215" t="s">
        <v>1777</v>
      </c>
    </row>
    <row r="1216" spans="1:3" x14ac:dyDescent="0.25">
      <c r="A1216" s="22" t="e">
        <f>CONCATENATE('BASE OBZ'!#REF!,"PROG")</f>
        <v>#REF!</v>
      </c>
      <c r="B1216" s="22" t="e">
        <f>CONCATENATE("P",(LEFT('BASE OBZ'!#REF!,3)),'BASE OBZ'!#REF!)</f>
        <v>#REF!</v>
      </c>
      <c r="C1216" t="s">
        <v>1777</v>
      </c>
    </row>
    <row r="1217" spans="1:3" x14ac:dyDescent="0.25">
      <c r="A1217" s="22" t="e">
        <f>CONCATENATE('BASE OBZ'!#REF!,"PROG")</f>
        <v>#REF!</v>
      </c>
      <c r="B1217" s="22" t="e">
        <f>CONCATENATE("P",(LEFT('BASE OBZ'!#REF!,3)),'BASE OBZ'!#REF!)</f>
        <v>#REF!</v>
      </c>
      <c r="C1217" t="s">
        <v>1777</v>
      </c>
    </row>
    <row r="1218" spans="1:3" x14ac:dyDescent="0.25">
      <c r="A1218" s="22" t="e">
        <f>CONCATENATE('BASE OBZ'!#REF!,"PROG")</f>
        <v>#REF!</v>
      </c>
      <c r="B1218" s="22" t="e">
        <f>CONCATENATE("P",(LEFT('BASE OBZ'!#REF!,3)),'BASE OBZ'!#REF!)</f>
        <v>#REF!</v>
      </c>
      <c r="C1218" t="s">
        <v>1777</v>
      </c>
    </row>
    <row r="1219" spans="1:3" x14ac:dyDescent="0.25">
      <c r="A1219" s="22" t="e">
        <f>CONCATENATE('BASE OBZ'!#REF!,"PROG")</f>
        <v>#REF!</v>
      </c>
      <c r="B1219" s="22" t="e">
        <f>CONCATENATE("P",(LEFT('BASE OBZ'!#REF!,3)),'BASE OBZ'!#REF!)</f>
        <v>#REF!</v>
      </c>
      <c r="C1219" t="s">
        <v>1777</v>
      </c>
    </row>
    <row r="1220" spans="1:3" x14ac:dyDescent="0.25">
      <c r="A1220" s="22" t="e">
        <f>CONCATENATE('BASE OBZ'!#REF!,"PROG")</f>
        <v>#REF!</v>
      </c>
      <c r="B1220" s="22" t="e">
        <f>CONCATENATE("P",(LEFT('BASE OBZ'!#REF!,3)),'BASE OBZ'!#REF!)</f>
        <v>#REF!</v>
      </c>
      <c r="C1220" t="s">
        <v>1777</v>
      </c>
    </row>
    <row r="1221" spans="1:3" x14ac:dyDescent="0.25">
      <c r="A1221" s="22" t="e">
        <f>CONCATENATE('BASE OBZ'!#REF!,"PROG")</f>
        <v>#REF!</v>
      </c>
      <c r="B1221" s="22" t="e">
        <f>CONCATENATE("P",(LEFT('BASE OBZ'!#REF!,3)),'BASE OBZ'!#REF!)</f>
        <v>#REF!</v>
      </c>
      <c r="C1221" t="s">
        <v>1777</v>
      </c>
    </row>
    <row r="1222" spans="1:3" x14ac:dyDescent="0.25">
      <c r="A1222" s="22" t="e">
        <f>CONCATENATE('BASE OBZ'!#REF!,"PROG")</f>
        <v>#REF!</v>
      </c>
      <c r="B1222" s="22" t="e">
        <f>CONCATENATE("P",(LEFT('BASE OBZ'!#REF!,3)),'BASE OBZ'!#REF!)</f>
        <v>#REF!</v>
      </c>
      <c r="C1222" t="s">
        <v>1777</v>
      </c>
    </row>
    <row r="1223" spans="1:3" x14ac:dyDescent="0.25">
      <c r="A1223" s="22" t="e">
        <f>CONCATENATE('BASE OBZ'!#REF!,"PROG")</f>
        <v>#REF!</v>
      </c>
      <c r="B1223" s="22" t="e">
        <f>CONCATENATE("P",(LEFT('BASE OBZ'!#REF!,3)),'BASE OBZ'!#REF!)</f>
        <v>#REF!</v>
      </c>
      <c r="C1223" t="s">
        <v>1777</v>
      </c>
    </row>
    <row r="1224" spans="1:3" x14ac:dyDescent="0.25">
      <c r="A1224" s="22" t="e">
        <f>CONCATENATE('BASE OBZ'!#REF!,"PROG")</f>
        <v>#REF!</v>
      </c>
      <c r="B1224" s="22" t="e">
        <f>CONCATENATE("P",(LEFT('BASE OBZ'!#REF!,3)),'BASE OBZ'!#REF!)</f>
        <v>#REF!</v>
      </c>
      <c r="C1224" t="s">
        <v>1777</v>
      </c>
    </row>
    <row r="1225" spans="1:3" x14ac:dyDescent="0.25">
      <c r="A1225" s="22" t="e">
        <f>CONCATENATE('BASE OBZ'!#REF!,"PROG")</f>
        <v>#REF!</v>
      </c>
      <c r="B1225" s="22" t="e">
        <f>CONCATENATE("P",(LEFT('BASE OBZ'!#REF!,3)),'BASE OBZ'!#REF!)</f>
        <v>#REF!</v>
      </c>
      <c r="C1225" t="s">
        <v>1777</v>
      </c>
    </row>
    <row r="1226" spans="1:3" x14ac:dyDescent="0.25">
      <c r="A1226" s="22" t="e">
        <f>CONCATENATE('BASE OBZ'!#REF!,"PROG")</f>
        <v>#REF!</v>
      </c>
      <c r="B1226" s="22" t="e">
        <f>CONCATENATE("P",(LEFT('BASE OBZ'!#REF!,3)),'BASE OBZ'!#REF!)</f>
        <v>#REF!</v>
      </c>
      <c r="C1226" t="s">
        <v>1777</v>
      </c>
    </row>
    <row r="1227" spans="1:3" x14ac:dyDescent="0.25">
      <c r="A1227" s="22" t="e">
        <f>CONCATENATE('BASE OBZ'!#REF!,"PROG")</f>
        <v>#REF!</v>
      </c>
      <c r="B1227" s="22" t="e">
        <f>CONCATENATE("P",(LEFT('BASE OBZ'!#REF!,3)),'BASE OBZ'!#REF!)</f>
        <v>#REF!</v>
      </c>
      <c r="C1227" t="s">
        <v>1777</v>
      </c>
    </row>
    <row r="1228" spans="1:3" x14ac:dyDescent="0.25">
      <c r="A1228" s="22" t="e">
        <f>CONCATENATE('BASE OBZ'!#REF!,"PROG")</f>
        <v>#REF!</v>
      </c>
      <c r="B1228" s="22" t="e">
        <f>CONCATENATE("P",(LEFT('BASE OBZ'!#REF!,3)),'BASE OBZ'!#REF!)</f>
        <v>#REF!</v>
      </c>
      <c r="C1228" t="s">
        <v>1777</v>
      </c>
    </row>
    <row r="1229" spans="1:3" x14ac:dyDescent="0.25">
      <c r="A1229" s="22" t="e">
        <f>CONCATENATE('BASE OBZ'!#REF!,"PROG")</f>
        <v>#REF!</v>
      </c>
      <c r="B1229" s="22" t="e">
        <f>CONCATENATE("P",(LEFT('BASE OBZ'!#REF!,3)),'BASE OBZ'!#REF!)</f>
        <v>#REF!</v>
      </c>
      <c r="C1229" t="s">
        <v>1777</v>
      </c>
    </row>
    <row r="1230" spans="1:3" x14ac:dyDescent="0.25">
      <c r="A1230" s="22" t="e">
        <f>CONCATENATE('BASE OBZ'!#REF!,"PROG")</f>
        <v>#REF!</v>
      </c>
      <c r="B1230" s="22" t="e">
        <f>CONCATENATE("P",(LEFT('BASE OBZ'!#REF!,3)),'BASE OBZ'!#REF!)</f>
        <v>#REF!</v>
      </c>
      <c r="C1230" t="s">
        <v>1777</v>
      </c>
    </row>
    <row r="1231" spans="1:3" x14ac:dyDescent="0.25">
      <c r="A1231" s="22" t="e">
        <f>CONCATENATE('BASE OBZ'!#REF!,"PROG")</f>
        <v>#REF!</v>
      </c>
      <c r="B1231" s="22" t="e">
        <f>CONCATENATE("P",(LEFT('BASE OBZ'!#REF!,3)),'BASE OBZ'!#REF!)</f>
        <v>#REF!</v>
      </c>
      <c r="C1231" t="s">
        <v>1777</v>
      </c>
    </row>
    <row r="1232" spans="1:3" x14ac:dyDescent="0.25">
      <c r="A1232" s="22" t="e">
        <f>CONCATENATE('BASE OBZ'!#REF!,"PROG")</f>
        <v>#REF!</v>
      </c>
      <c r="B1232" s="22" t="e">
        <f>CONCATENATE("P",(LEFT('BASE OBZ'!#REF!,3)),'BASE OBZ'!#REF!)</f>
        <v>#REF!</v>
      </c>
      <c r="C1232" t="s">
        <v>1777</v>
      </c>
    </row>
    <row r="1233" spans="1:3" x14ac:dyDescent="0.25">
      <c r="A1233" s="22" t="e">
        <f>CONCATENATE('BASE OBZ'!#REF!,"PROG")</f>
        <v>#REF!</v>
      </c>
      <c r="B1233" s="22" t="e">
        <f>CONCATENATE("P",(LEFT('BASE OBZ'!#REF!,3)),'BASE OBZ'!#REF!)</f>
        <v>#REF!</v>
      </c>
      <c r="C1233" t="s">
        <v>1777</v>
      </c>
    </row>
    <row r="1234" spans="1:3" x14ac:dyDescent="0.25">
      <c r="A1234" s="22" t="e">
        <f>CONCATENATE('BASE OBZ'!#REF!,"PROG")</f>
        <v>#REF!</v>
      </c>
      <c r="B1234" s="22" t="e">
        <f>CONCATENATE("P",(LEFT('BASE OBZ'!#REF!,3)),'BASE OBZ'!#REF!)</f>
        <v>#REF!</v>
      </c>
      <c r="C1234" t="s">
        <v>1777</v>
      </c>
    </row>
    <row r="1235" spans="1:3" x14ac:dyDescent="0.25">
      <c r="A1235" s="22" t="e">
        <f>CONCATENATE('BASE OBZ'!#REF!,"PROG")</f>
        <v>#REF!</v>
      </c>
      <c r="B1235" s="22" t="e">
        <f>CONCATENATE("P",(LEFT('BASE OBZ'!#REF!,3)),'BASE OBZ'!#REF!)</f>
        <v>#REF!</v>
      </c>
      <c r="C1235" t="s">
        <v>1777</v>
      </c>
    </row>
    <row r="1236" spans="1:3" x14ac:dyDescent="0.25">
      <c r="A1236" s="22" t="e">
        <f>CONCATENATE('BASE OBZ'!#REF!,"PROG")</f>
        <v>#REF!</v>
      </c>
      <c r="B1236" s="22" t="e">
        <f>CONCATENATE("P",(LEFT('BASE OBZ'!#REF!,3)),'BASE OBZ'!#REF!)</f>
        <v>#REF!</v>
      </c>
      <c r="C1236" t="s">
        <v>1777</v>
      </c>
    </row>
    <row r="1237" spans="1:3" x14ac:dyDescent="0.25">
      <c r="A1237" s="22" t="e">
        <f>CONCATENATE('BASE OBZ'!#REF!,"PROG")</f>
        <v>#REF!</v>
      </c>
      <c r="B1237" s="22" t="e">
        <f>CONCATENATE("P",(LEFT('BASE OBZ'!#REF!,3)),'BASE OBZ'!#REF!)</f>
        <v>#REF!</v>
      </c>
      <c r="C1237" t="s">
        <v>1777</v>
      </c>
    </row>
    <row r="1238" spans="1:3" x14ac:dyDescent="0.25">
      <c r="A1238" s="22" t="e">
        <f>CONCATENATE('BASE OBZ'!#REF!,"PROG")</f>
        <v>#REF!</v>
      </c>
      <c r="B1238" s="22" t="e">
        <f>CONCATENATE("P",(LEFT('BASE OBZ'!#REF!,3)),'BASE OBZ'!#REF!)</f>
        <v>#REF!</v>
      </c>
      <c r="C1238" t="s">
        <v>1777</v>
      </c>
    </row>
    <row r="1239" spans="1:3" x14ac:dyDescent="0.25">
      <c r="A1239" s="22" t="e">
        <f>CONCATENATE('BASE OBZ'!#REF!,"PROG")</f>
        <v>#REF!</v>
      </c>
      <c r="B1239" s="22" t="e">
        <f>CONCATENATE("P",(LEFT('BASE OBZ'!#REF!,3)),'BASE OBZ'!#REF!)</f>
        <v>#REF!</v>
      </c>
      <c r="C1239" t="s">
        <v>1777</v>
      </c>
    </row>
    <row r="1240" spans="1:3" x14ac:dyDescent="0.25">
      <c r="A1240" s="22" t="e">
        <f>CONCATENATE('BASE OBZ'!#REF!,"PROG")</f>
        <v>#REF!</v>
      </c>
      <c r="B1240" s="22" t="e">
        <f>CONCATENATE("P",(LEFT('BASE OBZ'!#REF!,3)),'BASE OBZ'!#REF!)</f>
        <v>#REF!</v>
      </c>
      <c r="C1240" t="s">
        <v>1777</v>
      </c>
    </row>
    <row r="1241" spans="1:3" x14ac:dyDescent="0.25">
      <c r="A1241" s="22" t="e">
        <f>CONCATENATE('BASE OBZ'!#REF!,"PROG")</f>
        <v>#REF!</v>
      </c>
      <c r="B1241" s="22" t="e">
        <f>CONCATENATE("P",(LEFT('BASE OBZ'!#REF!,3)),'BASE OBZ'!#REF!)</f>
        <v>#REF!</v>
      </c>
      <c r="C1241" t="s">
        <v>1777</v>
      </c>
    </row>
    <row r="1242" spans="1:3" x14ac:dyDescent="0.25">
      <c r="A1242" s="22" t="e">
        <f>CONCATENATE('BASE OBZ'!#REF!,"PROG")</f>
        <v>#REF!</v>
      </c>
      <c r="B1242" s="22" t="e">
        <f>CONCATENATE("P",(LEFT('BASE OBZ'!#REF!,3)),'BASE OBZ'!#REF!)</f>
        <v>#REF!</v>
      </c>
      <c r="C1242" t="s">
        <v>1777</v>
      </c>
    </row>
    <row r="1243" spans="1:3" x14ac:dyDescent="0.25">
      <c r="A1243" s="22" t="e">
        <f>CONCATENATE('BASE OBZ'!#REF!,"PROG")</f>
        <v>#REF!</v>
      </c>
      <c r="B1243" s="22" t="e">
        <f>CONCATENATE("P",(LEFT('BASE OBZ'!#REF!,3)),'BASE OBZ'!#REF!)</f>
        <v>#REF!</v>
      </c>
      <c r="C1243" t="s">
        <v>1777</v>
      </c>
    </row>
    <row r="1244" spans="1:3" x14ac:dyDescent="0.25">
      <c r="A1244" s="22" t="e">
        <f>CONCATENATE('BASE OBZ'!#REF!,"PROG")</f>
        <v>#REF!</v>
      </c>
      <c r="B1244" s="22" t="e">
        <f>CONCATENATE("P",(LEFT('BASE OBZ'!#REF!,3)),'BASE OBZ'!#REF!)</f>
        <v>#REF!</v>
      </c>
      <c r="C1244" t="s">
        <v>1777</v>
      </c>
    </row>
    <row r="1245" spans="1:3" x14ac:dyDescent="0.25">
      <c r="A1245" s="22" t="e">
        <f>CONCATENATE('BASE OBZ'!#REF!,"PROG")</f>
        <v>#REF!</v>
      </c>
      <c r="B1245" s="22" t="e">
        <f>CONCATENATE("P",(LEFT('BASE OBZ'!#REF!,3)),'BASE OBZ'!#REF!)</f>
        <v>#REF!</v>
      </c>
      <c r="C1245" t="s">
        <v>1777</v>
      </c>
    </row>
    <row r="1246" spans="1:3" x14ac:dyDescent="0.25">
      <c r="A1246" s="22" t="e">
        <f>CONCATENATE('BASE OBZ'!#REF!,"PROG")</f>
        <v>#REF!</v>
      </c>
      <c r="B1246" s="22" t="e">
        <f>CONCATENATE("P",(LEFT('BASE OBZ'!#REF!,3)),'BASE OBZ'!#REF!)</f>
        <v>#REF!</v>
      </c>
      <c r="C1246" t="s">
        <v>1777</v>
      </c>
    </row>
    <row r="1247" spans="1:3" x14ac:dyDescent="0.25">
      <c r="A1247" s="22" t="e">
        <f>CONCATENATE('BASE OBZ'!#REF!,"PROG")</f>
        <v>#REF!</v>
      </c>
      <c r="B1247" s="22" t="e">
        <f>CONCATENATE("P",(LEFT('BASE OBZ'!#REF!,3)),'BASE OBZ'!#REF!)</f>
        <v>#REF!</v>
      </c>
      <c r="C1247" t="s">
        <v>1777</v>
      </c>
    </row>
    <row r="1248" spans="1:3" x14ac:dyDescent="0.25">
      <c r="A1248" s="22" t="e">
        <f>CONCATENATE('BASE OBZ'!#REF!,"PROG")</f>
        <v>#REF!</v>
      </c>
      <c r="B1248" s="22" t="e">
        <f>CONCATENATE("P",(LEFT('BASE OBZ'!#REF!,3)),'BASE OBZ'!#REF!)</f>
        <v>#REF!</v>
      </c>
      <c r="C1248" t="s">
        <v>1777</v>
      </c>
    </row>
    <row r="1249" spans="1:3" x14ac:dyDescent="0.25">
      <c r="A1249" s="22" t="e">
        <f>CONCATENATE('BASE OBZ'!#REF!,"PROG")</f>
        <v>#REF!</v>
      </c>
      <c r="B1249" s="22" t="e">
        <f>CONCATENATE("P",(LEFT('BASE OBZ'!#REF!,3)),'BASE OBZ'!#REF!)</f>
        <v>#REF!</v>
      </c>
      <c r="C1249" t="s">
        <v>1777</v>
      </c>
    </row>
    <row r="1250" spans="1:3" x14ac:dyDescent="0.25">
      <c r="A1250" s="22" t="e">
        <f>CONCATENATE('BASE OBZ'!#REF!,"PROG")</f>
        <v>#REF!</v>
      </c>
      <c r="B1250" s="22" t="e">
        <f>CONCATENATE("P",(LEFT('BASE OBZ'!#REF!,3)),'BASE OBZ'!#REF!)</f>
        <v>#REF!</v>
      </c>
      <c r="C1250" t="s">
        <v>1777</v>
      </c>
    </row>
    <row r="1251" spans="1:3" x14ac:dyDescent="0.25">
      <c r="A1251" s="22" t="e">
        <f>CONCATENATE('BASE OBZ'!#REF!,"PROG")</f>
        <v>#REF!</v>
      </c>
      <c r="B1251" s="22" t="e">
        <f>CONCATENATE("P",(LEFT('BASE OBZ'!#REF!,3)),'BASE OBZ'!#REF!)</f>
        <v>#REF!</v>
      </c>
      <c r="C1251" t="s">
        <v>1777</v>
      </c>
    </row>
    <row r="1252" spans="1:3" x14ac:dyDescent="0.25">
      <c r="A1252" s="22" t="e">
        <f>CONCATENATE('BASE OBZ'!#REF!,"PROG")</f>
        <v>#REF!</v>
      </c>
      <c r="B1252" s="22" t="e">
        <f>CONCATENATE("P",(LEFT('BASE OBZ'!#REF!,3)),'BASE OBZ'!#REF!)</f>
        <v>#REF!</v>
      </c>
      <c r="C1252" t="s">
        <v>1777</v>
      </c>
    </row>
    <row r="1253" spans="1:3" x14ac:dyDescent="0.25">
      <c r="A1253" s="22" t="e">
        <f>CONCATENATE('BASE OBZ'!#REF!,"PROG")</f>
        <v>#REF!</v>
      </c>
      <c r="B1253" s="22" t="e">
        <f>CONCATENATE("P",(LEFT('BASE OBZ'!#REF!,3)),'BASE OBZ'!#REF!)</f>
        <v>#REF!</v>
      </c>
      <c r="C1253" t="s">
        <v>1777</v>
      </c>
    </row>
    <row r="1254" spans="1:3" x14ac:dyDescent="0.25">
      <c r="A1254" s="22" t="e">
        <f>CONCATENATE('BASE OBZ'!#REF!,"PROG")</f>
        <v>#REF!</v>
      </c>
      <c r="B1254" s="22" t="e">
        <f>CONCATENATE("P",(LEFT('BASE OBZ'!#REF!,3)),'BASE OBZ'!#REF!)</f>
        <v>#REF!</v>
      </c>
      <c r="C1254" t="s">
        <v>1777</v>
      </c>
    </row>
    <row r="1255" spans="1:3" x14ac:dyDescent="0.25">
      <c r="A1255" s="22" t="e">
        <f>CONCATENATE('BASE OBZ'!#REF!,"PROG")</f>
        <v>#REF!</v>
      </c>
      <c r="B1255" s="22" t="e">
        <f>CONCATENATE("P",(LEFT('BASE OBZ'!#REF!,3)),'BASE OBZ'!#REF!)</f>
        <v>#REF!</v>
      </c>
      <c r="C1255" t="s">
        <v>1777</v>
      </c>
    </row>
    <row r="1256" spans="1:3" x14ac:dyDescent="0.25">
      <c r="A1256" s="22" t="e">
        <f>CONCATENATE('BASE OBZ'!#REF!,"PROG")</f>
        <v>#REF!</v>
      </c>
      <c r="B1256" s="22" t="e">
        <f>CONCATENATE("P",(LEFT('BASE OBZ'!#REF!,3)),'BASE OBZ'!#REF!)</f>
        <v>#REF!</v>
      </c>
      <c r="C1256" t="s">
        <v>1777</v>
      </c>
    </row>
    <row r="1257" spans="1:3" x14ac:dyDescent="0.25">
      <c r="A1257" s="22" t="e">
        <f>CONCATENATE('BASE OBZ'!#REF!,"PROG")</f>
        <v>#REF!</v>
      </c>
      <c r="B1257" s="22" t="e">
        <f>CONCATENATE("P",(LEFT('BASE OBZ'!#REF!,3)),'BASE OBZ'!#REF!)</f>
        <v>#REF!</v>
      </c>
      <c r="C1257" t="s">
        <v>1777</v>
      </c>
    </row>
    <row r="1258" spans="1:3" x14ac:dyDescent="0.25">
      <c r="A1258" s="22" t="e">
        <f>CONCATENATE('BASE OBZ'!#REF!,"PROG")</f>
        <v>#REF!</v>
      </c>
      <c r="B1258" s="22" t="e">
        <f>CONCATENATE("P",(LEFT('BASE OBZ'!#REF!,3)),'BASE OBZ'!#REF!)</f>
        <v>#REF!</v>
      </c>
      <c r="C1258" t="s">
        <v>1777</v>
      </c>
    </row>
    <row r="1259" spans="1:3" x14ac:dyDescent="0.25">
      <c r="A1259" s="22" t="e">
        <f>CONCATENATE('BASE OBZ'!#REF!,"PROG")</f>
        <v>#REF!</v>
      </c>
      <c r="B1259" s="22" t="e">
        <f>CONCATENATE("P",(LEFT('BASE OBZ'!#REF!,3)),'BASE OBZ'!#REF!)</f>
        <v>#REF!</v>
      </c>
      <c r="C1259" t="s">
        <v>1777</v>
      </c>
    </row>
    <row r="1260" spans="1:3" x14ac:dyDescent="0.25">
      <c r="A1260" s="22" t="e">
        <f>CONCATENATE('BASE OBZ'!#REF!,"PROG")</f>
        <v>#REF!</v>
      </c>
      <c r="B1260" s="22" t="e">
        <f>CONCATENATE("P",(LEFT('BASE OBZ'!#REF!,3)),'BASE OBZ'!#REF!)</f>
        <v>#REF!</v>
      </c>
      <c r="C1260" t="s">
        <v>1777</v>
      </c>
    </row>
    <row r="1261" spans="1:3" x14ac:dyDescent="0.25">
      <c r="A1261" s="22" t="e">
        <f>CONCATENATE('BASE OBZ'!#REF!,"PROG")</f>
        <v>#REF!</v>
      </c>
      <c r="B1261" s="22" t="e">
        <f>CONCATENATE("P",(LEFT('BASE OBZ'!#REF!,3)),'BASE OBZ'!#REF!)</f>
        <v>#REF!</v>
      </c>
      <c r="C1261" t="s">
        <v>1777</v>
      </c>
    </row>
    <row r="1262" spans="1:3" x14ac:dyDescent="0.25">
      <c r="A1262" s="22" t="e">
        <f>CONCATENATE('BASE OBZ'!#REF!,"PROG")</f>
        <v>#REF!</v>
      </c>
      <c r="B1262" s="22" t="e">
        <f>CONCATENATE("P",(LEFT('BASE OBZ'!#REF!,3)),'BASE OBZ'!#REF!)</f>
        <v>#REF!</v>
      </c>
      <c r="C1262" t="s">
        <v>1777</v>
      </c>
    </row>
    <row r="1263" spans="1:3" x14ac:dyDescent="0.25">
      <c r="A1263" s="22" t="e">
        <f>CONCATENATE('BASE OBZ'!#REF!,"PROG")</f>
        <v>#REF!</v>
      </c>
      <c r="B1263" s="22" t="e">
        <f>CONCATENATE("P",(LEFT('BASE OBZ'!#REF!,3)),'BASE OBZ'!#REF!)</f>
        <v>#REF!</v>
      </c>
      <c r="C1263" t="s">
        <v>1777</v>
      </c>
    </row>
    <row r="1264" spans="1:3" x14ac:dyDescent="0.25">
      <c r="A1264" s="22" t="e">
        <f>CONCATENATE('BASE OBZ'!#REF!,"PROG")</f>
        <v>#REF!</v>
      </c>
      <c r="B1264" s="22" t="e">
        <f>CONCATENATE("P",(LEFT('BASE OBZ'!#REF!,3)),'BASE OBZ'!#REF!)</f>
        <v>#REF!</v>
      </c>
      <c r="C1264" t="s">
        <v>1777</v>
      </c>
    </row>
    <row r="1265" spans="1:3" x14ac:dyDescent="0.25">
      <c r="A1265" s="22" t="e">
        <f>CONCATENATE('BASE OBZ'!#REF!,"PROG")</f>
        <v>#REF!</v>
      </c>
      <c r="B1265" s="22" t="e">
        <f>CONCATENATE("P",(LEFT('BASE OBZ'!#REF!,3)),'BASE OBZ'!#REF!)</f>
        <v>#REF!</v>
      </c>
      <c r="C1265" t="s">
        <v>1777</v>
      </c>
    </row>
    <row r="1266" spans="1:3" x14ac:dyDescent="0.25">
      <c r="A1266" s="22" t="e">
        <f>CONCATENATE('BASE OBZ'!#REF!,"PROG")</f>
        <v>#REF!</v>
      </c>
      <c r="B1266" s="22" t="e">
        <f>CONCATENATE("P",(LEFT('BASE OBZ'!#REF!,3)),'BASE OBZ'!#REF!)</f>
        <v>#REF!</v>
      </c>
      <c r="C1266" t="s">
        <v>1777</v>
      </c>
    </row>
    <row r="1267" spans="1:3" x14ac:dyDescent="0.25">
      <c r="A1267" s="22" t="e">
        <f>CONCATENATE('BASE OBZ'!#REF!,"PROG")</f>
        <v>#REF!</v>
      </c>
      <c r="B1267" s="22" t="e">
        <f>CONCATENATE("P",(LEFT('BASE OBZ'!#REF!,3)),'BASE OBZ'!#REF!)</f>
        <v>#REF!</v>
      </c>
      <c r="C1267" t="s">
        <v>1777</v>
      </c>
    </row>
    <row r="1268" spans="1:3" x14ac:dyDescent="0.25">
      <c r="A1268" s="22" t="e">
        <f>CONCATENATE('BASE OBZ'!#REF!,"PROG")</f>
        <v>#REF!</v>
      </c>
      <c r="B1268" s="22" t="e">
        <f>CONCATENATE("P",(LEFT('BASE OBZ'!#REF!,3)),'BASE OBZ'!#REF!)</f>
        <v>#REF!</v>
      </c>
      <c r="C1268" t="s">
        <v>1777</v>
      </c>
    </row>
    <row r="1269" spans="1:3" x14ac:dyDescent="0.25">
      <c r="A1269" s="22" t="e">
        <f>CONCATENATE('BASE OBZ'!#REF!,"PROG")</f>
        <v>#REF!</v>
      </c>
      <c r="B1269" s="22" t="e">
        <f>CONCATENATE("P",(LEFT('BASE OBZ'!#REF!,3)),'BASE OBZ'!#REF!)</f>
        <v>#REF!</v>
      </c>
      <c r="C1269" t="s">
        <v>1777</v>
      </c>
    </row>
    <row r="1270" spans="1:3" x14ac:dyDescent="0.25">
      <c r="A1270" s="22" t="e">
        <f>CONCATENATE('BASE OBZ'!#REF!,"PROG")</f>
        <v>#REF!</v>
      </c>
      <c r="B1270" s="22" t="e">
        <f>CONCATENATE("P",(LEFT('BASE OBZ'!#REF!,3)),'BASE OBZ'!#REF!)</f>
        <v>#REF!</v>
      </c>
      <c r="C1270" t="s">
        <v>1777</v>
      </c>
    </row>
    <row r="1271" spans="1:3" x14ac:dyDescent="0.25">
      <c r="A1271" s="22" t="e">
        <f>CONCATENATE('BASE OBZ'!#REF!,"PROG")</f>
        <v>#REF!</v>
      </c>
      <c r="B1271" s="22" t="e">
        <f>CONCATENATE("P",(LEFT('BASE OBZ'!#REF!,3)),'BASE OBZ'!#REF!)</f>
        <v>#REF!</v>
      </c>
      <c r="C1271" t="s">
        <v>1777</v>
      </c>
    </row>
    <row r="1272" spans="1:3" x14ac:dyDescent="0.25">
      <c r="A1272" s="22" t="e">
        <f>CONCATENATE('BASE OBZ'!#REF!,"PROG")</f>
        <v>#REF!</v>
      </c>
      <c r="B1272" s="22" t="e">
        <f>CONCATENATE("P",(LEFT('BASE OBZ'!#REF!,3)),'BASE OBZ'!#REF!)</f>
        <v>#REF!</v>
      </c>
      <c r="C1272" t="s">
        <v>1777</v>
      </c>
    </row>
    <row r="1273" spans="1:3" x14ac:dyDescent="0.25">
      <c r="A1273" s="22" t="e">
        <f>CONCATENATE('BASE OBZ'!#REF!,"PROG")</f>
        <v>#REF!</v>
      </c>
      <c r="B1273" s="22" t="e">
        <f>CONCATENATE("P",(LEFT('BASE OBZ'!#REF!,3)),'BASE OBZ'!#REF!)</f>
        <v>#REF!</v>
      </c>
      <c r="C1273" t="s">
        <v>1777</v>
      </c>
    </row>
    <row r="1274" spans="1:3" x14ac:dyDescent="0.25">
      <c r="A1274" s="22" t="e">
        <f>CONCATENATE('BASE OBZ'!#REF!,"PROG")</f>
        <v>#REF!</v>
      </c>
      <c r="B1274" s="22" t="e">
        <f>CONCATENATE("P",(LEFT('BASE OBZ'!#REF!,3)),'BASE OBZ'!#REF!)</f>
        <v>#REF!</v>
      </c>
      <c r="C1274" t="s">
        <v>1777</v>
      </c>
    </row>
    <row r="1275" spans="1:3" x14ac:dyDescent="0.25">
      <c r="A1275" s="22" t="e">
        <f>CONCATENATE('BASE OBZ'!#REF!,"PROG")</f>
        <v>#REF!</v>
      </c>
      <c r="B1275" s="22" t="e">
        <f>CONCATENATE("P",(LEFT('BASE OBZ'!#REF!,3)),'BASE OBZ'!#REF!)</f>
        <v>#REF!</v>
      </c>
      <c r="C1275" t="s">
        <v>1777</v>
      </c>
    </row>
    <row r="1276" spans="1:3" x14ac:dyDescent="0.25">
      <c r="A1276" s="22" t="e">
        <f>CONCATENATE('BASE OBZ'!#REF!,"PROG")</f>
        <v>#REF!</v>
      </c>
      <c r="B1276" s="22" t="e">
        <f>CONCATENATE("P",(LEFT('BASE OBZ'!#REF!,3)),'BASE OBZ'!#REF!)</f>
        <v>#REF!</v>
      </c>
      <c r="C1276" t="s">
        <v>1777</v>
      </c>
    </row>
    <row r="1277" spans="1:3" x14ac:dyDescent="0.25">
      <c r="A1277" s="22" t="e">
        <f>CONCATENATE('BASE OBZ'!#REF!,"PROG")</f>
        <v>#REF!</v>
      </c>
      <c r="B1277" s="22" t="e">
        <f>CONCATENATE("P",(LEFT('BASE OBZ'!#REF!,3)),'BASE OBZ'!#REF!)</f>
        <v>#REF!</v>
      </c>
      <c r="C1277" t="s">
        <v>1777</v>
      </c>
    </row>
    <row r="1278" spans="1:3" x14ac:dyDescent="0.25">
      <c r="A1278" s="22" t="e">
        <f>CONCATENATE('BASE OBZ'!#REF!,"PROG")</f>
        <v>#REF!</v>
      </c>
      <c r="B1278" s="22" t="e">
        <f>CONCATENATE("P",(LEFT('BASE OBZ'!#REF!,3)),'BASE OBZ'!#REF!)</f>
        <v>#REF!</v>
      </c>
      <c r="C1278" t="s">
        <v>1777</v>
      </c>
    </row>
    <row r="1279" spans="1:3" x14ac:dyDescent="0.25">
      <c r="A1279" s="22" t="e">
        <f>CONCATENATE('BASE OBZ'!#REF!,"PROG")</f>
        <v>#REF!</v>
      </c>
      <c r="B1279" s="22" t="e">
        <f>CONCATENATE("P",(LEFT('BASE OBZ'!#REF!,3)),'BASE OBZ'!#REF!)</f>
        <v>#REF!</v>
      </c>
      <c r="C1279" t="s">
        <v>1777</v>
      </c>
    </row>
    <row r="1280" spans="1:3" x14ac:dyDescent="0.25">
      <c r="A1280" s="22" t="e">
        <f>CONCATENATE('BASE OBZ'!#REF!,"PROG")</f>
        <v>#REF!</v>
      </c>
      <c r="B1280" s="22" t="e">
        <f>CONCATENATE("P",(LEFT('BASE OBZ'!#REF!,3)),'BASE OBZ'!#REF!)</f>
        <v>#REF!</v>
      </c>
      <c r="C1280" t="s">
        <v>1777</v>
      </c>
    </row>
    <row r="1281" spans="1:3" x14ac:dyDescent="0.25">
      <c r="A1281" s="22" t="e">
        <f>CONCATENATE('BASE OBZ'!#REF!,"PROG")</f>
        <v>#REF!</v>
      </c>
      <c r="B1281" s="22" t="e">
        <f>CONCATENATE("P",(LEFT('BASE OBZ'!#REF!,3)),'BASE OBZ'!#REF!)</f>
        <v>#REF!</v>
      </c>
      <c r="C1281" t="s">
        <v>1777</v>
      </c>
    </row>
    <row r="1282" spans="1:3" x14ac:dyDescent="0.25">
      <c r="A1282" s="22" t="e">
        <f>CONCATENATE('BASE OBZ'!#REF!,"PROG")</f>
        <v>#REF!</v>
      </c>
      <c r="B1282" s="22" t="e">
        <f>CONCATENATE("P",(LEFT('BASE OBZ'!#REF!,3)),'BASE OBZ'!#REF!)</f>
        <v>#REF!</v>
      </c>
      <c r="C1282" t="s">
        <v>1777</v>
      </c>
    </row>
    <row r="1283" spans="1:3" x14ac:dyDescent="0.25">
      <c r="A1283" s="22" t="e">
        <f>CONCATENATE('BASE OBZ'!#REF!,"PROG")</f>
        <v>#REF!</v>
      </c>
      <c r="B1283" s="22" t="e">
        <f>CONCATENATE("P",(LEFT('BASE OBZ'!#REF!,3)),'BASE OBZ'!#REF!)</f>
        <v>#REF!</v>
      </c>
      <c r="C1283" t="s">
        <v>1777</v>
      </c>
    </row>
    <row r="1284" spans="1:3" x14ac:dyDescent="0.25">
      <c r="A1284" s="22" t="e">
        <f>CONCATENATE('BASE OBZ'!#REF!,"PROG")</f>
        <v>#REF!</v>
      </c>
      <c r="B1284" s="22" t="e">
        <f>CONCATENATE("P",(LEFT('BASE OBZ'!#REF!,3)),'BASE OBZ'!#REF!)</f>
        <v>#REF!</v>
      </c>
      <c r="C1284" t="s">
        <v>1777</v>
      </c>
    </row>
    <row r="1285" spans="1:3" x14ac:dyDescent="0.25">
      <c r="A1285" s="22" t="e">
        <f>CONCATENATE('BASE OBZ'!#REF!,"PROG")</f>
        <v>#REF!</v>
      </c>
      <c r="B1285" s="22" t="e">
        <f>CONCATENATE("P",(LEFT('BASE OBZ'!#REF!,3)),'BASE OBZ'!#REF!)</f>
        <v>#REF!</v>
      </c>
      <c r="C1285" t="s">
        <v>1777</v>
      </c>
    </row>
    <row r="1286" spans="1:3" x14ac:dyDescent="0.25">
      <c r="A1286" s="22" t="e">
        <f>CONCATENATE('BASE OBZ'!#REF!,"PROG")</f>
        <v>#REF!</v>
      </c>
      <c r="B1286" s="22" t="e">
        <f>CONCATENATE("P",(LEFT('BASE OBZ'!#REF!,3)),'BASE OBZ'!#REF!)</f>
        <v>#REF!</v>
      </c>
      <c r="C1286" t="s">
        <v>1777</v>
      </c>
    </row>
    <row r="1287" spans="1:3" x14ac:dyDescent="0.25">
      <c r="A1287" s="22" t="e">
        <f>CONCATENATE('BASE OBZ'!#REF!,"PROG")</f>
        <v>#REF!</v>
      </c>
      <c r="B1287" s="22" t="e">
        <f>CONCATENATE("P",(LEFT('BASE OBZ'!#REF!,3)),'BASE OBZ'!#REF!)</f>
        <v>#REF!</v>
      </c>
      <c r="C1287" t="s">
        <v>1777</v>
      </c>
    </row>
    <row r="1288" spans="1:3" x14ac:dyDescent="0.25">
      <c r="A1288" s="22" t="e">
        <f>CONCATENATE('BASE OBZ'!#REF!,"PROG")</f>
        <v>#REF!</v>
      </c>
      <c r="B1288" s="22" t="e">
        <f>CONCATENATE("P",(LEFT('BASE OBZ'!#REF!,3)),'BASE OBZ'!#REF!)</f>
        <v>#REF!</v>
      </c>
      <c r="C1288" t="s">
        <v>1777</v>
      </c>
    </row>
    <row r="1289" spans="1:3" x14ac:dyDescent="0.25">
      <c r="A1289" s="22" t="e">
        <f>CONCATENATE('BASE OBZ'!#REF!,"PROG")</f>
        <v>#REF!</v>
      </c>
      <c r="B1289" s="22" t="e">
        <f>CONCATENATE("P",(LEFT('BASE OBZ'!#REF!,3)),'BASE OBZ'!#REF!)</f>
        <v>#REF!</v>
      </c>
      <c r="C1289" t="s">
        <v>1777</v>
      </c>
    </row>
    <row r="1290" spans="1:3" x14ac:dyDescent="0.25">
      <c r="A1290" s="22" t="e">
        <f>CONCATENATE('BASE OBZ'!#REF!,"PROG")</f>
        <v>#REF!</v>
      </c>
      <c r="B1290" s="22" t="e">
        <f>CONCATENATE("P",(LEFT('BASE OBZ'!#REF!,3)),'BASE OBZ'!#REF!)</f>
        <v>#REF!</v>
      </c>
      <c r="C1290" t="s">
        <v>1777</v>
      </c>
    </row>
    <row r="1291" spans="1:3" x14ac:dyDescent="0.25">
      <c r="A1291" s="22" t="e">
        <f>CONCATENATE('BASE OBZ'!#REF!,"PROG")</f>
        <v>#REF!</v>
      </c>
      <c r="B1291" s="22" t="e">
        <f>CONCATENATE("P",(LEFT('BASE OBZ'!#REF!,3)),'BASE OBZ'!#REF!)</f>
        <v>#REF!</v>
      </c>
      <c r="C1291" t="s">
        <v>1777</v>
      </c>
    </row>
    <row r="1292" spans="1:3" x14ac:dyDescent="0.25">
      <c r="A1292" s="22" t="e">
        <f>CONCATENATE('BASE OBZ'!#REF!,"PROG")</f>
        <v>#REF!</v>
      </c>
      <c r="B1292" s="22" t="e">
        <f>CONCATENATE("P",(LEFT('BASE OBZ'!#REF!,3)),'BASE OBZ'!#REF!)</f>
        <v>#REF!</v>
      </c>
      <c r="C1292" t="s">
        <v>1777</v>
      </c>
    </row>
    <row r="1293" spans="1:3" x14ac:dyDescent="0.25">
      <c r="A1293" s="22" t="e">
        <f>CONCATENATE('BASE OBZ'!#REF!,"PROG")</f>
        <v>#REF!</v>
      </c>
      <c r="B1293" s="22" t="e">
        <f>CONCATENATE("P",(LEFT('BASE OBZ'!#REF!,3)),'BASE OBZ'!#REF!)</f>
        <v>#REF!</v>
      </c>
      <c r="C1293" t="s">
        <v>1777</v>
      </c>
    </row>
    <row r="1294" spans="1:3" x14ac:dyDescent="0.25">
      <c r="A1294" s="22" t="e">
        <f>CONCATENATE('BASE OBZ'!#REF!,"PROG")</f>
        <v>#REF!</v>
      </c>
      <c r="B1294" s="22" t="e">
        <f>CONCATENATE("P",(LEFT('BASE OBZ'!#REF!,3)),'BASE OBZ'!#REF!)</f>
        <v>#REF!</v>
      </c>
      <c r="C1294" t="s">
        <v>1777</v>
      </c>
    </row>
    <row r="1295" spans="1:3" x14ac:dyDescent="0.25">
      <c r="A1295" s="22" t="e">
        <f>CONCATENATE('BASE OBZ'!#REF!,"PROG")</f>
        <v>#REF!</v>
      </c>
      <c r="B1295" s="22" t="e">
        <f>CONCATENATE("P",(LEFT('BASE OBZ'!#REF!,3)),'BASE OBZ'!#REF!)</f>
        <v>#REF!</v>
      </c>
      <c r="C1295" t="s">
        <v>1777</v>
      </c>
    </row>
    <row r="1296" spans="1:3" x14ac:dyDescent="0.25">
      <c r="A1296" s="22" t="e">
        <f>CONCATENATE('BASE OBZ'!#REF!,"PROG")</f>
        <v>#REF!</v>
      </c>
      <c r="B1296" s="22" t="e">
        <f>CONCATENATE("P",(LEFT('BASE OBZ'!#REF!,3)),'BASE OBZ'!#REF!)</f>
        <v>#REF!</v>
      </c>
      <c r="C1296" t="s">
        <v>1777</v>
      </c>
    </row>
    <row r="1297" spans="1:3" x14ac:dyDescent="0.25">
      <c r="A1297" s="22" t="e">
        <f>CONCATENATE('BASE OBZ'!#REF!,"PROG")</f>
        <v>#REF!</v>
      </c>
      <c r="B1297" s="22" t="e">
        <f>CONCATENATE("P",(LEFT('BASE OBZ'!#REF!,3)),'BASE OBZ'!#REF!)</f>
        <v>#REF!</v>
      </c>
      <c r="C1297" t="s">
        <v>1777</v>
      </c>
    </row>
    <row r="1298" spans="1:3" x14ac:dyDescent="0.25">
      <c r="A1298" s="22" t="e">
        <f>CONCATENATE('BASE OBZ'!#REF!,"PROG")</f>
        <v>#REF!</v>
      </c>
      <c r="B1298" s="22" t="e">
        <f>CONCATENATE("P",(LEFT('BASE OBZ'!#REF!,3)),'BASE OBZ'!#REF!)</f>
        <v>#REF!</v>
      </c>
      <c r="C1298" t="s">
        <v>1777</v>
      </c>
    </row>
    <row r="1299" spans="1:3" x14ac:dyDescent="0.25">
      <c r="A1299" s="22" t="e">
        <f>CONCATENATE('BASE OBZ'!#REF!,"PROG")</f>
        <v>#REF!</v>
      </c>
      <c r="B1299" s="22" t="e">
        <f>CONCATENATE("P",(LEFT('BASE OBZ'!#REF!,3)),'BASE OBZ'!#REF!)</f>
        <v>#REF!</v>
      </c>
      <c r="C1299" t="s">
        <v>1777</v>
      </c>
    </row>
    <row r="1300" spans="1:3" x14ac:dyDescent="0.25">
      <c r="A1300" s="22" t="e">
        <f>CONCATENATE('BASE OBZ'!#REF!,"PROG")</f>
        <v>#REF!</v>
      </c>
      <c r="B1300" s="22" t="e">
        <f>CONCATENATE("P",(LEFT('BASE OBZ'!#REF!,3)),'BASE OBZ'!#REF!)</f>
        <v>#REF!</v>
      </c>
      <c r="C1300" t="s">
        <v>1777</v>
      </c>
    </row>
    <row r="1301" spans="1:3" x14ac:dyDescent="0.25">
      <c r="A1301" s="22" t="e">
        <f>CONCATENATE('BASE OBZ'!#REF!,"PROG")</f>
        <v>#REF!</v>
      </c>
      <c r="B1301" s="22" t="e">
        <f>CONCATENATE("P",(LEFT('BASE OBZ'!#REF!,3)),'BASE OBZ'!#REF!)</f>
        <v>#REF!</v>
      </c>
      <c r="C1301" t="s">
        <v>1777</v>
      </c>
    </row>
    <row r="1302" spans="1:3" x14ac:dyDescent="0.25">
      <c r="A1302" s="22" t="e">
        <f>CONCATENATE('BASE OBZ'!#REF!,"PROG")</f>
        <v>#REF!</v>
      </c>
      <c r="B1302" s="22" t="e">
        <f>CONCATENATE("P",(LEFT('BASE OBZ'!#REF!,3)),'BASE OBZ'!#REF!)</f>
        <v>#REF!</v>
      </c>
      <c r="C1302" t="s">
        <v>1777</v>
      </c>
    </row>
    <row r="1303" spans="1:3" x14ac:dyDescent="0.25">
      <c r="A1303" s="22" t="e">
        <f>CONCATENATE('BASE OBZ'!#REF!,"PROG")</f>
        <v>#REF!</v>
      </c>
      <c r="B1303" s="22" t="e">
        <f>CONCATENATE("P",(LEFT('BASE OBZ'!#REF!,3)),'BASE OBZ'!#REF!)</f>
        <v>#REF!</v>
      </c>
      <c r="C1303" t="s">
        <v>1777</v>
      </c>
    </row>
    <row r="1304" spans="1:3" x14ac:dyDescent="0.25">
      <c r="A1304" s="22" t="e">
        <f>CONCATENATE('BASE OBZ'!#REF!,"PROG")</f>
        <v>#REF!</v>
      </c>
      <c r="B1304" s="22" t="e">
        <f>CONCATENATE("P",(LEFT('BASE OBZ'!#REF!,3)),'BASE OBZ'!#REF!)</f>
        <v>#REF!</v>
      </c>
      <c r="C1304" t="s">
        <v>1777</v>
      </c>
    </row>
    <row r="1305" spans="1:3" x14ac:dyDescent="0.25">
      <c r="A1305" s="22" t="e">
        <f>CONCATENATE('BASE OBZ'!#REF!,"PROG")</f>
        <v>#REF!</v>
      </c>
      <c r="B1305" s="22" t="e">
        <f>CONCATENATE("P",(LEFT('BASE OBZ'!#REF!,3)),'BASE OBZ'!#REF!)</f>
        <v>#REF!</v>
      </c>
      <c r="C1305" t="s">
        <v>1777</v>
      </c>
    </row>
    <row r="1306" spans="1:3" x14ac:dyDescent="0.25">
      <c r="A1306" s="22" t="e">
        <f>CONCATENATE('BASE OBZ'!#REF!,"PROG")</f>
        <v>#REF!</v>
      </c>
      <c r="B1306" s="22" t="e">
        <f>CONCATENATE("P",(LEFT('BASE OBZ'!#REF!,3)),'BASE OBZ'!#REF!)</f>
        <v>#REF!</v>
      </c>
      <c r="C1306" t="s">
        <v>1777</v>
      </c>
    </row>
    <row r="1307" spans="1:3" x14ac:dyDescent="0.25">
      <c r="A1307" s="22" t="e">
        <f>CONCATENATE('BASE OBZ'!#REF!,"PROG")</f>
        <v>#REF!</v>
      </c>
      <c r="B1307" s="22" t="e">
        <f>CONCATENATE("P",(LEFT('BASE OBZ'!#REF!,3)),'BASE OBZ'!#REF!)</f>
        <v>#REF!</v>
      </c>
      <c r="C1307" t="s">
        <v>1777</v>
      </c>
    </row>
    <row r="1308" spans="1:3" x14ac:dyDescent="0.25">
      <c r="A1308" s="22" t="e">
        <f>CONCATENATE('BASE OBZ'!#REF!,"PROG")</f>
        <v>#REF!</v>
      </c>
      <c r="B1308" s="22" t="e">
        <f>CONCATENATE("P",(LEFT('BASE OBZ'!#REF!,3)),'BASE OBZ'!#REF!)</f>
        <v>#REF!</v>
      </c>
      <c r="C1308" t="s">
        <v>1777</v>
      </c>
    </row>
    <row r="1309" spans="1:3" x14ac:dyDescent="0.25">
      <c r="A1309" s="22" t="e">
        <f>CONCATENATE('BASE OBZ'!#REF!,"PROG")</f>
        <v>#REF!</v>
      </c>
      <c r="B1309" s="22" t="e">
        <f>CONCATENATE("P",(LEFT('BASE OBZ'!#REF!,3)),'BASE OBZ'!#REF!)</f>
        <v>#REF!</v>
      </c>
      <c r="C1309" t="s">
        <v>1777</v>
      </c>
    </row>
    <row r="1310" spans="1:3" x14ac:dyDescent="0.25">
      <c r="A1310" s="22" t="e">
        <f>CONCATENATE('BASE OBZ'!#REF!,"PROG")</f>
        <v>#REF!</v>
      </c>
      <c r="B1310" s="22" t="e">
        <f>CONCATENATE("P",(LEFT('BASE OBZ'!#REF!,3)),'BASE OBZ'!#REF!)</f>
        <v>#REF!</v>
      </c>
      <c r="C1310" t="s">
        <v>1777</v>
      </c>
    </row>
    <row r="1311" spans="1:3" x14ac:dyDescent="0.25">
      <c r="A1311" s="22" t="e">
        <f>CONCATENATE('BASE OBZ'!#REF!,"PROG")</f>
        <v>#REF!</v>
      </c>
      <c r="B1311" s="22" t="e">
        <f>CONCATENATE("P",(LEFT('BASE OBZ'!#REF!,3)),'BASE OBZ'!#REF!)</f>
        <v>#REF!</v>
      </c>
      <c r="C1311" t="s">
        <v>1777</v>
      </c>
    </row>
    <row r="1312" spans="1:3" x14ac:dyDescent="0.25">
      <c r="A1312" s="22" t="e">
        <f>CONCATENATE('BASE OBZ'!#REF!,"PROG")</f>
        <v>#REF!</v>
      </c>
      <c r="B1312" s="22" t="e">
        <f>CONCATENATE("P",(LEFT('BASE OBZ'!#REF!,3)),'BASE OBZ'!#REF!)</f>
        <v>#REF!</v>
      </c>
      <c r="C1312" t="s">
        <v>1777</v>
      </c>
    </row>
    <row r="1313" spans="1:3" x14ac:dyDescent="0.25">
      <c r="A1313" s="22" t="e">
        <f>CONCATENATE('BASE OBZ'!#REF!,"PROG")</f>
        <v>#REF!</v>
      </c>
      <c r="B1313" s="22" t="e">
        <f>CONCATENATE("P",(LEFT('BASE OBZ'!#REF!,3)),'BASE OBZ'!#REF!)</f>
        <v>#REF!</v>
      </c>
      <c r="C1313" t="s">
        <v>1777</v>
      </c>
    </row>
    <row r="1314" spans="1:3" x14ac:dyDescent="0.25">
      <c r="A1314" s="22" t="e">
        <f>CONCATENATE('BASE OBZ'!#REF!,"PROG")</f>
        <v>#REF!</v>
      </c>
      <c r="B1314" s="22" t="e">
        <f>CONCATENATE("P",(LEFT('BASE OBZ'!#REF!,3)),'BASE OBZ'!#REF!)</f>
        <v>#REF!</v>
      </c>
      <c r="C1314" t="s">
        <v>1777</v>
      </c>
    </row>
    <row r="1315" spans="1:3" x14ac:dyDescent="0.25">
      <c r="A1315" s="22" t="e">
        <f>CONCATENATE('BASE OBZ'!#REF!,"PROG")</f>
        <v>#REF!</v>
      </c>
      <c r="B1315" s="22" t="e">
        <f>CONCATENATE("P",(LEFT('BASE OBZ'!#REF!,3)),'BASE OBZ'!#REF!)</f>
        <v>#REF!</v>
      </c>
      <c r="C1315" t="s">
        <v>1777</v>
      </c>
    </row>
    <row r="1316" spans="1:3" x14ac:dyDescent="0.25">
      <c r="A1316" s="22" t="e">
        <f>CONCATENATE('BASE OBZ'!#REF!,"PROG")</f>
        <v>#REF!</v>
      </c>
      <c r="B1316" s="22" t="e">
        <f>CONCATENATE("P",(LEFT('BASE OBZ'!#REF!,3)),'BASE OBZ'!#REF!)</f>
        <v>#REF!</v>
      </c>
      <c r="C1316" t="s">
        <v>1777</v>
      </c>
    </row>
    <row r="1317" spans="1:3" x14ac:dyDescent="0.25">
      <c r="A1317" s="22" t="e">
        <f>CONCATENATE('BASE OBZ'!#REF!,"PROG")</f>
        <v>#REF!</v>
      </c>
      <c r="B1317" s="22" t="e">
        <f>CONCATENATE("P",(LEFT('BASE OBZ'!#REF!,3)),'BASE OBZ'!#REF!)</f>
        <v>#REF!</v>
      </c>
      <c r="C1317" t="s">
        <v>1777</v>
      </c>
    </row>
    <row r="1318" spans="1:3" x14ac:dyDescent="0.25">
      <c r="A1318" s="22" t="e">
        <f>CONCATENATE('BASE OBZ'!#REF!,"PROG")</f>
        <v>#REF!</v>
      </c>
      <c r="B1318" s="22" t="e">
        <f>CONCATENATE("P",(LEFT('BASE OBZ'!#REF!,3)),'BASE OBZ'!#REF!)</f>
        <v>#REF!</v>
      </c>
      <c r="C1318" t="s">
        <v>1777</v>
      </c>
    </row>
    <row r="1319" spans="1:3" x14ac:dyDescent="0.25">
      <c r="A1319" s="22" t="e">
        <f>CONCATENATE('BASE OBZ'!#REF!,"PROG")</f>
        <v>#REF!</v>
      </c>
      <c r="B1319" s="22" t="e">
        <f>CONCATENATE("P",(LEFT('BASE OBZ'!#REF!,3)),'BASE OBZ'!#REF!)</f>
        <v>#REF!</v>
      </c>
      <c r="C1319" t="s">
        <v>1777</v>
      </c>
    </row>
    <row r="1320" spans="1:3" x14ac:dyDescent="0.25">
      <c r="A1320" s="22" t="e">
        <f>CONCATENATE('BASE OBZ'!#REF!,"PROG")</f>
        <v>#REF!</v>
      </c>
      <c r="B1320" s="22" t="e">
        <f>CONCATENATE("P",(LEFT('BASE OBZ'!#REF!,3)),'BASE OBZ'!#REF!)</f>
        <v>#REF!</v>
      </c>
      <c r="C1320" t="s">
        <v>1777</v>
      </c>
    </row>
    <row r="1321" spans="1:3" x14ac:dyDescent="0.25">
      <c r="A1321" s="22" t="e">
        <f>CONCATENATE('BASE OBZ'!#REF!,"PROG")</f>
        <v>#REF!</v>
      </c>
      <c r="B1321" s="22" t="e">
        <f>CONCATENATE("P",(LEFT('BASE OBZ'!#REF!,3)),'BASE OBZ'!#REF!)</f>
        <v>#REF!</v>
      </c>
      <c r="C1321" t="s">
        <v>1777</v>
      </c>
    </row>
    <row r="1322" spans="1:3" x14ac:dyDescent="0.25">
      <c r="A1322" s="22" t="e">
        <f>CONCATENATE('BASE OBZ'!#REF!,"PROG")</f>
        <v>#REF!</v>
      </c>
      <c r="B1322" s="22" t="e">
        <f>CONCATENATE("P",(LEFT('BASE OBZ'!#REF!,3)),'BASE OBZ'!#REF!)</f>
        <v>#REF!</v>
      </c>
      <c r="C1322" t="s">
        <v>1777</v>
      </c>
    </row>
    <row r="1323" spans="1:3" x14ac:dyDescent="0.25">
      <c r="A1323" s="22" t="e">
        <f>CONCATENATE('BASE OBZ'!#REF!,"PROG")</f>
        <v>#REF!</v>
      </c>
      <c r="B1323" s="22" t="e">
        <f>CONCATENATE("P",(LEFT('BASE OBZ'!#REF!,3)),'BASE OBZ'!#REF!)</f>
        <v>#REF!</v>
      </c>
      <c r="C1323" t="s">
        <v>1777</v>
      </c>
    </row>
    <row r="1324" spans="1:3" x14ac:dyDescent="0.25">
      <c r="A1324" s="22" t="e">
        <f>CONCATENATE('BASE OBZ'!#REF!,"PROG")</f>
        <v>#REF!</v>
      </c>
      <c r="B1324" s="22" t="e">
        <f>CONCATENATE("P",(LEFT('BASE OBZ'!#REF!,3)),'BASE OBZ'!#REF!)</f>
        <v>#REF!</v>
      </c>
      <c r="C1324" t="s">
        <v>1777</v>
      </c>
    </row>
    <row r="1325" spans="1:3" x14ac:dyDescent="0.25">
      <c r="A1325" s="22" t="e">
        <f>CONCATENATE('BASE OBZ'!#REF!,"PROG")</f>
        <v>#REF!</v>
      </c>
      <c r="B1325" s="22" t="e">
        <f>CONCATENATE("P",(LEFT('BASE OBZ'!#REF!,3)),'BASE OBZ'!#REF!)</f>
        <v>#REF!</v>
      </c>
      <c r="C1325" t="s">
        <v>1777</v>
      </c>
    </row>
    <row r="1326" spans="1:3" x14ac:dyDescent="0.25">
      <c r="A1326" s="22" t="e">
        <f>CONCATENATE('BASE OBZ'!#REF!,"PROG")</f>
        <v>#REF!</v>
      </c>
      <c r="B1326" s="22" t="e">
        <f>CONCATENATE("P",(LEFT('BASE OBZ'!#REF!,3)),'BASE OBZ'!#REF!)</f>
        <v>#REF!</v>
      </c>
      <c r="C1326" t="s">
        <v>1777</v>
      </c>
    </row>
    <row r="1327" spans="1:3" x14ac:dyDescent="0.25">
      <c r="A1327" s="22" t="e">
        <f>CONCATENATE('BASE OBZ'!#REF!,"PROG")</f>
        <v>#REF!</v>
      </c>
      <c r="B1327" s="22" t="e">
        <f>CONCATENATE("P",(LEFT('BASE OBZ'!#REF!,3)),'BASE OBZ'!#REF!)</f>
        <v>#REF!</v>
      </c>
      <c r="C1327" t="s">
        <v>1777</v>
      </c>
    </row>
    <row r="1328" spans="1:3" x14ac:dyDescent="0.25">
      <c r="A1328" s="22" t="e">
        <f>CONCATENATE('BASE OBZ'!#REF!,"PROG")</f>
        <v>#REF!</v>
      </c>
      <c r="B1328" s="22" t="e">
        <f>CONCATENATE("P",(LEFT('BASE OBZ'!#REF!,3)),'BASE OBZ'!#REF!)</f>
        <v>#REF!</v>
      </c>
      <c r="C1328" t="s">
        <v>1777</v>
      </c>
    </row>
    <row r="1329" spans="1:3" x14ac:dyDescent="0.25">
      <c r="A1329" s="22" t="e">
        <f>CONCATENATE('BASE OBZ'!#REF!,"PROG")</f>
        <v>#REF!</v>
      </c>
      <c r="B1329" s="22" t="e">
        <f>CONCATENATE("P",(LEFT('BASE OBZ'!#REF!,3)),'BASE OBZ'!#REF!)</f>
        <v>#REF!</v>
      </c>
      <c r="C1329" t="s">
        <v>1777</v>
      </c>
    </row>
    <row r="1330" spans="1:3" x14ac:dyDescent="0.25">
      <c r="A1330" s="22" t="e">
        <f>CONCATENATE('BASE OBZ'!#REF!,"PROG")</f>
        <v>#REF!</v>
      </c>
      <c r="B1330" s="22" t="e">
        <f>CONCATENATE("P",(LEFT('BASE OBZ'!#REF!,3)),'BASE OBZ'!#REF!)</f>
        <v>#REF!</v>
      </c>
      <c r="C1330" t="s">
        <v>1777</v>
      </c>
    </row>
    <row r="1331" spans="1:3" x14ac:dyDescent="0.25">
      <c r="A1331" s="22" t="e">
        <f>CONCATENATE('BASE OBZ'!#REF!,"PROG")</f>
        <v>#REF!</v>
      </c>
      <c r="B1331" s="22" t="e">
        <f>CONCATENATE("P",(LEFT('BASE OBZ'!#REF!,3)),'BASE OBZ'!#REF!)</f>
        <v>#REF!</v>
      </c>
      <c r="C1331" t="s">
        <v>1777</v>
      </c>
    </row>
    <row r="1332" spans="1:3" x14ac:dyDescent="0.25">
      <c r="A1332" s="22" t="e">
        <f>CONCATENATE('BASE OBZ'!#REF!,"PROG")</f>
        <v>#REF!</v>
      </c>
      <c r="B1332" s="22" t="e">
        <f>CONCATENATE("P",(LEFT('BASE OBZ'!#REF!,3)),'BASE OBZ'!#REF!)</f>
        <v>#REF!</v>
      </c>
      <c r="C1332" t="s">
        <v>1777</v>
      </c>
    </row>
    <row r="1333" spans="1:3" x14ac:dyDescent="0.25">
      <c r="A1333" s="22" t="e">
        <f>CONCATENATE('BASE OBZ'!#REF!,"PROG")</f>
        <v>#REF!</v>
      </c>
      <c r="B1333" s="22" t="e">
        <f>CONCATENATE("P",(LEFT('BASE OBZ'!#REF!,3)),'BASE OBZ'!#REF!)</f>
        <v>#REF!</v>
      </c>
      <c r="C1333" t="s">
        <v>1777</v>
      </c>
    </row>
    <row r="1334" spans="1:3" x14ac:dyDescent="0.25">
      <c r="A1334" s="22" t="e">
        <f>CONCATENATE('BASE OBZ'!#REF!,"PROG")</f>
        <v>#REF!</v>
      </c>
      <c r="B1334" s="22" t="e">
        <f>CONCATENATE("P",(LEFT('BASE OBZ'!#REF!,3)),'BASE OBZ'!#REF!)</f>
        <v>#REF!</v>
      </c>
      <c r="C1334" t="s">
        <v>1777</v>
      </c>
    </row>
    <row r="1335" spans="1:3" x14ac:dyDescent="0.25">
      <c r="A1335" s="22" t="e">
        <f>CONCATENATE('BASE OBZ'!#REF!,"PROG")</f>
        <v>#REF!</v>
      </c>
      <c r="B1335" s="22" t="e">
        <f>CONCATENATE("P",(LEFT('BASE OBZ'!#REF!,3)),'BASE OBZ'!#REF!)</f>
        <v>#REF!</v>
      </c>
      <c r="C1335" t="s">
        <v>1777</v>
      </c>
    </row>
    <row r="1336" spans="1:3" x14ac:dyDescent="0.25">
      <c r="A1336" s="22" t="e">
        <f>CONCATENATE('BASE OBZ'!#REF!,"PROG")</f>
        <v>#REF!</v>
      </c>
      <c r="B1336" s="22" t="e">
        <f>CONCATENATE("P",(LEFT('BASE OBZ'!#REF!,3)),'BASE OBZ'!#REF!)</f>
        <v>#REF!</v>
      </c>
      <c r="C1336" t="s">
        <v>1777</v>
      </c>
    </row>
    <row r="1337" spans="1:3" x14ac:dyDescent="0.25">
      <c r="A1337" s="22" t="e">
        <f>CONCATENATE('BASE OBZ'!#REF!,"PROG")</f>
        <v>#REF!</v>
      </c>
      <c r="B1337" s="22" t="e">
        <f>CONCATENATE("P",(LEFT('BASE OBZ'!#REF!,3)),'BASE OBZ'!#REF!)</f>
        <v>#REF!</v>
      </c>
      <c r="C1337" t="s">
        <v>1777</v>
      </c>
    </row>
    <row r="1338" spans="1:3" x14ac:dyDescent="0.25">
      <c r="A1338" s="22" t="e">
        <f>CONCATENATE('BASE OBZ'!#REF!,"PROG")</f>
        <v>#REF!</v>
      </c>
      <c r="B1338" s="22" t="e">
        <f>CONCATENATE("P",(LEFT('BASE OBZ'!#REF!,3)),'BASE OBZ'!#REF!)</f>
        <v>#REF!</v>
      </c>
      <c r="C1338" t="s">
        <v>1777</v>
      </c>
    </row>
    <row r="1339" spans="1:3" x14ac:dyDescent="0.25">
      <c r="A1339" s="22" t="e">
        <f>CONCATENATE('BASE OBZ'!#REF!,"PROG")</f>
        <v>#REF!</v>
      </c>
      <c r="B1339" s="22" t="e">
        <f>CONCATENATE("P",(LEFT('BASE OBZ'!#REF!,3)),'BASE OBZ'!#REF!)</f>
        <v>#REF!</v>
      </c>
      <c r="C1339" t="s">
        <v>1777</v>
      </c>
    </row>
    <row r="1340" spans="1:3" x14ac:dyDescent="0.25">
      <c r="A1340" s="22" t="e">
        <f>CONCATENATE('BASE OBZ'!#REF!,"PROG")</f>
        <v>#REF!</v>
      </c>
      <c r="B1340" s="22" t="e">
        <f>CONCATENATE("P",(LEFT('BASE OBZ'!#REF!,3)),'BASE OBZ'!#REF!)</f>
        <v>#REF!</v>
      </c>
      <c r="C1340" t="s">
        <v>1777</v>
      </c>
    </row>
    <row r="1341" spans="1:3" x14ac:dyDescent="0.25">
      <c r="A1341" s="22" t="e">
        <f>CONCATENATE('BASE OBZ'!#REF!,"PROG")</f>
        <v>#REF!</v>
      </c>
      <c r="B1341" s="22" t="e">
        <f>CONCATENATE("P",(LEFT('BASE OBZ'!#REF!,3)),'BASE OBZ'!#REF!)</f>
        <v>#REF!</v>
      </c>
      <c r="C1341" t="s">
        <v>1777</v>
      </c>
    </row>
    <row r="1342" spans="1:3" x14ac:dyDescent="0.25">
      <c r="A1342" s="22" t="e">
        <f>CONCATENATE('BASE OBZ'!#REF!,"PROG")</f>
        <v>#REF!</v>
      </c>
      <c r="B1342" s="22" t="e">
        <f>CONCATENATE("P",(LEFT('BASE OBZ'!#REF!,3)),'BASE OBZ'!#REF!)</f>
        <v>#REF!</v>
      </c>
      <c r="C1342" t="s">
        <v>1777</v>
      </c>
    </row>
    <row r="1343" spans="1:3" x14ac:dyDescent="0.25">
      <c r="A1343" s="22" t="e">
        <f>CONCATENATE('BASE OBZ'!#REF!,"PROG")</f>
        <v>#REF!</v>
      </c>
      <c r="B1343" s="22" t="e">
        <f>CONCATENATE("P",(LEFT('BASE OBZ'!#REF!,3)),'BASE OBZ'!#REF!)</f>
        <v>#REF!</v>
      </c>
      <c r="C1343" t="s">
        <v>1777</v>
      </c>
    </row>
    <row r="1344" spans="1:3" x14ac:dyDescent="0.25">
      <c r="A1344" s="22" t="e">
        <f>CONCATENATE('BASE OBZ'!#REF!,"PROG")</f>
        <v>#REF!</v>
      </c>
      <c r="B1344" s="22" t="e">
        <f>CONCATENATE("P",(LEFT('BASE OBZ'!#REF!,3)),'BASE OBZ'!#REF!)</f>
        <v>#REF!</v>
      </c>
      <c r="C1344" t="s">
        <v>1777</v>
      </c>
    </row>
    <row r="1345" spans="1:3" x14ac:dyDescent="0.25">
      <c r="A1345" s="22" t="e">
        <f>CONCATENATE('BASE OBZ'!#REF!,"PROG")</f>
        <v>#REF!</v>
      </c>
      <c r="B1345" s="22" t="e">
        <f>CONCATENATE("P",(LEFT('BASE OBZ'!#REF!,3)),'BASE OBZ'!#REF!)</f>
        <v>#REF!</v>
      </c>
      <c r="C1345" t="s">
        <v>1777</v>
      </c>
    </row>
    <row r="1346" spans="1:3" x14ac:dyDescent="0.25">
      <c r="A1346" s="22" t="e">
        <f>CONCATENATE('BASE OBZ'!#REF!,"PROG")</f>
        <v>#REF!</v>
      </c>
      <c r="B1346" s="22" t="e">
        <f>CONCATENATE("P",(LEFT('BASE OBZ'!#REF!,3)),'BASE OBZ'!#REF!)</f>
        <v>#REF!</v>
      </c>
      <c r="C1346" t="s">
        <v>1777</v>
      </c>
    </row>
    <row r="1347" spans="1:3" x14ac:dyDescent="0.25">
      <c r="A1347" s="22" t="e">
        <f>CONCATENATE('BASE OBZ'!#REF!,"PROG")</f>
        <v>#REF!</v>
      </c>
      <c r="B1347" s="22" t="e">
        <f>CONCATENATE("P",(LEFT('BASE OBZ'!#REF!,3)),'BASE OBZ'!#REF!)</f>
        <v>#REF!</v>
      </c>
      <c r="C1347" t="s">
        <v>1777</v>
      </c>
    </row>
    <row r="1348" spans="1:3" x14ac:dyDescent="0.25">
      <c r="A1348" s="22" t="e">
        <f>CONCATENATE('BASE OBZ'!#REF!,"PROG")</f>
        <v>#REF!</v>
      </c>
      <c r="B1348" s="22" t="e">
        <f>CONCATENATE("P",(LEFT('BASE OBZ'!#REF!,3)),'BASE OBZ'!#REF!)</f>
        <v>#REF!</v>
      </c>
      <c r="C1348" t="s">
        <v>1777</v>
      </c>
    </row>
    <row r="1349" spans="1:3" x14ac:dyDescent="0.25">
      <c r="A1349" s="22" t="e">
        <f>CONCATENATE('BASE OBZ'!#REF!,"PROG")</f>
        <v>#REF!</v>
      </c>
      <c r="B1349" s="22" t="e">
        <f>CONCATENATE("P",(LEFT('BASE OBZ'!#REF!,3)),'BASE OBZ'!#REF!)</f>
        <v>#REF!</v>
      </c>
      <c r="C1349" t="s">
        <v>1777</v>
      </c>
    </row>
    <row r="1350" spans="1:3" x14ac:dyDescent="0.25">
      <c r="A1350" s="22" t="e">
        <f>CONCATENATE('BASE OBZ'!#REF!,"PROG")</f>
        <v>#REF!</v>
      </c>
      <c r="B1350" s="22" t="e">
        <f>CONCATENATE("P",(LEFT('BASE OBZ'!#REF!,3)),'BASE OBZ'!#REF!)</f>
        <v>#REF!</v>
      </c>
      <c r="C1350" t="s">
        <v>1777</v>
      </c>
    </row>
    <row r="1351" spans="1:3" x14ac:dyDescent="0.25">
      <c r="A1351" s="22" t="e">
        <f>CONCATENATE('BASE OBZ'!#REF!,"PROG")</f>
        <v>#REF!</v>
      </c>
      <c r="B1351" s="22" t="e">
        <f>CONCATENATE("P",(LEFT('BASE OBZ'!#REF!,3)),'BASE OBZ'!#REF!)</f>
        <v>#REF!</v>
      </c>
      <c r="C1351" t="s">
        <v>1777</v>
      </c>
    </row>
    <row r="1352" spans="1:3" x14ac:dyDescent="0.25">
      <c r="A1352" s="22" t="e">
        <f>CONCATENATE('BASE OBZ'!#REF!,"PROG")</f>
        <v>#REF!</v>
      </c>
      <c r="B1352" s="22" t="e">
        <f>CONCATENATE("P",(LEFT('BASE OBZ'!#REF!,3)),'BASE OBZ'!#REF!)</f>
        <v>#REF!</v>
      </c>
      <c r="C1352" t="s">
        <v>1777</v>
      </c>
    </row>
    <row r="1353" spans="1:3" x14ac:dyDescent="0.25">
      <c r="A1353" s="22" t="e">
        <f>CONCATENATE('BASE OBZ'!#REF!,"PROG")</f>
        <v>#REF!</v>
      </c>
      <c r="B1353" s="22" t="e">
        <f>CONCATENATE("P",(LEFT('BASE OBZ'!#REF!,3)),'BASE OBZ'!#REF!)</f>
        <v>#REF!</v>
      </c>
      <c r="C1353" t="s">
        <v>1777</v>
      </c>
    </row>
    <row r="1354" spans="1:3" x14ac:dyDescent="0.25">
      <c r="A1354" s="22" t="e">
        <f>CONCATENATE('BASE OBZ'!#REF!,"PROG")</f>
        <v>#REF!</v>
      </c>
      <c r="B1354" s="22" t="e">
        <f>CONCATENATE("P",(LEFT('BASE OBZ'!#REF!,3)),'BASE OBZ'!#REF!)</f>
        <v>#REF!</v>
      </c>
      <c r="C1354" t="s">
        <v>1777</v>
      </c>
    </row>
    <row r="1355" spans="1:3" x14ac:dyDescent="0.25">
      <c r="A1355" s="22" t="e">
        <f>CONCATENATE('BASE OBZ'!#REF!,"PROG")</f>
        <v>#REF!</v>
      </c>
      <c r="B1355" s="22" t="e">
        <f>CONCATENATE("P",(LEFT('BASE OBZ'!#REF!,3)),'BASE OBZ'!#REF!)</f>
        <v>#REF!</v>
      </c>
      <c r="C1355" t="s">
        <v>1777</v>
      </c>
    </row>
    <row r="1356" spans="1:3" x14ac:dyDescent="0.25">
      <c r="A1356" s="22" t="e">
        <f>CONCATENATE('BASE OBZ'!#REF!,"PROG")</f>
        <v>#REF!</v>
      </c>
      <c r="B1356" s="22" t="e">
        <f>CONCATENATE("P",(LEFT('BASE OBZ'!#REF!,3)),'BASE OBZ'!#REF!)</f>
        <v>#REF!</v>
      </c>
      <c r="C1356" t="s">
        <v>1777</v>
      </c>
    </row>
    <row r="1357" spans="1:3" x14ac:dyDescent="0.25">
      <c r="A1357" s="22" t="e">
        <f>CONCATENATE('BASE OBZ'!#REF!,"PROG")</f>
        <v>#REF!</v>
      </c>
      <c r="B1357" s="22" t="e">
        <f>CONCATENATE("P",(LEFT('BASE OBZ'!#REF!,3)),'BASE OBZ'!#REF!)</f>
        <v>#REF!</v>
      </c>
      <c r="C1357" t="s">
        <v>1777</v>
      </c>
    </row>
    <row r="1358" spans="1:3" x14ac:dyDescent="0.25">
      <c r="A1358" s="22" t="e">
        <f>CONCATENATE('BASE OBZ'!#REF!,"PROG")</f>
        <v>#REF!</v>
      </c>
      <c r="B1358" s="22" t="e">
        <f>CONCATENATE("P",(LEFT('BASE OBZ'!#REF!,3)),'BASE OBZ'!#REF!)</f>
        <v>#REF!</v>
      </c>
      <c r="C1358" t="s">
        <v>1777</v>
      </c>
    </row>
    <row r="1359" spans="1:3" x14ac:dyDescent="0.25">
      <c r="A1359" s="22" t="e">
        <f>CONCATENATE('BASE OBZ'!#REF!,"PROG")</f>
        <v>#REF!</v>
      </c>
      <c r="B1359" s="22" t="e">
        <f>CONCATENATE("P",(LEFT('BASE OBZ'!#REF!,3)),'BASE OBZ'!#REF!)</f>
        <v>#REF!</v>
      </c>
      <c r="C1359" t="s">
        <v>1777</v>
      </c>
    </row>
    <row r="1360" spans="1:3" x14ac:dyDescent="0.25">
      <c r="A1360" s="22" t="e">
        <f>CONCATENATE('BASE OBZ'!#REF!,"PROG")</f>
        <v>#REF!</v>
      </c>
      <c r="B1360" s="22" t="e">
        <f>CONCATENATE("P",(LEFT('BASE OBZ'!#REF!,3)),'BASE OBZ'!#REF!)</f>
        <v>#REF!</v>
      </c>
      <c r="C1360" t="s">
        <v>1777</v>
      </c>
    </row>
    <row r="1361" spans="1:3" x14ac:dyDescent="0.25">
      <c r="A1361" s="22" t="e">
        <f>CONCATENATE('BASE OBZ'!#REF!,"PROG")</f>
        <v>#REF!</v>
      </c>
      <c r="B1361" s="22" t="e">
        <f>CONCATENATE("P",(LEFT('BASE OBZ'!#REF!,3)),'BASE OBZ'!#REF!)</f>
        <v>#REF!</v>
      </c>
      <c r="C1361" t="s">
        <v>1777</v>
      </c>
    </row>
    <row r="1362" spans="1:3" x14ac:dyDescent="0.25">
      <c r="A1362" s="22" t="e">
        <f>CONCATENATE('BASE OBZ'!#REF!,"PROG")</f>
        <v>#REF!</v>
      </c>
      <c r="B1362" s="22" t="e">
        <f>CONCATENATE("P",(LEFT('BASE OBZ'!#REF!,3)),'BASE OBZ'!#REF!)</f>
        <v>#REF!</v>
      </c>
      <c r="C1362" t="s">
        <v>1777</v>
      </c>
    </row>
    <row r="1363" spans="1:3" x14ac:dyDescent="0.25">
      <c r="A1363" s="22" t="e">
        <f>CONCATENATE('BASE OBZ'!#REF!,"PROG")</f>
        <v>#REF!</v>
      </c>
      <c r="B1363" s="22" t="e">
        <f>CONCATENATE("P",(LEFT('BASE OBZ'!#REF!,3)),'BASE OBZ'!#REF!)</f>
        <v>#REF!</v>
      </c>
      <c r="C1363" t="s">
        <v>1777</v>
      </c>
    </row>
    <row r="1364" spans="1:3" x14ac:dyDescent="0.25">
      <c r="A1364" s="22" t="e">
        <f>CONCATENATE('BASE OBZ'!#REF!,"PROG")</f>
        <v>#REF!</v>
      </c>
      <c r="B1364" s="22" t="e">
        <f>CONCATENATE("P",(LEFT('BASE OBZ'!#REF!,3)),'BASE OBZ'!#REF!)</f>
        <v>#REF!</v>
      </c>
      <c r="C1364" t="s">
        <v>1777</v>
      </c>
    </row>
    <row r="1365" spans="1:3" x14ac:dyDescent="0.25">
      <c r="A1365" s="22" t="e">
        <f>CONCATENATE('BASE OBZ'!#REF!,"PROG")</f>
        <v>#REF!</v>
      </c>
      <c r="B1365" s="22" t="e">
        <f>CONCATENATE("P",(LEFT('BASE OBZ'!#REF!,3)),'BASE OBZ'!#REF!)</f>
        <v>#REF!</v>
      </c>
      <c r="C1365" t="s">
        <v>1777</v>
      </c>
    </row>
    <row r="1366" spans="1:3" x14ac:dyDescent="0.25">
      <c r="A1366" s="22" t="e">
        <f>CONCATENATE('BASE OBZ'!#REF!,"PROG")</f>
        <v>#REF!</v>
      </c>
      <c r="B1366" s="22" t="e">
        <f>CONCATENATE("P",(LEFT('BASE OBZ'!#REF!,3)),'BASE OBZ'!#REF!)</f>
        <v>#REF!</v>
      </c>
      <c r="C1366" t="s">
        <v>1777</v>
      </c>
    </row>
    <row r="1367" spans="1:3" x14ac:dyDescent="0.25">
      <c r="A1367" s="22" t="e">
        <f>CONCATENATE('BASE OBZ'!#REF!,"PROG")</f>
        <v>#REF!</v>
      </c>
      <c r="B1367" s="22" t="e">
        <f>CONCATENATE("P",(LEFT('BASE OBZ'!#REF!,3)),'BASE OBZ'!#REF!)</f>
        <v>#REF!</v>
      </c>
      <c r="C1367" t="s">
        <v>1777</v>
      </c>
    </row>
    <row r="1368" spans="1:3" x14ac:dyDescent="0.25">
      <c r="A1368" s="22" t="e">
        <f>CONCATENATE('BASE OBZ'!#REF!,"PROG")</f>
        <v>#REF!</v>
      </c>
      <c r="B1368" s="22" t="e">
        <f>CONCATENATE("P",(LEFT('BASE OBZ'!#REF!,3)),'BASE OBZ'!#REF!)</f>
        <v>#REF!</v>
      </c>
      <c r="C1368" t="s">
        <v>1777</v>
      </c>
    </row>
    <row r="1369" spans="1:3" x14ac:dyDescent="0.25">
      <c r="A1369" s="22" t="e">
        <f>CONCATENATE('BASE OBZ'!#REF!,"PROG")</f>
        <v>#REF!</v>
      </c>
      <c r="B1369" s="22" t="e">
        <f>CONCATENATE("P",(LEFT('BASE OBZ'!#REF!,3)),'BASE OBZ'!#REF!)</f>
        <v>#REF!</v>
      </c>
      <c r="C1369" t="s">
        <v>1777</v>
      </c>
    </row>
    <row r="1370" spans="1:3" x14ac:dyDescent="0.25">
      <c r="A1370" s="22" t="e">
        <f>CONCATENATE('BASE OBZ'!#REF!,"PROG")</f>
        <v>#REF!</v>
      </c>
      <c r="B1370" s="22" t="e">
        <f>CONCATENATE("P",(LEFT('BASE OBZ'!#REF!,3)),'BASE OBZ'!#REF!)</f>
        <v>#REF!</v>
      </c>
      <c r="C1370" t="s">
        <v>1777</v>
      </c>
    </row>
    <row r="1371" spans="1:3" x14ac:dyDescent="0.25">
      <c r="A1371" s="22" t="e">
        <f>CONCATENATE('BASE OBZ'!#REF!,"PROG")</f>
        <v>#REF!</v>
      </c>
      <c r="B1371" s="22" t="e">
        <f>CONCATENATE("P",(LEFT('BASE OBZ'!#REF!,3)),'BASE OBZ'!#REF!)</f>
        <v>#REF!</v>
      </c>
      <c r="C1371" t="s">
        <v>1777</v>
      </c>
    </row>
    <row r="1372" spans="1:3" x14ac:dyDescent="0.25">
      <c r="A1372" s="22" t="e">
        <f>CONCATENATE('BASE OBZ'!#REF!,"PROG")</f>
        <v>#REF!</v>
      </c>
      <c r="B1372" s="22" t="e">
        <f>CONCATENATE("P",(LEFT('BASE OBZ'!#REF!,3)),'BASE OBZ'!#REF!)</f>
        <v>#REF!</v>
      </c>
      <c r="C1372" t="s">
        <v>1777</v>
      </c>
    </row>
    <row r="1373" spans="1:3" x14ac:dyDescent="0.25">
      <c r="A1373" s="22" t="e">
        <f>CONCATENATE('BASE OBZ'!#REF!,"PROG")</f>
        <v>#REF!</v>
      </c>
      <c r="B1373" s="22" t="e">
        <f>CONCATENATE("P",(LEFT('BASE OBZ'!#REF!,3)),'BASE OBZ'!#REF!)</f>
        <v>#REF!</v>
      </c>
      <c r="C1373" t="s">
        <v>1777</v>
      </c>
    </row>
    <row r="1374" spans="1:3" x14ac:dyDescent="0.25">
      <c r="A1374" s="22" t="e">
        <f>CONCATENATE('BASE OBZ'!#REF!,"PROG")</f>
        <v>#REF!</v>
      </c>
      <c r="B1374" s="22" t="e">
        <f>CONCATENATE("P",(LEFT('BASE OBZ'!#REF!,3)),'BASE OBZ'!#REF!)</f>
        <v>#REF!</v>
      </c>
      <c r="C1374" t="s">
        <v>1777</v>
      </c>
    </row>
    <row r="1375" spans="1:3" x14ac:dyDescent="0.25">
      <c r="A1375" s="22" t="e">
        <f>CONCATENATE('BASE OBZ'!#REF!,"PROG")</f>
        <v>#REF!</v>
      </c>
      <c r="B1375" s="22" t="e">
        <f>CONCATENATE("P",(LEFT('BASE OBZ'!#REF!,3)),'BASE OBZ'!#REF!)</f>
        <v>#REF!</v>
      </c>
      <c r="C1375" t="s">
        <v>1777</v>
      </c>
    </row>
    <row r="1376" spans="1:3" x14ac:dyDescent="0.25">
      <c r="A1376" s="22" t="e">
        <f>CONCATENATE('BASE OBZ'!#REF!,"PROG")</f>
        <v>#REF!</v>
      </c>
      <c r="B1376" s="22" t="e">
        <f>CONCATENATE("P",(LEFT('BASE OBZ'!#REF!,3)),'BASE OBZ'!#REF!)</f>
        <v>#REF!</v>
      </c>
      <c r="C1376" t="s">
        <v>1777</v>
      </c>
    </row>
    <row r="1377" spans="1:3" x14ac:dyDescent="0.25">
      <c r="A1377" s="22" t="e">
        <f>CONCATENATE('BASE OBZ'!#REF!,"PROG")</f>
        <v>#REF!</v>
      </c>
      <c r="B1377" s="22" t="e">
        <f>CONCATENATE("P",(LEFT('BASE OBZ'!#REF!,3)),'BASE OBZ'!#REF!)</f>
        <v>#REF!</v>
      </c>
      <c r="C1377" t="s">
        <v>1777</v>
      </c>
    </row>
    <row r="1378" spans="1:3" x14ac:dyDescent="0.25">
      <c r="A1378" s="22" t="e">
        <f>CONCATENATE('BASE OBZ'!#REF!,"PROG")</f>
        <v>#REF!</v>
      </c>
      <c r="B1378" s="22" t="e">
        <f>CONCATENATE("P",(LEFT('BASE OBZ'!#REF!,3)),'BASE OBZ'!#REF!)</f>
        <v>#REF!</v>
      </c>
      <c r="C1378" t="s">
        <v>1777</v>
      </c>
    </row>
    <row r="1379" spans="1:3" x14ac:dyDescent="0.25">
      <c r="A1379" s="22" t="e">
        <f>CONCATENATE('BASE OBZ'!#REF!,"PROG")</f>
        <v>#REF!</v>
      </c>
      <c r="B1379" s="22" t="e">
        <f>CONCATENATE("P",(LEFT('BASE OBZ'!#REF!,3)),'BASE OBZ'!#REF!)</f>
        <v>#REF!</v>
      </c>
      <c r="C1379" t="s">
        <v>1777</v>
      </c>
    </row>
    <row r="1380" spans="1:3" x14ac:dyDescent="0.25">
      <c r="A1380" s="22" t="e">
        <f>CONCATENATE('BASE OBZ'!#REF!,"PROG")</f>
        <v>#REF!</v>
      </c>
      <c r="B1380" s="22" t="e">
        <f>CONCATENATE("P",(LEFT('BASE OBZ'!#REF!,3)),'BASE OBZ'!#REF!)</f>
        <v>#REF!</v>
      </c>
      <c r="C1380" t="s">
        <v>1777</v>
      </c>
    </row>
    <row r="1381" spans="1:3" x14ac:dyDescent="0.25">
      <c r="A1381" s="22" t="e">
        <f>CONCATENATE('BASE OBZ'!#REF!,"PROG")</f>
        <v>#REF!</v>
      </c>
      <c r="B1381" s="22" t="e">
        <f>CONCATENATE("P",(LEFT('BASE OBZ'!#REF!,3)),'BASE OBZ'!#REF!)</f>
        <v>#REF!</v>
      </c>
      <c r="C1381" t="s">
        <v>1777</v>
      </c>
    </row>
    <row r="1382" spans="1:3" x14ac:dyDescent="0.25">
      <c r="A1382" s="22" t="e">
        <f>CONCATENATE('BASE OBZ'!#REF!,"PROG")</f>
        <v>#REF!</v>
      </c>
      <c r="B1382" s="22" t="e">
        <f>CONCATENATE("P",(LEFT('BASE OBZ'!#REF!,3)),'BASE OBZ'!#REF!)</f>
        <v>#REF!</v>
      </c>
      <c r="C1382" t="s">
        <v>1777</v>
      </c>
    </row>
    <row r="1383" spans="1:3" x14ac:dyDescent="0.25">
      <c r="A1383" s="22" t="e">
        <f>CONCATENATE('BASE OBZ'!#REF!,"PROG")</f>
        <v>#REF!</v>
      </c>
      <c r="B1383" s="22" t="e">
        <f>CONCATENATE("P",(LEFT('BASE OBZ'!#REF!,3)),'BASE OBZ'!#REF!)</f>
        <v>#REF!</v>
      </c>
      <c r="C1383" t="s">
        <v>1777</v>
      </c>
    </row>
    <row r="1384" spans="1:3" x14ac:dyDescent="0.25">
      <c r="A1384" s="22" t="e">
        <f>CONCATENATE('BASE OBZ'!#REF!,"PROG")</f>
        <v>#REF!</v>
      </c>
      <c r="B1384" s="22" t="e">
        <f>CONCATENATE("P",(LEFT('BASE OBZ'!#REF!,3)),'BASE OBZ'!#REF!)</f>
        <v>#REF!</v>
      </c>
      <c r="C1384" t="s">
        <v>1777</v>
      </c>
    </row>
    <row r="1385" spans="1:3" x14ac:dyDescent="0.25">
      <c r="A1385" s="22" t="e">
        <f>CONCATENATE('BASE OBZ'!#REF!,"PROG")</f>
        <v>#REF!</v>
      </c>
      <c r="B1385" s="22" t="e">
        <f>CONCATENATE("P",(LEFT('BASE OBZ'!#REF!,3)),'BASE OBZ'!#REF!)</f>
        <v>#REF!</v>
      </c>
      <c r="C1385" t="s">
        <v>1777</v>
      </c>
    </row>
    <row r="1386" spans="1:3" x14ac:dyDescent="0.25">
      <c r="A1386" s="22" t="e">
        <f>CONCATENATE('BASE OBZ'!#REF!,"PROG")</f>
        <v>#REF!</v>
      </c>
      <c r="B1386" s="22" t="e">
        <f>CONCATENATE("P",(LEFT('BASE OBZ'!#REF!,3)),'BASE OBZ'!#REF!)</f>
        <v>#REF!</v>
      </c>
      <c r="C1386" t="s">
        <v>1777</v>
      </c>
    </row>
    <row r="1387" spans="1:3" x14ac:dyDescent="0.25">
      <c r="A1387" s="22" t="e">
        <f>CONCATENATE('BASE OBZ'!#REF!,"PROG")</f>
        <v>#REF!</v>
      </c>
      <c r="B1387" s="22" t="e">
        <f>CONCATENATE("P",(LEFT('BASE OBZ'!#REF!,3)),'BASE OBZ'!#REF!)</f>
        <v>#REF!</v>
      </c>
      <c r="C1387" t="s">
        <v>1777</v>
      </c>
    </row>
    <row r="1388" spans="1:3" x14ac:dyDescent="0.25">
      <c r="A1388" s="22" t="e">
        <f>CONCATENATE('BASE OBZ'!#REF!,"PROG")</f>
        <v>#REF!</v>
      </c>
      <c r="B1388" s="22" t="e">
        <f>CONCATENATE("P",(LEFT('BASE OBZ'!#REF!,3)),'BASE OBZ'!#REF!)</f>
        <v>#REF!</v>
      </c>
      <c r="C1388" t="s">
        <v>1777</v>
      </c>
    </row>
    <row r="1389" spans="1:3" x14ac:dyDescent="0.25">
      <c r="A1389" s="22" t="e">
        <f>CONCATENATE('BASE OBZ'!#REF!,"PROG")</f>
        <v>#REF!</v>
      </c>
      <c r="B1389" s="22" t="e">
        <f>CONCATENATE("P",(LEFT('BASE OBZ'!#REF!,3)),'BASE OBZ'!#REF!)</f>
        <v>#REF!</v>
      </c>
      <c r="C1389" t="s">
        <v>1777</v>
      </c>
    </row>
    <row r="1390" spans="1:3" x14ac:dyDescent="0.25">
      <c r="A1390" s="22" t="e">
        <f>CONCATENATE('BASE OBZ'!#REF!,"PROG")</f>
        <v>#REF!</v>
      </c>
      <c r="B1390" s="22" t="e">
        <f>CONCATENATE("P",(LEFT('BASE OBZ'!#REF!,3)),'BASE OBZ'!#REF!)</f>
        <v>#REF!</v>
      </c>
      <c r="C1390" t="s">
        <v>1777</v>
      </c>
    </row>
    <row r="1391" spans="1:3" x14ac:dyDescent="0.25">
      <c r="A1391" s="22" t="e">
        <f>CONCATENATE('BASE OBZ'!#REF!,"PROG")</f>
        <v>#REF!</v>
      </c>
      <c r="B1391" s="22" t="e">
        <f>CONCATENATE("P",(LEFT('BASE OBZ'!#REF!,3)),'BASE OBZ'!#REF!)</f>
        <v>#REF!</v>
      </c>
      <c r="C1391" t="s">
        <v>1777</v>
      </c>
    </row>
    <row r="1392" spans="1:3" x14ac:dyDescent="0.25">
      <c r="A1392" s="22" t="e">
        <f>CONCATENATE('BASE OBZ'!#REF!,"PROG")</f>
        <v>#REF!</v>
      </c>
      <c r="B1392" s="22" t="e">
        <f>CONCATENATE("P",(LEFT('BASE OBZ'!#REF!,3)),'BASE OBZ'!#REF!)</f>
        <v>#REF!</v>
      </c>
      <c r="C1392" t="s">
        <v>1777</v>
      </c>
    </row>
    <row r="1393" spans="1:3" x14ac:dyDescent="0.25">
      <c r="A1393" s="22" t="e">
        <f>CONCATENATE('BASE OBZ'!#REF!,"PROG")</f>
        <v>#REF!</v>
      </c>
      <c r="B1393" s="22" t="e">
        <f>CONCATENATE("P",(LEFT('BASE OBZ'!#REF!,3)),'BASE OBZ'!#REF!)</f>
        <v>#REF!</v>
      </c>
      <c r="C1393" t="s">
        <v>1777</v>
      </c>
    </row>
    <row r="1394" spans="1:3" x14ac:dyDescent="0.25">
      <c r="A1394" s="22" t="e">
        <f>CONCATENATE('BASE OBZ'!#REF!,"PROG")</f>
        <v>#REF!</v>
      </c>
      <c r="B1394" s="22" t="e">
        <f>CONCATENATE("P",(LEFT('BASE OBZ'!#REF!,3)),'BASE OBZ'!#REF!)</f>
        <v>#REF!</v>
      </c>
      <c r="C1394" t="s">
        <v>1777</v>
      </c>
    </row>
    <row r="1395" spans="1:3" x14ac:dyDescent="0.25">
      <c r="A1395" s="22" t="e">
        <f>CONCATENATE('BASE OBZ'!#REF!,"PROG")</f>
        <v>#REF!</v>
      </c>
      <c r="B1395" s="22" t="e">
        <f>CONCATENATE("P",(LEFT('BASE OBZ'!#REF!,3)),'BASE OBZ'!#REF!)</f>
        <v>#REF!</v>
      </c>
      <c r="C1395" t="s">
        <v>1777</v>
      </c>
    </row>
    <row r="1396" spans="1:3" x14ac:dyDescent="0.25">
      <c r="A1396" s="22" t="e">
        <f>CONCATENATE('BASE OBZ'!#REF!,"PROG")</f>
        <v>#REF!</v>
      </c>
      <c r="B1396" s="22" t="e">
        <f>CONCATENATE("P",(LEFT('BASE OBZ'!#REF!,3)),'BASE OBZ'!#REF!)</f>
        <v>#REF!</v>
      </c>
      <c r="C1396" t="s">
        <v>1777</v>
      </c>
    </row>
    <row r="1397" spans="1:3" x14ac:dyDescent="0.25">
      <c r="A1397" s="22" t="e">
        <f>CONCATENATE('BASE OBZ'!#REF!,"PROG")</f>
        <v>#REF!</v>
      </c>
      <c r="B1397" s="22" t="e">
        <f>CONCATENATE("P",(LEFT('BASE OBZ'!#REF!,3)),'BASE OBZ'!#REF!)</f>
        <v>#REF!</v>
      </c>
      <c r="C1397" t="s">
        <v>1777</v>
      </c>
    </row>
    <row r="1398" spans="1:3" x14ac:dyDescent="0.25">
      <c r="A1398" s="22" t="e">
        <f>CONCATENATE('BASE OBZ'!#REF!,"PROG")</f>
        <v>#REF!</v>
      </c>
      <c r="B1398" s="22" t="e">
        <f>CONCATENATE("P",(LEFT('BASE OBZ'!#REF!,3)),'BASE OBZ'!#REF!)</f>
        <v>#REF!</v>
      </c>
      <c r="C1398" t="s">
        <v>1777</v>
      </c>
    </row>
    <row r="1399" spans="1:3" x14ac:dyDescent="0.25">
      <c r="A1399" s="22" t="e">
        <f>CONCATENATE('BASE OBZ'!#REF!,"PROG")</f>
        <v>#REF!</v>
      </c>
      <c r="B1399" s="22" t="e">
        <f>CONCATENATE("P",(LEFT('BASE OBZ'!#REF!,3)),'BASE OBZ'!#REF!)</f>
        <v>#REF!</v>
      </c>
      <c r="C1399" t="s">
        <v>1777</v>
      </c>
    </row>
    <row r="1400" spans="1:3" x14ac:dyDescent="0.25">
      <c r="A1400" s="22" t="e">
        <f>CONCATENATE('BASE OBZ'!#REF!,"PROG")</f>
        <v>#REF!</v>
      </c>
      <c r="B1400" s="22" t="e">
        <f>CONCATENATE("P",(LEFT('BASE OBZ'!#REF!,3)),'BASE OBZ'!#REF!)</f>
        <v>#REF!</v>
      </c>
      <c r="C1400" t="s">
        <v>1777</v>
      </c>
    </row>
    <row r="1401" spans="1:3" x14ac:dyDescent="0.25">
      <c r="A1401" s="22" t="e">
        <f>CONCATENATE('BASE OBZ'!#REF!,"PROG")</f>
        <v>#REF!</v>
      </c>
      <c r="B1401" s="22" t="e">
        <f>CONCATENATE("P",(LEFT('BASE OBZ'!#REF!,3)),'BASE OBZ'!#REF!)</f>
        <v>#REF!</v>
      </c>
      <c r="C1401" t="s">
        <v>1777</v>
      </c>
    </row>
    <row r="1402" spans="1:3" x14ac:dyDescent="0.25">
      <c r="A1402" s="22" t="e">
        <f>CONCATENATE('BASE OBZ'!#REF!,"PROG")</f>
        <v>#REF!</v>
      </c>
      <c r="B1402" s="22" t="e">
        <f>CONCATENATE("P",(LEFT('BASE OBZ'!#REF!,3)),'BASE OBZ'!#REF!)</f>
        <v>#REF!</v>
      </c>
      <c r="C1402" t="s">
        <v>1777</v>
      </c>
    </row>
    <row r="1403" spans="1:3" x14ac:dyDescent="0.25">
      <c r="A1403" s="22" t="e">
        <f>CONCATENATE('BASE OBZ'!#REF!,"PROG")</f>
        <v>#REF!</v>
      </c>
      <c r="B1403" s="22" t="e">
        <f>CONCATENATE("P",(LEFT('BASE OBZ'!#REF!,3)),'BASE OBZ'!#REF!)</f>
        <v>#REF!</v>
      </c>
      <c r="C1403" t="s">
        <v>1777</v>
      </c>
    </row>
    <row r="1404" spans="1:3" x14ac:dyDescent="0.25">
      <c r="A1404" s="22" t="e">
        <f>CONCATENATE('BASE OBZ'!#REF!,"PROG")</f>
        <v>#REF!</v>
      </c>
      <c r="B1404" s="22" t="e">
        <f>CONCATENATE("P",(LEFT('BASE OBZ'!#REF!,3)),'BASE OBZ'!#REF!)</f>
        <v>#REF!</v>
      </c>
      <c r="C1404" t="s">
        <v>1777</v>
      </c>
    </row>
    <row r="1405" spans="1:3" x14ac:dyDescent="0.25">
      <c r="A1405" s="22" t="e">
        <f>CONCATENATE('BASE OBZ'!#REF!,"PROG")</f>
        <v>#REF!</v>
      </c>
      <c r="B1405" s="22" t="e">
        <f>CONCATENATE("P",(LEFT('BASE OBZ'!#REF!,3)),'BASE OBZ'!#REF!)</f>
        <v>#REF!</v>
      </c>
      <c r="C1405" t="s">
        <v>1777</v>
      </c>
    </row>
    <row r="1406" spans="1:3" x14ac:dyDescent="0.25">
      <c r="A1406" s="22" t="e">
        <f>CONCATENATE('BASE OBZ'!#REF!,"PROG")</f>
        <v>#REF!</v>
      </c>
      <c r="B1406" s="22" t="e">
        <f>CONCATENATE("P",(LEFT('BASE OBZ'!#REF!,3)),'BASE OBZ'!#REF!)</f>
        <v>#REF!</v>
      </c>
      <c r="C1406" t="s">
        <v>1777</v>
      </c>
    </row>
    <row r="1407" spans="1:3" x14ac:dyDescent="0.25">
      <c r="A1407" s="22" t="e">
        <f>CONCATENATE('BASE OBZ'!#REF!,"PROG")</f>
        <v>#REF!</v>
      </c>
      <c r="B1407" s="22" t="e">
        <f>CONCATENATE("P",(LEFT('BASE OBZ'!#REF!,3)),'BASE OBZ'!#REF!)</f>
        <v>#REF!</v>
      </c>
      <c r="C1407" t="s">
        <v>1777</v>
      </c>
    </row>
    <row r="1408" spans="1:3" x14ac:dyDescent="0.25">
      <c r="A1408" s="22" t="e">
        <f>CONCATENATE('BASE OBZ'!#REF!,"PROG")</f>
        <v>#REF!</v>
      </c>
      <c r="B1408" s="22" t="e">
        <f>CONCATENATE("P",(LEFT('BASE OBZ'!#REF!,3)),'BASE OBZ'!#REF!)</f>
        <v>#REF!</v>
      </c>
      <c r="C1408" t="s">
        <v>1777</v>
      </c>
    </row>
    <row r="1409" spans="1:3" x14ac:dyDescent="0.25">
      <c r="A1409" s="22" t="e">
        <f>CONCATENATE('BASE OBZ'!#REF!,"PROG")</f>
        <v>#REF!</v>
      </c>
      <c r="B1409" s="22" t="e">
        <f>CONCATENATE("P",(LEFT('BASE OBZ'!#REF!,3)),'BASE OBZ'!#REF!)</f>
        <v>#REF!</v>
      </c>
      <c r="C1409" t="s">
        <v>1777</v>
      </c>
    </row>
    <row r="1410" spans="1:3" x14ac:dyDescent="0.25">
      <c r="A1410" s="22" t="e">
        <f>CONCATENATE('BASE OBZ'!#REF!,"PROG")</f>
        <v>#REF!</v>
      </c>
      <c r="B1410" s="22" t="e">
        <f>CONCATENATE("P",(LEFT('BASE OBZ'!#REF!,3)),'BASE OBZ'!#REF!)</f>
        <v>#REF!</v>
      </c>
      <c r="C1410" t="s">
        <v>1777</v>
      </c>
    </row>
    <row r="1411" spans="1:3" x14ac:dyDescent="0.25">
      <c r="A1411" s="22" t="e">
        <f>CONCATENATE('BASE OBZ'!#REF!,"PROG")</f>
        <v>#REF!</v>
      </c>
      <c r="B1411" s="22" t="e">
        <f>CONCATENATE("P",(LEFT('BASE OBZ'!#REF!,3)),'BASE OBZ'!#REF!)</f>
        <v>#REF!</v>
      </c>
      <c r="C1411" t="s">
        <v>1777</v>
      </c>
    </row>
    <row r="1412" spans="1:3" x14ac:dyDescent="0.25">
      <c r="A1412" s="22" t="e">
        <f>CONCATENATE('BASE OBZ'!#REF!,"PROG")</f>
        <v>#REF!</v>
      </c>
      <c r="B1412" s="22" t="e">
        <f>CONCATENATE("P",(LEFT('BASE OBZ'!#REF!,3)),'BASE OBZ'!#REF!)</f>
        <v>#REF!</v>
      </c>
      <c r="C1412" t="s">
        <v>1777</v>
      </c>
    </row>
    <row r="1413" spans="1:3" x14ac:dyDescent="0.25">
      <c r="A1413" s="22" t="e">
        <f>CONCATENATE('BASE OBZ'!#REF!,"PROG")</f>
        <v>#REF!</v>
      </c>
      <c r="B1413" s="22" t="e">
        <f>CONCATENATE("P",(LEFT('BASE OBZ'!#REF!,3)),'BASE OBZ'!#REF!)</f>
        <v>#REF!</v>
      </c>
      <c r="C1413" t="s">
        <v>1777</v>
      </c>
    </row>
    <row r="1414" spans="1:3" x14ac:dyDescent="0.25">
      <c r="A1414" s="22" t="e">
        <f>CONCATENATE('BASE OBZ'!#REF!,"PROG")</f>
        <v>#REF!</v>
      </c>
      <c r="B1414" s="22" t="e">
        <f>CONCATENATE("P",(LEFT('BASE OBZ'!#REF!,3)),'BASE OBZ'!#REF!)</f>
        <v>#REF!</v>
      </c>
      <c r="C1414" t="s">
        <v>1777</v>
      </c>
    </row>
    <row r="1415" spans="1:3" x14ac:dyDescent="0.25">
      <c r="A1415" s="22" t="e">
        <f>CONCATENATE('BASE OBZ'!#REF!,"PROG")</f>
        <v>#REF!</v>
      </c>
      <c r="B1415" s="22" t="e">
        <f>CONCATENATE("P",(LEFT('BASE OBZ'!#REF!,3)),'BASE OBZ'!#REF!)</f>
        <v>#REF!</v>
      </c>
      <c r="C1415" t="s">
        <v>1777</v>
      </c>
    </row>
    <row r="1416" spans="1:3" x14ac:dyDescent="0.25">
      <c r="A1416" s="22" t="e">
        <f>CONCATENATE('BASE OBZ'!#REF!,"PROG")</f>
        <v>#REF!</v>
      </c>
      <c r="B1416" s="22" t="e">
        <f>CONCATENATE("P",(LEFT('BASE OBZ'!#REF!,3)),'BASE OBZ'!#REF!)</f>
        <v>#REF!</v>
      </c>
      <c r="C1416" t="s">
        <v>1777</v>
      </c>
    </row>
    <row r="1417" spans="1:3" x14ac:dyDescent="0.25">
      <c r="A1417" s="22" t="e">
        <f>CONCATENATE('BASE OBZ'!#REF!,"PROG")</f>
        <v>#REF!</v>
      </c>
      <c r="B1417" s="22" t="e">
        <f>CONCATENATE("P",(LEFT('BASE OBZ'!#REF!,3)),'BASE OBZ'!#REF!)</f>
        <v>#REF!</v>
      </c>
      <c r="C1417" t="s">
        <v>1777</v>
      </c>
    </row>
    <row r="1418" spans="1:3" x14ac:dyDescent="0.25">
      <c r="A1418" s="22" t="e">
        <f>CONCATENATE('BASE OBZ'!#REF!,"PROG")</f>
        <v>#REF!</v>
      </c>
      <c r="B1418" s="22" t="e">
        <f>CONCATENATE("P",(LEFT('BASE OBZ'!#REF!,3)),'BASE OBZ'!#REF!)</f>
        <v>#REF!</v>
      </c>
      <c r="C1418" t="s">
        <v>1777</v>
      </c>
    </row>
    <row r="1419" spans="1:3" x14ac:dyDescent="0.25">
      <c r="A1419" s="22" t="e">
        <f>CONCATENATE('BASE OBZ'!#REF!,"PROG")</f>
        <v>#REF!</v>
      </c>
      <c r="B1419" s="22" t="e">
        <f>CONCATENATE("P",(LEFT('BASE OBZ'!#REF!,3)),'BASE OBZ'!#REF!)</f>
        <v>#REF!</v>
      </c>
      <c r="C1419" t="s">
        <v>1777</v>
      </c>
    </row>
    <row r="1420" spans="1:3" x14ac:dyDescent="0.25">
      <c r="A1420" s="22" t="e">
        <f>CONCATENATE('BASE OBZ'!#REF!,"PROG")</f>
        <v>#REF!</v>
      </c>
      <c r="B1420" s="22" t="e">
        <f>CONCATENATE("P",(LEFT('BASE OBZ'!#REF!,3)),'BASE OBZ'!#REF!)</f>
        <v>#REF!</v>
      </c>
      <c r="C1420" t="s">
        <v>1777</v>
      </c>
    </row>
    <row r="1421" spans="1:3" x14ac:dyDescent="0.25">
      <c r="A1421" s="22" t="e">
        <f>CONCATENATE('BASE OBZ'!#REF!,"PROG")</f>
        <v>#REF!</v>
      </c>
      <c r="B1421" s="22" t="e">
        <f>CONCATENATE("P",(LEFT('BASE OBZ'!#REF!,3)),'BASE OBZ'!#REF!)</f>
        <v>#REF!</v>
      </c>
      <c r="C1421" t="s">
        <v>1777</v>
      </c>
    </row>
    <row r="1422" spans="1:3" x14ac:dyDescent="0.25">
      <c r="A1422" s="22" t="e">
        <f>CONCATENATE('BASE OBZ'!#REF!,"PROG")</f>
        <v>#REF!</v>
      </c>
      <c r="B1422" s="22" t="e">
        <f>CONCATENATE("P",(LEFT('BASE OBZ'!#REF!,3)),'BASE OBZ'!#REF!)</f>
        <v>#REF!</v>
      </c>
      <c r="C1422" t="s">
        <v>1777</v>
      </c>
    </row>
    <row r="1423" spans="1:3" x14ac:dyDescent="0.25">
      <c r="A1423" s="22" t="e">
        <f>CONCATENATE('BASE OBZ'!#REF!,"PROG")</f>
        <v>#REF!</v>
      </c>
      <c r="B1423" s="22" t="e">
        <f>CONCATENATE("P",(LEFT('BASE OBZ'!#REF!,3)),'BASE OBZ'!#REF!)</f>
        <v>#REF!</v>
      </c>
      <c r="C1423" t="s">
        <v>1777</v>
      </c>
    </row>
    <row r="1424" spans="1:3" x14ac:dyDescent="0.25">
      <c r="A1424" s="22" t="e">
        <f>CONCATENATE('BASE OBZ'!#REF!,"PROG")</f>
        <v>#REF!</v>
      </c>
      <c r="B1424" s="22" t="e">
        <f>CONCATENATE("P",(LEFT('BASE OBZ'!#REF!,3)),'BASE OBZ'!#REF!)</f>
        <v>#REF!</v>
      </c>
      <c r="C1424" t="s">
        <v>1777</v>
      </c>
    </row>
    <row r="1425" spans="1:3" x14ac:dyDescent="0.25">
      <c r="A1425" s="22" t="e">
        <f>CONCATENATE('BASE OBZ'!#REF!,"PROG")</f>
        <v>#REF!</v>
      </c>
      <c r="B1425" s="22" t="e">
        <f>CONCATENATE("P",(LEFT('BASE OBZ'!#REF!,3)),'BASE OBZ'!#REF!)</f>
        <v>#REF!</v>
      </c>
      <c r="C1425" t="s">
        <v>1777</v>
      </c>
    </row>
    <row r="1426" spans="1:3" x14ac:dyDescent="0.25">
      <c r="A1426" s="22" t="e">
        <f>CONCATENATE('BASE OBZ'!#REF!,"PROG")</f>
        <v>#REF!</v>
      </c>
      <c r="B1426" s="22" t="e">
        <f>CONCATENATE("P",(LEFT('BASE OBZ'!#REF!,3)),'BASE OBZ'!#REF!)</f>
        <v>#REF!</v>
      </c>
      <c r="C1426" t="s">
        <v>1777</v>
      </c>
    </row>
    <row r="1427" spans="1:3" x14ac:dyDescent="0.25">
      <c r="A1427" s="22" t="e">
        <f>CONCATENATE('BASE OBZ'!#REF!,"PROG")</f>
        <v>#REF!</v>
      </c>
      <c r="B1427" s="22" t="e">
        <f>CONCATENATE("P",(LEFT('BASE OBZ'!#REF!,3)),'BASE OBZ'!#REF!)</f>
        <v>#REF!</v>
      </c>
      <c r="C1427" t="s">
        <v>1777</v>
      </c>
    </row>
    <row r="1428" spans="1:3" x14ac:dyDescent="0.25">
      <c r="A1428" s="22" t="e">
        <f>CONCATENATE('BASE OBZ'!#REF!,"PROG")</f>
        <v>#REF!</v>
      </c>
      <c r="B1428" s="22" t="e">
        <f>CONCATENATE("P",(LEFT('BASE OBZ'!#REF!,3)),'BASE OBZ'!#REF!)</f>
        <v>#REF!</v>
      </c>
      <c r="C1428" t="s">
        <v>1777</v>
      </c>
    </row>
    <row r="1429" spans="1:3" x14ac:dyDescent="0.25">
      <c r="A1429" s="22" t="e">
        <f>CONCATENATE('BASE OBZ'!#REF!,"PROG")</f>
        <v>#REF!</v>
      </c>
      <c r="B1429" s="22" t="e">
        <f>CONCATENATE("P",(LEFT('BASE OBZ'!#REF!,3)),'BASE OBZ'!#REF!)</f>
        <v>#REF!</v>
      </c>
      <c r="C1429" t="s">
        <v>1777</v>
      </c>
    </row>
    <row r="1430" spans="1:3" x14ac:dyDescent="0.25">
      <c r="A1430" s="22" t="e">
        <f>CONCATENATE('BASE OBZ'!#REF!,"PROG")</f>
        <v>#REF!</v>
      </c>
      <c r="B1430" s="22" t="e">
        <f>CONCATENATE("P",(LEFT('BASE OBZ'!#REF!,3)),'BASE OBZ'!#REF!)</f>
        <v>#REF!</v>
      </c>
      <c r="C1430" t="s">
        <v>1777</v>
      </c>
    </row>
    <row r="1431" spans="1:3" x14ac:dyDescent="0.25">
      <c r="A1431" s="22" t="e">
        <f>CONCATENATE('BASE OBZ'!#REF!,"PROG")</f>
        <v>#REF!</v>
      </c>
      <c r="B1431" s="22" t="e">
        <f>CONCATENATE("P",(LEFT('BASE OBZ'!#REF!,3)),'BASE OBZ'!#REF!)</f>
        <v>#REF!</v>
      </c>
      <c r="C1431" t="s">
        <v>1777</v>
      </c>
    </row>
    <row r="1432" spans="1:3" x14ac:dyDescent="0.25">
      <c r="A1432" s="22" t="e">
        <f>CONCATENATE('BASE OBZ'!#REF!,"PROG")</f>
        <v>#REF!</v>
      </c>
      <c r="B1432" s="22" t="e">
        <f>CONCATENATE("P",(LEFT('BASE OBZ'!#REF!,3)),'BASE OBZ'!#REF!)</f>
        <v>#REF!</v>
      </c>
      <c r="C1432" t="s">
        <v>1777</v>
      </c>
    </row>
    <row r="1433" spans="1:3" x14ac:dyDescent="0.25">
      <c r="A1433" s="22" t="e">
        <f>CONCATENATE('BASE OBZ'!#REF!,"PROG")</f>
        <v>#REF!</v>
      </c>
      <c r="B1433" s="22" t="e">
        <f>CONCATENATE("P",(LEFT('BASE OBZ'!#REF!,3)),'BASE OBZ'!#REF!)</f>
        <v>#REF!</v>
      </c>
      <c r="C1433" t="s">
        <v>1777</v>
      </c>
    </row>
    <row r="1434" spans="1:3" x14ac:dyDescent="0.25">
      <c r="A1434" s="22" t="e">
        <f>CONCATENATE('BASE OBZ'!#REF!,"PROG")</f>
        <v>#REF!</v>
      </c>
      <c r="B1434" s="22" t="e">
        <f>CONCATENATE("P",(LEFT('BASE OBZ'!#REF!,3)),'BASE OBZ'!#REF!)</f>
        <v>#REF!</v>
      </c>
      <c r="C1434" t="s">
        <v>1777</v>
      </c>
    </row>
    <row r="1435" spans="1:3" x14ac:dyDescent="0.25">
      <c r="A1435" s="22" t="e">
        <f>CONCATENATE('BASE OBZ'!#REF!,"PROG")</f>
        <v>#REF!</v>
      </c>
      <c r="B1435" s="22" t="e">
        <f>CONCATENATE("P",(LEFT('BASE OBZ'!#REF!,3)),'BASE OBZ'!#REF!)</f>
        <v>#REF!</v>
      </c>
      <c r="C1435" t="s">
        <v>1777</v>
      </c>
    </row>
    <row r="1436" spans="1:3" x14ac:dyDescent="0.25">
      <c r="A1436" s="22" t="e">
        <f>CONCATENATE('BASE OBZ'!#REF!,"PROG")</f>
        <v>#REF!</v>
      </c>
      <c r="B1436" s="22" t="e">
        <f>CONCATENATE("P",(LEFT('BASE OBZ'!#REF!,3)),'BASE OBZ'!#REF!)</f>
        <v>#REF!</v>
      </c>
      <c r="C1436" t="s">
        <v>1777</v>
      </c>
    </row>
    <row r="1437" spans="1:3" x14ac:dyDescent="0.25">
      <c r="A1437" s="22" t="e">
        <f>CONCATENATE('BASE OBZ'!#REF!,"PROG")</f>
        <v>#REF!</v>
      </c>
      <c r="B1437" s="22" t="e">
        <f>CONCATENATE("P",(LEFT('BASE OBZ'!#REF!,3)),'BASE OBZ'!#REF!)</f>
        <v>#REF!</v>
      </c>
      <c r="C1437" t="s">
        <v>1777</v>
      </c>
    </row>
    <row r="1438" spans="1:3" x14ac:dyDescent="0.25">
      <c r="A1438" s="22" t="e">
        <f>CONCATENATE('BASE OBZ'!#REF!,"PROG")</f>
        <v>#REF!</v>
      </c>
      <c r="B1438" s="22" t="e">
        <f>CONCATENATE("P",(LEFT('BASE OBZ'!#REF!,3)),'BASE OBZ'!#REF!)</f>
        <v>#REF!</v>
      </c>
      <c r="C1438" t="s">
        <v>1777</v>
      </c>
    </row>
    <row r="1439" spans="1:3" x14ac:dyDescent="0.25">
      <c r="A1439" s="22" t="e">
        <f>CONCATENATE('BASE OBZ'!#REF!,"PROG")</f>
        <v>#REF!</v>
      </c>
      <c r="B1439" s="22" t="e">
        <f>CONCATENATE("P",(LEFT('BASE OBZ'!#REF!,3)),'BASE OBZ'!#REF!)</f>
        <v>#REF!</v>
      </c>
      <c r="C1439" t="s">
        <v>1777</v>
      </c>
    </row>
    <row r="1440" spans="1:3" x14ac:dyDescent="0.25">
      <c r="A1440" s="22" t="e">
        <f>CONCATENATE('BASE OBZ'!#REF!,"PROG")</f>
        <v>#REF!</v>
      </c>
      <c r="B1440" s="22" t="e">
        <f>CONCATENATE("P",(LEFT('BASE OBZ'!#REF!,3)),'BASE OBZ'!#REF!)</f>
        <v>#REF!</v>
      </c>
      <c r="C1440" t="s">
        <v>1777</v>
      </c>
    </row>
    <row r="1441" spans="1:3" x14ac:dyDescent="0.25">
      <c r="A1441" s="22" t="e">
        <f>CONCATENATE('BASE OBZ'!#REF!,"PROG")</f>
        <v>#REF!</v>
      </c>
      <c r="B1441" s="22" t="e">
        <f>CONCATENATE("P",(LEFT('BASE OBZ'!#REF!,3)),'BASE OBZ'!#REF!)</f>
        <v>#REF!</v>
      </c>
      <c r="C1441" t="s">
        <v>1777</v>
      </c>
    </row>
    <row r="1442" spans="1:3" x14ac:dyDescent="0.25">
      <c r="A1442" s="22" t="e">
        <f>CONCATENATE('BASE OBZ'!#REF!,"PROG")</f>
        <v>#REF!</v>
      </c>
      <c r="B1442" s="22" t="e">
        <f>CONCATENATE("P",(LEFT('BASE OBZ'!#REF!,3)),'BASE OBZ'!#REF!)</f>
        <v>#REF!</v>
      </c>
      <c r="C1442" t="s">
        <v>1777</v>
      </c>
    </row>
    <row r="1443" spans="1:3" x14ac:dyDescent="0.25">
      <c r="A1443" s="22" t="e">
        <f>CONCATENATE('BASE OBZ'!#REF!,"PROG")</f>
        <v>#REF!</v>
      </c>
      <c r="B1443" s="22" t="e">
        <f>CONCATENATE("P",(LEFT('BASE OBZ'!#REF!,3)),'BASE OBZ'!#REF!)</f>
        <v>#REF!</v>
      </c>
      <c r="C1443" t="s">
        <v>1777</v>
      </c>
    </row>
    <row r="1444" spans="1:3" x14ac:dyDescent="0.25">
      <c r="A1444" s="22" t="e">
        <f>CONCATENATE('BASE OBZ'!#REF!,"PROG")</f>
        <v>#REF!</v>
      </c>
      <c r="B1444" s="22" t="e">
        <f>CONCATENATE("P",(LEFT('BASE OBZ'!#REF!,3)),'BASE OBZ'!#REF!)</f>
        <v>#REF!</v>
      </c>
      <c r="C1444" t="s">
        <v>1777</v>
      </c>
    </row>
    <row r="1445" spans="1:3" x14ac:dyDescent="0.25">
      <c r="A1445" s="22" t="e">
        <f>CONCATENATE('BASE OBZ'!#REF!,"PROG")</f>
        <v>#REF!</v>
      </c>
      <c r="B1445" s="22" t="e">
        <f>CONCATENATE("P",(LEFT('BASE OBZ'!#REF!,3)),'BASE OBZ'!#REF!)</f>
        <v>#REF!</v>
      </c>
      <c r="C1445" t="s">
        <v>1777</v>
      </c>
    </row>
    <row r="1446" spans="1:3" x14ac:dyDescent="0.25">
      <c r="A1446" s="22" t="e">
        <f>CONCATENATE('BASE OBZ'!#REF!,"PROG")</f>
        <v>#REF!</v>
      </c>
      <c r="B1446" s="22" t="e">
        <f>CONCATENATE("P",(LEFT('BASE OBZ'!#REF!,3)),'BASE OBZ'!#REF!)</f>
        <v>#REF!</v>
      </c>
      <c r="C1446" t="s">
        <v>1777</v>
      </c>
    </row>
    <row r="1447" spans="1:3" x14ac:dyDescent="0.25">
      <c r="A1447" s="22" t="e">
        <f>CONCATENATE('BASE OBZ'!#REF!,"PROG")</f>
        <v>#REF!</v>
      </c>
      <c r="B1447" s="22" t="e">
        <f>CONCATENATE("P",(LEFT('BASE OBZ'!#REF!,3)),'BASE OBZ'!#REF!)</f>
        <v>#REF!</v>
      </c>
      <c r="C1447" t="s">
        <v>1777</v>
      </c>
    </row>
    <row r="1448" spans="1:3" x14ac:dyDescent="0.25">
      <c r="A1448" s="22" t="e">
        <f>CONCATENATE('BASE OBZ'!#REF!,"PROG")</f>
        <v>#REF!</v>
      </c>
      <c r="B1448" s="22" t="e">
        <f>CONCATENATE("P",(LEFT('BASE OBZ'!#REF!,3)),'BASE OBZ'!#REF!)</f>
        <v>#REF!</v>
      </c>
      <c r="C1448" t="s">
        <v>1777</v>
      </c>
    </row>
    <row r="1449" spans="1:3" x14ac:dyDescent="0.25">
      <c r="A1449" s="22" t="e">
        <f>CONCATENATE('BASE OBZ'!#REF!,"PROG")</f>
        <v>#REF!</v>
      </c>
      <c r="B1449" s="22" t="e">
        <f>CONCATENATE("P",(LEFT('BASE OBZ'!#REF!,3)),'BASE OBZ'!#REF!)</f>
        <v>#REF!</v>
      </c>
      <c r="C1449" t="s">
        <v>1777</v>
      </c>
    </row>
    <row r="1450" spans="1:3" x14ac:dyDescent="0.25">
      <c r="A1450" s="22" t="e">
        <f>CONCATENATE('BASE OBZ'!#REF!,"PROG")</f>
        <v>#REF!</v>
      </c>
      <c r="B1450" s="22" t="e">
        <f>CONCATENATE("P",(LEFT('BASE OBZ'!#REF!,3)),'BASE OBZ'!#REF!)</f>
        <v>#REF!</v>
      </c>
      <c r="C1450" t="s">
        <v>1777</v>
      </c>
    </row>
    <row r="1451" spans="1:3" x14ac:dyDescent="0.25">
      <c r="A1451" s="22" t="e">
        <f>CONCATENATE('BASE OBZ'!#REF!,"PROG")</f>
        <v>#REF!</v>
      </c>
      <c r="B1451" s="22" t="e">
        <f>CONCATENATE("P",(LEFT('BASE OBZ'!#REF!,3)),'BASE OBZ'!#REF!)</f>
        <v>#REF!</v>
      </c>
      <c r="C1451" t="s">
        <v>1777</v>
      </c>
    </row>
    <row r="1452" spans="1:3" x14ac:dyDescent="0.25">
      <c r="A1452" s="22" t="e">
        <f>CONCATENATE('BASE OBZ'!#REF!,"PROG")</f>
        <v>#REF!</v>
      </c>
      <c r="B1452" s="22" t="e">
        <f>CONCATENATE("P",(LEFT('BASE OBZ'!#REF!,3)),'BASE OBZ'!#REF!)</f>
        <v>#REF!</v>
      </c>
      <c r="C1452" t="s">
        <v>1777</v>
      </c>
    </row>
    <row r="1453" spans="1:3" x14ac:dyDescent="0.25">
      <c r="A1453" s="22" t="e">
        <f>CONCATENATE('BASE OBZ'!#REF!,"PROG")</f>
        <v>#REF!</v>
      </c>
      <c r="B1453" s="22" t="e">
        <f>CONCATENATE("P",(LEFT('BASE OBZ'!#REF!,3)),'BASE OBZ'!#REF!)</f>
        <v>#REF!</v>
      </c>
      <c r="C1453" t="s">
        <v>1777</v>
      </c>
    </row>
    <row r="1454" spans="1:3" x14ac:dyDescent="0.25">
      <c r="A1454" s="22" t="e">
        <f>CONCATENATE('BASE OBZ'!#REF!,"PROG")</f>
        <v>#REF!</v>
      </c>
      <c r="B1454" s="22" t="e">
        <f>CONCATENATE("P",(LEFT('BASE OBZ'!#REF!,3)),'BASE OBZ'!#REF!)</f>
        <v>#REF!</v>
      </c>
      <c r="C1454" t="s">
        <v>1777</v>
      </c>
    </row>
    <row r="1455" spans="1:3" x14ac:dyDescent="0.25">
      <c r="A1455" s="22" t="e">
        <f>CONCATENATE('BASE OBZ'!#REF!,"PROG")</f>
        <v>#REF!</v>
      </c>
      <c r="B1455" s="22" t="e">
        <f>CONCATENATE("P",(LEFT('BASE OBZ'!#REF!,3)),'BASE OBZ'!#REF!)</f>
        <v>#REF!</v>
      </c>
      <c r="C1455" t="s">
        <v>1777</v>
      </c>
    </row>
    <row r="1456" spans="1:3" x14ac:dyDescent="0.25">
      <c r="A1456" s="22" t="e">
        <f>CONCATENATE('BASE OBZ'!#REF!,"PROG")</f>
        <v>#REF!</v>
      </c>
      <c r="B1456" s="22" t="e">
        <f>CONCATENATE("P",(LEFT('BASE OBZ'!#REF!,3)),'BASE OBZ'!#REF!)</f>
        <v>#REF!</v>
      </c>
      <c r="C1456" t="s">
        <v>1777</v>
      </c>
    </row>
    <row r="1457" spans="1:3" x14ac:dyDescent="0.25">
      <c r="A1457" s="22" t="e">
        <f>CONCATENATE('BASE OBZ'!#REF!,"PROG")</f>
        <v>#REF!</v>
      </c>
      <c r="B1457" s="22" t="e">
        <f>CONCATENATE("P",(LEFT('BASE OBZ'!#REF!,3)),'BASE OBZ'!#REF!)</f>
        <v>#REF!</v>
      </c>
      <c r="C1457" t="s">
        <v>1777</v>
      </c>
    </row>
    <row r="1458" spans="1:3" x14ac:dyDescent="0.25">
      <c r="A1458" s="22" t="e">
        <f>CONCATENATE('BASE OBZ'!#REF!,"PROG")</f>
        <v>#REF!</v>
      </c>
      <c r="B1458" s="22" t="e">
        <f>CONCATENATE("P",(LEFT('BASE OBZ'!#REF!,3)),'BASE OBZ'!#REF!)</f>
        <v>#REF!</v>
      </c>
      <c r="C1458" t="s">
        <v>1777</v>
      </c>
    </row>
    <row r="1459" spans="1:3" x14ac:dyDescent="0.25">
      <c r="A1459" s="22" t="e">
        <f>CONCATENATE('BASE OBZ'!#REF!,"PROG")</f>
        <v>#REF!</v>
      </c>
      <c r="B1459" s="22" t="e">
        <f>CONCATENATE("P",(LEFT('BASE OBZ'!#REF!,3)),'BASE OBZ'!#REF!)</f>
        <v>#REF!</v>
      </c>
      <c r="C1459" t="s">
        <v>1777</v>
      </c>
    </row>
    <row r="1460" spans="1:3" x14ac:dyDescent="0.25">
      <c r="A1460" s="22" t="e">
        <f>CONCATENATE('BASE OBZ'!#REF!,"PROG")</f>
        <v>#REF!</v>
      </c>
      <c r="B1460" s="22" t="e">
        <f>CONCATENATE("P",(LEFT('BASE OBZ'!#REF!,3)),'BASE OBZ'!#REF!)</f>
        <v>#REF!</v>
      </c>
      <c r="C1460" t="s">
        <v>1777</v>
      </c>
    </row>
    <row r="1461" spans="1:3" x14ac:dyDescent="0.25">
      <c r="A1461" s="22" t="e">
        <f>CONCATENATE('BASE OBZ'!#REF!,"PROG")</f>
        <v>#REF!</v>
      </c>
      <c r="B1461" s="22" t="e">
        <f>CONCATENATE("P",(LEFT('BASE OBZ'!#REF!,3)),'BASE OBZ'!#REF!)</f>
        <v>#REF!</v>
      </c>
      <c r="C1461" t="s">
        <v>1777</v>
      </c>
    </row>
    <row r="1462" spans="1:3" x14ac:dyDescent="0.25">
      <c r="A1462" s="22" t="e">
        <f>CONCATENATE('BASE OBZ'!#REF!,"PROG")</f>
        <v>#REF!</v>
      </c>
      <c r="B1462" s="22" t="e">
        <f>CONCATENATE("P",(LEFT('BASE OBZ'!#REF!,3)),'BASE OBZ'!#REF!)</f>
        <v>#REF!</v>
      </c>
      <c r="C1462" t="s">
        <v>1777</v>
      </c>
    </row>
    <row r="1463" spans="1:3" x14ac:dyDescent="0.25">
      <c r="A1463" s="22" t="e">
        <f>CONCATENATE('BASE OBZ'!#REF!,"PROG")</f>
        <v>#REF!</v>
      </c>
      <c r="B1463" s="22" t="e">
        <f>CONCATENATE("P",(LEFT('BASE OBZ'!#REF!,3)),'BASE OBZ'!#REF!)</f>
        <v>#REF!</v>
      </c>
      <c r="C1463" t="s">
        <v>1777</v>
      </c>
    </row>
    <row r="1464" spans="1:3" x14ac:dyDescent="0.25">
      <c r="A1464" s="22" t="e">
        <f>CONCATENATE('BASE OBZ'!#REF!,"PROG")</f>
        <v>#REF!</v>
      </c>
      <c r="B1464" s="22" t="e">
        <f>CONCATENATE("P",(LEFT('BASE OBZ'!#REF!,3)),'BASE OBZ'!#REF!)</f>
        <v>#REF!</v>
      </c>
      <c r="C1464" t="s">
        <v>1777</v>
      </c>
    </row>
    <row r="1465" spans="1:3" x14ac:dyDescent="0.25">
      <c r="A1465" s="22" t="e">
        <f>CONCATENATE('BASE OBZ'!#REF!,"PROG")</f>
        <v>#REF!</v>
      </c>
      <c r="B1465" s="22" t="e">
        <f>CONCATENATE("P",(LEFT('BASE OBZ'!#REF!,3)),'BASE OBZ'!#REF!)</f>
        <v>#REF!</v>
      </c>
      <c r="C1465" t="s">
        <v>1777</v>
      </c>
    </row>
    <row r="1466" spans="1:3" x14ac:dyDescent="0.25">
      <c r="A1466" s="22" t="e">
        <f>CONCATENATE('BASE OBZ'!#REF!,"PROG")</f>
        <v>#REF!</v>
      </c>
      <c r="B1466" s="22" t="e">
        <f>CONCATENATE("P",(LEFT('BASE OBZ'!#REF!,3)),'BASE OBZ'!#REF!)</f>
        <v>#REF!</v>
      </c>
      <c r="C1466" t="s">
        <v>1777</v>
      </c>
    </row>
    <row r="1467" spans="1:3" x14ac:dyDescent="0.25">
      <c r="A1467" s="22" t="e">
        <f>CONCATENATE('BASE OBZ'!#REF!,"PROG")</f>
        <v>#REF!</v>
      </c>
      <c r="B1467" s="22" t="e">
        <f>CONCATENATE("P",(LEFT('BASE OBZ'!#REF!,3)),'BASE OBZ'!#REF!)</f>
        <v>#REF!</v>
      </c>
      <c r="C1467" t="s">
        <v>1777</v>
      </c>
    </row>
    <row r="1468" spans="1:3" x14ac:dyDescent="0.25">
      <c r="A1468" s="22" t="e">
        <f>CONCATENATE('BASE OBZ'!#REF!,"PROG")</f>
        <v>#REF!</v>
      </c>
      <c r="B1468" s="22" t="e">
        <f>CONCATENATE("P",(LEFT('BASE OBZ'!#REF!,3)),'BASE OBZ'!#REF!)</f>
        <v>#REF!</v>
      </c>
      <c r="C1468" t="s">
        <v>1777</v>
      </c>
    </row>
    <row r="1469" spans="1:3" x14ac:dyDescent="0.25">
      <c r="A1469" s="22" t="e">
        <f>CONCATENATE('BASE OBZ'!#REF!,"PROG")</f>
        <v>#REF!</v>
      </c>
      <c r="B1469" s="22" t="e">
        <f>CONCATENATE("P",(LEFT('BASE OBZ'!#REF!,3)),'BASE OBZ'!#REF!)</f>
        <v>#REF!</v>
      </c>
      <c r="C1469" t="s">
        <v>1777</v>
      </c>
    </row>
    <row r="1470" spans="1:3" x14ac:dyDescent="0.25">
      <c r="A1470" s="22" t="e">
        <f>CONCATENATE('BASE OBZ'!#REF!,"PROG")</f>
        <v>#REF!</v>
      </c>
      <c r="B1470" s="22" t="e">
        <f>CONCATENATE("P",(LEFT('BASE OBZ'!#REF!,3)),'BASE OBZ'!#REF!)</f>
        <v>#REF!</v>
      </c>
      <c r="C1470" t="s">
        <v>1777</v>
      </c>
    </row>
    <row r="1471" spans="1:3" x14ac:dyDescent="0.25">
      <c r="A1471" s="22" t="e">
        <f>CONCATENATE('BASE OBZ'!#REF!,"PROG")</f>
        <v>#REF!</v>
      </c>
      <c r="B1471" s="22" t="e">
        <f>CONCATENATE("P",(LEFT('BASE OBZ'!#REF!,3)),'BASE OBZ'!#REF!)</f>
        <v>#REF!</v>
      </c>
      <c r="C1471" t="s">
        <v>1777</v>
      </c>
    </row>
    <row r="1472" spans="1:3" x14ac:dyDescent="0.25">
      <c r="A1472" s="22" t="e">
        <f>CONCATENATE('BASE OBZ'!#REF!,"PROG")</f>
        <v>#REF!</v>
      </c>
      <c r="B1472" s="22" t="e">
        <f>CONCATENATE("P",(LEFT('BASE OBZ'!#REF!,3)),'BASE OBZ'!#REF!)</f>
        <v>#REF!</v>
      </c>
      <c r="C1472" t="s">
        <v>1777</v>
      </c>
    </row>
    <row r="1473" spans="1:3" x14ac:dyDescent="0.25">
      <c r="A1473" s="22" t="e">
        <f>CONCATENATE('BASE OBZ'!#REF!,"PROG")</f>
        <v>#REF!</v>
      </c>
      <c r="B1473" s="22" t="e">
        <f>CONCATENATE("P",(LEFT('BASE OBZ'!#REF!,3)),'BASE OBZ'!#REF!)</f>
        <v>#REF!</v>
      </c>
      <c r="C1473" t="s">
        <v>1777</v>
      </c>
    </row>
    <row r="1474" spans="1:3" x14ac:dyDescent="0.25">
      <c r="A1474" s="22" t="e">
        <f>CONCATENATE('BASE OBZ'!#REF!,"PROG")</f>
        <v>#REF!</v>
      </c>
      <c r="B1474" s="22" t="e">
        <f>CONCATENATE("P",(LEFT('BASE OBZ'!#REF!,3)),'BASE OBZ'!#REF!)</f>
        <v>#REF!</v>
      </c>
      <c r="C1474" t="s">
        <v>1777</v>
      </c>
    </row>
    <row r="1475" spans="1:3" x14ac:dyDescent="0.25">
      <c r="A1475" s="22" t="e">
        <f>CONCATENATE('BASE OBZ'!#REF!,"PROG")</f>
        <v>#REF!</v>
      </c>
      <c r="B1475" s="22" t="e">
        <f>CONCATENATE("P",(LEFT('BASE OBZ'!#REF!,3)),'BASE OBZ'!#REF!)</f>
        <v>#REF!</v>
      </c>
      <c r="C1475" t="s">
        <v>1777</v>
      </c>
    </row>
    <row r="1476" spans="1:3" x14ac:dyDescent="0.25">
      <c r="A1476" s="22" t="e">
        <f>CONCATENATE('BASE OBZ'!#REF!,"PROG")</f>
        <v>#REF!</v>
      </c>
      <c r="B1476" s="22" t="e">
        <f>CONCATENATE("P",(LEFT('BASE OBZ'!#REF!,3)),'BASE OBZ'!#REF!)</f>
        <v>#REF!</v>
      </c>
      <c r="C1476" t="s">
        <v>1777</v>
      </c>
    </row>
    <row r="1477" spans="1:3" x14ac:dyDescent="0.25">
      <c r="A1477" s="22" t="e">
        <f>CONCATENATE('BASE OBZ'!#REF!,"PROG")</f>
        <v>#REF!</v>
      </c>
      <c r="B1477" s="22" t="e">
        <f>CONCATENATE("P",(LEFT('BASE OBZ'!#REF!,3)),'BASE OBZ'!#REF!)</f>
        <v>#REF!</v>
      </c>
      <c r="C1477" t="s">
        <v>1777</v>
      </c>
    </row>
    <row r="1478" spans="1:3" x14ac:dyDescent="0.25">
      <c r="A1478" s="22" t="e">
        <f>CONCATENATE('BASE OBZ'!#REF!,"PROG")</f>
        <v>#REF!</v>
      </c>
      <c r="B1478" s="22" t="e">
        <f>CONCATENATE("P",(LEFT('BASE OBZ'!#REF!,3)),'BASE OBZ'!#REF!)</f>
        <v>#REF!</v>
      </c>
      <c r="C1478" t="s">
        <v>1777</v>
      </c>
    </row>
    <row r="1479" spans="1:3" x14ac:dyDescent="0.25">
      <c r="A1479" s="22" t="e">
        <f>CONCATENATE('BASE OBZ'!#REF!,"PROG")</f>
        <v>#REF!</v>
      </c>
      <c r="B1479" s="22" t="e">
        <f>CONCATENATE("P",(LEFT('BASE OBZ'!#REF!,3)),'BASE OBZ'!#REF!)</f>
        <v>#REF!</v>
      </c>
      <c r="C1479" t="s">
        <v>1777</v>
      </c>
    </row>
    <row r="1480" spans="1:3" x14ac:dyDescent="0.25">
      <c r="A1480" s="22" t="e">
        <f>CONCATENATE('BASE OBZ'!#REF!,"PROG")</f>
        <v>#REF!</v>
      </c>
      <c r="B1480" s="22" t="e">
        <f>CONCATENATE("P",(LEFT('BASE OBZ'!#REF!,3)),'BASE OBZ'!#REF!)</f>
        <v>#REF!</v>
      </c>
      <c r="C1480" t="s">
        <v>1777</v>
      </c>
    </row>
    <row r="1481" spans="1:3" x14ac:dyDescent="0.25">
      <c r="A1481" s="22" t="e">
        <f>CONCATENATE('BASE OBZ'!#REF!,"PROG")</f>
        <v>#REF!</v>
      </c>
      <c r="B1481" s="22" t="e">
        <f>CONCATENATE("P",(LEFT('BASE OBZ'!#REF!,3)),'BASE OBZ'!#REF!)</f>
        <v>#REF!</v>
      </c>
      <c r="C1481" t="s">
        <v>1777</v>
      </c>
    </row>
    <row r="1482" spans="1:3" x14ac:dyDescent="0.25">
      <c r="A1482" s="22" t="e">
        <f>CONCATENATE('BASE OBZ'!#REF!,"PROG")</f>
        <v>#REF!</v>
      </c>
      <c r="B1482" s="22" t="e">
        <f>CONCATENATE("P",(LEFT('BASE OBZ'!#REF!,3)),'BASE OBZ'!#REF!)</f>
        <v>#REF!</v>
      </c>
      <c r="C1482" t="s">
        <v>1777</v>
      </c>
    </row>
    <row r="1483" spans="1:3" x14ac:dyDescent="0.25">
      <c r="A1483" s="22" t="e">
        <f>CONCATENATE('BASE OBZ'!#REF!,"PROG")</f>
        <v>#REF!</v>
      </c>
      <c r="B1483" s="22" t="e">
        <f>CONCATENATE("P",(LEFT('BASE OBZ'!#REF!,3)),'BASE OBZ'!#REF!)</f>
        <v>#REF!</v>
      </c>
      <c r="C1483" t="s">
        <v>1777</v>
      </c>
    </row>
    <row r="1484" spans="1:3" x14ac:dyDescent="0.25">
      <c r="A1484" s="22" t="e">
        <f>CONCATENATE('BASE OBZ'!#REF!,"PROG")</f>
        <v>#REF!</v>
      </c>
      <c r="B1484" s="22" t="e">
        <f>CONCATENATE("P",(LEFT('BASE OBZ'!#REF!,3)),'BASE OBZ'!#REF!)</f>
        <v>#REF!</v>
      </c>
      <c r="C1484" t="s">
        <v>1777</v>
      </c>
    </row>
    <row r="1485" spans="1:3" x14ac:dyDescent="0.25">
      <c r="A1485" s="22" t="e">
        <f>CONCATENATE('BASE OBZ'!#REF!,"PROG")</f>
        <v>#REF!</v>
      </c>
      <c r="B1485" s="22" t="e">
        <f>CONCATENATE("P",(LEFT('BASE OBZ'!#REF!,3)),'BASE OBZ'!#REF!)</f>
        <v>#REF!</v>
      </c>
      <c r="C1485" t="s">
        <v>1777</v>
      </c>
    </row>
    <row r="1486" spans="1:3" x14ac:dyDescent="0.25">
      <c r="A1486" s="22" t="e">
        <f>CONCATENATE('BASE OBZ'!#REF!,"PROG")</f>
        <v>#REF!</v>
      </c>
      <c r="B1486" s="22" t="e">
        <f>CONCATENATE("P",(LEFT('BASE OBZ'!#REF!,3)),'BASE OBZ'!#REF!)</f>
        <v>#REF!</v>
      </c>
      <c r="C1486" t="s">
        <v>1777</v>
      </c>
    </row>
    <row r="1487" spans="1:3" x14ac:dyDescent="0.25">
      <c r="A1487" s="22" t="e">
        <f>CONCATENATE('BASE OBZ'!#REF!,"PROG")</f>
        <v>#REF!</v>
      </c>
      <c r="B1487" s="22" t="e">
        <f>CONCATENATE("P",(LEFT('BASE OBZ'!#REF!,3)),'BASE OBZ'!#REF!)</f>
        <v>#REF!</v>
      </c>
      <c r="C1487" t="s">
        <v>1777</v>
      </c>
    </row>
    <row r="1488" spans="1:3" x14ac:dyDescent="0.25">
      <c r="A1488" s="22" t="e">
        <f>CONCATENATE('BASE OBZ'!#REF!,"PROG")</f>
        <v>#REF!</v>
      </c>
      <c r="B1488" s="22" t="e">
        <f>CONCATENATE("P",(LEFT('BASE OBZ'!#REF!,3)),'BASE OBZ'!#REF!)</f>
        <v>#REF!</v>
      </c>
      <c r="C1488" t="s">
        <v>1777</v>
      </c>
    </row>
    <row r="1489" spans="1:3" x14ac:dyDescent="0.25">
      <c r="A1489" s="22" t="e">
        <f>CONCATENATE('BASE OBZ'!#REF!,"PROG")</f>
        <v>#REF!</v>
      </c>
      <c r="B1489" s="22" t="e">
        <f>CONCATENATE("P",(LEFT('BASE OBZ'!#REF!,3)),'BASE OBZ'!#REF!)</f>
        <v>#REF!</v>
      </c>
      <c r="C1489" t="s">
        <v>1777</v>
      </c>
    </row>
    <row r="1490" spans="1:3" x14ac:dyDescent="0.25">
      <c r="A1490" s="22" t="e">
        <f>CONCATENATE('BASE OBZ'!#REF!,"PROG")</f>
        <v>#REF!</v>
      </c>
      <c r="B1490" s="22" t="e">
        <f>CONCATENATE("P",(LEFT('BASE OBZ'!#REF!,3)),'BASE OBZ'!#REF!)</f>
        <v>#REF!</v>
      </c>
      <c r="C1490" t="s">
        <v>1777</v>
      </c>
    </row>
    <row r="1491" spans="1:3" x14ac:dyDescent="0.25">
      <c r="A1491" s="22" t="e">
        <f>CONCATENATE('BASE OBZ'!#REF!,"PROG")</f>
        <v>#REF!</v>
      </c>
      <c r="B1491" s="22" t="e">
        <f>CONCATENATE("P",(LEFT('BASE OBZ'!#REF!,3)),'BASE OBZ'!#REF!)</f>
        <v>#REF!</v>
      </c>
      <c r="C1491" t="s">
        <v>1777</v>
      </c>
    </row>
    <row r="1492" spans="1:3" x14ac:dyDescent="0.25">
      <c r="A1492" s="22" t="e">
        <f>CONCATENATE('BASE OBZ'!#REF!,"PROG")</f>
        <v>#REF!</v>
      </c>
      <c r="B1492" s="22" t="e">
        <f>CONCATENATE("P",(LEFT('BASE OBZ'!#REF!,3)),'BASE OBZ'!#REF!)</f>
        <v>#REF!</v>
      </c>
      <c r="C1492" t="s">
        <v>1777</v>
      </c>
    </row>
    <row r="1493" spans="1:3" x14ac:dyDescent="0.25">
      <c r="A1493" s="22" t="e">
        <f>CONCATENATE('BASE OBZ'!#REF!,"PROG")</f>
        <v>#REF!</v>
      </c>
      <c r="B1493" s="22" t="e">
        <f>CONCATENATE("P",(LEFT('BASE OBZ'!#REF!,3)),'BASE OBZ'!#REF!)</f>
        <v>#REF!</v>
      </c>
      <c r="C1493" t="s">
        <v>1777</v>
      </c>
    </row>
    <row r="1494" spans="1:3" x14ac:dyDescent="0.25">
      <c r="A1494" s="22" t="e">
        <f>CONCATENATE('BASE OBZ'!#REF!,"PROG")</f>
        <v>#REF!</v>
      </c>
      <c r="B1494" s="22" t="e">
        <f>CONCATENATE("P",(LEFT('BASE OBZ'!#REF!,3)),'BASE OBZ'!#REF!)</f>
        <v>#REF!</v>
      </c>
      <c r="C1494" t="s">
        <v>1777</v>
      </c>
    </row>
    <row r="1495" spans="1:3" x14ac:dyDescent="0.25">
      <c r="A1495" s="22" t="e">
        <f>CONCATENATE('BASE OBZ'!#REF!,"PROG")</f>
        <v>#REF!</v>
      </c>
      <c r="B1495" s="22" t="e">
        <f>CONCATENATE("P",(LEFT('BASE OBZ'!#REF!,3)),'BASE OBZ'!#REF!)</f>
        <v>#REF!</v>
      </c>
      <c r="C1495" t="s">
        <v>1777</v>
      </c>
    </row>
    <row r="1496" spans="1:3" x14ac:dyDescent="0.25">
      <c r="A1496" s="22" t="e">
        <f>CONCATENATE('BASE OBZ'!#REF!,"PROG")</f>
        <v>#REF!</v>
      </c>
      <c r="B1496" s="22" t="e">
        <f>CONCATENATE("P",(LEFT('BASE OBZ'!#REF!,3)),'BASE OBZ'!#REF!)</f>
        <v>#REF!</v>
      </c>
      <c r="C1496" t="s">
        <v>1777</v>
      </c>
    </row>
    <row r="1497" spans="1:3" x14ac:dyDescent="0.25">
      <c r="A1497" s="22" t="e">
        <f>CONCATENATE('BASE OBZ'!#REF!,"PROG")</f>
        <v>#REF!</v>
      </c>
      <c r="B1497" s="22" t="e">
        <f>CONCATENATE("P",(LEFT('BASE OBZ'!#REF!,3)),'BASE OBZ'!#REF!)</f>
        <v>#REF!</v>
      </c>
      <c r="C1497" t="s">
        <v>1777</v>
      </c>
    </row>
    <row r="1498" spans="1:3" x14ac:dyDescent="0.25">
      <c r="A1498" s="22" t="e">
        <f>CONCATENATE('BASE OBZ'!#REF!,"PROG")</f>
        <v>#REF!</v>
      </c>
      <c r="B1498" s="22" t="e">
        <f>CONCATENATE("P",(LEFT('BASE OBZ'!#REF!,3)),'BASE OBZ'!#REF!)</f>
        <v>#REF!</v>
      </c>
      <c r="C1498" t="s">
        <v>1777</v>
      </c>
    </row>
    <row r="1499" spans="1:3" x14ac:dyDescent="0.25">
      <c r="A1499" s="22" t="e">
        <f>CONCATENATE('BASE OBZ'!#REF!,"PROG")</f>
        <v>#REF!</v>
      </c>
      <c r="B1499" s="22" t="e">
        <f>CONCATENATE("P",(LEFT('BASE OBZ'!#REF!,3)),'BASE OBZ'!#REF!)</f>
        <v>#REF!</v>
      </c>
      <c r="C1499" t="s">
        <v>1777</v>
      </c>
    </row>
    <row r="1500" spans="1:3" x14ac:dyDescent="0.25">
      <c r="A1500" s="22" t="e">
        <f>CONCATENATE('BASE OBZ'!#REF!,"PROG")</f>
        <v>#REF!</v>
      </c>
      <c r="B1500" s="22" t="e">
        <f>CONCATENATE("P",(LEFT('BASE OBZ'!#REF!,3)),'BASE OBZ'!#REF!)</f>
        <v>#REF!</v>
      </c>
      <c r="C1500" t="s">
        <v>1777</v>
      </c>
    </row>
    <row r="1501" spans="1:3" x14ac:dyDescent="0.25">
      <c r="A1501" s="22" t="e">
        <f>CONCATENATE('BASE OBZ'!#REF!,"PROG")</f>
        <v>#REF!</v>
      </c>
      <c r="B1501" s="22" t="e">
        <f>CONCATENATE("P",(LEFT('BASE OBZ'!#REF!,3)),'BASE OBZ'!#REF!)</f>
        <v>#REF!</v>
      </c>
      <c r="C1501" t="s">
        <v>1777</v>
      </c>
    </row>
    <row r="1502" spans="1:3" x14ac:dyDescent="0.25">
      <c r="A1502" s="22" t="e">
        <f>CONCATENATE('BASE OBZ'!#REF!,"PROG")</f>
        <v>#REF!</v>
      </c>
      <c r="B1502" s="22" t="e">
        <f>CONCATENATE("P",(LEFT('BASE OBZ'!#REF!,3)),'BASE OBZ'!#REF!)</f>
        <v>#REF!</v>
      </c>
      <c r="C1502" t="s">
        <v>1777</v>
      </c>
    </row>
    <row r="1503" spans="1:3" x14ac:dyDescent="0.25">
      <c r="A1503" s="22" t="e">
        <f>CONCATENATE('BASE OBZ'!#REF!,"PROG")</f>
        <v>#REF!</v>
      </c>
      <c r="B1503" s="22" t="e">
        <f>CONCATENATE("P",(LEFT('BASE OBZ'!#REF!,3)),'BASE OBZ'!#REF!)</f>
        <v>#REF!</v>
      </c>
      <c r="C1503" t="s">
        <v>1777</v>
      </c>
    </row>
    <row r="1504" spans="1:3" x14ac:dyDescent="0.25">
      <c r="A1504" s="22" t="e">
        <f>CONCATENATE('BASE OBZ'!#REF!,"PROG")</f>
        <v>#REF!</v>
      </c>
      <c r="B1504" s="22" t="e">
        <f>CONCATENATE("P",(LEFT('BASE OBZ'!#REF!,3)),'BASE OBZ'!#REF!)</f>
        <v>#REF!</v>
      </c>
      <c r="C1504" t="s">
        <v>1777</v>
      </c>
    </row>
    <row r="1505" spans="1:3" x14ac:dyDescent="0.25">
      <c r="A1505" s="22" t="e">
        <f>CONCATENATE('BASE OBZ'!#REF!,"PROG")</f>
        <v>#REF!</v>
      </c>
      <c r="B1505" s="22" t="e">
        <f>CONCATENATE("P",(LEFT('BASE OBZ'!#REF!,3)),'BASE OBZ'!#REF!)</f>
        <v>#REF!</v>
      </c>
      <c r="C1505" t="s">
        <v>1777</v>
      </c>
    </row>
    <row r="1506" spans="1:3" x14ac:dyDescent="0.25">
      <c r="A1506" s="22" t="e">
        <f>CONCATENATE('BASE OBZ'!#REF!,"PROG")</f>
        <v>#REF!</v>
      </c>
      <c r="B1506" s="22" t="e">
        <f>CONCATENATE("P",(LEFT('BASE OBZ'!#REF!,3)),'BASE OBZ'!#REF!)</f>
        <v>#REF!</v>
      </c>
      <c r="C1506" t="s">
        <v>1777</v>
      </c>
    </row>
    <row r="1507" spans="1:3" x14ac:dyDescent="0.25">
      <c r="A1507" s="22" t="e">
        <f>CONCATENATE('BASE OBZ'!#REF!,"PROG")</f>
        <v>#REF!</v>
      </c>
      <c r="B1507" s="22" t="e">
        <f>CONCATENATE("P",(LEFT('BASE OBZ'!#REF!,3)),'BASE OBZ'!#REF!)</f>
        <v>#REF!</v>
      </c>
      <c r="C1507" t="s">
        <v>1777</v>
      </c>
    </row>
    <row r="1508" spans="1:3" x14ac:dyDescent="0.25">
      <c r="A1508" s="22" t="e">
        <f>CONCATENATE('BASE OBZ'!#REF!,"PROG")</f>
        <v>#REF!</v>
      </c>
      <c r="B1508" s="22" t="e">
        <f>CONCATENATE("P",(LEFT('BASE OBZ'!#REF!,3)),'BASE OBZ'!#REF!)</f>
        <v>#REF!</v>
      </c>
      <c r="C1508" t="s">
        <v>1777</v>
      </c>
    </row>
    <row r="1509" spans="1:3" x14ac:dyDescent="0.25">
      <c r="A1509" s="22" t="e">
        <f>CONCATENATE('BASE OBZ'!#REF!,"PROG")</f>
        <v>#REF!</v>
      </c>
      <c r="B1509" s="22" t="e">
        <f>CONCATENATE("P",(LEFT('BASE OBZ'!#REF!,3)),'BASE OBZ'!#REF!)</f>
        <v>#REF!</v>
      </c>
      <c r="C1509" t="s">
        <v>1777</v>
      </c>
    </row>
    <row r="1510" spans="1:3" x14ac:dyDescent="0.25">
      <c r="A1510" s="22" t="e">
        <f>CONCATENATE('BASE OBZ'!#REF!,"PROG")</f>
        <v>#REF!</v>
      </c>
      <c r="B1510" s="22" t="e">
        <f>CONCATENATE("P",(LEFT('BASE OBZ'!#REF!,3)),'BASE OBZ'!#REF!)</f>
        <v>#REF!</v>
      </c>
      <c r="C1510" t="s">
        <v>1777</v>
      </c>
    </row>
    <row r="1511" spans="1:3" x14ac:dyDescent="0.25">
      <c r="A1511" s="22" t="e">
        <f>CONCATENATE('BASE OBZ'!#REF!,"PROG")</f>
        <v>#REF!</v>
      </c>
      <c r="B1511" s="22" t="e">
        <f>CONCATENATE("P",(LEFT('BASE OBZ'!#REF!,3)),'BASE OBZ'!#REF!)</f>
        <v>#REF!</v>
      </c>
      <c r="C1511" t="s">
        <v>1777</v>
      </c>
    </row>
    <row r="1512" spans="1:3" x14ac:dyDescent="0.25">
      <c r="A1512" s="22" t="e">
        <f>CONCATENATE('BASE OBZ'!#REF!,"PROG")</f>
        <v>#REF!</v>
      </c>
      <c r="B1512" s="22" t="e">
        <f>CONCATENATE("P",(LEFT('BASE OBZ'!#REF!,3)),'BASE OBZ'!#REF!)</f>
        <v>#REF!</v>
      </c>
      <c r="C1512" t="s">
        <v>1777</v>
      </c>
    </row>
    <row r="1513" spans="1:3" x14ac:dyDescent="0.25">
      <c r="A1513" s="22" t="e">
        <f>CONCATENATE('BASE OBZ'!#REF!,"PROG")</f>
        <v>#REF!</v>
      </c>
      <c r="B1513" s="22" t="e">
        <f>CONCATENATE("P",(LEFT('BASE OBZ'!#REF!,3)),'BASE OBZ'!#REF!)</f>
        <v>#REF!</v>
      </c>
      <c r="C1513" t="s">
        <v>1777</v>
      </c>
    </row>
    <row r="1514" spans="1:3" x14ac:dyDescent="0.25">
      <c r="A1514" s="22" t="e">
        <f>CONCATENATE('BASE OBZ'!#REF!,"PROG")</f>
        <v>#REF!</v>
      </c>
      <c r="B1514" s="22" t="e">
        <f>CONCATENATE("P",(LEFT('BASE OBZ'!#REF!,3)),'BASE OBZ'!#REF!)</f>
        <v>#REF!</v>
      </c>
      <c r="C1514" t="s">
        <v>1777</v>
      </c>
    </row>
    <row r="1515" spans="1:3" x14ac:dyDescent="0.25">
      <c r="A1515" s="22" t="e">
        <f>CONCATENATE('BASE OBZ'!#REF!,"PROG")</f>
        <v>#REF!</v>
      </c>
      <c r="B1515" s="22" t="e">
        <f>CONCATENATE("P",(LEFT('BASE OBZ'!#REF!,3)),'BASE OBZ'!#REF!)</f>
        <v>#REF!</v>
      </c>
      <c r="C1515" t="s">
        <v>1777</v>
      </c>
    </row>
    <row r="1516" spans="1:3" x14ac:dyDescent="0.25">
      <c r="A1516" s="22" t="e">
        <f>CONCATENATE('BASE OBZ'!#REF!,"PROG")</f>
        <v>#REF!</v>
      </c>
      <c r="B1516" s="22" t="e">
        <f>CONCATENATE("P",(LEFT('BASE OBZ'!#REF!,3)),'BASE OBZ'!#REF!)</f>
        <v>#REF!</v>
      </c>
      <c r="C1516" t="s">
        <v>1777</v>
      </c>
    </row>
    <row r="1517" spans="1:3" x14ac:dyDescent="0.25">
      <c r="A1517" s="22" t="e">
        <f>CONCATENATE('BASE OBZ'!#REF!,"PROG")</f>
        <v>#REF!</v>
      </c>
      <c r="B1517" s="22" t="e">
        <f>CONCATENATE("P",(LEFT('BASE OBZ'!#REF!,3)),'BASE OBZ'!#REF!)</f>
        <v>#REF!</v>
      </c>
      <c r="C1517" t="s">
        <v>1777</v>
      </c>
    </row>
    <row r="1518" spans="1:3" x14ac:dyDescent="0.25">
      <c r="A1518" s="22" t="e">
        <f>CONCATENATE('BASE OBZ'!#REF!,"PROG")</f>
        <v>#REF!</v>
      </c>
      <c r="B1518" s="22" t="e">
        <f>CONCATENATE("P",(LEFT('BASE OBZ'!#REF!,3)),'BASE OBZ'!#REF!)</f>
        <v>#REF!</v>
      </c>
      <c r="C1518" t="s">
        <v>1777</v>
      </c>
    </row>
    <row r="1519" spans="1:3" x14ac:dyDescent="0.25">
      <c r="A1519" s="22" t="e">
        <f>CONCATENATE('BASE OBZ'!#REF!,"PROG")</f>
        <v>#REF!</v>
      </c>
      <c r="B1519" s="22" t="e">
        <f>CONCATENATE("P",(LEFT('BASE OBZ'!#REF!,3)),'BASE OBZ'!#REF!)</f>
        <v>#REF!</v>
      </c>
      <c r="C1519" t="s">
        <v>1777</v>
      </c>
    </row>
    <row r="1520" spans="1:3" x14ac:dyDescent="0.25">
      <c r="A1520" s="22" t="e">
        <f>CONCATENATE('BASE OBZ'!#REF!,"PROG")</f>
        <v>#REF!</v>
      </c>
      <c r="B1520" s="22" t="e">
        <f>CONCATENATE("P",(LEFT('BASE OBZ'!#REF!,3)),'BASE OBZ'!#REF!)</f>
        <v>#REF!</v>
      </c>
      <c r="C1520" t="s">
        <v>1777</v>
      </c>
    </row>
    <row r="1521" spans="1:3" x14ac:dyDescent="0.25">
      <c r="A1521" s="22" t="e">
        <f>CONCATENATE('BASE OBZ'!#REF!,"PROG")</f>
        <v>#REF!</v>
      </c>
      <c r="B1521" s="22" t="e">
        <f>CONCATENATE("P",(LEFT('BASE OBZ'!#REF!,3)),'BASE OBZ'!#REF!)</f>
        <v>#REF!</v>
      </c>
      <c r="C1521" t="s">
        <v>1777</v>
      </c>
    </row>
    <row r="1522" spans="1:3" x14ac:dyDescent="0.25">
      <c r="A1522" s="22" t="e">
        <f>CONCATENATE('BASE OBZ'!#REF!,"PROG")</f>
        <v>#REF!</v>
      </c>
      <c r="B1522" s="22" t="e">
        <f>CONCATENATE("P",(LEFT('BASE OBZ'!#REF!,3)),'BASE OBZ'!#REF!)</f>
        <v>#REF!</v>
      </c>
      <c r="C1522" t="s">
        <v>1777</v>
      </c>
    </row>
    <row r="1523" spans="1:3" x14ac:dyDescent="0.25">
      <c r="A1523" s="22" t="e">
        <f>CONCATENATE('BASE OBZ'!#REF!,"PROG")</f>
        <v>#REF!</v>
      </c>
      <c r="B1523" s="22" t="e">
        <f>CONCATENATE("P",(LEFT('BASE OBZ'!#REF!,3)),'BASE OBZ'!#REF!)</f>
        <v>#REF!</v>
      </c>
      <c r="C1523" t="s">
        <v>1777</v>
      </c>
    </row>
    <row r="1524" spans="1:3" x14ac:dyDescent="0.25">
      <c r="A1524" s="22" t="e">
        <f>CONCATENATE('BASE OBZ'!#REF!,"PROG")</f>
        <v>#REF!</v>
      </c>
      <c r="B1524" s="22" t="e">
        <f>CONCATENATE("P",(LEFT('BASE OBZ'!#REF!,3)),'BASE OBZ'!#REF!)</f>
        <v>#REF!</v>
      </c>
      <c r="C1524" t="s">
        <v>1777</v>
      </c>
    </row>
    <row r="1525" spans="1:3" x14ac:dyDescent="0.25">
      <c r="A1525" s="22" t="e">
        <f>CONCATENATE('BASE OBZ'!#REF!,"PROG")</f>
        <v>#REF!</v>
      </c>
      <c r="B1525" s="22" t="e">
        <f>CONCATENATE("P",(LEFT('BASE OBZ'!#REF!,3)),'BASE OBZ'!#REF!)</f>
        <v>#REF!</v>
      </c>
      <c r="C1525" t="s">
        <v>1777</v>
      </c>
    </row>
    <row r="1526" spans="1:3" x14ac:dyDescent="0.25">
      <c r="A1526" s="22" t="e">
        <f>CONCATENATE('BASE OBZ'!#REF!,"PROG")</f>
        <v>#REF!</v>
      </c>
      <c r="B1526" s="22" t="e">
        <f>CONCATENATE("P",(LEFT('BASE OBZ'!#REF!,3)),'BASE OBZ'!#REF!)</f>
        <v>#REF!</v>
      </c>
      <c r="C1526" t="s">
        <v>1777</v>
      </c>
    </row>
    <row r="1527" spans="1:3" x14ac:dyDescent="0.25">
      <c r="A1527" s="22" t="e">
        <f>CONCATENATE('BASE OBZ'!#REF!,"PROG")</f>
        <v>#REF!</v>
      </c>
      <c r="B1527" s="22" t="e">
        <f>CONCATENATE("P",(LEFT('BASE OBZ'!#REF!,3)),'BASE OBZ'!#REF!)</f>
        <v>#REF!</v>
      </c>
      <c r="C1527" t="s">
        <v>1777</v>
      </c>
    </row>
    <row r="1528" spans="1:3" x14ac:dyDescent="0.25">
      <c r="A1528" s="22" t="e">
        <f>CONCATENATE('BASE OBZ'!#REF!,"PROG")</f>
        <v>#REF!</v>
      </c>
      <c r="B1528" s="22" t="e">
        <f>CONCATENATE("P",(LEFT('BASE OBZ'!#REF!,3)),'BASE OBZ'!#REF!)</f>
        <v>#REF!</v>
      </c>
      <c r="C1528" t="s">
        <v>1777</v>
      </c>
    </row>
    <row r="1529" spans="1:3" x14ac:dyDescent="0.25">
      <c r="A1529" s="22" t="e">
        <f>CONCATENATE('BASE OBZ'!#REF!,"PROG")</f>
        <v>#REF!</v>
      </c>
      <c r="B1529" s="22" t="e">
        <f>CONCATENATE("P",(LEFT('BASE OBZ'!#REF!,3)),'BASE OBZ'!#REF!)</f>
        <v>#REF!</v>
      </c>
      <c r="C1529" t="s">
        <v>1777</v>
      </c>
    </row>
    <row r="1530" spans="1:3" x14ac:dyDescent="0.25">
      <c r="A1530" s="22" t="e">
        <f>CONCATENATE('BASE OBZ'!#REF!,"PROG")</f>
        <v>#REF!</v>
      </c>
      <c r="B1530" s="22" t="e">
        <f>CONCATENATE("P",(LEFT('BASE OBZ'!#REF!,3)),'BASE OBZ'!#REF!)</f>
        <v>#REF!</v>
      </c>
      <c r="C1530" t="s">
        <v>1777</v>
      </c>
    </row>
    <row r="1531" spans="1:3" x14ac:dyDescent="0.25">
      <c r="A1531" s="22" t="e">
        <f>CONCATENATE('BASE OBZ'!#REF!,"PROG")</f>
        <v>#REF!</v>
      </c>
      <c r="B1531" s="22" t="e">
        <f>CONCATENATE("P",(LEFT('BASE OBZ'!#REF!,3)),'BASE OBZ'!#REF!)</f>
        <v>#REF!</v>
      </c>
      <c r="C1531" t="s">
        <v>1777</v>
      </c>
    </row>
    <row r="1532" spans="1:3" x14ac:dyDescent="0.25">
      <c r="A1532" s="22" t="e">
        <f>CONCATENATE('BASE OBZ'!#REF!,"PROG")</f>
        <v>#REF!</v>
      </c>
      <c r="B1532" s="22" t="e">
        <f>CONCATENATE("P",(LEFT('BASE OBZ'!#REF!,3)),'BASE OBZ'!#REF!)</f>
        <v>#REF!</v>
      </c>
      <c r="C1532" t="s">
        <v>1777</v>
      </c>
    </row>
    <row r="1533" spans="1:3" x14ac:dyDescent="0.25">
      <c r="A1533" s="22" t="e">
        <f>CONCATENATE('BASE OBZ'!#REF!,"PROG")</f>
        <v>#REF!</v>
      </c>
      <c r="B1533" s="22" t="e">
        <f>CONCATENATE("P",(LEFT('BASE OBZ'!#REF!,3)),'BASE OBZ'!#REF!)</f>
        <v>#REF!</v>
      </c>
      <c r="C1533" t="s">
        <v>1777</v>
      </c>
    </row>
    <row r="1534" spans="1:3" x14ac:dyDescent="0.25">
      <c r="A1534" s="22" t="e">
        <f>CONCATENATE('BASE OBZ'!#REF!,"PROG")</f>
        <v>#REF!</v>
      </c>
      <c r="B1534" s="22" t="e">
        <f>CONCATENATE("P",(LEFT('BASE OBZ'!#REF!,3)),'BASE OBZ'!#REF!)</f>
        <v>#REF!</v>
      </c>
      <c r="C1534" t="s">
        <v>1777</v>
      </c>
    </row>
    <row r="1535" spans="1:3" x14ac:dyDescent="0.25">
      <c r="A1535" s="22" t="e">
        <f>CONCATENATE('BASE OBZ'!#REF!,"PROG")</f>
        <v>#REF!</v>
      </c>
      <c r="B1535" s="22" t="e">
        <f>CONCATENATE("P",(LEFT('BASE OBZ'!#REF!,3)),'BASE OBZ'!#REF!)</f>
        <v>#REF!</v>
      </c>
      <c r="C1535" t="s">
        <v>1777</v>
      </c>
    </row>
    <row r="1536" spans="1:3" x14ac:dyDescent="0.25">
      <c r="A1536" s="22" t="e">
        <f>CONCATENATE('BASE OBZ'!#REF!,"PROG")</f>
        <v>#REF!</v>
      </c>
      <c r="B1536" s="22" t="e">
        <f>CONCATENATE("P",(LEFT('BASE OBZ'!#REF!,3)),'BASE OBZ'!#REF!)</f>
        <v>#REF!</v>
      </c>
      <c r="C1536" t="s">
        <v>1777</v>
      </c>
    </row>
    <row r="1537" spans="1:3" x14ac:dyDescent="0.25">
      <c r="A1537" s="22" t="e">
        <f>CONCATENATE('BASE OBZ'!#REF!,"PROG")</f>
        <v>#REF!</v>
      </c>
      <c r="B1537" s="22" t="e">
        <f>CONCATENATE("P",(LEFT('BASE OBZ'!#REF!,3)),'BASE OBZ'!#REF!)</f>
        <v>#REF!</v>
      </c>
      <c r="C1537" t="s">
        <v>1777</v>
      </c>
    </row>
    <row r="1538" spans="1:3" x14ac:dyDescent="0.25">
      <c r="A1538" s="22" t="e">
        <f>CONCATENATE('BASE OBZ'!#REF!,"PROG")</f>
        <v>#REF!</v>
      </c>
      <c r="B1538" s="22" t="e">
        <f>CONCATENATE("P",(LEFT('BASE OBZ'!#REF!,3)),'BASE OBZ'!#REF!)</f>
        <v>#REF!</v>
      </c>
      <c r="C1538" t="s">
        <v>1777</v>
      </c>
    </row>
    <row r="1539" spans="1:3" x14ac:dyDescent="0.25">
      <c r="A1539" s="22" t="e">
        <f>CONCATENATE('BASE OBZ'!#REF!,"PROG")</f>
        <v>#REF!</v>
      </c>
      <c r="B1539" s="22" t="e">
        <f>CONCATENATE("P",(LEFT('BASE OBZ'!#REF!,3)),'BASE OBZ'!#REF!)</f>
        <v>#REF!</v>
      </c>
      <c r="C1539" t="s">
        <v>1777</v>
      </c>
    </row>
    <row r="1540" spans="1:3" x14ac:dyDescent="0.25">
      <c r="A1540" s="22" t="e">
        <f>CONCATENATE('BASE OBZ'!#REF!,"PROG")</f>
        <v>#REF!</v>
      </c>
      <c r="B1540" s="22" t="e">
        <f>CONCATENATE("P",(LEFT('BASE OBZ'!#REF!,3)),'BASE OBZ'!#REF!)</f>
        <v>#REF!</v>
      </c>
      <c r="C1540" t="s">
        <v>1777</v>
      </c>
    </row>
    <row r="1541" spans="1:3" x14ac:dyDescent="0.25">
      <c r="A1541" s="22" t="e">
        <f>CONCATENATE('BASE OBZ'!#REF!,"PROG")</f>
        <v>#REF!</v>
      </c>
      <c r="B1541" s="22" t="e">
        <f>CONCATENATE("P",(LEFT('BASE OBZ'!#REF!,3)),'BASE OBZ'!#REF!)</f>
        <v>#REF!</v>
      </c>
      <c r="C1541" t="s">
        <v>1777</v>
      </c>
    </row>
    <row r="1542" spans="1:3" x14ac:dyDescent="0.25">
      <c r="A1542" s="22" t="e">
        <f>CONCATENATE('BASE OBZ'!#REF!,"PROG")</f>
        <v>#REF!</v>
      </c>
      <c r="B1542" s="22" t="e">
        <f>CONCATENATE("P",(LEFT('BASE OBZ'!#REF!,3)),'BASE OBZ'!#REF!)</f>
        <v>#REF!</v>
      </c>
      <c r="C1542" t="s">
        <v>1777</v>
      </c>
    </row>
    <row r="1543" spans="1:3" x14ac:dyDescent="0.25">
      <c r="A1543" s="22" t="e">
        <f>CONCATENATE('BASE OBZ'!#REF!,"PROG")</f>
        <v>#REF!</v>
      </c>
      <c r="B1543" s="22" t="e">
        <f>CONCATENATE("P",(LEFT('BASE OBZ'!#REF!,3)),'BASE OBZ'!#REF!)</f>
        <v>#REF!</v>
      </c>
      <c r="C1543" t="s">
        <v>1777</v>
      </c>
    </row>
    <row r="1544" spans="1:3" x14ac:dyDescent="0.25">
      <c r="A1544" s="22" t="e">
        <f>CONCATENATE('BASE OBZ'!#REF!,"PROG")</f>
        <v>#REF!</v>
      </c>
      <c r="B1544" s="22" t="e">
        <f>CONCATENATE("P",(LEFT('BASE OBZ'!#REF!,3)),'BASE OBZ'!#REF!)</f>
        <v>#REF!</v>
      </c>
      <c r="C1544" t="s">
        <v>1777</v>
      </c>
    </row>
    <row r="1545" spans="1:3" x14ac:dyDescent="0.25">
      <c r="A1545" s="22" t="e">
        <f>CONCATENATE('BASE OBZ'!#REF!,"PROG")</f>
        <v>#REF!</v>
      </c>
      <c r="B1545" s="22" t="e">
        <f>CONCATENATE("P",(LEFT('BASE OBZ'!#REF!,3)),'BASE OBZ'!#REF!)</f>
        <v>#REF!</v>
      </c>
      <c r="C1545" t="s">
        <v>1777</v>
      </c>
    </row>
    <row r="1546" spans="1:3" x14ac:dyDescent="0.25">
      <c r="A1546" s="22" t="e">
        <f>CONCATENATE('BASE OBZ'!#REF!,"PROG")</f>
        <v>#REF!</v>
      </c>
      <c r="B1546" s="22" t="e">
        <f>CONCATENATE("P",(LEFT('BASE OBZ'!#REF!,3)),'BASE OBZ'!#REF!)</f>
        <v>#REF!</v>
      </c>
      <c r="C1546" t="s">
        <v>1777</v>
      </c>
    </row>
    <row r="1547" spans="1:3" x14ac:dyDescent="0.25">
      <c r="A1547" s="22" t="e">
        <f>CONCATENATE('BASE OBZ'!#REF!,"PROG")</f>
        <v>#REF!</v>
      </c>
      <c r="B1547" s="22" t="e">
        <f>CONCATENATE("P",(LEFT('BASE OBZ'!#REF!,3)),'BASE OBZ'!#REF!)</f>
        <v>#REF!</v>
      </c>
      <c r="C1547" t="s">
        <v>1777</v>
      </c>
    </row>
    <row r="1548" spans="1:3" x14ac:dyDescent="0.25">
      <c r="A1548" s="22" t="e">
        <f>CONCATENATE('BASE OBZ'!#REF!,"PROG")</f>
        <v>#REF!</v>
      </c>
      <c r="B1548" s="22" t="e">
        <f>CONCATENATE("P",(LEFT('BASE OBZ'!#REF!,3)),'BASE OBZ'!#REF!)</f>
        <v>#REF!</v>
      </c>
      <c r="C1548" t="s">
        <v>1777</v>
      </c>
    </row>
    <row r="1549" spans="1:3" x14ac:dyDescent="0.25">
      <c r="A1549" s="22" t="e">
        <f>CONCATENATE('BASE OBZ'!#REF!,"PROG")</f>
        <v>#REF!</v>
      </c>
      <c r="B1549" s="22" t="e">
        <f>CONCATENATE("P",(LEFT('BASE OBZ'!#REF!,3)),'BASE OBZ'!#REF!)</f>
        <v>#REF!</v>
      </c>
      <c r="C1549" t="s">
        <v>1777</v>
      </c>
    </row>
    <row r="1550" spans="1:3" x14ac:dyDescent="0.25">
      <c r="A1550" s="22" t="e">
        <f>CONCATENATE('BASE OBZ'!#REF!,"PROG")</f>
        <v>#REF!</v>
      </c>
      <c r="B1550" s="22" t="e">
        <f>CONCATENATE("P",(LEFT('BASE OBZ'!#REF!,3)),'BASE OBZ'!#REF!)</f>
        <v>#REF!</v>
      </c>
      <c r="C1550" t="s">
        <v>1777</v>
      </c>
    </row>
    <row r="1551" spans="1:3" x14ac:dyDescent="0.25">
      <c r="A1551" s="22" t="e">
        <f>CONCATENATE('BASE OBZ'!#REF!,"PROG")</f>
        <v>#REF!</v>
      </c>
      <c r="B1551" s="22" t="e">
        <f>CONCATENATE("P",(LEFT('BASE OBZ'!#REF!,3)),'BASE OBZ'!#REF!)</f>
        <v>#REF!</v>
      </c>
      <c r="C1551" t="s">
        <v>1777</v>
      </c>
    </row>
    <row r="1552" spans="1:3" x14ac:dyDescent="0.25">
      <c r="A1552" s="22" t="e">
        <f>CONCATENATE('BASE OBZ'!#REF!,"PROG")</f>
        <v>#REF!</v>
      </c>
      <c r="B1552" s="22" t="e">
        <f>CONCATENATE("P",(LEFT('BASE OBZ'!#REF!,3)),'BASE OBZ'!#REF!)</f>
        <v>#REF!</v>
      </c>
      <c r="C1552" t="s">
        <v>1777</v>
      </c>
    </row>
    <row r="1553" spans="1:3" x14ac:dyDescent="0.25">
      <c r="A1553" s="22" t="e">
        <f>CONCATENATE('BASE OBZ'!#REF!,"PROG")</f>
        <v>#REF!</v>
      </c>
      <c r="B1553" s="22" t="e">
        <f>CONCATENATE("P",(LEFT('BASE OBZ'!#REF!,3)),'BASE OBZ'!#REF!)</f>
        <v>#REF!</v>
      </c>
      <c r="C1553" t="s">
        <v>1777</v>
      </c>
    </row>
    <row r="1554" spans="1:3" x14ac:dyDescent="0.25">
      <c r="A1554" s="22" t="e">
        <f>CONCATENATE('BASE OBZ'!#REF!,"PROG")</f>
        <v>#REF!</v>
      </c>
      <c r="B1554" s="22" t="e">
        <f>CONCATENATE("P",(LEFT('BASE OBZ'!#REF!,3)),'BASE OBZ'!#REF!)</f>
        <v>#REF!</v>
      </c>
      <c r="C1554" t="s">
        <v>1777</v>
      </c>
    </row>
    <row r="1555" spans="1:3" x14ac:dyDescent="0.25">
      <c r="A1555" s="22" t="e">
        <f>CONCATENATE('BASE OBZ'!#REF!,"PROG")</f>
        <v>#REF!</v>
      </c>
      <c r="B1555" s="22" t="e">
        <f>CONCATENATE("P",(LEFT('BASE OBZ'!#REF!,3)),'BASE OBZ'!#REF!)</f>
        <v>#REF!</v>
      </c>
      <c r="C1555" t="s">
        <v>1777</v>
      </c>
    </row>
    <row r="1556" spans="1:3" x14ac:dyDescent="0.25">
      <c r="A1556" s="22" t="e">
        <f>CONCATENATE('BASE OBZ'!#REF!,"PROG")</f>
        <v>#REF!</v>
      </c>
      <c r="B1556" s="22" t="e">
        <f>CONCATENATE("P",(LEFT('BASE OBZ'!#REF!,3)),'BASE OBZ'!#REF!)</f>
        <v>#REF!</v>
      </c>
      <c r="C1556" t="s">
        <v>1777</v>
      </c>
    </row>
    <row r="1557" spans="1:3" x14ac:dyDescent="0.25">
      <c r="A1557" s="22" t="e">
        <f>CONCATENATE('BASE OBZ'!#REF!,"PROG")</f>
        <v>#REF!</v>
      </c>
      <c r="B1557" s="22" t="e">
        <f>CONCATENATE("P",(LEFT('BASE OBZ'!#REF!,3)),'BASE OBZ'!#REF!)</f>
        <v>#REF!</v>
      </c>
      <c r="C1557" t="s">
        <v>1777</v>
      </c>
    </row>
    <row r="1558" spans="1:3" x14ac:dyDescent="0.25">
      <c r="A1558" s="22" t="e">
        <f>CONCATENATE('BASE OBZ'!#REF!,"PROG")</f>
        <v>#REF!</v>
      </c>
      <c r="B1558" s="22" t="e">
        <f>CONCATENATE("P",(LEFT('BASE OBZ'!#REF!,3)),'BASE OBZ'!#REF!)</f>
        <v>#REF!</v>
      </c>
      <c r="C1558" t="s">
        <v>1777</v>
      </c>
    </row>
    <row r="1559" spans="1:3" x14ac:dyDescent="0.25">
      <c r="A1559" s="22" t="e">
        <f>CONCATENATE('BASE OBZ'!#REF!,"PROG")</f>
        <v>#REF!</v>
      </c>
      <c r="B1559" s="22" t="e">
        <f>CONCATENATE("P",(LEFT('BASE OBZ'!#REF!,3)),'BASE OBZ'!#REF!)</f>
        <v>#REF!</v>
      </c>
      <c r="C1559" t="s">
        <v>1777</v>
      </c>
    </row>
    <row r="1560" spans="1:3" x14ac:dyDescent="0.25">
      <c r="A1560" s="22" t="e">
        <f>CONCATENATE('BASE OBZ'!#REF!,"PROG")</f>
        <v>#REF!</v>
      </c>
      <c r="B1560" s="22" t="e">
        <f>CONCATENATE("P",(LEFT('BASE OBZ'!#REF!,3)),'BASE OBZ'!#REF!)</f>
        <v>#REF!</v>
      </c>
      <c r="C1560" t="s">
        <v>1777</v>
      </c>
    </row>
    <row r="1561" spans="1:3" x14ac:dyDescent="0.25">
      <c r="A1561" s="22" t="e">
        <f>CONCATENATE('BASE OBZ'!#REF!,"PROG")</f>
        <v>#REF!</v>
      </c>
      <c r="B1561" s="22" t="e">
        <f>CONCATENATE("P",(LEFT('BASE OBZ'!#REF!,3)),'BASE OBZ'!#REF!)</f>
        <v>#REF!</v>
      </c>
      <c r="C1561" t="s">
        <v>1777</v>
      </c>
    </row>
    <row r="1562" spans="1:3" x14ac:dyDescent="0.25">
      <c r="A1562" s="22" t="e">
        <f>CONCATENATE('BASE OBZ'!#REF!,"PROG")</f>
        <v>#REF!</v>
      </c>
      <c r="B1562" s="22" t="e">
        <f>CONCATENATE("P",(LEFT('BASE OBZ'!#REF!,3)),'BASE OBZ'!#REF!)</f>
        <v>#REF!</v>
      </c>
      <c r="C1562" t="s">
        <v>1777</v>
      </c>
    </row>
    <row r="1563" spans="1:3" x14ac:dyDescent="0.25">
      <c r="A1563" s="22" t="e">
        <f>CONCATENATE('BASE OBZ'!#REF!,"PROG")</f>
        <v>#REF!</v>
      </c>
      <c r="B1563" s="22" t="e">
        <f>CONCATENATE("P",(LEFT('BASE OBZ'!#REF!,3)),'BASE OBZ'!#REF!)</f>
        <v>#REF!</v>
      </c>
      <c r="C1563" t="s">
        <v>1777</v>
      </c>
    </row>
    <row r="1564" spans="1:3" x14ac:dyDescent="0.25">
      <c r="A1564" s="22" t="e">
        <f>CONCATENATE('BASE OBZ'!#REF!,"PROG")</f>
        <v>#REF!</v>
      </c>
      <c r="B1564" s="22" t="e">
        <f>CONCATENATE("P",(LEFT('BASE OBZ'!#REF!,3)),'BASE OBZ'!#REF!)</f>
        <v>#REF!</v>
      </c>
      <c r="C1564" t="s">
        <v>1777</v>
      </c>
    </row>
    <row r="1565" spans="1:3" x14ac:dyDescent="0.25">
      <c r="A1565" s="22" t="e">
        <f>CONCATENATE('BASE OBZ'!#REF!,"PROG")</f>
        <v>#REF!</v>
      </c>
      <c r="B1565" s="22" t="e">
        <f>CONCATENATE("P",(LEFT('BASE OBZ'!#REF!,3)),'BASE OBZ'!#REF!)</f>
        <v>#REF!</v>
      </c>
      <c r="C1565" t="s">
        <v>1777</v>
      </c>
    </row>
    <row r="1566" spans="1:3" x14ac:dyDescent="0.25">
      <c r="A1566" s="22" t="e">
        <f>CONCATENATE('BASE OBZ'!#REF!,"PROG")</f>
        <v>#REF!</v>
      </c>
      <c r="B1566" s="22" t="e">
        <f>CONCATENATE("P",(LEFT('BASE OBZ'!#REF!,3)),'BASE OBZ'!#REF!)</f>
        <v>#REF!</v>
      </c>
      <c r="C1566" t="s">
        <v>1777</v>
      </c>
    </row>
    <row r="1567" spans="1:3" x14ac:dyDescent="0.25">
      <c r="A1567" s="22" t="e">
        <f>CONCATENATE('BASE OBZ'!#REF!,"PROG")</f>
        <v>#REF!</v>
      </c>
      <c r="B1567" s="22" t="e">
        <f>CONCATENATE("P",(LEFT('BASE OBZ'!#REF!,3)),'BASE OBZ'!#REF!)</f>
        <v>#REF!</v>
      </c>
      <c r="C1567" t="s">
        <v>1777</v>
      </c>
    </row>
    <row r="1568" spans="1:3" x14ac:dyDescent="0.25">
      <c r="A1568" s="22" t="e">
        <f>CONCATENATE('BASE OBZ'!#REF!,"PROG")</f>
        <v>#REF!</v>
      </c>
      <c r="B1568" s="22" t="e">
        <f>CONCATENATE("P",(LEFT('BASE OBZ'!#REF!,3)),'BASE OBZ'!#REF!)</f>
        <v>#REF!</v>
      </c>
      <c r="C1568" t="s">
        <v>1777</v>
      </c>
    </row>
    <row r="1569" spans="1:3" x14ac:dyDescent="0.25">
      <c r="A1569" s="22" t="e">
        <f>CONCATENATE('BASE OBZ'!#REF!,"PROG")</f>
        <v>#REF!</v>
      </c>
      <c r="B1569" s="22" t="e">
        <f>CONCATENATE("P",(LEFT('BASE OBZ'!#REF!,3)),'BASE OBZ'!#REF!)</f>
        <v>#REF!</v>
      </c>
      <c r="C1569" t="s">
        <v>1777</v>
      </c>
    </row>
    <row r="1570" spans="1:3" x14ac:dyDescent="0.25">
      <c r="A1570" s="22" t="e">
        <f>CONCATENATE('BASE OBZ'!#REF!,"PROG")</f>
        <v>#REF!</v>
      </c>
      <c r="B1570" s="22" t="e">
        <f>CONCATENATE("P",(LEFT('BASE OBZ'!#REF!,3)),'BASE OBZ'!#REF!)</f>
        <v>#REF!</v>
      </c>
      <c r="C1570" t="s">
        <v>1777</v>
      </c>
    </row>
    <row r="1571" spans="1:3" x14ac:dyDescent="0.25">
      <c r="A1571" s="22" t="e">
        <f>CONCATENATE('BASE OBZ'!#REF!,"PROG")</f>
        <v>#REF!</v>
      </c>
      <c r="B1571" s="22" t="e">
        <f>CONCATENATE("P",(LEFT('BASE OBZ'!#REF!,3)),'BASE OBZ'!#REF!)</f>
        <v>#REF!</v>
      </c>
      <c r="C1571" t="s">
        <v>1777</v>
      </c>
    </row>
    <row r="1572" spans="1:3" x14ac:dyDescent="0.25">
      <c r="A1572" s="22" t="e">
        <f>CONCATENATE('BASE OBZ'!#REF!,"PROG")</f>
        <v>#REF!</v>
      </c>
      <c r="B1572" s="22" t="e">
        <f>CONCATENATE("P",(LEFT('BASE OBZ'!#REF!,3)),'BASE OBZ'!#REF!)</f>
        <v>#REF!</v>
      </c>
      <c r="C1572" t="s">
        <v>1777</v>
      </c>
    </row>
    <row r="1573" spans="1:3" x14ac:dyDescent="0.25">
      <c r="A1573" s="22" t="e">
        <f>CONCATENATE('BASE OBZ'!#REF!,"PROG")</f>
        <v>#REF!</v>
      </c>
      <c r="B1573" s="22" t="e">
        <f>CONCATENATE("P",(LEFT('BASE OBZ'!#REF!,3)),'BASE OBZ'!#REF!)</f>
        <v>#REF!</v>
      </c>
      <c r="C1573" t="s">
        <v>1777</v>
      </c>
    </row>
    <row r="1574" spans="1:3" x14ac:dyDescent="0.25">
      <c r="A1574" s="22" t="e">
        <f>CONCATENATE('BASE OBZ'!#REF!,"PROG")</f>
        <v>#REF!</v>
      </c>
      <c r="B1574" s="22" t="e">
        <f>CONCATENATE("P",(LEFT('BASE OBZ'!#REF!,3)),'BASE OBZ'!#REF!)</f>
        <v>#REF!</v>
      </c>
      <c r="C1574" t="s">
        <v>1777</v>
      </c>
    </row>
    <row r="1575" spans="1:3" x14ac:dyDescent="0.25">
      <c r="A1575" s="22" t="e">
        <f>CONCATENATE('BASE OBZ'!#REF!,"PROG")</f>
        <v>#REF!</v>
      </c>
      <c r="B1575" s="22" t="e">
        <f>CONCATENATE("P",(LEFT('BASE OBZ'!#REF!,3)),'BASE OBZ'!#REF!)</f>
        <v>#REF!</v>
      </c>
      <c r="C1575" t="s">
        <v>1777</v>
      </c>
    </row>
    <row r="1576" spans="1:3" x14ac:dyDescent="0.25">
      <c r="A1576" s="22" t="e">
        <f>CONCATENATE('BASE OBZ'!#REF!,"PROG")</f>
        <v>#REF!</v>
      </c>
      <c r="B1576" s="22" t="e">
        <f>CONCATENATE("P",(LEFT('BASE OBZ'!#REF!,3)),'BASE OBZ'!#REF!)</f>
        <v>#REF!</v>
      </c>
      <c r="C1576" t="s">
        <v>1777</v>
      </c>
    </row>
    <row r="1577" spans="1:3" x14ac:dyDescent="0.25">
      <c r="A1577" s="22" t="e">
        <f>CONCATENATE('BASE OBZ'!#REF!,"PROG")</f>
        <v>#REF!</v>
      </c>
      <c r="B1577" s="22" t="e">
        <f>CONCATENATE("P",(LEFT('BASE OBZ'!#REF!,3)),'BASE OBZ'!#REF!)</f>
        <v>#REF!</v>
      </c>
      <c r="C1577" t="s">
        <v>1777</v>
      </c>
    </row>
    <row r="1578" spans="1:3" x14ac:dyDescent="0.25">
      <c r="A1578" s="22" t="e">
        <f>CONCATENATE('BASE OBZ'!#REF!,"PROG")</f>
        <v>#REF!</v>
      </c>
      <c r="B1578" s="22" t="e">
        <f>CONCATENATE("P",(LEFT('BASE OBZ'!#REF!,3)),'BASE OBZ'!#REF!)</f>
        <v>#REF!</v>
      </c>
      <c r="C1578" t="s">
        <v>1777</v>
      </c>
    </row>
    <row r="1579" spans="1:3" x14ac:dyDescent="0.25">
      <c r="A1579" s="22" t="e">
        <f>CONCATENATE('BASE OBZ'!#REF!,"PROG")</f>
        <v>#REF!</v>
      </c>
      <c r="B1579" s="22" t="e">
        <f>CONCATENATE("P",(LEFT('BASE OBZ'!#REF!,3)),'BASE OBZ'!#REF!)</f>
        <v>#REF!</v>
      </c>
      <c r="C1579" t="s">
        <v>1777</v>
      </c>
    </row>
    <row r="1580" spans="1:3" x14ac:dyDescent="0.25">
      <c r="A1580" s="22" t="e">
        <f>CONCATENATE('BASE OBZ'!#REF!,"PROG")</f>
        <v>#REF!</v>
      </c>
      <c r="B1580" s="22" t="e">
        <f>CONCATENATE("P",(LEFT('BASE OBZ'!#REF!,3)),'BASE OBZ'!#REF!)</f>
        <v>#REF!</v>
      </c>
      <c r="C1580" t="s">
        <v>1777</v>
      </c>
    </row>
    <row r="1581" spans="1:3" x14ac:dyDescent="0.25">
      <c r="A1581" s="22" t="e">
        <f>CONCATENATE('BASE OBZ'!#REF!,"PROG")</f>
        <v>#REF!</v>
      </c>
      <c r="B1581" s="22" t="e">
        <f>CONCATENATE("P",(LEFT('BASE OBZ'!#REF!,3)),'BASE OBZ'!#REF!)</f>
        <v>#REF!</v>
      </c>
      <c r="C1581" t="s">
        <v>1777</v>
      </c>
    </row>
    <row r="1582" spans="1:3" x14ac:dyDescent="0.25">
      <c r="A1582" s="22" t="e">
        <f>CONCATENATE('BASE OBZ'!#REF!,"PROG")</f>
        <v>#REF!</v>
      </c>
      <c r="B1582" s="22" t="e">
        <f>CONCATENATE("P",(LEFT('BASE OBZ'!#REF!,3)),'BASE OBZ'!#REF!)</f>
        <v>#REF!</v>
      </c>
      <c r="C1582" t="s">
        <v>1777</v>
      </c>
    </row>
    <row r="1583" spans="1:3" x14ac:dyDescent="0.25">
      <c r="A1583" s="22" t="e">
        <f>CONCATENATE('BASE OBZ'!#REF!,"PROG")</f>
        <v>#REF!</v>
      </c>
      <c r="B1583" s="22" t="e">
        <f>CONCATENATE("P",(LEFT('BASE OBZ'!#REF!,3)),'BASE OBZ'!#REF!)</f>
        <v>#REF!</v>
      </c>
      <c r="C1583" t="s">
        <v>1777</v>
      </c>
    </row>
    <row r="1584" spans="1:3" x14ac:dyDescent="0.25">
      <c r="A1584" s="22" t="e">
        <f>CONCATENATE('BASE OBZ'!#REF!,"PROG")</f>
        <v>#REF!</v>
      </c>
      <c r="B1584" s="22" t="e">
        <f>CONCATENATE("P",(LEFT('BASE OBZ'!#REF!,3)),'BASE OBZ'!#REF!)</f>
        <v>#REF!</v>
      </c>
      <c r="C1584" t="s">
        <v>1777</v>
      </c>
    </row>
    <row r="1585" spans="1:3" x14ac:dyDescent="0.25">
      <c r="A1585" s="22" t="e">
        <f>CONCATENATE('BASE OBZ'!#REF!,"PROG")</f>
        <v>#REF!</v>
      </c>
      <c r="B1585" s="22" t="e">
        <f>CONCATENATE("P",(LEFT('BASE OBZ'!#REF!,3)),'BASE OBZ'!#REF!)</f>
        <v>#REF!</v>
      </c>
      <c r="C1585" t="s">
        <v>1777</v>
      </c>
    </row>
    <row r="1586" spans="1:3" x14ac:dyDescent="0.25">
      <c r="A1586" s="22" t="e">
        <f>CONCATENATE('BASE OBZ'!#REF!,"PROG")</f>
        <v>#REF!</v>
      </c>
      <c r="B1586" s="22" t="e">
        <f>CONCATENATE("P",(LEFT('BASE OBZ'!#REF!,3)),'BASE OBZ'!#REF!)</f>
        <v>#REF!</v>
      </c>
      <c r="C1586" t="s">
        <v>1777</v>
      </c>
    </row>
    <row r="1587" spans="1:3" x14ac:dyDescent="0.25">
      <c r="A1587" s="22" t="e">
        <f>CONCATENATE('BASE OBZ'!#REF!,"PROG")</f>
        <v>#REF!</v>
      </c>
      <c r="B1587" s="22" t="e">
        <f>CONCATENATE("P",(LEFT('BASE OBZ'!#REF!,3)),'BASE OBZ'!#REF!)</f>
        <v>#REF!</v>
      </c>
      <c r="C1587" t="s">
        <v>1777</v>
      </c>
    </row>
    <row r="1588" spans="1:3" x14ac:dyDescent="0.25">
      <c r="A1588" s="22" t="e">
        <f>CONCATENATE('BASE OBZ'!#REF!,"PROG")</f>
        <v>#REF!</v>
      </c>
      <c r="B1588" s="22" t="e">
        <f>CONCATENATE("P",(LEFT('BASE OBZ'!#REF!,3)),'BASE OBZ'!#REF!)</f>
        <v>#REF!</v>
      </c>
      <c r="C1588" t="s">
        <v>1777</v>
      </c>
    </row>
    <row r="1589" spans="1:3" x14ac:dyDescent="0.25">
      <c r="A1589" s="22" t="e">
        <f>CONCATENATE('BASE OBZ'!#REF!,"PROG")</f>
        <v>#REF!</v>
      </c>
      <c r="B1589" s="22" t="e">
        <f>CONCATENATE("P",(LEFT('BASE OBZ'!#REF!,3)),'BASE OBZ'!#REF!)</f>
        <v>#REF!</v>
      </c>
      <c r="C1589" t="s">
        <v>1777</v>
      </c>
    </row>
    <row r="1590" spans="1:3" x14ac:dyDescent="0.25">
      <c r="A1590" s="22" t="e">
        <f>CONCATENATE('BASE OBZ'!#REF!,"PROG")</f>
        <v>#REF!</v>
      </c>
      <c r="B1590" s="22" t="e">
        <f>CONCATENATE("P",(LEFT('BASE OBZ'!#REF!,3)),'BASE OBZ'!#REF!)</f>
        <v>#REF!</v>
      </c>
      <c r="C1590" t="s">
        <v>1777</v>
      </c>
    </row>
    <row r="1591" spans="1:3" x14ac:dyDescent="0.25">
      <c r="A1591" s="22" t="e">
        <f>CONCATENATE('BASE OBZ'!#REF!,"PROG")</f>
        <v>#REF!</v>
      </c>
      <c r="B1591" s="22" t="e">
        <f>CONCATENATE("P",(LEFT('BASE OBZ'!#REF!,3)),'BASE OBZ'!#REF!)</f>
        <v>#REF!</v>
      </c>
      <c r="C1591" t="s">
        <v>1777</v>
      </c>
    </row>
    <row r="1592" spans="1:3" x14ac:dyDescent="0.25">
      <c r="A1592" s="22" t="e">
        <f>CONCATENATE('BASE OBZ'!#REF!,"PROG")</f>
        <v>#REF!</v>
      </c>
      <c r="B1592" s="22" t="e">
        <f>CONCATENATE("P",(LEFT('BASE OBZ'!#REF!,3)),'BASE OBZ'!#REF!)</f>
        <v>#REF!</v>
      </c>
      <c r="C1592" t="s">
        <v>1777</v>
      </c>
    </row>
    <row r="1593" spans="1:3" x14ac:dyDescent="0.25">
      <c r="A1593" s="22" t="e">
        <f>CONCATENATE('BASE OBZ'!#REF!,"PROG")</f>
        <v>#REF!</v>
      </c>
      <c r="B1593" s="22" t="e">
        <f>CONCATENATE("P",(LEFT('BASE OBZ'!#REF!,3)),'BASE OBZ'!#REF!)</f>
        <v>#REF!</v>
      </c>
      <c r="C1593" t="s">
        <v>1777</v>
      </c>
    </row>
    <row r="1594" spans="1:3" x14ac:dyDescent="0.25">
      <c r="A1594" s="22" t="e">
        <f>CONCATENATE('BASE OBZ'!#REF!,"PROG")</f>
        <v>#REF!</v>
      </c>
      <c r="B1594" s="22" t="e">
        <f>CONCATENATE("P",(LEFT('BASE OBZ'!#REF!,3)),'BASE OBZ'!#REF!)</f>
        <v>#REF!</v>
      </c>
      <c r="C1594" t="s">
        <v>1777</v>
      </c>
    </row>
    <row r="1595" spans="1:3" x14ac:dyDescent="0.25">
      <c r="A1595" s="22" t="e">
        <f>CONCATENATE('BASE OBZ'!#REF!,"PROG")</f>
        <v>#REF!</v>
      </c>
      <c r="B1595" s="22" t="e">
        <f>CONCATENATE("P",(LEFT('BASE OBZ'!#REF!,3)),'BASE OBZ'!#REF!)</f>
        <v>#REF!</v>
      </c>
      <c r="C1595" t="s">
        <v>1777</v>
      </c>
    </row>
    <row r="1596" spans="1:3" x14ac:dyDescent="0.25">
      <c r="A1596" s="22" t="e">
        <f>CONCATENATE('BASE OBZ'!#REF!,"PROG")</f>
        <v>#REF!</v>
      </c>
      <c r="B1596" s="22" t="e">
        <f>CONCATENATE("P",(LEFT('BASE OBZ'!#REF!,3)),'BASE OBZ'!#REF!)</f>
        <v>#REF!</v>
      </c>
      <c r="C1596" t="s">
        <v>1777</v>
      </c>
    </row>
    <row r="1597" spans="1:3" x14ac:dyDescent="0.25">
      <c r="A1597" s="22" t="e">
        <f>CONCATENATE('BASE OBZ'!#REF!,"PROG")</f>
        <v>#REF!</v>
      </c>
      <c r="B1597" s="22" t="e">
        <f>CONCATENATE("P",(LEFT('BASE OBZ'!#REF!,3)),'BASE OBZ'!#REF!)</f>
        <v>#REF!</v>
      </c>
      <c r="C1597" t="s">
        <v>1777</v>
      </c>
    </row>
    <row r="1598" spans="1:3" x14ac:dyDescent="0.25">
      <c r="A1598" s="22" t="e">
        <f>CONCATENATE('BASE OBZ'!#REF!,"PROG")</f>
        <v>#REF!</v>
      </c>
      <c r="B1598" s="22" t="e">
        <f>CONCATENATE("P",(LEFT('BASE OBZ'!#REF!,3)),'BASE OBZ'!#REF!)</f>
        <v>#REF!</v>
      </c>
      <c r="C1598" t="s">
        <v>1777</v>
      </c>
    </row>
    <row r="1599" spans="1:3" x14ac:dyDescent="0.25">
      <c r="A1599" s="22" t="e">
        <f>CONCATENATE('BASE OBZ'!#REF!,"PROG")</f>
        <v>#REF!</v>
      </c>
      <c r="B1599" s="22" t="e">
        <f>CONCATENATE("P",(LEFT('BASE OBZ'!#REF!,3)),'BASE OBZ'!#REF!)</f>
        <v>#REF!</v>
      </c>
      <c r="C1599" t="s">
        <v>1777</v>
      </c>
    </row>
    <row r="1600" spans="1:3" x14ac:dyDescent="0.25">
      <c r="A1600" s="22" t="e">
        <f>CONCATENATE('BASE OBZ'!#REF!,"PROG")</f>
        <v>#REF!</v>
      </c>
      <c r="B1600" s="22" t="e">
        <f>CONCATENATE("P",(LEFT('BASE OBZ'!#REF!,3)),'BASE OBZ'!#REF!)</f>
        <v>#REF!</v>
      </c>
      <c r="C1600" t="s">
        <v>1777</v>
      </c>
    </row>
    <row r="1601" spans="1:3" x14ac:dyDescent="0.25">
      <c r="A1601" s="22" t="e">
        <f>CONCATENATE('BASE OBZ'!#REF!,"PROG")</f>
        <v>#REF!</v>
      </c>
      <c r="B1601" s="22" t="e">
        <f>CONCATENATE("P",(LEFT('BASE OBZ'!#REF!,3)),'BASE OBZ'!#REF!)</f>
        <v>#REF!</v>
      </c>
      <c r="C1601" t="s">
        <v>1777</v>
      </c>
    </row>
    <row r="1602" spans="1:3" x14ac:dyDescent="0.25">
      <c r="A1602" s="22" t="e">
        <f>CONCATENATE('BASE OBZ'!#REF!,"PROG")</f>
        <v>#REF!</v>
      </c>
      <c r="B1602" s="22" t="e">
        <f>CONCATENATE("P",(LEFT('BASE OBZ'!#REF!,3)),'BASE OBZ'!#REF!)</f>
        <v>#REF!</v>
      </c>
      <c r="C1602" t="s">
        <v>1777</v>
      </c>
    </row>
    <row r="1603" spans="1:3" x14ac:dyDescent="0.25">
      <c r="A1603" s="22" t="e">
        <f>CONCATENATE('BASE OBZ'!#REF!,"PROG")</f>
        <v>#REF!</v>
      </c>
      <c r="B1603" s="22" t="e">
        <f>CONCATENATE("P",(LEFT('BASE OBZ'!#REF!,3)),'BASE OBZ'!#REF!)</f>
        <v>#REF!</v>
      </c>
      <c r="C1603" t="s">
        <v>1777</v>
      </c>
    </row>
    <row r="1604" spans="1:3" x14ac:dyDescent="0.25">
      <c r="A1604" s="22" t="e">
        <f>CONCATENATE('BASE OBZ'!#REF!,"PROG")</f>
        <v>#REF!</v>
      </c>
      <c r="B1604" s="22" t="e">
        <f>CONCATENATE("P",(LEFT('BASE OBZ'!#REF!,3)),'BASE OBZ'!#REF!)</f>
        <v>#REF!</v>
      </c>
      <c r="C1604" t="s">
        <v>1777</v>
      </c>
    </row>
    <row r="1605" spans="1:3" x14ac:dyDescent="0.25">
      <c r="A1605" s="22" t="e">
        <f>CONCATENATE('BASE OBZ'!#REF!,"PROG")</f>
        <v>#REF!</v>
      </c>
      <c r="B1605" s="22" t="e">
        <f>CONCATENATE("P",(LEFT('BASE OBZ'!#REF!,3)),'BASE OBZ'!#REF!)</f>
        <v>#REF!</v>
      </c>
      <c r="C1605" t="s">
        <v>1777</v>
      </c>
    </row>
    <row r="1606" spans="1:3" x14ac:dyDescent="0.25">
      <c r="A1606" s="22" t="e">
        <f>CONCATENATE('BASE OBZ'!#REF!,"PROG")</f>
        <v>#REF!</v>
      </c>
      <c r="B1606" s="22" t="e">
        <f>CONCATENATE("P",(LEFT('BASE OBZ'!#REF!,3)),'BASE OBZ'!#REF!)</f>
        <v>#REF!</v>
      </c>
      <c r="C1606" t="s">
        <v>1777</v>
      </c>
    </row>
    <row r="1607" spans="1:3" x14ac:dyDescent="0.25">
      <c r="A1607" s="22" t="e">
        <f>CONCATENATE('BASE OBZ'!#REF!,"PROG")</f>
        <v>#REF!</v>
      </c>
      <c r="B1607" s="22" t="e">
        <f>CONCATENATE("P",(LEFT('BASE OBZ'!#REF!,3)),'BASE OBZ'!#REF!)</f>
        <v>#REF!</v>
      </c>
      <c r="C1607" t="s">
        <v>1777</v>
      </c>
    </row>
    <row r="1608" spans="1:3" x14ac:dyDescent="0.25">
      <c r="A1608" s="22" t="e">
        <f>CONCATENATE('BASE OBZ'!#REF!,"PROG")</f>
        <v>#REF!</v>
      </c>
      <c r="B1608" s="22" t="e">
        <f>CONCATENATE("P",(LEFT('BASE OBZ'!#REF!,3)),'BASE OBZ'!#REF!)</f>
        <v>#REF!</v>
      </c>
      <c r="C1608" t="s">
        <v>1777</v>
      </c>
    </row>
    <row r="1609" spans="1:3" x14ac:dyDescent="0.25">
      <c r="A1609" s="22" t="e">
        <f>CONCATENATE('BASE OBZ'!#REF!,"PROG")</f>
        <v>#REF!</v>
      </c>
      <c r="B1609" s="22" t="e">
        <f>CONCATENATE("P",(LEFT('BASE OBZ'!#REF!,3)),'BASE OBZ'!#REF!)</f>
        <v>#REF!</v>
      </c>
      <c r="C1609" t="s">
        <v>1777</v>
      </c>
    </row>
    <row r="1610" spans="1:3" x14ac:dyDescent="0.25">
      <c r="A1610" s="22" t="e">
        <f>CONCATENATE('BASE OBZ'!#REF!,"PROG")</f>
        <v>#REF!</v>
      </c>
      <c r="B1610" s="22" t="e">
        <f>CONCATENATE("P",(LEFT('BASE OBZ'!#REF!,3)),'BASE OBZ'!#REF!)</f>
        <v>#REF!</v>
      </c>
      <c r="C1610" t="s">
        <v>1777</v>
      </c>
    </row>
    <row r="1611" spans="1:3" x14ac:dyDescent="0.25">
      <c r="A1611" s="22" t="e">
        <f>CONCATENATE('BASE OBZ'!#REF!,"PROG")</f>
        <v>#REF!</v>
      </c>
      <c r="B1611" s="22" t="e">
        <f>CONCATENATE("P",(LEFT('BASE OBZ'!#REF!,3)),'BASE OBZ'!#REF!)</f>
        <v>#REF!</v>
      </c>
      <c r="C1611" t="s">
        <v>1777</v>
      </c>
    </row>
    <row r="1612" spans="1:3" x14ac:dyDescent="0.25">
      <c r="A1612" s="22" t="e">
        <f>CONCATENATE('BASE OBZ'!#REF!,"PROG")</f>
        <v>#REF!</v>
      </c>
      <c r="B1612" s="22" t="e">
        <f>CONCATENATE("P",(LEFT('BASE OBZ'!#REF!,3)),'BASE OBZ'!#REF!)</f>
        <v>#REF!</v>
      </c>
      <c r="C1612" t="s">
        <v>1777</v>
      </c>
    </row>
    <row r="1613" spans="1:3" x14ac:dyDescent="0.25">
      <c r="A1613" s="22" t="e">
        <f>CONCATENATE('BASE OBZ'!#REF!,"PROG")</f>
        <v>#REF!</v>
      </c>
      <c r="B1613" s="22" t="e">
        <f>CONCATENATE("P",(LEFT('BASE OBZ'!#REF!,3)),'BASE OBZ'!#REF!)</f>
        <v>#REF!</v>
      </c>
      <c r="C1613" t="s">
        <v>1777</v>
      </c>
    </row>
    <row r="1614" spans="1:3" x14ac:dyDescent="0.25">
      <c r="A1614" s="22" t="e">
        <f>CONCATENATE('BASE OBZ'!#REF!,"PROG")</f>
        <v>#REF!</v>
      </c>
      <c r="B1614" s="22" t="e">
        <f>CONCATENATE("P",(LEFT('BASE OBZ'!#REF!,3)),'BASE OBZ'!#REF!)</f>
        <v>#REF!</v>
      </c>
      <c r="C1614" t="s">
        <v>1777</v>
      </c>
    </row>
    <row r="1615" spans="1:3" x14ac:dyDescent="0.25">
      <c r="A1615" s="22" t="e">
        <f>CONCATENATE('BASE OBZ'!#REF!,"PROG")</f>
        <v>#REF!</v>
      </c>
      <c r="B1615" s="22" t="e">
        <f>CONCATENATE("P",(LEFT('BASE OBZ'!#REF!,3)),'BASE OBZ'!#REF!)</f>
        <v>#REF!</v>
      </c>
      <c r="C1615" t="s">
        <v>1777</v>
      </c>
    </row>
    <row r="1616" spans="1:3" x14ac:dyDescent="0.25">
      <c r="A1616" s="22" t="e">
        <f>CONCATENATE('BASE OBZ'!#REF!,"PROG")</f>
        <v>#REF!</v>
      </c>
      <c r="B1616" s="22" t="e">
        <f>CONCATENATE("P",(LEFT('BASE OBZ'!#REF!,3)),'BASE OBZ'!#REF!)</f>
        <v>#REF!</v>
      </c>
      <c r="C1616" t="s">
        <v>1777</v>
      </c>
    </row>
    <row r="1617" spans="1:3" x14ac:dyDescent="0.25">
      <c r="A1617" s="22" t="e">
        <f>CONCATENATE('BASE OBZ'!#REF!,"PROG")</f>
        <v>#REF!</v>
      </c>
      <c r="B1617" s="22" t="e">
        <f>CONCATENATE("P",(LEFT('BASE OBZ'!#REF!,3)),'BASE OBZ'!#REF!)</f>
        <v>#REF!</v>
      </c>
      <c r="C1617" t="s">
        <v>1777</v>
      </c>
    </row>
    <row r="1618" spans="1:3" x14ac:dyDescent="0.25">
      <c r="A1618" s="22" t="e">
        <f>CONCATENATE('BASE OBZ'!#REF!,"PROG")</f>
        <v>#REF!</v>
      </c>
      <c r="B1618" s="22" t="e">
        <f>CONCATENATE("P",(LEFT('BASE OBZ'!#REF!,3)),'BASE OBZ'!#REF!)</f>
        <v>#REF!</v>
      </c>
      <c r="C1618" t="s">
        <v>1777</v>
      </c>
    </row>
    <row r="1619" spans="1:3" x14ac:dyDescent="0.25">
      <c r="A1619" s="22" t="e">
        <f>CONCATENATE('BASE OBZ'!#REF!,"PROG")</f>
        <v>#REF!</v>
      </c>
      <c r="B1619" s="22" t="e">
        <f>CONCATENATE("P",(LEFT('BASE OBZ'!#REF!,3)),'BASE OBZ'!#REF!)</f>
        <v>#REF!</v>
      </c>
      <c r="C1619" t="s">
        <v>1777</v>
      </c>
    </row>
    <row r="1620" spans="1:3" x14ac:dyDescent="0.25">
      <c r="A1620" s="22" t="e">
        <f>CONCATENATE('BASE OBZ'!#REF!,"PROG")</f>
        <v>#REF!</v>
      </c>
      <c r="B1620" s="22" t="e">
        <f>CONCATENATE("P",(LEFT('BASE OBZ'!#REF!,3)),'BASE OBZ'!#REF!)</f>
        <v>#REF!</v>
      </c>
      <c r="C1620" t="s">
        <v>1777</v>
      </c>
    </row>
    <row r="1621" spans="1:3" x14ac:dyDescent="0.25">
      <c r="A1621" s="22" t="e">
        <f>CONCATENATE('BASE OBZ'!#REF!,"PROG")</f>
        <v>#REF!</v>
      </c>
      <c r="B1621" s="22" t="e">
        <f>CONCATENATE("P",(LEFT('BASE OBZ'!#REF!,3)),'BASE OBZ'!#REF!)</f>
        <v>#REF!</v>
      </c>
      <c r="C1621" t="s">
        <v>1777</v>
      </c>
    </row>
    <row r="1622" spans="1:3" x14ac:dyDescent="0.25">
      <c r="A1622" s="22" t="e">
        <f>CONCATENATE('BASE OBZ'!#REF!,"PROG")</f>
        <v>#REF!</v>
      </c>
      <c r="B1622" s="22" t="e">
        <f>CONCATENATE("P",(LEFT('BASE OBZ'!#REF!,3)),'BASE OBZ'!#REF!)</f>
        <v>#REF!</v>
      </c>
      <c r="C1622" t="s">
        <v>1777</v>
      </c>
    </row>
    <row r="1623" spans="1:3" x14ac:dyDescent="0.25">
      <c r="A1623" s="22" t="e">
        <f>CONCATENATE('BASE OBZ'!#REF!,"PROG")</f>
        <v>#REF!</v>
      </c>
      <c r="B1623" s="22" t="e">
        <f>CONCATENATE("P",(LEFT('BASE OBZ'!#REF!,3)),'BASE OBZ'!#REF!)</f>
        <v>#REF!</v>
      </c>
      <c r="C1623" t="s">
        <v>1777</v>
      </c>
    </row>
    <row r="1624" spans="1:3" x14ac:dyDescent="0.25">
      <c r="A1624" s="22" t="e">
        <f>CONCATENATE('BASE OBZ'!#REF!,"PROG")</f>
        <v>#REF!</v>
      </c>
      <c r="B1624" s="22" t="e">
        <f>CONCATENATE("P",(LEFT('BASE OBZ'!#REF!,3)),'BASE OBZ'!#REF!)</f>
        <v>#REF!</v>
      </c>
      <c r="C1624" t="s">
        <v>1777</v>
      </c>
    </row>
    <row r="1625" spans="1:3" x14ac:dyDescent="0.25">
      <c r="A1625" s="22" t="e">
        <f>CONCATENATE('BASE OBZ'!#REF!,"PROG")</f>
        <v>#REF!</v>
      </c>
      <c r="B1625" s="22" t="e">
        <f>CONCATENATE("P",(LEFT('BASE OBZ'!#REF!,3)),'BASE OBZ'!#REF!)</f>
        <v>#REF!</v>
      </c>
      <c r="C1625" t="s">
        <v>1777</v>
      </c>
    </row>
    <row r="1626" spans="1:3" x14ac:dyDescent="0.25">
      <c r="A1626" s="22" t="e">
        <f>CONCATENATE('BASE OBZ'!#REF!,"PROG")</f>
        <v>#REF!</v>
      </c>
      <c r="B1626" s="22" t="e">
        <f>CONCATENATE("P",(LEFT('BASE OBZ'!#REF!,3)),'BASE OBZ'!#REF!)</f>
        <v>#REF!</v>
      </c>
      <c r="C1626" t="s">
        <v>1777</v>
      </c>
    </row>
    <row r="1627" spans="1:3" x14ac:dyDescent="0.25">
      <c r="A1627" s="22" t="e">
        <f>CONCATENATE('BASE OBZ'!#REF!,"PROG")</f>
        <v>#REF!</v>
      </c>
      <c r="B1627" s="22" t="e">
        <f>CONCATENATE("P",(LEFT('BASE OBZ'!#REF!,3)),'BASE OBZ'!#REF!)</f>
        <v>#REF!</v>
      </c>
      <c r="C1627" t="s">
        <v>1777</v>
      </c>
    </row>
    <row r="1628" spans="1:3" x14ac:dyDescent="0.25">
      <c r="A1628" s="22" t="e">
        <f>CONCATENATE('BASE OBZ'!#REF!,"PROG")</f>
        <v>#REF!</v>
      </c>
      <c r="B1628" s="22" t="e">
        <f>CONCATENATE("P",(LEFT('BASE OBZ'!#REF!,3)),'BASE OBZ'!#REF!)</f>
        <v>#REF!</v>
      </c>
      <c r="C1628" t="s">
        <v>1777</v>
      </c>
    </row>
    <row r="1629" spans="1:3" x14ac:dyDescent="0.25">
      <c r="A1629" s="22" t="e">
        <f>CONCATENATE('BASE OBZ'!#REF!,"PROG")</f>
        <v>#REF!</v>
      </c>
      <c r="B1629" s="22" t="e">
        <f>CONCATENATE("P",(LEFT('BASE OBZ'!#REF!,3)),'BASE OBZ'!#REF!)</f>
        <v>#REF!</v>
      </c>
      <c r="C1629" t="s">
        <v>1777</v>
      </c>
    </row>
    <row r="1630" spans="1:3" x14ac:dyDescent="0.25">
      <c r="A1630" s="22" t="e">
        <f>CONCATENATE('BASE OBZ'!#REF!,"PROG")</f>
        <v>#REF!</v>
      </c>
      <c r="B1630" s="22" t="e">
        <f>CONCATENATE("P",(LEFT('BASE OBZ'!#REF!,3)),'BASE OBZ'!#REF!)</f>
        <v>#REF!</v>
      </c>
      <c r="C1630" t="s">
        <v>1777</v>
      </c>
    </row>
    <row r="1631" spans="1:3" x14ac:dyDescent="0.25">
      <c r="A1631" s="22" t="e">
        <f>CONCATENATE('BASE OBZ'!#REF!,"PROG")</f>
        <v>#REF!</v>
      </c>
      <c r="B1631" s="22" t="e">
        <f>CONCATENATE("P",(LEFT('BASE OBZ'!#REF!,3)),'BASE OBZ'!#REF!)</f>
        <v>#REF!</v>
      </c>
      <c r="C1631" t="s">
        <v>1777</v>
      </c>
    </row>
    <row r="1632" spans="1:3" x14ac:dyDescent="0.25">
      <c r="A1632" s="22" t="e">
        <f>CONCATENATE('BASE OBZ'!#REF!,"PROG")</f>
        <v>#REF!</v>
      </c>
      <c r="B1632" s="22" t="e">
        <f>CONCATENATE("P",(LEFT('BASE OBZ'!#REF!,3)),'BASE OBZ'!#REF!)</f>
        <v>#REF!</v>
      </c>
      <c r="C1632" t="s">
        <v>1777</v>
      </c>
    </row>
    <row r="1633" spans="1:3" x14ac:dyDescent="0.25">
      <c r="A1633" s="22" t="e">
        <f>CONCATENATE('BASE OBZ'!#REF!,"PROG")</f>
        <v>#REF!</v>
      </c>
      <c r="B1633" s="22" t="e">
        <f>CONCATENATE("P",(LEFT('BASE OBZ'!#REF!,3)),'BASE OBZ'!#REF!)</f>
        <v>#REF!</v>
      </c>
      <c r="C1633" t="s">
        <v>1777</v>
      </c>
    </row>
    <row r="1634" spans="1:3" x14ac:dyDescent="0.25">
      <c r="A1634" s="22" t="e">
        <f>CONCATENATE('BASE OBZ'!#REF!,"PROG")</f>
        <v>#REF!</v>
      </c>
      <c r="B1634" s="22" t="e">
        <f>CONCATENATE("P",(LEFT('BASE OBZ'!#REF!,3)),'BASE OBZ'!#REF!)</f>
        <v>#REF!</v>
      </c>
      <c r="C1634" t="s">
        <v>1777</v>
      </c>
    </row>
    <row r="1635" spans="1:3" x14ac:dyDescent="0.25">
      <c r="A1635" s="22" t="e">
        <f>CONCATENATE('BASE OBZ'!#REF!,"PROG")</f>
        <v>#REF!</v>
      </c>
      <c r="B1635" s="22" t="e">
        <f>CONCATENATE("P",(LEFT('BASE OBZ'!#REF!,3)),'BASE OBZ'!#REF!)</f>
        <v>#REF!</v>
      </c>
      <c r="C1635" t="s">
        <v>1777</v>
      </c>
    </row>
    <row r="1636" spans="1:3" x14ac:dyDescent="0.25">
      <c r="A1636" s="22" t="e">
        <f>CONCATENATE('BASE OBZ'!#REF!,"PROG")</f>
        <v>#REF!</v>
      </c>
      <c r="B1636" s="22" t="e">
        <f>CONCATENATE("P",(LEFT('BASE OBZ'!#REF!,3)),'BASE OBZ'!#REF!)</f>
        <v>#REF!</v>
      </c>
      <c r="C1636" t="s">
        <v>1777</v>
      </c>
    </row>
    <row r="1637" spans="1:3" x14ac:dyDescent="0.25">
      <c r="A1637" s="22" t="e">
        <f>CONCATENATE('BASE OBZ'!#REF!,"PROG")</f>
        <v>#REF!</v>
      </c>
      <c r="B1637" s="22" t="e">
        <f>CONCATENATE("P",(LEFT('BASE OBZ'!#REF!,3)),'BASE OBZ'!#REF!)</f>
        <v>#REF!</v>
      </c>
      <c r="C1637" t="s">
        <v>1777</v>
      </c>
    </row>
    <row r="1638" spans="1:3" x14ac:dyDescent="0.25">
      <c r="A1638" s="22" t="e">
        <f>CONCATENATE('BASE OBZ'!#REF!,"PROG")</f>
        <v>#REF!</v>
      </c>
      <c r="B1638" s="22" t="e">
        <f>CONCATENATE("P",(LEFT('BASE OBZ'!#REF!,3)),'BASE OBZ'!#REF!)</f>
        <v>#REF!</v>
      </c>
      <c r="C1638" t="s">
        <v>1777</v>
      </c>
    </row>
    <row r="1639" spans="1:3" x14ac:dyDescent="0.25">
      <c r="A1639" s="22" t="e">
        <f>CONCATENATE('BASE OBZ'!#REF!,"PROG")</f>
        <v>#REF!</v>
      </c>
      <c r="B1639" s="22" t="e">
        <f>CONCATENATE("P",(LEFT('BASE OBZ'!#REF!,3)),'BASE OBZ'!#REF!)</f>
        <v>#REF!</v>
      </c>
      <c r="C1639" t="s">
        <v>1777</v>
      </c>
    </row>
    <row r="1640" spans="1:3" x14ac:dyDescent="0.25">
      <c r="A1640" s="22" t="e">
        <f>CONCATENATE('BASE OBZ'!#REF!,"PROG")</f>
        <v>#REF!</v>
      </c>
      <c r="B1640" s="22" t="e">
        <f>CONCATENATE("P",(LEFT('BASE OBZ'!#REF!,3)),'BASE OBZ'!#REF!)</f>
        <v>#REF!</v>
      </c>
      <c r="C1640" t="s">
        <v>1777</v>
      </c>
    </row>
    <row r="1641" spans="1:3" x14ac:dyDescent="0.25">
      <c r="A1641" s="22" t="e">
        <f>CONCATENATE('BASE OBZ'!#REF!,"PROG")</f>
        <v>#REF!</v>
      </c>
      <c r="B1641" s="22" t="e">
        <f>CONCATENATE("P",(LEFT('BASE OBZ'!#REF!,3)),'BASE OBZ'!#REF!)</f>
        <v>#REF!</v>
      </c>
      <c r="C1641" t="s">
        <v>1777</v>
      </c>
    </row>
    <row r="1642" spans="1:3" x14ac:dyDescent="0.25">
      <c r="A1642" s="22" t="e">
        <f>CONCATENATE('BASE OBZ'!#REF!,"PROG")</f>
        <v>#REF!</v>
      </c>
      <c r="B1642" s="22" t="e">
        <f>CONCATENATE("P",(LEFT('BASE OBZ'!#REF!,3)),'BASE OBZ'!#REF!)</f>
        <v>#REF!</v>
      </c>
      <c r="C1642" t="s">
        <v>1777</v>
      </c>
    </row>
    <row r="1643" spans="1:3" x14ac:dyDescent="0.25">
      <c r="A1643" s="22" t="e">
        <f>CONCATENATE('BASE OBZ'!#REF!,"PROG")</f>
        <v>#REF!</v>
      </c>
      <c r="B1643" s="22" t="e">
        <f>CONCATENATE("P",(LEFT('BASE OBZ'!#REF!,3)),'BASE OBZ'!#REF!)</f>
        <v>#REF!</v>
      </c>
      <c r="C1643" t="s">
        <v>1777</v>
      </c>
    </row>
    <row r="1644" spans="1:3" x14ac:dyDescent="0.25">
      <c r="A1644" s="22" t="e">
        <f>CONCATENATE('BASE OBZ'!#REF!,"PROG")</f>
        <v>#REF!</v>
      </c>
      <c r="B1644" s="22" t="e">
        <f>CONCATENATE("P",(LEFT('BASE OBZ'!#REF!,3)),'BASE OBZ'!#REF!)</f>
        <v>#REF!</v>
      </c>
      <c r="C1644" t="s">
        <v>1777</v>
      </c>
    </row>
    <row r="1645" spans="1:3" x14ac:dyDescent="0.25">
      <c r="A1645" s="22" t="e">
        <f>CONCATENATE('BASE OBZ'!#REF!,"PROG")</f>
        <v>#REF!</v>
      </c>
      <c r="B1645" s="22" t="e">
        <f>CONCATENATE("P",(LEFT('BASE OBZ'!#REF!,3)),'BASE OBZ'!#REF!)</f>
        <v>#REF!</v>
      </c>
      <c r="C1645" t="s">
        <v>1777</v>
      </c>
    </row>
    <row r="1646" spans="1:3" x14ac:dyDescent="0.25">
      <c r="A1646" s="22" t="e">
        <f>CONCATENATE('BASE OBZ'!#REF!,"PROG")</f>
        <v>#REF!</v>
      </c>
      <c r="B1646" s="22" t="e">
        <f>CONCATENATE("P",(LEFT('BASE OBZ'!#REF!,3)),'BASE OBZ'!#REF!)</f>
        <v>#REF!</v>
      </c>
      <c r="C1646" t="s">
        <v>1777</v>
      </c>
    </row>
    <row r="1647" spans="1:3" x14ac:dyDescent="0.25">
      <c r="A1647" s="22" t="e">
        <f>CONCATENATE('BASE OBZ'!#REF!,"PROG")</f>
        <v>#REF!</v>
      </c>
      <c r="B1647" s="22" t="e">
        <f>CONCATENATE("P",(LEFT('BASE OBZ'!#REF!,3)),'BASE OBZ'!#REF!)</f>
        <v>#REF!</v>
      </c>
      <c r="C1647" t="s">
        <v>1777</v>
      </c>
    </row>
    <row r="1648" spans="1:3" x14ac:dyDescent="0.25">
      <c r="A1648" s="22" t="e">
        <f>CONCATENATE('BASE OBZ'!#REF!,"PROG")</f>
        <v>#REF!</v>
      </c>
      <c r="B1648" s="22" t="e">
        <f>CONCATENATE("P",(LEFT('BASE OBZ'!#REF!,3)),'BASE OBZ'!#REF!)</f>
        <v>#REF!</v>
      </c>
      <c r="C1648" t="s">
        <v>1777</v>
      </c>
    </row>
    <row r="1649" spans="1:3" x14ac:dyDescent="0.25">
      <c r="A1649" s="22" t="e">
        <f>CONCATENATE('BASE OBZ'!#REF!,"PROG")</f>
        <v>#REF!</v>
      </c>
      <c r="B1649" s="22" t="e">
        <f>CONCATENATE("P",(LEFT('BASE OBZ'!#REF!,3)),'BASE OBZ'!#REF!)</f>
        <v>#REF!</v>
      </c>
      <c r="C1649" t="s">
        <v>1777</v>
      </c>
    </row>
    <row r="1650" spans="1:3" x14ac:dyDescent="0.25">
      <c r="A1650" s="22" t="e">
        <f>CONCATENATE('BASE OBZ'!#REF!,"PROG")</f>
        <v>#REF!</v>
      </c>
      <c r="B1650" s="22" t="e">
        <f>CONCATENATE("P",(LEFT('BASE OBZ'!#REF!,3)),'BASE OBZ'!#REF!)</f>
        <v>#REF!</v>
      </c>
      <c r="C1650" t="s">
        <v>1777</v>
      </c>
    </row>
    <row r="1651" spans="1:3" x14ac:dyDescent="0.25">
      <c r="A1651" s="22" t="e">
        <f>CONCATENATE('BASE OBZ'!#REF!,"PROG")</f>
        <v>#REF!</v>
      </c>
      <c r="B1651" s="22" t="e">
        <f>CONCATENATE("P",(LEFT('BASE OBZ'!#REF!,3)),'BASE OBZ'!#REF!)</f>
        <v>#REF!</v>
      </c>
      <c r="C1651" t="s">
        <v>1777</v>
      </c>
    </row>
    <row r="1652" spans="1:3" x14ac:dyDescent="0.25">
      <c r="A1652" s="22" t="e">
        <f>CONCATENATE('BASE OBZ'!#REF!,"PROG")</f>
        <v>#REF!</v>
      </c>
      <c r="B1652" s="22" t="e">
        <f>CONCATENATE("P",(LEFT('BASE OBZ'!#REF!,3)),'BASE OBZ'!#REF!)</f>
        <v>#REF!</v>
      </c>
      <c r="C1652" t="s">
        <v>1777</v>
      </c>
    </row>
    <row r="1653" spans="1:3" x14ac:dyDescent="0.25">
      <c r="A1653" s="22" t="e">
        <f>CONCATENATE('BASE OBZ'!#REF!,"PROG")</f>
        <v>#REF!</v>
      </c>
      <c r="B1653" s="22" t="e">
        <f>CONCATENATE("P",(LEFT('BASE OBZ'!#REF!,3)),'BASE OBZ'!#REF!)</f>
        <v>#REF!</v>
      </c>
      <c r="C1653" t="s">
        <v>1777</v>
      </c>
    </row>
    <row r="1654" spans="1:3" x14ac:dyDescent="0.25">
      <c r="A1654" s="22" t="e">
        <f>CONCATENATE('BASE OBZ'!#REF!,"PROG")</f>
        <v>#REF!</v>
      </c>
      <c r="B1654" s="22" t="e">
        <f>CONCATENATE("P",(LEFT('BASE OBZ'!#REF!,3)),'BASE OBZ'!#REF!)</f>
        <v>#REF!</v>
      </c>
      <c r="C1654" t="s">
        <v>1777</v>
      </c>
    </row>
    <row r="1655" spans="1:3" x14ac:dyDescent="0.25">
      <c r="A1655" s="22" t="e">
        <f>CONCATENATE('BASE OBZ'!#REF!,"PROG")</f>
        <v>#REF!</v>
      </c>
      <c r="B1655" s="22" t="e">
        <f>CONCATENATE("P",(LEFT('BASE OBZ'!#REF!,3)),'BASE OBZ'!#REF!)</f>
        <v>#REF!</v>
      </c>
      <c r="C1655" t="s">
        <v>1777</v>
      </c>
    </row>
    <row r="1656" spans="1:3" x14ac:dyDescent="0.25">
      <c r="A1656" s="22" t="e">
        <f>CONCATENATE('BASE OBZ'!#REF!,"PROG")</f>
        <v>#REF!</v>
      </c>
      <c r="B1656" s="22" t="e">
        <f>CONCATENATE("P",(LEFT('BASE OBZ'!#REF!,3)),'BASE OBZ'!#REF!)</f>
        <v>#REF!</v>
      </c>
      <c r="C1656" t="s">
        <v>1777</v>
      </c>
    </row>
    <row r="1657" spans="1:3" x14ac:dyDescent="0.25">
      <c r="A1657" s="22" t="e">
        <f>CONCATENATE('BASE OBZ'!#REF!,"PROG")</f>
        <v>#REF!</v>
      </c>
      <c r="B1657" s="22" t="e">
        <f>CONCATENATE("P",(LEFT('BASE OBZ'!#REF!,3)),'BASE OBZ'!#REF!)</f>
        <v>#REF!</v>
      </c>
      <c r="C1657" t="s">
        <v>1777</v>
      </c>
    </row>
    <row r="1658" spans="1:3" x14ac:dyDescent="0.25">
      <c r="A1658" s="22" t="e">
        <f>CONCATENATE('BASE OBZ'!#REF!,"PROG")</f>
        <v>#REF!</v>
      </c>
      <c r="B1658" s="22" t="e">
        <f>CONCATENATE("P",(LEFT('BASE OBZ'!#REF!,3)),'BASE OBZ'!#REF!)</f>
        <v>#REF!</v>
      </c>
      <c r="C1658" t="s">
        <v>1777</v>
      </c>
    </row>
    <row r="1659" spans="1:3" x14ac:dyDescent="0.25">
      <c r="A1659" s="22" t="e">
        <f>CONCATENATE('BASE OBZ'!#REF!,"PROG")</f>
        <v>#REF!</v>
      </c>
      <c r="B1659" s="22" t="e">
        <f>CONCATENATE("P",(LEFT('BASE OBZ'!#REF!,3)),'BASE OBZ'!#REF!)</f>
        <v>#REF!</v>
      </c>
      <c r="C1659" t="s">
        <v>1777</v>
      </c>
    </row>
    <row r="1660" spans="1:3" x14ac:dyDescent="0.25">
      <c r="A1660" s="22" t="e">
        <f>CONCATENATE('BASE OBZ'!#REF!,"PROG")</f>
        <v>#REF!</v>
      </c>
      <c r="B1660" s="22" t="e">
        <f>CONCATENATE("P",(LEFT('BASE OBZ'!#REF!,3)),'BASE OBZ'!#REF!)</f>
        <v>#REF!</v>
      </c>
      <c r="C1660" t="s">
        <v>1777</v>
      </c>
    </row>
    <row r="1661" spans="1:3" x14ac:dyDescent="0.25">
      <c r="A1661" s="22" t="e">
        <f>CONCATENATE('BASE OBZ'!#REF!,"PROG")</f>
        <v>#REF!</v>
      </c>
      <c r="B1661" s="22" t="e">
        <f>CONCATENATE("P",(LEFT('BASE OBZ'!#REF!,3)),'BASE OBZ'!#REF!)</f>
        <v>#REF!</v>
      </c>
      <c r="C1661" t="s">
        <v>1777</v>
      </c>
    </row>
    <row r="1662" spans="1:3" x14ac:dyDescent="0.25">
      <c r="A1662" s="22" t="e">
        <f>CONCATENATE('BASE OBZ'!#REF!,"PROG")</f>
        <v>#REF!</v>
      </c>
      <c r="B1662" s="22" t="e">
        <f>CONCATENATE("P",(LEFT('BASE OBZ'!#REF!,3)),'BASE OBZ'!#REF!)</f>
        <v>#REF!</v>
      </c>
      <c r="C1662" t="s">
        <v>1777</v>
      </c>
    </row>
    <row r="1663" spans="1:3" x14ac:dyDescent="0.25">
      <c r="A1663" s="22" t="e">
        <f>CONCATENATE('BASE OBZ'!#REF!,"PROG")</f>
        <v>#REF!</v>
      </c>
      <c r="B1663" s="22" t="e">
        <f>CONCATENATE("P",(LEFT('BASE OBZ'!#REF!,3)),'BASE OBZ'!#REF!)</f>
        <v>#REF!</v>
      </c>
      <c r="C1663" t="s">
        <v>1777</v>
      </c>
    </row>
    <row r="1664" spans="1:3" x14ac:dyDescent="0.25">
      <c r="A1664" s="22" t="e">
        <f>CONCATENATE('BASE OBZ'!#REF!,"PROG")</f>
        <v>#REF!</v>
      </c>
      <c r="B1664" s="22" t="e">
        <f>CONCATENATE("P",(LEFT('BASE OBZ'!#REF!,3)),'BASE OBZ'!#REF!)</f>
        <v>#REF!</v>
      </c>
      <c r="C1664" t="s">
        <v>1777</v>
      </c>
    </row>
    <row r="1665" spans="1:3" x14ac:dyDescent="0.25">
      <c r="A1665" s="22" t="e">
        <f>CONCATENATE('BASE OBZ'!#REF!,"PROG")</f>
        <v>#REF!</v>
      </c>
      <c r="B1665" s="22" t="e">
        <f>CONCATENATE("P",(LEFT('BASE OBZ'!#REF!,3)),'BASE OBZ'!#REF!)</f>
        <v>#REF!</v>
      </c>
      <c r="C1665" t="s">
        <v>1777</v>
      </c>
    </row>
    <row r="1666" spans="1:3" x14ac:dyDescent="0.25">
      <c r="A1666" s="22" t="e">
        <f>CONCATENATE('BASE OBZ'!#REF!,"PROG")</f>
        <v>#REF!</v>
      </c>
      <c r="B1666" s="22" t="e">
        <f>CONCATENATE("P",(LEFT('BASE OBZ'!#REF!,3)),'BASE OBZ'!#REF!)</f>
        <v>#REF!</v>
      </c>
      <c r="C1666" t="s">
        <v>1777</v>
      </c>
    </row>
    <row r="1667" spans="1:3" x14ac:dyDescent="0.25">
      <c r="A1667" s="22" t="e">
        <f>CONCATENATE('BASE OBZ'!#REF!,"PROG")</f>
        <v>#REF!</v>
      </c>
      <c r="B1667" s="22" t="e">
        <f>CONCATENATE("P",(LEFT('BASE OBZ'!#REF!,3)),'BASE OBZ'!#REF!)</f>
        <v>#REF!</v>
      </c>
      <c r="C1667" t="s">
        <v>1777</v>
      </c>
    </row>
    <row r="1668" spans="1:3" x14ac:dyDescent="0.25">
      <c r="A1668" s="22" t="e">
        <f>CONCATENATE('BASE OBZ'!#REF!,"PROG")</f>
        <v>#REF!</v>
      </c>
      <c r="B1668" s="22" t="e">
        <f>CONCATENATE("P",(LEFT('BASE OBZ'!#REF!,3)),'BASE OBZ'!#REF!)</f>
        <v>#REF!</v>
      </c>
      <c r="C1668" t="s">
        <v>1777</v>
      </c>
    </row>
    <row r="1669" spans="1:3" x14ac:dyDescent="0.25">
      <c r="A1669" s="22" t="e">
        <f>CONCATENATE('BASE OBZ'!#REF!,"PROG")</f>
        <v>#REF!</v>
      </c>
      <c r="B1669" s="22" t="e">
        <f>CONCATENATE("P",(LEFT('BASE OBZ'!#REF!,3)),'BASE OBZ'!#REF!)</f>
        <v>#REF!</v>
      </c>
      <c r="C1669" t="s">
        <v>1777</v>
      </c>
    </row>
    <row r="1670" spans="1:3" x14ac:dyDescent="0.25">
      <c r="A1670" s="22" t="e">
        <f>CONCATENATE('BASE OBZ'!#REF!,"PROG")</f>
        <v>#REF!</v>
      </c>
      <c r="B1670" s="22" t="e">
        <f>CONCATENATE("P",(LEFT('BASE OBZ'!#REF!,3)),'BASE OBZ'!#REF!)</f>
        <v>#REF!</v>
      </c>
      <c r="C1670" t="s">
        <v>1777</v>
      </c>
    </row>
    <row r="1671" spans="1:3" x14ac:dyDescent="0.25">
      <c r="A1671" s="22" t="e">
        <f>CONCATENATE('BASE OBZ'!#REF!,"PROG")</f>
        <v>#REF!</v>
      </c>
      <c r="B1671" s="22" t="e">
        <f>CONCATENATE("P",(LEFT('BASE OBZ'!#REF!,3)),'BASE OBZ'!#REF!)</f>
        <v>#REF!</v>
      </c>
      <c r="C1671" t="s">
        <v>1777</v>
      </c>
    </row>
    <row r="1672" spans="1:3" x14ac:dyDescent="0.25">
      <c r="A1672" s="22" t="e">
        <f>CONCATENATE('BASE OBZ'!#REF!,"PROG")</f>
        <v>#REF!</v>
      </c>
      <c r="B1672" s="22" t="e">
        <f>CONCATENATE("P",(LEFT('BASE OBZ'!#REF!,3)),'BASE OBZ'!#REF!)</f>
        <v>#REF!</v>
      </c>
      <c r="C1672" t="s">
        <v>1777</v>
      </c>
    </row>
    <row r="1673" spans="1:3" x14ac:dyDescent="0.25">
      <c r="A1673" s="22" t="e">
        <f>CONCATENATE('BASE OBZ'!#REF!,"PROG")</f>
        <v>#REF!</v>
      </c>
      <c r="B1673" s="22" t="e">
        <f>CONCATENATE("P",(LEFT('BASE OBZ'!#REF!,3)),'BASE OBZ'!#REF!)</f>
        <v>#REF!</v>
      </c>
      <c r="C1673" t="s">
        <v>1777</v>
      </c>
    </row>
    <row r="1674" spans="1:3" x14ac:dyDescent="0.25">
      <c r="A1674" s="22" t="e">
        <f>CONCATENATE('BASE OBZ'!#REF!,"PROG")</f>
        <v>#REF!</v>
      </c>
      <c r="B1674" s="22" t="e">
        <f>CONCATENATE("P",(LEFT('BASE OBZ'!#REF!,3)),'BASE OBZ'!#REF!)</f>
        <v>#REF!</v>
      </c>
      <c r="C1674" t="s">
        <v>1777</v>
      </c>
    </row>
    <row r="1675" spans="1:3" x14ac:dyDescent="0.25">
      <c r="A1675" s="22" t="e">
        <f>CONCATENATE('BASE OBZ'!#REF!,"PROG")</f>
        <v>#REF!</v>
      </c>
      <c r="B1675" s="22" t="e">
        <f>CONCATENATE("P",(LEFT('BASE OBZ'!#REF!,3)),'BASE OBZ'!#REF!)</f>
        <v>#REF!</v>
      </c>
      <c r="C1675" t="s">
        <v>1777</v>
      </c>
    </row>
    <row r="1676" spans="1:3" x14ac:dyDescent="0.25">
      <c r="A1676" s="22" t="e">
        <f>CONCATENATE('BASE OBZ'!#REF!,"PROG")</f>
        <v>#REF!</v>
      </c>
      <c r="B1676" s="22" t="e">
        <f>CONCATENATE("P",(LEFT('BASE OBZ'!#REF!,3)),'BASE OBZ'!#REF!)</f>
        <v>#REF!</v>
      </c>
      <c r="C1676" t="s">
        <v>1777</v>
      </c>
    </row>
    <row r="1677" spans="1:3" x14ac:dyDescent="0.25">
      <c r="A1677" s="22" t="e">
        <f>CONCATENATE('BASE OBZ'!#REF!,"PROG")</f>
        <v>#REF!</v>
      </c>
      <c r="B1677" s="22" t="e">
        <f>CONCATENATE("P",(LEFT('BASE OBZ'!#REF!,3)),'BASE OBZ'!#REF!)</f>
        <v>#REF!</v>
      </c>
      <c r="C1677" t="s">
        <v>1777</v>
      </c>
    </row>
    <row r="1678" spans="1:3" x14ac:dyDescent="0.25">
      <c r="A1678" s="22" t="e">
        <f>CONCATENATE('BASE OBZ'!#REF!,"PROG")</f>
        <v>#REF!</v>
      </c>
      <c r="B1678" s="22" t="e">
        <f>CONCATENATE("P",(LEFT('BASE OBZ'!#REF!,3)),'BASE OBZ'!#REF!)</f>
        <v>#REF!</v>
      </c>
      <c r="C1678" t="s">
        <v>1777</v>
      </c>
    </row>
    <row r="1679" spans="1:3" x14ac:dyDescent="0.25">
      <c r="A1679" s="22" t="e">
        <f>CONCATENATE('BASE OBZ'!#REF!,"PROG")</f>
        <v>#REF!</v>
      </c>
      <c r="B1679" s="22" t="e">
        <f>CONCATENATE("P",(LEFT('BASE OBZ'!#REF!,3)),'BASE OBZ'!#REF!)</f>
        <v>#REF!</v>
      </c>
      <c r="C1679" t="s">
        <v>1777</v>
      </c>
    </row>
    <row r="1680" spans="1:3" x14ac:dyDescent="0.25">
      <c r="A1680" s="22" t="e">
        <f>CONCATENATE('BASE OBZ'!#REF!,"PROG")</f>
        <v>#REF!</v>
      </c>
      <c r="B1680" s="22" t="e">
        <f>CONCATENATE("P",(LEFT('BASE OBZ'!#REF!,3)),'BASE OBZ'!#REF!)</f>
        <v>#REF!</v>
      </c>
      <c r="C1680" t="s">
        <v>1777</v>
      </c>
    </row>
    <row r="1681" spans="1:3" x14ac:dyDescent="0.25">
      <c r="A1681" s="22" t="e">
        <f>CONCATENATE('BASE OBZ'!#REF!,"PROG")</f>
        <v>#REF!</v>
      </c>
      <c r="B1681" s="22" t="e">
        <f>CONCATENATE("P",(LEFT('BASE OBZ'!#REF!,3)),'BASE OBZ'!#REF!)</f>
        <v>#REF!</v>
      </c>
      <c r="C1681" t="s">
        <v>1777</v>
      </c>
    </row>
    <row r="1682" spans="1:3" x14ac:dyDescent="0.25">
      <c r="A1682" s="22" t="e">
        <f>CONCATENATE('BASE OBZ'!#REF!,"PROG")</f>
        <v>#REF!</v>
      </c>
      <c r="B1682" s="22" t="e">
        <f>CONCATENATE("P",(LEFT('BASE OBZ'!#REF!,3)),'BASE OBZ'!#REF!)</f>
        <v>#REF!</v>
      </c>
      <c r="C1682" t="s">
        <v>1777</v>
      </c>
    </row>
    <row r="1683" spans="1:3" x14ac:dyDescent="0.25">
      <c r="A1683" s="22" t="e">
        <f>CONCATENATE('BASE OBZ'!#REF!,"PROG")</f>
        <v>#REF!</v>
      </c>
      <c r="B1683" s="22" t="e">
        <f>CONCATENATE("P",(LEFT('BASE OBZ'!#REF!,3)),'BASE OBZ'!#REF!)</f>
        <v>#REF!</v>
      </c>
      <c r="C1683" t="s">
        <v>1777</v>
      </c>
    </row>
    <row r="1684" spans="1:3" x14ac:dyDescent="0.25">
      <c r="A1684" s="22" t="e">
        <f>CONCATENATE('BASE OBZ'!#REF!,"PROG")</f>
        <v>#REF!</v>
      </c>
      <c r="B1684" s="22" t="e">
        <f>CONCATENATE("P",(LEFT('BASE OBZ'!#REF!,3)),'BASE OBZ'!#REF!)</f>
        <v>#REF!</v>
      </c>
      <c r="C1684" t="s">
        <v>1777</v>
      </c>
    </row>
    <row r="1685" spans="1:3" x14ac:dyDescent="0.25">
      <c r="A1685" s="22" t="e">
        <f>CONCATENATE('BASE OBZ'!#REF!,"PROG")</f>
        <v>#REF!</v>
      </c>
      <c r="B1685" s="22" t="e">
        <f>CONCATENATE("P",(LEFT('BASE OBZ'!#REF!,3)),'BASE OBZ'!#REF!)</f>
        <v>#REF!</v>
      </c>
      <c r="C1685" t="s">
        <v>1777</v>
      </c>
    </row>
    <row r="1686" spans="1:3" x14ac:dyDescent="0.25">
      <c r="A1686" s="22" t="e">
        <f>CONCATENATE('BASE OBZ'!#REF!,"PROG")</f>
        <v>#REF!</v>
      </c>
      <c r="B1686" s="22" t="e">
        <f>CONCATENATE("P",(LEFT('BASE OBZ'!#REF!,3)),'BASE OBZ'!#REF!)</f>
        <v>#REF!</v>
      </c>
      <c r="C1686" t="s">
        <v>1777</v>
      </c>
    </row>
    <row r="1687" spans="1:3" x14ac:dyDescent="0.25">
      <c r="A1687" s="22" t="e">
        <f>CONCATENATE('BASE OBZ'!#REF!,"PROG")</f>
        <v>#REF!</v>
      </c>
      <c r="B1687" s="22" t="e">
        <f>CONCATENATE("P",(LEFT('BASE OBZ'!#REF!,3)),'BASE OBZ'!#REF!)</f>
        <v>#REF!</v>
      </c>
      <c r="C1687" t="s">
        <v>1777</v>
      </c>
    </row>
    <row r="1688" spans="1:3" x14ac:dyDescent="0.25">
      <c r="A1688" s="22" t="e">
        <f>CONCATENATE('BASE OBZ'!#REF!,"PROG")</f>
        <v>#REF!</v>
      </c>
      <c r="B1688" s="22" t="e">
        <f>CONCATENATE("P",(LEFT('BASE OBZ'!#REF!,3)),'BASE OBZ'!#REF!)</f>
        <v>#REF!</v>
      </c>
      <c r="C1688" t="s">
        <v>1777</v>
      </c>
    </row>
    <row r="1689" spans="1:3" x14ac:dyDescent="0.25">
      <c r="A1689" s="22" t="e">
        <f>CONCATENATE('BASE OBZ'!#REF!,"PROG")</f>
        <v>#REF!</v>
      </c>
      <c r="B1689" s="22" t="e">
        <f>CONCATENATE("P",(LEFT('BASE OBZ'!#REF!,3)),'BASE OBZ'!#REF!)</f>
        <v>#REF!</v>
      </c>
      <c r="C1689" t="s">
        <v>1777</v>
      </c>
    </row>
    <row r="1690" spans="1:3" x14ac:dyDescent="0.25">
      <c r="A1690" s="22" t="e">
        <f>CONCATENATE('BASE OBZ'!#REF!,"PROG")</f>
        <v>#REF!</v>
      </c>
      <c r="B1690" s="22" t="e">
        <f>CONCATENATE("P",(LEFT('BASE OBZ'!#REF!,3)),'BASE OBZ'!#REF!)</f>
        <v>#REF!</v>
      </c>
      <c r="C1690" t="s">
        <v>1777</v>
      </c>
    </row>
    <row r="1691" spans="1:3" x14ac:dyDescent="0.25">
      <c r="A1691" s="22" t="e">
        <f>CONCATENATE('BASE OBZ'!#REF!,"PROG")</f>
        <v>#REF!</v>
      </c>
      <c r="B1691" s="22" t="e">
        <f>CONCATENATE("P",(LEFT('BASE OBZ'!#REF!,3)),'BASE OBZ'!#REF!)</f>
        <v>#REF!</v>
      </c>
      <c r="C1691" t="s">
        <v>1777</v>
      </c>
    </row>
    <row r="1692" spans="1:3" x14ac:dyDescent="0.25">
      <c r="A1692" s="22" t="e">
        <f>CONCATENATE('BASE OBZ'!#REF!,"PROG")</f>
        <v>#REF!</v>
      </c>
      <c r="B1692" s="22" t="e">
        <f>CONCATENATE("P",(LEFT('BASE OBZ'!#REF!,3)),'BASE OBZ'!#REF!)</f>
        <v>#REF!</v>
      </c>
      <c r="C1692" t="s">
        <v>1777</v>
      </c>
    </row>
    <row r="1693" spans="1:3" x14ac:dyDescent="0.25">
      <c r="A1693" s="22" t="e">
        <f>CONCATENATE('BASE OBZ'!#REF!,"PROG")</f>
        <v>#REF!</v>
      </c>
      <c r="B1693" s="22" t="e">
        <f>CONCATENATE("P",(LEFT('BASE OBZ'!#REF!,3)),'BASE OBZ'!#REF!)</f>
        <v>#REF!</v>
      </c>
      <c r="C1693" t="s">
        <v>1777</v>
      </c>
    </row>
    <row r="1694" spans="1:3" x14ac:dyDescent="0.25">
      <c r="A1694" s="22" t="e">
        <f>CONCATENATE('BASE OBZ'!#REF!,"PROG")</f>
        <v>#REF!</v>
      </c>
      <c r="B1694" s="22" t="e">
        <f>CONCATENATE("P",(LEFT('BASE OBZ'!#REF!,3)),'BASE OBZ'!#REF!)</f>
        <v>#REF!</v>
      </c>
      <c r="C1694" t="s">
        <v>1777</v>
      </c>
    </row>
    <row r="1695" spans="1:3" x14ac:dyDescent="0.25">
      <c r="A1695" s="22" t="e">
        <f>CONCATENATE('BASE OBZ'!#REF!,"PROG")</f>
        <v>#REF!</v>
      </c>
      <c r="B1695" s="22" t="e">
        <f>CONCATENATE("P",(LEFT('BASE OBZ'!#REF!,3)),'BASE OBZ'!#REF!)</f>
        <v>#REF!</v>
      </c>
      <c r="C1695" t="s">
        <v>1777</v>
      </c>
    </row>
    <row r="1696" spans="1:3" x14ac:dyDescent="0.25">
      <c r="A1696" s="22" t="e">
        <f>CONCATENATE('BASE OBZ'!#REF!,"PROG")</f>
        <v>#REF!</v>
      </c>
      <c r="B1696" s="22" t="e">
        <f>CONCATENATE("P",(LEFT('BASE OBZ'!#REF!,3)),'BASE OBZ'!#REF!)</f>
        <v>#REF!</v>
      </c>
      <c r="C1696" t="s">
        <v>1777</v>
      </c>
    </row>
    <row r="1697" spans="1:3" x14ac:dyDescent="0.25">
      <c r="A1697" s="22" t="e">
        <f>CONCATENATE('BASE OBZ'!#REF!,"PROG")</f>
        <v>#REF!</v>
      </c>
      <c r="B1697" s="22" t="e">
        <f>CONCATENATE("P",(LEFT('BASE OBZ'!#REF!,3)),'BASE OBZ'!#REF!)</f>
        <v>#REF!</v>
      </c>
      <c r="C1697" t="s">
        <v>1777</v>
      </c>
    </row>
    <row r="1698" spans="1:3" x14ac:dyDescent="0.25">
      <c r="A1698" s="22" t="e">
        <f>CONCATENATE('BASE OBZ'!#REF!,"PROG")</f>
        <v>#REF!</v>
      </c>
      <c r="B1698" s="22" t="e">
        <f>CONCATENATE("P",(LEFT('BASE OBZ'!#REF!,3)),'BASE OBZ'!#REF!)</f>
        <v>#REF!</v>
      </c>
      <c r="C1698" t="s">
        <v>1777</v>
      </c>
    </row>
    <row r="1699" spans="1:3" x14ac:dyDescent="0.25">
      <c r="A1699" s="22" t="e">
        <f>CONCATENATE('BASE OBZ'!#REF!,"PROG")</f>
        <v>#REF!</v>
      </c>
      <c r="B1699" s="22" t="e">
        <f>CONCATENATE("P",(LEFT('BASE OBZ'!#REF!,3)),'BASE OBZ'!#REF!)</f>
        <v>#REF!</v>
      </c>
      <c r="C1699" t="s">
        <v>1777</v>
      </c>
    </row>
    <row r="1700" spans="1:3" x14ac:dyDescent="0.25">
      <c r="A1700" s="22" t="e">
        <f>CONCATENATE('BASE OBZ'!#REF!,"PROG")</f>
        <v>#REF!</v>
      </c>
      <c r="B1700" s="22" t="e">
        <f>CONCATENATE("P",(LEFT('BASE OBZ'!#REF!,3)),'BASE OBZ'!#REF!)</f>
        <v>#REF!</v>
      </c>
      <c r="C1700" t="s">
        <v>1777</v>
      </c>
    </row>
    <row r="1701" spans="1:3" x14ac:dyDescent="0.25">
      <c r="A1701" s="22" t="e">
        <f>CONCATENATE('BASE OBZ'!#REF!,"PROG")</f>
        <v>#REF!</v>
      </c>
      <c r="B1701" s="22" t="e">
        <f>CONCATENATE("P",(LEFT('BASE OBZ'!#REF!,3)),'BASE OBZ'!#REF!)</f>
        <v>#REF!</v>
      </c>
      <c r="C1701" t="s">
        <v>1777</v>
      </c>
    </row>
    <row r="1702" spans="1:3" x14ac:dyDescent="0.25">
      <c r="A1702" s="22" t="e">
        <f>CONCATENATE('BASE OBZ'!#REF!,"PROG")</f>
        <v>#REF!</v>
      </c>
      <c r="B1702" s="22" t="e">
        <f>CONCATENATE("P",(LEFT('BASE OBZ'!#REF!,3)),'BASE OBZ'!#REF!)</f>
        <v>#REF!</v>
      </c>
      <c r="C1702" t="s">
        <v>1777</v>
      </c>
    </row>
    <row r="1703" spans="1:3" x14ac:dyDescent="0.25">
      <c r="A1703" s="22" t="e">
        <f>CONCATENATE('BASE OBZ'!#REF!,"PROG")</f>
        <v>#REF!</v>
      </c>
      <c r="B1703" s="22" t="e">
        <f>CONCATENATE("P",(LEFT('BASE OBZ'!#REF!,3)),'BASE OBZ'!#REF!)</f>
        <v>#REF!</v>
      </c>
      <c r="C1703" t="s">
        <v>1777</v>
      </c>
    </row>
    <row r="1704" spans="1:3" x14ac:dyDescent="0.25">
      <c r="A1704" s="22" t="e">
        <f>CONCATENATE('BASE OBZ'!#REF!,"PROG")</f>
        <v>#REF!</v>
      </c>
      <c r="B1704" s="22" t="e">
        <f>CONCATENATE("P",(LEFT('BASE OBZ'!#REF!,3)),'BASE OBZ'!#REF!)</f>
        <v>#REF!</v>
      </c>
      <c r="C1704" t="s">
        <v>1777</v>
      </c>
    </row>
    <row r="1705" spans="1:3" x14ac:dyDescent="0.25">
      <c r="A1705" s="22" t="e">
        <f>CONCATENATE('BASE OBZ'!#REF!,"PROG")</f>
        <v>#REF!</v>
      </c>
      <c r="B1705" s="22" t="e">
        <f>CONCATENATE("P",(LEFT('BASE OBZ'!#REF!,3)),'BASE OBZ'!#REF!)</f>
        <v>#REF!</v>
      </c>
      <c r="C1705" t="s">
        <v>1777</v>
      </c>
    </row>
    <row r="1706" spans="1:3" x14ac:dyDescent="0.25">
      <c r="A1706" s="22" t="e">
        <f>CONCATENATE('BASE OBZ'!#REF!,"PROG")</f>
        <v>#REF!</v>
      </c>
      <c r="B1706" s="22" t="e">
        <f>CONCATENATE("P",(LEFT('BASE OBZ'!#REF!,3)),'BASE OBZ'!#REF!)</f>
        <v>#REF!</v>
      </c>
      <c r="C1706" t="s">
        <v>1777</v>
      </c>
    </row>
    <row r="1707" spans="1:3" x14ac:dyDescent="0.25">
      <c r="A1707" s="22" t="e">
        <f>CONCATENATE('BASE OBZ'!#REF!,"PROG")</f>
        <v>#REF!</v>
      </c>
      <c r="B1707" s="22" t="e">
        <f>CONCATENATE("P",(LEFT('BASE OBZ'!#REF!,3)),'BASE OBZ'!#REF!)</f>
        <v>#REF!</v>
      </c>
      <c r="C1707" t="s">
        <v>1777</v>
      </c>
    </row>
    <row r="1708" spans="1:3" x14ac:dyDescent="0.25">
      <c r="A1708" s="22" t="e">
        <f>CONCATENATE('BASE OBZ'!#REF!,"PROG")</f>
        <v>#REF!</v>
      </c>
      <c r="B1708" s="22" t="e">
        <f>CONCATENATE("P",(LEFT('BASE OBZ'!#REF!,3)),'BASE OBZ'!#REF!)</f>
        <v>#REF!</v>
      </c>
      <c r="C1708" t="s">
        <v>1777</v>
      </c>
    </row>
    <row r="1709" spans="1:3" x14ac:dyDescent="0.25">
      <c r="A1709" s="22" t="e">
        <f>CONCATENATE('BASE OBZ'!#REF!,"PROG")</f>
        <v>#REF!</v>
      </c>
      <c r="B1709" s="22" t="e">
        <f>CONCATENATE("P",(LEFT('BASE OBZ'!#REF!,3)),'BASE OBZ'!#REF!)</f>
        <v>#REF!</v>
      </c>
      <c r="C1709" t="s">
        <v>1777</v>
      </c>
    </row>
    <row r="1710" spans="1:3" x14ac:dyDescent="0.25">
      <c r="A1710" s="22" t="e">
        <f>CONCATENATE('BASE OBZ'!#REF!,"PROG")</f>
        <v>#REF!</v>
      </c>
      <c r="B1710" s="22" t="e">
        <f>CONCATENATE("P",(LEFT('BASE OBZ'!#REF!,3)),'BASE OBZ'!#REF!)</f>
        <v>#REF!</v>
      </c>
      <c r="C1710" t="s">
        <v>1777</v>
      </c>
    </row>
    <row r="1711" spans="1:3" x14ac:dyDescent="0.25">
      <c r="A1711" s="22" t="e">
        <f>CONCATENATE('BASE OBZ'!#REF!,"PROG")</f>
        <v>#REF!</v>
      </c>
      <c r="B1711" s="22" t="e">
        <f>CONCATENATE("P",(LEFT('BASE OBZ'!#REF!,3)),'BASE OBZ'!#REF!)</f>
        <v>#REF!</v>
      </c>
      <c r="C1711" t="s">
        <v>1777</v>
      </c>
    </row>
    <row r="1712" spans="1:3" x14ac:dyDescent="0.25">
      <c r="A1712" s="22" t="e">
        <f>CONCATENATE('BASE OBZ'!#REF!,"PROG")</f>
        <v>#REF!</v>
      </c>
      <c r="B1712" s="22" t="e">
        <f>CONCATENATE("P",(LEFT('BASE OBZ'!#REF!,3)),'BASE OBZ'!#REF!)</f>
        <v>#REF!</v>
      </c>
      <c r="C1712" t="s">
        <v>1777</v>
      </c>
    </row>
    <row r="1713" spans="1:3" x14ac:dyDescent="0.25">
      <c r="A1713" s="22" t="e">
        <f>CONCATENATE('BASE OBZ'!#REF!,"PROG")</f>
        <v>#REF!</v>
      </c>
      <c r="B1713" s="22" t="e">
        <f>CONCATENATE("P",(LEFT('BASE OBZ'!#REF!,3)),'BASE OBZ'!#REF!)</f>
        <v>#REF!</v>
      </c>
      <c r="C1713" t="s">
        <v>1777</v>
      </c>
    </row>
    <row r="1714" spans="1:3" x14ac:dyDescent="0.25">
      <c r="A1714" s="22" t="e">
        <f>CONCATENATE('BASE OBZ'!#REF!,"PROG")</f>
        <v>#REF!</v>
      </c>
      <c r="B1714" s="22" t="e">
        <f>CONCATENATE("P",(LEFT('BASE OBZ'!#REF!,3)),'BASE OBZ'!#REF!)</f>
        <v>#REF!</v>
      </c>
      <c r="C1714" t="s">
        <v>1777</v>
      </c>
    </row>
    <row r="1715" spans="1:3" x14ac:dyDescent="0.25">
      <c r="A1715" s="22" t="e">
        <f>CONCATENATE('BASE OBZ'!#REF!,"PROG")</f>
        <v>#REF!</v>
      </c>
      <c r="B1715" s="22" t="e">
        <f>CONCATENATE("P",(LEFT('BASE OBZ'!#REF!,3)),'BASE OBZ'!#REF!)</f>
        <v>#REF!</v>
      </c>
      <c r="C1715" t="s">
        <v>1777</v>
      </c>
    </row>
    <row r="1716" spans="1:3" x14ac:dyDescent="0.25">
      <c r="A1716" s="22" t="e">
        <f>CONCATENATE('BASE OBZ'!#REF!,"PROG")</f>
        <v>#REF!</v>
      </c>
      <c r="B1716" s="22" t="e">
        <f>CONCATENATE("P",(LEFT('BASE OBZ'!#REF!,3)),'BASE OBZ'!#REF!)</f>
        <v>#REF!</v>
      </c>
      <c r="C1716" t="s">
        <v>1777</v>
      </c>
    </row>
    <row r="1717" spans="1:3" x14ac:dyDescent="0.25">
      <c r="A1717" s="22" t="e">
        <f>CONCATENATE('BASE OBZ'!#REF!,"PROG")</f>
        <v>#REF!</v>
      </c>
      <c r="B1717" s="22" t="e">
        <f>CONCATENATE("P",(LEFT('BASE OBZ'!#REF!,3)),'BASE OBZ'!#REF!)</f>
        <v>#REF!</v>
      </c>
      <c r="C1717" t="s">
        <v>1777</v>
      </c>
    </row>
    <row r="1718" spans="1:3" x14ac:dyDescent="0.25">
      <c r="A1718" s="22" t="e">
        <f>CONCATENATE('BASE OBZ'!#REF!,"PROG")</f>
        <v>#REF!</v>
      </c>
      <c r="B1718" s="22" t="e">
        <f>CONCATENATE("P",(LEFT('BASE OBZ'!#REF!,3)),'BASE OBZ'!#REF!)</f>
        <v>#REF!</v>
      </c>
      <c r="C1718" t="s">
        <v>1777</v>
      </c>
    </row>
    <row r="1719" spans="1:3" x14ac:dyDescent="0.25">
      <c r="A1719" s="22" t="e">
        <f>CONCATENATE('BASE OBZ'!#REF!,"PROG")</f>
        <v>#REF!</v>
      </c>
      <c r="B1719" s="22" t="e">
        <f>CONCATENATE("P",(LEFT('BASE OBZ'!#REF!,3)),'BASE OBZ'!#REF!)</f>
        <v>#REF!</v>
      </c>
      <c r="C1719" t="s">
        <v>1777</v>
      </c>
    </row>
    <row r="1720" spans="1:3" x14ac:dyDescent="0.25">
      <c r="A1720" s="22" t="e">
        <f>CONCATENATE('BASE OBZ'!#REF!,"PROG")</f>
        <v>#REF!</v>
      </c>
      <c r="B1720" s="22" t="e">
        <f>CONCATENATE("P",(LEFT('BASE OBZ'!#REF!,3)),'BASE OBZ'!#REF!)</f>
        <v>#REF!</v>
      </c>
      <c r="C1720" t="s">
        <v>1777</v>
      </c>
    </row>
    <row r="1721" spans="1:3" x14ac:dyDescent="0.25">
      <c r="A1721" s="22" t="e">
        <f>CONCATENATE('BASE OBZ'!#REF!,"PROG")</f>
        <v>#REF!</v>
      </c>
      <c r="B1721" s="22" t="e">
        <f>CONCATENATE("P",(LEFT('BASE OBZ'!#REF!,3)),'BASE OBZ'!#REF!)</f>
        <v>#REF!</v>
      </c>
      <c r="C1721" t="s">
        <v>1777</v>
      </c>
    </row>
    <row r="1722" spans="1:3" x14ac:dyDescent="0.25">
      <c r="A1722" s="22" t="e">
        <f>CONCATENATE('BASE OBZ'!#REF!,"PROG")</f>
        <v>#REF!</v>
      </c>
      <c r="B1722" s="22" t="e">
        <f>CONCATENATE("P",(LEFT('BASE OBZ'!#REF!,3)),'BASE OBZ'!#REF!)</f>
        <v>#REF!</v>
      </c>
      <c r="C1722" t="s">
        <v>1777</v>
      </c>
    </row>
    <row r="1723" spans="1:3" x14ac:dyDescent="0.25">
      <c r="A1723" s="22" t="e">
        <f>CONCATENATE('BASE OBZ'!#REF!,"PROG")</f>
        <v>#REF!</v>
      </c>
      <c r="B1723" s="22" t="e">
        <f>CONCATENATE("P",(LEFT('BASE OBZ'!#REF!,3)),'BASE OBZ'!#REF!)</f>
        <v>#REF!</v>
      </c>
      <c r="C1723" t="s">
        <v>1777</v>
      </c>
    </row>
    <row r="1724" spans="1:3" x14ac:dyDescent="0.25">
      <c r="A1724" s="22" t="e">
        <f>CONCATENATE('BASE OBZ'!#REF!,"PROG")</f>
        <v>#REF!</v>
      </c>
      <c r="B1724" s="22" t="e">
        <f>CONCATENATE("P",(LEFT('BASE OBZ'!#REF!,3)),'BASE OBZ'!#REF!)</f>
        <v>#REF!</v>
      </c>
      <c r="C1724" t="s">
        <v>1777</v>
      </c>
    </row>
    <row r="1725" spans="1:3" x14ac:dyDescent="0.25">
      <c r="A1725" s="22" t="e">
        <f>CONCATENATE('BASE OBZ'!#REF!,"PROG")</f>
        <v>#REF!</v>
      </c>
      <c r="B1725" s="22" t="e">
        <f>CONCATENATE("P",(LEFT('BASE OBZ'!#REF!,3)),'BASE OBZ'!#REF!)</f>
        <v>#REF!</v>
      </c>
      <c r="C1725" t="s">
        <v>1777</v>
      </c>
    </row>
    <row r="1726" spans="1:3" x14ac:dyDescent="0.25">
      <c r="A1726" s="22" t="e">
        <f>CONCATENATE('BASE OBZ'!#REF!,"PROG")</f>
        <v>#REF!</v>
      </c>
      <c r="B1726" s="22" t="e">
        <f>CONCATENATE("P",(LEFT('BASE OBZ'!#REF!,3)),'BASE OBZ'!#REF!)</f>
        <v>#REF!</v>
      </c>
      <c r="C1726" t="s">
        <v>1777</v>
      </c>
    </row>
    <row r="1727" spans="1:3" x14ac:dyDescent="0.25">
      <c r="A1727" s="22" t="e">
        <f>CONCATENATE('BASE OBZ'!#REF!,"PROG")</f>
        <v>#REF!</v>
      </c>
      <c r="B1727" s="22" t="e">
        <f>CONCATENATE("P",(LEFT('BASE OBZ'!#REF!,3)),'BASE OBZ'!#REF!)</f>
        <v>#REF!</v>
      </c>
      <c r="C1727" t="s">
        <v>1777</v>
      </c>
    </row>
    <row r="1728" spans="1:3" x14ac:dyDescent="0.25">
      <c r="A1728" s="22" t="e">
        <f>CONCATENATE('BASE OBZ'!#REF!,"PROG")</f>
        <v>#REF!</v>
      </c>
      <c r="B1728" s="22" t="e">
        <f>CONCATENATE("P",(LEFT('BASE OBZ'!#REF!,3)),'BASE OBZ'!#REF!)</f>
        <v>#REF!</v>
      </c>
      <c r="C1728" t="s">
        <v>1777</v>
      </c>
    </row>
    <row r="1729" spans="1:3" x14ac:dyDescent="0.25">
      <c r="A1729" s="22" t="e">
        <f>CONCATENATE('BASE OBZ'!#REF!,"PROG")</f>
        <v>#REF!</v>
      </c>
      <c r="B1729" s="22" t="e">
        <f>CONCATENATE("P",(LEFT('BASE OBZ'!#REF!,3)),'BASE OBZ'!#REF!)</f>
        <v>#REF!</v>
      </c>
      <c r="C1729" t="s">
        <v>1777</v>
      </c>
    </row>
    <row r="1730" spans="1:3" x14ac:dyDescent="0.25">
      <c r="A1730" s="22" t="e">
        <f>CONCATENATE('BASE OBZ'!#REF!,"PROG")</f>
        <v>#REF!</v>
      </c>
      <c r="B1730" s="22" t="e">
        <f>CONCATENATE("P",(LEFT('BASE OBZ'!#REF!,3)),'BASE OBZ'!#REF!)</f>
        <v>#REF!</v>
      </c>
      <c r="C1730" t="s">
        <v>1777</v>
      </c>
    </row>
    <row r="1731" spans="1:3" x14ac:dyDescent="0.25">
      <c r="A1731" s="22" t="e">
        <f>CONCATENATE('BASE OBZ'!#REF!,"PROG")</f>
        <v>#REF!</v>
      </c>
      <c r="B1731" s="22" t="e">
        <f>CONCATENATE("P",(LEFT('BASE OBZ'!#REF!,3)),'BASE OBZ'!#REF!)</f>
        <v>#REF!</v>
      </c>
      <c r="C1731" t="s">
        <v>1777</v>
      </c>
    </row>
    <row r="1732" spans="1:3" x14ac:dyDescent="0.25">
      <c r="A1732" s="22" t="e">
        <f>CONCATENATE('BASE OBZ'!#REF!,"PROG")</f>
        <v>#REF!</v>
      </c>
      <c r="B1732" s="22" t="e">
        <f>CONCATENATE("P",(LEFT('BASE OBZ'!#REF!,3)),'BASE OBZ'!#REF!)</f>
        <v>#REF!</v>
      </c>
      <c r="C1732" t="s">
        <v>1777</v>
      </c>
    </row>
    <row r="1733" spans="1:3" x14ac:dyDescent="0.25">
      <c r="A1733" s="22" t="e">
        <f>CONCATENATE('BASE OBZ'!#REF!,"PROG")</f>
        <v>#REF!</v>
      </c>
      <c r="B1733" s="22" t="e">
        <f>CONCATENATE("P",(LEFT('BASE OBZ'!#REF!,3)),'BASE OBZ'!#REF!)</f>
        <v>#REF!</v>
      </c>
      <c r="C1733" t="s">
        <v>1777</v>
      </c>
    </row>
    <row r="1734" spans="1:3" x14ac:dyDescent="0.25">
      <c r="A1734" s="22" t="e">
        <f>CONCATENATE('BASE OBZ'!#REF!,"PROG")</f>
        <v>#REF!</v>
      </c>
      <c r="B1734" s="22" t="e">
        <f>CONCATENATE("P",(LEFT('BASE OBZ'!#REF!,3)),'BASE OBZ'!#REF!)</f>
        <v>#REF!</v>
      </c>
      <c r="C1734" t="s">
        <v>1777</v>
      </c>
    </row>
    <row r="1735" spans="1:3" x14ac:dyDescent="0.25">
      <c r="A1735" s="22" t="e">
        <f>CONCATENATE('BASE OBZ'!#REF!,"PROG")</f>
        <v>#REF!</v>
      </c>
      <c r="B1735" s="22" t="e">
        <f>CONCATENATE("P",(LEFT('BASE OBZ'!#REF!,3)),'BASE OBZ'!#REF!)</f>
        <v>#REF!</v>
      </c>
      <c r="C1735" t="s">
        <v>1777</v>
      </c>
    </row>
    <row r="1736" spans="1:3" x14ac:dyDescent="0.25">
      <c r="A1736" s="22" t="e">
        <f>CONCATENATE('BASE OBZ'!#REF!,"PROG")</f>
        <v>#REF!</v>
      </c>
      <c r="B1736" s="22" t="e">
        <f>CONCATENATE("P",(LEFT('BASE OBZ'!#REF!,3)),'BASE OBZ'!#REF!)</f>
        <v>#REF!</v>
      </c>
      <c r="C1736" t="s">
        <v>1777</v>
      </c>
    </row>
    <row r="1737" spans="1:3" x14ac:dyDescent="0.25">
      <c r="A1737" s="22" t="e">
        <f>CONCATENATE('BASE OBZ'!#REF!,"PROG")</f>
        <v>#REF!</v>
      </c>
      <c r="B1737" s="22" t="e">
        <f>CONCATENATE("P",(LEFT('BASE OBZ'!#REF!,3)),'BASE OBZ'!#REF!)</f>
        <v>#REF!</v>
      </c>
      <c r="C1737" t="s">
        <v>1777</v>
      </c>
    </row>
    <row r="1738" spans="1:3" x14ac:dyDescent="0.25">
      <c r="A1738" s="22" t="e">
        <f>CONCATENATE('BASE OBZ'!#REF!,"PROG")</f>
        <v>#REF!</v>
      </c>
      <c r="B1738" s="22" t="e">
        <f>CONCATENATE("P",(LEFT('BASE OBZ'!#REF!,3)),'BASE OBZ'!#REF!)</f>
        <v>#REF!</v>
      </c>
      <c r="C1738" t="s">
        <v>1777</v>
      </c>
    </row>
    <row r="1739" spans="1:3" x14ac:dyDescent="0.25">
      <c r="A1739" s="22" t="e">
        <f>CONCATENATE('BASE OBZ'!#REF!,"PROG")</f>
        <v>#REF!</v>
      </c>
      <c r="B1739" s="22" t="e">
        <f>CONCATENATE("P",(LEFT('BASE OBZ'!#REF!,3)),'BASE OBZ'!#REF!)</f>
        <v>#REF!</v>
      </c>
      <c r="C1739" t="s">
        <v>1777</v>
      </c>
    </row>
    <row r="1740" spans="1:3" x14ac:dyDescent="0.25">
      <c r="A1740" s="22" t="e">
        <f>CONCATENATE('BASE OBZ'!#REF!,"PROG")</f>
        <v>#REF!</v>
      </c>
      <c r="B1740" s="22" t="e">
        <f>CONCATENATE("P",(LEFT('BASE OBZ'!#REF!,3)),'BASE OBZ'!#REF!)</f>
        <v>#REF!</v>
      </c>
      <c r="C1740" t="s">
        <v>1777</v>
      </c>
    </row>
    <row r="1741" spans="1:3" x14ac:dyDescent="0.25">
      <c r="A1741" s="22" t="e">
        <f>CONCATENATE('BASE OBZ'!#REF!,"PROG")</f>
        <v>#REF!</v>
      </c>
      <c r="B1741" s="22" t="e">
        <f>CONCATENATE("P",(LEFT('BASE OBZ'!#REF!,3)),'BASE OBZ'!#REF!)</f>
        <v>#REF!</v>
      </c>
      <c r="C1741" t="s">
        <v>1777</v>
      </c>
    </row>
    <row r="1742" spans="1:3" x14ac:dyDescent="0.25">
      <c r="A1742" s="22" t="e">
        <f>CONCATENATE('BASE OBZ'!#REF!,"PROG")</f>
        <v>#REF!</v>
      </c>
      <c r="B1742" s="22" t="e">
        <f>CONCATENATE("P",(LEFT('BASE OBZ'!#REF!,3)),'BASE OBZ'!#REF!)</f>
        <v>#REF!</v>
      </c>
      <c r="C1742" t="s">
        <v>1777</v>
      </c>
    </row>
    <row r="1743" spans="1:3" x14ac:dyDescent="0.25">
      <c r="A1743" s="22" t="e">
        <f>CONCATENATE('BASE OBZ'!#REF!,"PROG")</f>
        <v>#REF!</v>
      </c>
      <c r="B1743" s="22" t="e">
        <f>CONCATENATE("P",(LEFT('BASE OBZ'!#REF!,3)),'BASE OBZ'!#REF!)</f>
        <v>#REF!</v>
      </c>
      <c r="C1743" t="s">
        <v>1777</v>
      </c>
    </row>
    <row r="1744" spans="1:3" x14ac:dyDescent="0.25">
      <c r="A1744" s="22" t="e">
        <f>CONCATENATE('BASE OBZ'!#REF!,"PROG")</f>
        <v>#REF!</v>
      </c>
      <c r="B1744" s="22" t="e">
        <f>CONCATENATE("P",(LEFT('BASE OBZ'!#REF!,3)),'BASE OBZ'!#REF!)</f>
        <v>#REF!</v>
      </c>
      <c r="C1744" t="s">
        <v>1777</v>
      </c>
    </row>
    <row r="1745" spans="1:3" x14ac:dyDescent="0.25">
      <c r="A1745" s="22" t="e">
        <f>CONCATENATE('BASE OBZ'!#REF!,"PROG")</f>
        <v>#REF!</v>
      </c>
      <c r="B1745" s="22" t="e">
        <f>CONCATENATE("P",(LEFT('BASE OBZ'!#REF!,3)),'BASE OBZ'!#REF!)</f>
        <v>#REF!</v>
      </c>
      <c r="C1745" t="s">
        <v>1777</v>
      </c>
    </row>
    <row r="1746" spans="1:3" x14ac:dyDescent="0.25">
      <c r="A1746" s="22" t="e">
        <f>CONCATENATE('BASE OBZ'!#REF!,"PROG")</f>
        <v>#REF!</v>
      </c>
      <c r="B1746" s="22" t="e">
        <f>CONCATENATE("P",(LEFT('BASE OBZ'!#REF!,3)),'BASE OBZ'!#REF!)</f>
        <v>#REF!</v>
      </c>
      <c r="C1746" t="s">
        <v>1777</v>
      </c>
    </row>
    <row r="1747" spans="1:3" x14ac:dyDescent="0.25">
      <c r="A1747" s="22" t="e">
        <f>CONCATENATE('BASE OBZ'!#REF!,"PROG")</f>
        <v>#REF!</v>
      </c>
      <c r="B1747" s="22" t="e">
        <f>CONCATENATE("P",(LEFT('BASE OBZ'!#REF!,3)),'BASE OBZ'!#REF!)</f>
        <v>#REF!</v>
      </c>
      <c r="C1747" t="s">
        <v>1777</v>
      </c>
    </row>
    <row r="1748" spans="1:3" x14ac:dyDescent="0.25">
      <c r="A1748" s="22" t="e">
        <f>CONCATENATE('BASE OBZ'!#REF!,"PROG")</f>
        <v>#REF!</v>
      </c>
      <c r="B1748" s="22" t="e">
        <f>CONCATENATE("P",(LEFT('BASE OBZ'!#REF!,3)),'BASE OBZ'!#REF!)</f>
        <v>#REF!</v>
      </c>
      <c r="C1748" t="s">
        <v>1777</v>
      </c>
    </row>
    <row r="1749" spans="1:3" x14ac:dyDescent="0.25">
      <c r="A1749" s="22" t="e">
        <f>CONCATENATE('BASE OBZ'!#REF!,"PROG")</f>
        <v>#REF!</v>
      </c>
      <c r="B1749" s="22" t="e">
        <f>CONCATENATE("P",(LEFT('BASE OBZ'!#REF!,3)),'BASE OBZ'!#REF!)</f>
        <v>#REF!</v>
      </c>
      <c r="C1749" t="s">
        <v>1777</v>
      </c>
    </row>
    <row r="1750" spans="1:3" x14ac:dyDescent="0.25">
      <c r="A1750" s="22" t="e">
        <f>CONCATENATE('BASE OBZ'!#REF!,"PROG")</f>
        <v>#REF!</v>
      </c>
      <c r="B1750" s="22" t="e">
        <f>CONCATENATE("P",(LEFT('BASE OBZ'!#REF!,3)),'BASE OBZ'!#REF!)</f>
        <v>#REF!</v>
      </c>
      <c r="C1750" t="s">
        <v>1777</v>
      </c>
    </row>
    <row r="1751" spans="1:3" x14ac:dyDescent="0.25">
      <c r="A1751" s="22" t="e">
        <f>CONCATENATE('BASE OBZ'!#REF!,"PROG")</f>
        <v>#REF!</v>
      </c>
      <c r="B1751" s="22" t="e">
        <f>CONCATENATE("P",(LEFT('BASE OBZ'!#REF!,3)),'BASE OBZ'!#REF!)</f>
        <v>#REF!</v>
      </c>
      <c r="C1751" t="s">
        <v>1777</v>
      </c>
    </row>
    <row r="1752" spans="1:3" x14ac:dyDescent="0.25">
      <c r="A1752" s="22" t="e">
        <f>CONCATENATE('BASE OBZ'!#REF!,"PROG")</f>
        <v>#REF!</v>
      </c>
      <c r="B1752" s="22" t="e">
        <f>CONCATENATE("P",(LEFT('BASE OBZ'!#REF!,3)),'BASE OBZ'!#REF!)</f>
        <v>#REF!</v>
      </c>
      <c r="C1752" t="s">
        <v>1777</v>
      </c>
    </row>
    <row r="1753" spans="1:3" x14ac:dyDescent="0.25">
      <c r="A1753" s="22" t="e">
        <f>CONCATENATE('BASE OBZ'!#REF!,"PROG")</f>
        <v>#REF!</v>
      </c>
      <c r="B1753" s="22" t="e">
        <f>CONCATENATE("P",(LEFT('BASE OBZ'!#REF!,3)),'BASE OBZ'!#REF!)</f>
        <v>#REF!</v>
      </c>
      <c r="C1753" t="s">
        <v>1777</v>
      </c>
    </row>
    <row r="1754" spans="1:3" x14ac:dyDescent="0.25">
      <c r="A1754" s="22" t="e">
        <f>CONCATENATE('BASE OBZ'!#REF!,"PROG")</f>
        <v>#REF!</v>
      </c>
      <c r="B1754" s="22" t="e">
        <f>CONCATENATE("P",(LEFT('BASE OBZ'!#REF!,3)),'BASE OBZ'!#REF!)</f>
        <v>#REF!</v>
      </c>
      <c r="C1754" t="s">
        <v>1777</v>
      </c>
    </row>
    <row r="1755" spans="1:3" x14ac:dyDescent="0.25">
      <c r="A1755" s="22" t="e">
        <f>CONCATENATE('BASE OBZ'!#REF!,"PROG")</f>
        <v>#REF!</v>
      </c>
      <c r="B1755" s="22" t="e">
        <f>CONCATENATE("P",(LEFT('BASE OBZ'!#REF!,3)),'BASE OBZ'!#REF!)</f>
        <v>#REF!</v>
      </c>
      <c r="C1755" t="s">
        <v>1777</v>
      </c>
    </row>
    <row r="1756" spans="1:3" x14ac:dyDescent="0.25">
      <c r="A1756" s="22" t="e">
        <f>CONCATENATE('BASE OBZ'!#REF!,"PROG")</f>
        <v>#REF!</v>
      </c>
      <c r="B1756" s="22" t="e">
        <f>CONCATENATE("P",(LEFT('BASE OBZ'!#REF!,3)),'BASE OBZ'!#REF!)</f>
        <v>#REF!</v>
      </c>
      <c r="C1756" t="s">
        <v>1777</v>
      </c>
    </row>
    <row r="1757" spans="1:3" x14ac:dyDescent="0.25">
      <c r="A1757" s="22" t="e">
        <f>CONCATENATE('BASE OBZ'!#REF!,"PROG")</f>
        <v>#REF!</v>
      </c>
      <c r="B1757" s="22" t="e">
        <f>CONCATENATE("P",(LEFT('BASE OBZ'!#REF!,3)),'BASE OBZ'!#REF!)</f>
        <v>#REF!</v>
      </c>
      <c r="C1757" t="s">
        <v>1777</v>
      </c>
    </row>
    <row r="1758" spans="1:3" x14ac:dyDescent="0.25">
      <c r="A1758" s="22" t="e">
        <f>CONCATENATE('BASE OBZ'!#REF!,"PROG")</f>
        <v>#REF!</v>
      </c>
      <c r="B1758" s="22" t="e">
        <f>CONCATENATE("P",(LEFT('BASE OBZ'!#REF!,3)),'BASE OBZ'!#REF!)</f>
        <v>#REF!</v>
      </c>
      <c r="C1758" t="s">
        <v>1777</v>
      </c>
    </row>
    <row r="1759" spans="1:3" x14ac:dyDescent="0.25">
      <c r="A1759" s="22" t="e">
        <f>CONCATENATE('BASE OBZ'!#REF!,"PROG")</f>
        <v>#REF!</v>
      </c>
      <c r="B1759" s="22" t="e">
        <f>CONCATENATE("P",(LEFT('BASE OBZ'!#REF!,3)),'BASE OBZ'!#REF!)</f>
        <v>#REF!</v>
      </c>
      <c r="C1759" t="s">
        <v>1777</v>
      </c>
    </row>
    <row r="1760" spans="1:3" x14ac:dyDescent="0.25">
      <c r="A1760" s="22" t="e">
        <f>CONCATENATE('BASE OBZ'!#REF!,"PROG")</f>
        <v>#REF!</v>
      </c>
      <c r="B1760" s="22" t="e">
        <f>CONCATENATE("P",(LEFT('BASE OBZ'!#REF!,3)),'BASE OBZ'!#REF!)</f>
        <v>#REF!</v>
      </c>
      <c r="C1760" t="s">
        <v>1777</v>
      </c>
    </row>
    <row r="1761" spans="1:3" x14ac:dyDescent="0.25">
      <c r="A1761" s="22" t="e">
        <f>CONCATENATE('BASE OBZ'!#REF!,"PROG")</f>
        <v>#REF!</v>
      </c>
      <c r="B1761" s="22" t="e">
        <f>CONCATENATE("P",(LEFT('BASE OBZ'!#REF!,3)),'BASE OBZ'!#REF!)</f>
        <v>#REF!</v>
      </c>
      <c r="C1761" t="s">
        <v>1777</v>
      </c>
    </row>
    <row r="1762" spans="1:3" x14ac:dyDescent="0.25">
      <c r="A1762" s="22" t="e">
        <f>CONCATENATE('BASE OBZ'!#REF!,"PROG")</f>
        <v>#REF!</v>
      </c>
      <c r="B1762" s="22" t="e">
        <f>CONCATENATE("P",(LEFT('BASE OBZ'!#REF!,3)),'BASE OBZ'!#REF!)</f>
        <v>#REF!</v>
      </c>
      <c r="C1762" t="s">
        <v>1777</v>
      </c>
    </row>
    <row r="1763" spans="1:3" x14ac:dyDescent="0.25">
      <c r="A1763" s="22" t="e">
        <f>CONCATENATE('BASE OBZ'!#REF!,"PROG")</f>
        <v>#REF!</v>
      </c>
      <c r="B1763" s="22" t="e">
        <f>CONCATENATE("P",(LEFT('BASE OBZ'!#REF!,3)),'BASE OBZ'!#REF!)</f>
        <v>#REF!</v>
      </c>
      <c r="C1763" t="s">
        <v>1777</v>
      </c>
    </row>
    <row r="1764" spans="1:3" x14ac:dyDescent="0.25">
      <c r="A1764" s="22" t="e">
        <f>CONCATENATE('BASE OBZ'!#REF!,"PROG")</f>
        <v>#REF!</v>
      </c>
      <c r="B1764" s="22" t="e">
        <f>CONCATENATE("P",(LEFT('BASE OBZ'!#REF!,3)),'BASE OBZ'!#REF!)</f>
        <v>#REF!</v>
      </c>
      <c r="C1764" t="s">
        <v>1777</v>
      </c>
    </row>
    <row r="1765" spans="1:3" x14ac:dyDescent="0.25">
      <c r="A1765" s="22" t="e">
        <f>CONCATENATE('BASE OBZ'!#REF!,"PROG")</f>
        <v>#REF!</v>
      </c>
      <c r="B1765" s="22" t="e">
        <f>CONCATENATE("P",(LEFT('BASE OBZ'!#REF!,3)),'BASE OBZ'!#REF!)</f>
        <v>#REF!</v>
      </c>
      <c r="C1765" t="s">
        <v>1777</v>
      </c>
    </row>
    <row r="1766" spans="1:3" x14ac:dyDescent="0.25">
      <c r="A1766" s="22" t="e">
        <f>CONCATENATE('BASE OBZ'!#REF!,"PROG")</f>
        <v>#REF!</v>
      </c>
      <c r="B1766" s="22" t="e">
        <f>CONCATENATE("P",(LEFT('BASE OBZ'!#REF!,3)),'BASE OBZ'!#REF!)</f>
        <v>#REF!</v>
      </c>
      <c r="C1766" t="s">
        <v>1777</v>
      </c>
    </row>
    <row r="1767" spans="1:3" x14ac:dyDescent="0.25">
      <c r="A1767" s="22" t="e">
        <f>CONCATENATE('BASE OBZ'!#REF!,"PROG")</f>
        <v>#REF!</v>
      </c>
      <c r="B1767" s="22" t="e">
        <f>CONCATENATE("P",(LEFT('BASE OBZ'!#REF!,3)),'BASE OBZ'!#REF!)</f>
        <v>#REF!</v>
      </c>
      <c r="C1767" t="s">
        <v>1777</v>
      </c>
    </row>
    <row r="1768" spans="1:3" x14ac:dyDescent="0.25">
      <c r="A1768" s="22" t="e">
        <f>CONCATENATE('BASE OBZ'!#REF!,"PROG")</f>
        <v>#REF!</v>
      </c>
      <c r="B1768" s="22" t="e">
        <f>CONCATENATE("P",(LEFT('BASE OBZ'!#REF!,3)),'BASE OBZ'!#REF!)</f>
        <v>#REF!</v>
      </c>
      <c r="C1768" t="s">
        <v>1777</v>
      </c>
    </row>
    <row r="1769" spans="1:3" x14ac:dyDescent="0.25">
      <c r="A1769" s="22" t="e">
        <f>CONCATENATE('BASE OBZ'!#REF!,"PROG")</f>
        <v>#REF!</v>
      </c>
      <c r="B1769" s="22" t="e">
        <f>CONCATENATE("P",(LEFT('BASE OBZ'!#REF!,3)),'BASE OBZ'!#REF!)</f>
        <v>#REF!</v>
      </c>
      <c r="C1769" t="s">
        <v>1777</v>
      </c>
    </row>
    <row r="1770" spans="1:3" x14ac:dyDescent="0.25">
      <c r="A1770" s="22" t="e">
        <f>CONCATENATE('BASE OBZ'!#REF!,"PROG")</f>
        <v>#REF!</v>
      </c>
      <c r="B1770" s="22" t="e">
        <f>CONCATENATE("P",(LEFT('BASE OBZ'!#REF!,3)),'BASE OBZ'!#REF!)</f>
        <v>#REF!</v>
      </c>
      <c r="C1770" t="s">
        <v>1777</v>
      </c>
    </row>
    <row r="1771" spans="1:3" x14ac:dyDescent="0.25">
      <c r="A1771" s="22" t="e">
        <f>CONCATENATE('BASE OBZ'!#REF!,"PROG")</f>
        <v>#REF!</v>
      </c>
      <c r="B1771" s="22" t="e">
        <f>CONCATENATE("P",(LEFT('BASE OBZ'!#REF!,3)),'BASE OBZ'!#REF!)</f>
        <v>#REF!</v>
      </c>
      <c r="C1771" t="s">
        <v>1777</v>
      </c>
    </row>
    <row r="1772" spans="1:3" x14ac:dyDescent="0.25">
      <c r="A1772" s="22" t="e">
        <f>CONCATENATE('BASE OBZ'!#REF!,"PROG")</f>
        <v>#REF!</v>
      </c>
      <c r="B1772" s="22" t="e">
        <f>CONCATENATE("P",(LEFT('BASE OBZ'!#REF!,3)),'BASE OBZ'!#REF!)</f>
        <v>#REF!</v>
      </c>
      <c r="C1772" t="s">
        <v>1777</v>
      </c>
    </row>
    <row r="1773" spans="1:3" x14ac:dyDescent="0.25">
      <c r="A1773" s="22" t="e">
        <f>CONCATENATE('BASE OBZ'!#REF!,"PROG")</f>
        <v>#REF!</v>
      </c>
      <c r="B1773" s="22" t="e">
        <f>CONCATENATE("P",(LEFT('BASE OBZ'!#REF!,3)),'BASE OBZ'!#REF!)</f>
        <v>#REF!</v>
      </c>
      <c r="C1773" t="s">
        <v>1777</v>
      </c>
    </row>
    <row r="1774" spans="1:3" x14ac:dyDescent="0.25">
      <c r="A1774" s="22" t="e">
        <f>CONCATENATE('BASE OBZ'!#REF!,"PROG")</f>
        <v>#REF!</v>
      </c>
      <c r="B1774" s="22" t="e">
        <f>CONCATENATE("P",(LEFT('BASE OBZ'!#REF!,3)),'BASE OBZ'!#REF!)</f>
        <v>#REF!</v>
      </c>
      <c r="C1774" t="s">
        <v>1777</v>
      </c>
    </row>
    <row r="1775" spans="1:3" x14ac:dyDescent="0.25">
      <c r="A1775" s="22" t="e">
        <f>CONCATENATE('BASE OBZ'!#REF!,"PROG")</f>
        <v>#REF!</v>
      </c>
      <c r="B1775" s="22" t="e">
        <f>CONCATENATE("P",(LEFT('BASE OBZ'!#REF!,3)),'BASE OBZ'!#REF!)</f>
        <v>#REF!</v>
      </c>
      <c r="C1775" t="s">
        <v>1777</v>
      </c>
    </row>
    <row r="1776" spans="1:3" x14ac:dyDescent="0.25">
      <c r="A1776" s="22" t="e">
        <f>CONCATENATE('BASE OBZ'!#REF!,"PROG")</f>
        <v>#REF!</v>
      </c>
      <c r="B1776" s="22" t="e">
        <f>CONCATENATE("P",(LEFT('BASE OBZ'!#REF!,3)),'BASE OBZ'!#REF!)</f>
        <v>#REF!</v>
      </c>
      <c r="C1776" t="s">
        <v>1777</v>
      </c>
    </row>
    <row r="1777" spans="1:3" x14ac:dyDescent="0.25">
      <c r="A1777" s="22" t="e">
        <f>CONCATENATE('BASE OBZ'!#REF!,"PROG")</f>
        <v>#REF!</v>
      </c>
      <c r="B1777" s="22" t="e">
        <f>CONCATENATE("P",(LEFT('BASE OBZ'!#REF!,3)),'BASE OBZ'!#REF!)</f>
        <v>#REF!</v>
      </c>
      <c r="C1777" t="s">
        <v>1777</v>
      </c>
    </row>
    <row r="1778" spans="1:3" x14ac:dyDescent="0.25">
      <c r="A1778" s="22" t="e">
        <f>CONCATENATE('BASE OBZ'!#REF!,"PROG")</f>
        <v>#REF!</v>
      </c>
      <c r="B1778" s="22" t="e">
        <f>CONCATENATE("P",(LEFT('BASE OBZ'!#REF!,3)),'BASE OBZ'!#REF!)</f>
        <v>#REF!</v>
      </c>
      <c r="C1778" t="s">
        <v>1777</v>
      </c>
    </row>
    <row r="1779" spans="1:3" x14ac:dyDescent="0.25">
      <c r="A1779" s="22" t="e">
        <f>CONCATENATE('BASE OBZ'!#REF!,"PROG")</f>
        <v>#REF!</v>
      </c>
      <c r="B1779" s="22" t="e">
        <f>CONCATENATE("P",(LEFT('BASE OBZ'!#REF!,3)),'BASE OBZ'!#REF!)</f>
        <v>#REF!</v>
      </c>
      <c r="C1779" t="s">
        <v>1777</v>
      </c>
    </row>
    <row r="1780" spans="1:3" x14ac:dyDescent="0.25">
      <c r="A1780" s="22" t="e">
        <f>CONCATENATE('BASE OBZ'!#REF!,"PROG")</f>
        <v>#REF!</v>
      </c>
      <c r="B1780" s="22" t="e">
        <f>CONCATENATE("P",(LEFT('BASE OBZ'!#REF!,3)),'BASE OBZ'!#REF!)</f>
        <v>#REF!</v>
      </c>
      <c r="C1780" t="s">
        <v>1777</v>
      </c>
    </row>
    <row r="1781" spans="1:3" x14ac:dyDescent="0.25">
      <c r="A1781" s="22" t="e">
        <f>CONCATENATE('BASE OBZ'!#REF!,"PROG")</f>
        <v>#REF!</v>
      </c>
      <c r="B1781" s="22" t="e">
        <f>CONCATENATE("P",(LEFT('BASE OBZ'!#REF!,3)),'BASE OBZ'!#REF!)</f>
        <v>#REF!</v>
      </c>
      <c r="C1781" t="s">
        <v>1777</v>
      </c>
    </row>
    <row r="1782" spans="1:3" x14ac:dyDescent="0.25">
      <c r="A1782" s="22" t="e">
        <f>CONCATENATE('BASE OBZ'!#REF!,"PROG")</f>
        <v>#REF!</v>
      </c>
      <c r="B1782" s="22" t="e">
        <f>CONCATENATE("P",(LEFT('BASE OBZ'!#REF!,3)),'BASE OBZ'!#REF!)</f>
        <v>#REF!</v>
      </c>
      <c r="C1782" t="s">
        <v>1777</v>
      </c>
    </row>
    <row r="1783" spans="1:3" x14ac:dyDescent="0.25">
      <c r="A1783" s="22" t="e">
        <f>CONCATENATE('BASE OBZ'!#REF!,"PROG")</f>
        <v>#REF!</v>
      </c>
      <c r="B1783" s="22" t="e">
        <f>CONCATENATE("P",(LEFT('BASE OBZ'!#REF!,3)),'BASE OBZ'!#REF!)</f>
        <v>#REF!</v>
      </c>
      <c r="C1783" t="s">
        <v>1777</v>
      </c>
    </row>
    <row r="1784" spans="1:3" x14ac:dyDescent="0.25">
      <c r="A1784" s="22" t="e">
        <f>CONCATENATE('BASE OBZ'!#REF!,"PROG")</f>
        <v>#REF!</v>
      </c>
      <c r="B1784" s="22" t="e">
        <f>CONCATENATE("P",(LEFT('BASE OBZ'!#REF!,3)),'BASE OBZ'!#REF!)</f>
        <v>#REF!</v>
      </c>
      <c r="C1784" t="s">
        <v>1777</v>
      </c>
    </row>
    <row r="1785" spans="1:3" x14ac:dyDescent="0.25">
      <c r="A1785" s="22" t="e">
        <f>CONCATENATE('BASE OBZ'!#REF!,"PROG")</f>
        <v>#REF!</v>
      </c>
      <c r="B1785" s="22" t="e">
        <f>CONCATENATE("P",(LEFT('BASE OBZ'!#REF!,3)),'BASE OBZ'!#REF!)</f>
        <v>#REF!</v>
      </c>
      <c r="C1785" t="s">
        <v>1777</v>
      </c>
    </row>
    <row r="1786" spans="1:3" x14ac:dyDescent="0.25">
      <c r="A1786" s="22" t="e">
        <f>CONCATENATE('BASE OBZ'!#REF!,"PROG")</f>
        <v>#REF!</v>
      </c>
      <c r="B1786" s="22" t="e">
        <f>CONCATENATE("P",(LEFT('BASE OBZ'!#REF!,3)),'BASE OBZ'!#REF!)</f>
        <v>#REF!</v>
      </c>
      <c r="C1786" t="s">
        <v>1777</v>
      </c>
    </row>
    <row r="1787" spans="1:3" x14ac:dyDescent="0.25">
      <c r="A1787" s="22" t="e">
        <f>CONCATENATE('BASE OBZ'!#REF!,"PROG")</f>
        <v>#REF!</v>
      </c>
      <c r="B1787" s="22" t="e">
        <f>CONCATENATE("P",(LEFT('BASE OBZ'!#REF!,3)),'BASE OBZ'!#REF!)</f>
        <v>#REF!</v>
      </c>
      <c r="C1787" t="s">
        <v>1777</v>
      </c>
    </row>
    <row r="1788" spans="1:3" x14ac:dyDescent="0.25">
      <c r="A1788" s="22" t="e">
        <f>CONCATENATE('BASE OBZ'!#REF!,"PROG")</f>
        <v>#REF!</v>
      </c>
      <c r="B1788" s="22" t="e">
        <f>CONCATENATE("P",(LEFT('BASE OBZ'!#REF!,3)),'BASE OBZ'!#REF!)</f>
        <v>#REF!</v>
      </c>
      <c r="C1788" t="s">
        <v>1777</v>
      </c>
    </row>
    <row r="1789" spans="1:3" x14ac:dyDescent="0.25">
      <c r="A1789" s="22" t="e">
        <f>CONCATENATE('BASE OBZ'!#REF!,"PROG")</f>
        <v>#REF!</v>
      </c>
      <c r="B1789" s="22" t="e">
        <f>CONCATENATE("P",(LEFT('BASE OBZ'!#REF!,3)),'BASE OBZ'!#REF!)</f>
        <v>#REF!</v>
      </c>
      <c r="C1789" t="s">
        <v>1777</v>
      </c>
    </row>
    <row r="1790" spans="1:3" x14ac:dyDescent="0.25">
      <c r="A1790" s="22" t="e">
        <f>CONCATENATE('BASE OBZ'!#REF!,"PROG")</f>
        <v>#REF!</v>
      </c>
      <c r="B1790" s="22" t="e">
        <f>CONCATENATE("P",(LEFT('BASE OBZ'!#REF!,3)),'BASE OBZ'!#REF!)</f>
        <v>#REF!</v>
      </c>
      <c r="C1790" t="s">
        <v>1777</v>
      </c>
    </row>
    <row r="1791" spans="1:3" x14ac:dyDescent="0.25">
      <c r="A1791" s="22" t="e">
        <f>CONCATENATE('BASE OBZ'!#REF!,"PROG")</f>
        <v>#REF!</v>
      </c>
      <c r="B1791" s="22" t="e">
        <f>CONCATENATE("P",(LEFT('BASE OBZ'!#REF!,3)),'BASE OBZ'!#REF!)</f>
        <v>#REF!</v>
      </c>
      <c r="C1791" t="s">
        <v>1777</v>
      </c>
    </row>
    <row r="1792" spans="1:3" x14ac:dyDescent="0.25">
      <c r="A1792" s="22" t="e">
        <f>CONCATENATE('BASE OBZ'!#REF!,"PROG")</f>
        <v>#REF!</v>
      </c>
      <c r="B1792" s="22" t="e">
        <f>CONCATENATE("P",(LEFT('BASE OBZ'!#REF!,3)),'BASE OBZ'!#REF!)</f>
        <v>#REF!</v>
      </c>
      <c r="C1792" t="s">
        <v>1777</v>
      </c>
    </row>
    <row r="1793" spans="1:3" x14ac:dyDescent="0.25">
      <c r="A1793" s="22" t="e">
        <f>CONCATENATE('BASE OBZ'!#REF!,"PROG")</f>
        <v>#REF!</v>
      </c>
      <c r="B1793" s="22" t="e">
        <f>CONCATENATE("P",(LEFT('BASE OBZ'!#REF!,3)),'BASE OBZ'!#REF!)</f>
        <v>#REF!</v>
      </c>
      <c r="C1793" t="s">
        <v>1777</v>
      </c>
    </row>
    <row r="1794" spans="1:3" x14ac:dyDescent="0.25">
      <c r="A1794" s="22" t="e">
        <f>CONCATENATE('BASE OBZ'!#REF!,"PROG")</f>
        <v>#REF!</v>
      </c>
      <c r="B1794" s="22" t="e">
        <f>CONCATENATE("P",(LEFT('BASE OBZ'!#REF!,3)),'BASE OBZ'!#REF!)</f>
        <v>#REF!</v>
      </c>
      <c r="C1794" t="s">
        <v>1777</v>
      </c>
    </row>
    <row r="1795" spans="1:3" x14ac:dyDescent="0.25">
      <c r="A1795" s="22" t="e">
        <f>CONCATENATE('BASE OBZ'!#REF!,"PROG")</f>
        <v>#REF!</v>
      </c>
      <c r="B1795" s="22" t="e">
        <f>CONCATENATE("P",(LEFT('BASE OBZ'!#REF!,3)),'BASE OBZ'!#REF!)</f>
        <v>#REF!</v>
      </c>
      <c r="C1795" t="s">
        <v>1777</v>
      </c>
    </row>
    <row r="1796" spans="1:3" x14ac:dyDescent="0.25">
      <c r="A1796" s="22" t="e">
        <f>CONCATENATE('BASE OBZ'!#REF!,"PROG")</f>
        <v>#REF!</v>
      </c>
      <c r="B1796" s="22" t="e">
        <f>CONCATENATE("P",(LEFT('BASE OBZ'!#REF!,3)),'BASE OBZ'!#REF!)</f>
        <v>#REF!</v>
      </c>
      <c r="C1796" t="s">
        <v>1777</v>
      </c>
    </row>
    <row r="1797" spans="1:3" x14ac:dyDescent="0.25">
      <c r="A1797" s="22" t="e">
        <f>CONCATENATE('BASE OBZ'!#REF!,"PROG")</f>
        <v>#REF!</v>
      </c>
      <c r="B1797" s="22" t="e">
        <f>CONCATENATE("P",(LEFT('BASE OBZ'!#REF!,3)),'BASE OBZ'!#REF!)</f>
        <v>#REF!</v>
      </c>
      <c r="C1797" t="s">
        <v>1777</v>
      </c>
    </row>
    <row r="1798" spans="1:3" x14ac:dyDescent="0.25">
      <c r="A1798" s="22" t="e">
        <f>CONCATENATE('BASE OBZ'!#REF!,"PROG")</f>
        <v>#REF!</v>
      </c>
      <c r="B1798" s="22" t="e">
        <f>CONCATENATE("P",(LEFT('BASE OBZ'!#REF!,3)),'BASE OBZ'!#REF!)</f>
        <v>#REF!</v>
      </c>
      <c r="C1798" t="s">
        <v>1777</v>
      </c>
    </row>
    <row r="1799" spans="1:3" x14ac:dyDescent="0.25">
      <c r="A1799" s="22" t="e">
        <f>CONCATENATE('BASE OBZ'!#REF!,"PROG")</f>
        <v>#REF!</v>
      </c>
      <c r="B1799" s="22" t="e">
        <f>CONCATENATE("P",(LEFT('BASE OBZ'!#REF!,3)),'BASE OBZ'!#REF!)</f>
        <v>#REF!</v>
      </c>
      <c r="C1799" t="s">
        <v>1777</v>
      </c>
    </row>
    <row r="1800" spans="1:3" x14ac:dyDescent="0.25">
      <c r="A1800" s="22" t="e">
        <f>CONCATENATE('BASE OBZ'!#REF!,"PROG")</f>
        <v>#REF!</v>
      </c>
      <c r="B1800" s="22" t="e">
        <f>CONCATENATE("P",(LEFT('BASE OBZ'!#REF!,3)),'BASE OBZ'!#REF!)</f>
        <v>#REF!</v>
      </c>
      <c r="C1800" t="s">
        <v>1777</v>
      </c>
    </row>
    <row r="1801" spans="1:3" x14ac:dyDescent="0.25">
      <c r="A1801" s="22" t="e">
        <f>CONCATENATE('BASE OBZ'!#REF!,"PROG")</f>
        <v>#REF!</v>
      </c>
      <c r="B1801" s="22" t="e">
        <f>CONCATENATE("P",(LEFT('BASE OBZ'!#REF!,3)),'BASE OBZ'!#REF!)</f>
        <v>#REF!</v>
      </c>
      <c r="C1801" t="s">
        <v>1777</v>
      </c>
    </row>
    <row r="1802" spans="1:3" x14ac:dyDescent="0.25">
      <c r="A1802" s="22" t="e">
        <f>CONCATENATE('BASE OBZ'!#REF!,"PROG")</f>
        <v>#REF!</v>
      </c>
      <c r="B1802" s="22" t="e">
        <f>CONCATENATE("P",(LEFT('BASE OBZ'!#REF!,3)),'BASE OBZ'!#REF!)</f>
        <v>#REF!</v>
      </c>
      <c r="C1802" t="s">
        <v>1777</v>
      </c>
    </row>
    <row r="1803" spans="1:3" x14ac:dyDescent="0.25">
      <c r="A1803" s="22" t="e">
        <f>CONCATENATE('BASE OBZ'!#REF!,"PROG")</f>
        <v>#REF!</v>
      </c>
      <c r="B1803" s="22" t="e">
        <f>CONCATENATE("P",(LEFT('BASE OBZ'!#REF!,3)),'BASE OBZ'!#REF!)</f>
        <v>#REF!</v>
      </c>
      <c r="C1803" t="s">
        <v>1777</v>
      </c>
    </row>
    <row r="1804" spans="1:3" x14ac:dyDescent="0.25">
      <c r="A1804" s="22" t="e">
        <f>CONCATENATE('BASE OBZ'!#REF!,"PROG")</f>
        <v>#REF!</v>
      </c>
      <c r="B1804" s="22" t="e">
        <f>CONCATENATE("P",(LEFT('BASE OBZ'!#REF!,3)),'BASE OBZ'!#REF!)</f>
        <v>#REF!</v>
      </c>
      <c r="C1804" t="s">
        <v>1777</v>
      </c>
    </row>
    <row r="1805" spans="1:3" x14ac:dyDescent="0.25">
      <c r="A1805" s="22" t="e">
        <f>CONCATENATE('BASE OBZ'!#REF!,"PROG")</f>
        <v>#REF!</v>
      </c>
      <c r="B1805" s="22" t="e">
        <f>CONCATENATE("P",(LEFT('BASE OBZ'!#REF!,3)),'BASE OBZ'!#REF!)</f>
        <v>#REF!</v>
      </c>
      <c r="C1805" t="s">
        <v>1777</v>
      </c>
    </row>
    <row r="1806" spans="1:3" x14ac:dyDescent="0.25">
      <c r="A1806" s="22" t="e">
        <f>CONCATENATE('BASE OBZ'!#REF!,"PROG")</f>
        <v>#REF!</v>
      </c>
      <c r="B1806" s="22" t="e">
        <f>CONCATENATE("P",(LEFT('BASE OBZ'!#REF!,3)),'BASE OBZ'!#REF!)</f>
        <v>#REF!</v>
      </c>
      <c r="C1806" t="s">
        <v>1777</v>
      </c>
    </row>
    <row r="1807" spans="1:3" x14ac:dyDescent="0.25">
      <c r="A1807" s="22" t="e">
        <f>CONCATENATE('BASE OBZ'!#REF!,"PROG")</f>
        <v>#REF!</v>
      </c>
      <c r="B1807" s="22" t="e">
        <f>CONCATENATE("P",(LEFT('BASE OBZ'!#REF!,3)),'BASE OBZ'!#REF!)</f>
        <v>#REF!</v>
      </c>
      <c r="C1807" t="s">
        <v>1777</v>
      </c>
    </row>
    <row r="1808" spans="1:3" x14ac:dyDescent="0.25">
      <c r="A1808" s="22" t="e">
        <f>CONCATENATE('BASE OBZ'!#REF!,"PROG")</f>
        <v>#REF!</v>
      </c>
      <c r="B1808" s="22" t="e">
        <f>CONCATENATE("P",(LEFT('BASE OBZ'!#REF!,3)),'BASE OBZ'!#REF!)</f>
        <v>#REF!</v>
      </c>
      <c r="C1808" t="s">
        <v>1777</v>
      </c>
    </row>
    <row r="1809" spans="1:3" x14ac:dyDescent="0.25">
      <c r="A1809" s="22" t="e">
        <f>CONCATENATE('BASE OBZ'!#REF!,"PROG")</f>
        <v>#REF!</v>
      </c>
      <c r="B1809" s="22" t="e">
        <f>CONCATENATE("P",(LEFT('BASE OBZ'!#REF!,3)),'BASE OBZ'!#REF!)</f>
        <v>#REF!</v>
      </c>
      <c r="C1809" t="s">
        <v>1777</v>
      </c>
    </row>
    <row r="1810" spans="1:3" x14ac:dyDescent="0.25">
      <c r="A1810" s="22" t="e">
        <f>CONCATENATE('BASE OBZ'!#REF!,"PROG")</f>
        <v>#REF!</v>
      </c>
      <c r="B1810" s="22" t="e">
        <f>CONCATENATE("P",(LEFT('BASE OBZ'!#REF!,3)),'BASE OBZ'!#REF!)</f>
        <v>#REF!</v>
      </c>
      <c r="C1810" t="s">
        <v>1777</v>
      </c>
    </row>
    <row r="1811" spans="1:3" x14ac:dyDescent="0.25">
      <c r="A1811" s="22" t="e">
        <f>CONCATENATE('BASE OBZ'!#REF!,"PROG")</f>
        <v>#REF!</v>
      </c>
      <c r="B1811" s="22" t="e">
        <f>CONCATENATE("P",(LEFT('BASE OBZ'!#REF!,3)),'BASE OBZ'!#REF!)</f>
        <v>#REF!</v>
      </c>
      <c r="C1811" t="s">
        <v>1777</v>
      </c>
    </row>
    <row r="1812" spans="1:3" x14ac:dyDescent="0.25">
      <c r="A1812" s="22" t="e">
        <f>CONCATENATE('BASE OBZ'!#REF!,"PROG")</f>
        <v>#REF!</v>
      </c>
      <c r="B1812" s="22" t="e">
        <f>CONCATENATE("P",(LEFT('BASE OBZ'!#REF!,3)),'BASE OBZ'!#REF!)</f>
        <v>#REF!</v>
      </c>
      <c r="C1812" t="s">
        <v>1777</v>
      </c>
    </row>
    <row r="1813" spans="1:3" x14ac:dyDescent="0.25">
      <c r="A1813" s="22" t="e">
        <f>CONCATENATE('BASE OBZ'!#REF!,"PROG")</f>
        <v>#REF!</v>
      </c>
      <c r="B1813" s="22" t="e">
        <f>CONCATENATE("P",(LEFT('BASE OBZ'!#REF!,3)),'BASE OBZ'!#REF!)</f>
        <v>#REF!</v>
      </c>
      <c r="C1813" t="s">
        <v>1777</v>
      </c>
    </row>
    <row r="1814" spans="1:3" x14ac:dyDescent="0.25">
      <c r="A1814" s="22" t="e">
        <f>CONCATENATE('BASE OBZ'!#REF!,"PROG")</f>
        <v>#REF!</v>
      </c>
      <c r="B1814" s="22" t="e">
        <f>CONCATENATE("P",(LEFT('BASE OBZ'!#REF!,3)),'BASE OBZ'!#REF!)</f>
        <v>#REF!</v>
      </c>
      <c r="C1814" t="s">
        <v>1777</v>
      </c>
    </row>
    <row r="1815" spans="1:3" x14ac:dyDescent="0.25">
      <c r="A1815" s="22" t="e">
        <f>CONCATENATE('BASE OBZ'!#REF!,"PROG")</f>
        <v>#REF!</v>
      </c>
      <c r="B1815" s="22" t="e">
        <f>CONCATENATE("P",(LEFT('BASE OBZ'!#REF!,3)),'BASE OBZ'!#REF!)</f>
        <v>#REF!</v>
      </c>
      <c r="C1815" t="s">
        <v>1777</v>
      </c>
    </row>
    <row r="1816" spans="1:3" x14ac:dyDescent="0.25">
      <c r="A1816" s="22" t="e">
        <f>CONCATENATE('BASE OBZ'!#REF!,"PROG")</f>
        <v>#REF!</v>
      </c>
      <c r="B1816" s="22" t="e">
        <f>CONCATENATE("P",(LEFT('BASE OBZ'!#REF!,3)),'BASE OBZ'!#REF!)</f>
        <v>#REF!</v>
      </c>
      <c r="C1816" t="s">
        <v>1777</v>
      </c>
    </row>
    <row r="1817" spans="1:3" x14ac:dyDescent="0.25">
      <c r="A1817" s="22" t="e">
        <f>CONCATENATE('BASE OBZ'!#REF!,"PROG")</f>
        <v>#REF!</v>
      </c>
      <c r="B1817" s="22" t="e">
        <f>CONCATENATE("P",(LEFT('BASE OBZ'!#REF!,3)),'BASE OBZ'!#REF!)</f>
        <v>#REF!</v>
      </c>
      <c r="C1817" t="s">
        <v>1777</v>
      </c>
    </row>
    <row r="1818" spans="1:3" x14ac:dyDescent="0.25">
      <c r="A1818" s="22" t="e">
        <f>CONCATENATE('BASE OBZ'!#REF!,"PROG")</f>
        <v>#REF!</v>
      </c>
      <c r="B1818" s="22" t="e">
        <f>CONCATENATE("P",(LEFT('BASE OBZ'!#REF!,3)),'BASE OBZ'!#REF!)</f>
        <v>#REF!</v>
      </c>
      <c r="C1818" t="s">
        <v>1777</v>
      </c>
    </row>
    <row r="1819" spans="1:3" x14ac:dyDescent="0.25">
      <c r="A1819" s="22" t="e">
        <f>CONCATENATE('BASE OBZ'!#REF!,"PROG")</f>
        <v>#REF!</v>
      </c>
      <c r="B1819" s="22" t="e">
        <f>CONCATENATE("P",(LEFT('BASE OBZ'!#REF!,3)),'BASE OBZ'!#REF!)</f>
        <v>#REF!</v>
      </c>
      <c r="C1819" t="s">
        <v>1777</v>
      </c>
    </row>
    <row r="1820" spans="1:3" x14ac:dyDescent="0.25">
      <c r="A1820" s="22" t="e">
        <f>CONCATENATE('BASE OBZ'!#REF!,"PROG")</f>
        <v>#REF!</v>
      </c>
      <c r="B1820" s="22" t="e">
        <f>CONCATENATE("P",(LEFT('BASE OBZ'!#REF!,3)),'BASE OBZ'!#REF!)</f>
        <v>#REF!</v>
      </c>
      <c r="C1820" t="s">
        <v>1777</v>
      </c>
    </row>
    <row r="1821" spans="1:3" x14ac:dyDescent="0.25">
      <c r="A1821" s="22" t="e">
        <f>CONCATENATE('BASE OBZ'!#REF!,"PROG")</f>
        <v>#REF!</v>
      </c>
      <c r="B1821" s="22" t="e">
        <f>CONCATENATE("P",(LEFT('BASE OBZ'!#REF!,3)),'BASE OBZ'!#REF!)</f>
        <v>#REF!</v>
      </c>
      <c r="C1821" t="s">
        <v>1777</v>
      </c>
    </row>
    <row r="1822" spans="1:3" x14ac:dyDescent="0.25">
      <c r="A1822" s="22" t="e">
        <f>CONCATENATE('BASE OBZ'!#REF!,"PROG")</f>
        <v>#REF!</v>
      </c>
      <c r="B1822" s="22" t="e">
        <f>CONCATENATE("P",(LEFT('BASE OBZ'!#REF!,3)),'BASE OBZ'!#REF!)</f>
        <v>#REF!</v>
      </c>
      <c r="C1822" t="s">
        <v>1777</v>
      </c>
    </row>
    <row r="1823" spans="1:3" x14ac:dyDescent="0.25">
      <c r="A1823" s="22" t="e">
        <f>CONCATENATE('BASE OBZ'!#REF!,"PROG")</f>
        <v>#REF!</v>
      </c>
      <c r="B1823" s="22" t="e">
        <f>CONCATENATE("P",(LEFT('BASE OBZ'!#REF!,3)),'BASE OBZ'!#REF!)</f>
        <v>#REF!</v>
      </c>
      <c r="C1823" t="s">
        <v>1777</v>
      </c>
    </row>
    <row r="1824" spans="1:3" x14ac:dyDescent="0.25">
      <c r="A1824" s="22" t="e">
        <f>CONCATENATE('BASE OBZ'!#REF!,"PROG")</f>
        <v>#REF!</v>
      </c>
      <c r="B1824" s="22" t="e">
        <f>CONCATENATE("P",(LEFT('BASE OBZ'!#REF!,3)),'BASE OBZ'!#REF!)</f>
        <v>#REF!</v>
      </c>
      <c r="C1824" t="s">
        <v>1777</v>
      </c>
    </row>
    <row r="1825" spans="1:3" x14ac:dyDescent="0.25">
      <c r="A1825" s="22" t="e">
        <f>CONCATENATE('BASE OBZ'!#REF!,"PROG")</f>
        <v>#REF!</v>
      </c>
      <c r="B1825" s="22" t="e">
        <f>CONCATENATE("P",(LEFT('BASE OBZ'!#REF!,3)),'BASE OBZ'!#REF!)</f>
        <v>#REF!</v>
      </c>
      <c r="C1825" t="s">
        <v>1777</v>
      </c>
    </row>
    <row r="1826" spans="1:3" x14ac:dyDescent="0.25">
      <c r="A1826" s="22" t="e">
        <f>CONCATENATE('BASE OBZ'!#REF!,"PROG")</f>
        <v>#REF!</v>
      </c>
      <c r="B1826" s="22" t="e">
        <f>CONCATENATE("P",(LEFT('BASE OBZ'!#REF!,3)),'BASE OBZ'!#REF!)</f>
        <v>#REF!</v>
      </c>
      <c r="C1826" t="s">
        <v>1777</v>
      </c>
    </row>
    <row r="1827" spans="1:3" x14ac:dyDescent="0.25">
      <c r="A1827" s="22" t="e">
        <f>CONCATENATE('BASE OBZ'!#REF!,"PROG")</f>
        <v>#REF!</v>
      </c>
      <c r="B1827" s="22" t="e">
        <f>CONCATENATE("P",(LEFT('BASE OBZ'!#REF!,3)),'BASE OBZ'!#REF!)</f>
        <v>#REF!</v>
      </c>
      <c r="C1827" t="s">
        <v>1777</v>
      </c>
    </row>
    <row r="1828" spans="1:3" x14ac:dyDescent="0.25">
      <c r="A1828" s="22" t="e">
        <f>CONCATENATE('BASE OBZ'!#REF!,"PROG")</f>
        <v>#REF!</v>
      </c>
      <c r="B1828" s="22" t="e">
        <f>CONCATENATE("P",(LEFT('BASE OBZ'!#REF!,3)),'BASE OBZ'!#REF!)</f>
        <v>#REF!</v>
      </c>
      <c r="C1828" t="s">
        <v>1777</v>
      </c>
    </row>
    <row r="1829" spans="1:3" x14ac:dyDescent="0.25">
      <c r="A1829" s="22" t="e">
        <f>CONCATENATE('BASE OBZ'!#REF!,"PROG")</f>
        <v>#REF!</v>
      </c>
      <c r="B1829" s="22" t="e">
        <f>CONCATENATE("P",(LEFT('BASE OBZ'!#REF!,3)),'BASE OBZ'!#REF!)</f>
        <v>#REF!</v>
      </c>
      <c r="C1829" t="s">
        <v>1777</v>
      </c>
    </row>
    <row r="1830" spans="1:3" x14ac:dyDescent="0.25">
      <c r="A1830" s="22" t="e">
        <f>CONCATENATE('BASE OBZ'!#REF!,"PROG")</f>
        <v>#REF!</v>
      </c>
      <c r="B1830" s="22" t="e">
        <f>CONCATENATE("P",(LEFT('BASE OBZ'!#REF!,3)),'BASE OBZ'!#REF!)</f>
        <v>#REF!</v>
      </c>
      <c r="C1830" t="s">
        <v>1777</v>
      </c>
    </row>
    <row r="1831" spans="1:3" x14ac:dyDescent="0.25">
      <c r="A1831" s="22" t="e">
        <f>CONCATENATE('BASE OBZ'!#REF!,"PROG")</f>
        <v>#REF!</v>
      </c>
      <c r="B1831" s="22" t="e">
        <f>CONCATENATE("P",(LEFT('BASE OBZ'!#REF!,3)),'BASE OBZ'!#REF!)</f>
        <v>#REF!</v>
      </c>
      <c r="C1831" t="s">
        <v>1777</v>
      </c>
    </row>
    <row r="1832" spans="1:3" x14ac:dyDescent="0.25">
      <c r="A1832" s="22" t="e">
        <f>CONCATENATE('BASE OBZ'!#REF!,"PROG")</f>
        <v>#REF!</v>
      </c>
      <c r="B1832" s="22" t="e">
        <f>CONCATENATE("P",(LEFT('BASE OBZ'!#REF!,3)),'BASE OBZ'!#REF!)</f>
        <v>#REF!</v>
      </c>
      <c r="C1832" t="s">
        <v>1777</v>
      </c>
    </row>
    <row r="1833" spans="1:3" x14ac:dyDescent="0.25">
      <c r="A1833" s="22" t="e">
        <f>CONCATENATE('BASE OBZ'!#REF!,"PROG")</f>
        <v>#REF!</v>
      </c>
      <c r="B1833" s="22" t="e">
        <f>CONCATENATE("P",(LEFT('BASE OBZ'!#REF!,3)),'BASE OBZ'!#REF!)</f>
        <v>#REF!</v>
      </c>
      <c r="C1833" t="s">
        <v>1777</v>
      </c>
    </row>
    <row r="1834" spans="1:3" x14ac:dyDescent="0.25">
      <c r="A1834" s="22" t="e">
        <f>CONCATENATE('BASE OBZ'!#REF!,"PROG")</f>
        <v>#REF!</v>
      </c>
      <c r="B1834" s="22" t="e">
        <f>CONCATENATE("P",(LEFT('BASE OBZ'!#REF!,3)),'BASE OBZ'!#REF!)</f>
        <v>#REF!</v>
      </c>
      <c r="C1834" t="s">
        <v>1777</v>
      </c>
    </row>
    <row r="1835" spans="1:3" x14ac:dyDescent="0.25">
      <c r="A1835" s="22" t="e">
        <f>CONCATENATE('BASE OBZ'!#REF!,"PROG")</f>
        <v>#REF!</v>
      </c>
      <c r="B1835" s="22" t="e">
        <f>CONCATENATE("P",(LEFT('BASE OBZ'!#REF!,3)),'BASE OBZ'!#REF!)</f>
        <v>#REF!</v>
      </c>
      <c r="C1835" t="s">
        <v>1777</v>
      </c>
    </row>
    <row r="1836" spans="1:3" x14ac:dyDescent="0.25">
      <c r="A1836" s="22" t="e">
        <f>CONCATENATE('BASE OBZ'!#REF!,"PROG")</f>
        <v>#REF!</v>
      </c>
      <c r="B1836" s="22" t="e">
        <f>CONCATENATE("P",(LEFT('BASE OBZ'!#REF!,3)),'BASE OBZ'!#REF!)</f>
        <v>#REF!</v>
      </c>
      <c r="C1836" t="s">
        <v>1777</v>
      </c>
    </row>
    <row r="1837" spans="1:3" x14ac:dyDescent="0.25">
      <c r="A1837" s="22" t="e">
        <f>CONCATENATE('BASE OBZ'!#REF!,"PROG")</f>
        <v>#REF!</v>
      </c>
      <c r="B1837" s="22" t="e">
        <f>CONCATENATE("P",(LEFT('BASE OBZ'!#REF!,3)),'BASE OBZ'!#REF!)</f>
        <v>#REF!</v>
      </c>
      <c r="C1837" t="s">
        <v>1777</v>
      </c>
    </row>
    <row r="1838" spans="1:3" x14ac:dyDescent="0.25">
      <c r="A1838" s="22" t="e">
        <f>CONCATENATE('BASE OBZ'!#REF!,"PROG")</f>
        <v>#REF!</v>
      </c>
      <c r="B1838" s="22" t="e">
        <f>CONCATENATE("P",(LEFT('BASE OBZ'!#REF!,3)),'BASE OBZ'!#REF!)</f>
        <v>#REF!</v>
      </c>
      <c r="C1838" t="s">
        <v>1777</v>
      </c>
    </row>
    <row r="1839" spans="1:3" x14ac:dyDescent="0.25">
      <c r="A1839" s="22" t="e">
        <f>CONCATENATE('BASE OBZ'!#REF!,"PROG")</f>
        <v>#REF!</v>
      </c>
      <c r="B1839" s="22" t="e">
        <f>CONCATENATE("P",(LEFT('BASE OBZ'!#REF!,3)),'BASE OBZ'!#REF!)</f>
        <v>#REF!</v>
      </c>
      <c r="C1839" t="s">
        <v>1777</v>
      </c>
    </row>
    <row r="1840" spans="1:3" x14ac:dyDescent="0.25">
      <c r="A1840" s="22" t="e">
        <f>CONCATENATE('BASE OBZ'!#REF!,"PROG")</f>
        <v>#REF!</v>
      </c>
      <c r="B1840" s="22" t="e">
        <f>CONCATENATE("P",(LEFT('BASE OBZ'!#REF!,3)),'BASE OBZ'!#REF!)</f>
        <v>#REF!</v>
      </c>
      <c r="C1840" t="s">
        <v>1777</v>
      </c>
    </row>
    <row r="1841" spans="1:3" x14ac:dyDescent="0.25">
      <c r="A1841" s="22" t="e">
        <f>CONCATENATE('BASE OBZ'!#REF!,"PROG")</f>
        <v>#REF!</v>
      </c>
      <c r="B1841" s="22" t="e">
        <f>CONCATENATE("P",(LEFT('BASE OBZ'!#REF!,3)),'BASE OBZ'!#REF!)</f>
        <v>#REF!</v>
      </c>
      <c r="C1841" t="s">
        <v>1777</v>
      </c>
    </row>
    <row r="1842" spans="1:3" x14ac:dyDescent="0.25">
      <c r="A1842" s="22" t="e">
        <f>CONCATENATE('BASE OBZ'!#REF!,"PROG")</f>
        <v>#REF!</v>
      </c>
      <c r="B1842" s="22" t="e">
        <f>CONCATENATE("P",(LEFT('BASE OBZ'!#REF!,3)),'BASE OBZ'!#REF!)</f>
        <v>#REF!</v>
      </c>
      <c r="C1842" t="s">
        <v>1777</v>
      </c>
    </row>
    <row r="1843" spans="1:3" x14ac:dyDescent="0.25">
      <c r="A1843" s="22" t="e">
        <f>CONCATENATE('BASE OBZ'!#REF!,"PROG")</f>
        <v>#REF!</v>
      </c>
      <c r="B1843" s="22" t="e">
        <f>CONCATENATE("P",(LEFT('BASE OBZ'!#REF!,3)),'BASE OBZ'!#REF!)</f>
        <v>#REF!</v>
      </c>
      <c r="C1843" t="s">
        <v>1777</v>
      </c>
    </row>
    <row r="1844" spans="1:3" x14ac:dyDescent="0.25">
      <c r="A1844" s="22" t="e">
        <f>CONCATENATE('BASE OBZ'!#REF!,"PROG")</f>
        <v>#REF!</v>
      </c>
      <c r="B1844" s="22" t="e">
        <f>CONCATENATE("P",(LEFT('BASE OBZ'!#REF!,3)),'BASE OBZ'!#REF!)</f>
        <v>#REF!</v>
      </c>
      <c r="C1844" t="s">
        <v>1777</v>
      </c>
    </row>
    <row r="1845" spans="1:3" x14ac:dyDescent="0.25">
      <c r="A1845" s="22" t="e">
        <f>CONCATENATE('BASE OBZ'!#REF!,"PROG")</f>
        <v>#REF!</v>
      </c>
      <c r="B1845" s="22" t="e">
        <f>CONCATENATE("P",(LEFT('BASE OBZ'!#REF!,3)),'BASE OBZ'!#REF!)</f>
        <v>#REF!</v>
      </c>
      <c r="C1845" t="s">
        <v>1777</v>
      </c>
    </row>
    <row r="1846" spans="1:3" x14ac:dyDescent="0.25">
      <c r="A1846" s="22" t="e">
        <f>CONCATENATE('BASE OBZ'!#REF!,"PROG")</f>
        <v>#REF!</v>
      </c>
      <c r="B1846" s="22" t="e">
        <f>CONCATENATE("P",(LEFT('BASE OBZ'!#REF!,3)),'BASE OBZ'!#REF!)</f>
        <v>#REF!</v>
      </c>
      <c r="C1846" t="s">
        <v>1777</v>
      </c>
    </row>
    <row r="1847" spans="1:3" x14ac:dyDescent="0.25">
      <c r="A1847" s="22" t="e">
        <f>CONCATENATE('BASE OBZ'!#REF!,"PROG")</f>
        <v>#REF!</v>
      </c>
      <c r="B1847" s="22" t="e">
        <f>CONCATENATE("P",(LEFT('BASE OBZ'!#REF!,3)),'BASE OBZ'!#REF!)</f>
        <v>#REF!</v>
      </c>
      <c r="C1847" t="s">
        <v>1777</v>
      </c>
    </row>
    <row r="1848" spans="1:3" x14ac:dyDescent="0.25">
      <c r="A1848" s="22" t="e">
        <f>CONCATENATE('BASE OBZ'!#REF!,"PROG")</f>
        <v>#REF!</v>
      </c>
      <c r="B1848" s="22" t="e">
        <f>CONCATENATE("P",(LEFT('BASE OBZ'!#REF!,3)),'BASE OBZ'!#REF!)</f>
        <v>#REF!</v>
      </c>
      <c r="C1848" t="s">
        <v>1777</v>
      </c>
    </row>
    <row r="1849" spans="1:3" x14ac:dyDescent="0.25">
      <c r="A1849" s="22" t="e">
        <f>CONCATENATE('BASE OBZ'!#REF!,"PROG")</f>
        <v>#REF!</v>
      </c>
      <c r="B1849" s="22" t="e">
        <f>CONCATENATE("P",(LEFT('BASE OBZ'!#REF!,3)),'BASE OBZ'!#REF!)</f>
        <v>#REF!</v>
      </c>
      <c r="C1849" t="s">
        <v>1777</v>
      </c>
    </row>
    <row r="1850" spans="1:3" x14ac:dyDescent="0.25">
      <c r="A1850" s="22" t="e">
        <f>CONCATENATE('BASE OBZ'!#REF!,"PROG")</f>
        <v>#REF!</v>
      </c>
      <c r="B1850" s="22" t="e">
        <f>CONCATENATE("P",(LEFT('BASE OBZ'!#REF!,3)),'BASE OBZ'!#REF!)</f>
        <v>#REF!</v>
      </c>
      <c r="C1850" t="s">
        <v>1777</v>
      </c>
    </row>
    <row r="1851" spans="1:3" x14ac:dyDescent="0.25">
      <c r="A1851" s="22" t="e">
        <f>CONCATENATE('BASE OBZ'!#REF!,"PROG")</f>
        <v>#REF!</v>
      </c>
      <c r="B1851" s="22" t="e">
        <f>CONCATENATE("P",(LEFT('BASE OBZ'!#REF!,3)),'BASE OBZ'!#REF!)</f>
        <v>#REF!</v>
      </c>
      <c r="C1851" t="s">
        <v>1777</v>
      </c>
    </row>
    <row r="1852" spans="1:3" x14ac:dyDescent="0.25">
      <c r="A1852" s="22" t="e">
        <f>CONCATENATE('BASE OBZ'!#REF!,"PROG")</f>
        <v>#REF!</v>
      </c>
      <c r="B1852" s="22" t="e">
        <f>CONCATENATE("P",(LEFT('BASE OBZ'!#REF!,3)),'BASE OBZ'!#REF!)</f>
        <v>#REF!</v>
      </c>
      <c r="C1852" t="s">
        <v>1777</v>
      </c>
    </row>
    <row r="1853" spans="1:3" x14ac:dyDescent="0.25">
      <c r="A1853" s="22" t="e">
        <f>CONCATENATE('BASE OBZ'!#REF!,"PROG")</f>
        <v>#REF!</v>
      </c>
      <c r="B1853" s="22" t="e">
        <f>CONCATENATE("P",(LEFT('BASE OBZ'!#REF!,3)),'BASE OBZ'!#REF!)</f>
        <v>#REF!</v>
      </c>
      <c r="C1853" t="s">
        <v>1777</v>
      </c>
    </row>
    <row r="1854" spans="1:3" x14ac:dyDescent="0.25">
      <c r="A1854" s="22" t="e">
        <f>CONCATENATE('BASE OBZ'!#REF!,"PROG")</f>
        <v>#REF!</v>
      </c>
      <c r="B1854" s="22" t="e">
        <f>CONCATENATE("P",(LEFT('BASE OBZ'!#REF!,3)),'BASE OBZ'!#REF!)</f>
        <v>#REF!</v>
      </c>
      <c r="C1854" t="s">
        <v>1777</v>
      </c>
    </row>
    <row r="1855" spans="1:3" x14ac:dyDescent="0.25">
      <c r="A1855" s="22" t="e">
        <f>CONCATENATE('BASE OBZ'!#REF!,"PROG")</f>
        <v>#REF!</v>
      </c>
      <c r="B1855" s="22" t="e">
        <f>CONCATENATE("P",(LEFT('BASE OBZ'!#REF!,3)),'BASE OBZ'!#REF!)</f>
        <v>#REF!</v>
      </c>
      <c r="C1855" t="s">
        <v>1777</v>
      </c>
    </row>
    <row r="1856" spans="1:3" x14ac:dyDescent="0.25">
      <c r="A1856" s="22" t="e">
        <f>CONCATENATE('BASE OBZ'!#REF!,"PROG")</f>
        <v>#REF!</v>
      </c>
      <c r="B1856" s="22" t="e">
        <f>CONCATENATE("P",(LEFT('BASE OBZ'!#REF!,3)),'BASE OBZ'!#REF!)</f>
        <v>#REF!</v>
      </c>
      <c r="C1856" t="s">
        <v>1777</v>
      </c>
    </row>
    <row r="1857" spans="1:3" x14ac:dyDescent="0.25">
      <c r="A1857" s="22" t="e">
        <f>CONCATENATE('BASE OBZ'!#REF!,"PROG")</f>
        <v>#REF!</v>
      </c>
      <c r="B1857" s="22" t="e">
        <f>CONCATENATE("P",(LEFT('BASE OBZ'!#REF!,3)),'BASE OBZ'!#REF!)</f>
        <v>#REF!</v>
      </c>
      <c r="C1857" t="s">
        <v>1777</v>
      </c>
    </row>
    <row r="1858" spans="1:3" x14ac:dyDescent="0.25">
      <c r="A1858" s="22" t="e">
        <f>CONCATENATE('BASE OBZ'!#REF!,"PROG")</f>
        <v>#REF!</v>
      </c>
      <c r="B1858" s="22" t="e">
        <f>CONCATENATE("P",(LEFT('BASE OBZ'!#REF!,3)),'BASE OBZ'!#REF!)</f>
        <v>#REF!</v>
      </c>
      <c r="C1858" t="s">
        <v>1777</v>
      </c>
    </row>
    <row r="1859" spans="1:3" x14ac:dyDescent="0.25">
      <c r="A1859" s="22" t="e">
        <f>CONCATENATE('BASE OBZ'!#REF!,"PROG")</f>
        <v>#REF!</v>
      </c>
      <c r="B1859" s="22" t="e">
        <f>CONCATENATE("P",(LEFT('BASE OBZ'!#REF!,3)),'BASE OBZ'!#REF!)</f>
        <v>#REF!</v>
      </c>
      <c r="C1859" t="s">
        <v>1777</v>
      </c>
    </row>
    <row r="1860" spans="1:3" x14ac:dyDescent="0.25">
      <c r="A1860" s="22" t="e">
        <f>CONCATENATE('BASE OBZ'!#REF!,"PROG")</f>
        <v>#REF!</v>
      </c>
      <c r="B1860" s="22" t="e">
        <f>CONCATENATE("P",(LEFT('BASE OBZ'!#REF!,3)),'BASE OBZ'!#REF!)</f>
        <v>#REF!</v>
      </c>
      <c r="C1860" t="s">
        <v>1777</v>
      </c>
    </row>
    <row r="1861" spans="1:3" x14ac:dyDescent="0.25">
      <c r="A1861" s="22" t="e">
        <f>CONCATENATE('BASE OBZ'!#REF!,"PROG")</f>
        <v>#REF!</v>
      </c>
      <c r="B1861" s="22" t="e">
        <f>CONCATENATE("P",(LEFT('BASE OBZ'!#REF!,3)),'BASE OBZ'!#REF!)</f>
        <v>#REF!</v>
      </c>
      <c r="C1861" t="s">
        <v>1777</v>
      </c>
    </row>
    <row r="1862" spans="1:3" x14ac:dyDescent="0.25">
      <c r="A1862" s="22" t="e">
        <f>CONCATENATE('BASE OBZ'!#REF!,"PROG")</f>
        <v>#REF!</v>
      </c>
      <c r="B1862" s="22" t="e">
        <f>CONCATENATE("P",(LEFT('BASE OBZ'!#REF!,3)),'BASE OBZ'!#REF!)</f>
        <v>#REF!</v>
      </c>
      <c r="C1862" t="s">
        <v>1777</v>
      </c>
    </row>
    <row r="1863" spans="1:3" x14ac:dyDescent="0.25">
      <c r="A1863" s="22" t="e">
        <f>CONCATENATE('BASE OBZ'!#REF!,"PROG")</f>
        <v>#REF!</v>
      </c>
      <c r="B1863" s="22" t="e">
        <f>CONCATENATE("P",(LEFT('BASE OBZ'!#REF!,3)),'BASE OBZ'!#REF!)</f>
        <v>#REF!</v>
      </c>
      <c r="C1863" t="s">
        <v>1777</v>
      </c>
    </row>
    <row r="1864" spans="1:3" x14ac:dyDescent="0.25">
      <c r="A1864" s="22" t="e">
        <f>CONCATENATE('BASE OBZ'!#REF!,"PROG")</f>
        <v>#REF!</v>
      </c>
      <c r="B1864" s="22" t="e">
        <f>CONCATENATE("P",(LEFT('BASE OBZ'!#REF!,3)),'BASE OBZ'!#REF!)</f>
        <v>#REF!</v>
      </c>
      <c r="C1864" t="s">
        <v>1777</v>
      </c>
    </row>
    <row r="1865" spans="1:3" x14ac:dyDescent="0.25">
      <c r="A1865" s="22" t="e">
        <f>CONCATENATE('BASE OBZ'!#REF!,"PROG")</f>
        <v>#REF!</v>
      </c>
      <c r="B1865" s="22" t="e">
        <f>CONCATENATE("P",(LEFT('BASE OBZ'!#REF!,3)),'BASE OBZ'!#REF!)</f>
        <v>#REF!</v>
      </c>
      <c r="C1865" t="s">
        <v>1777</v>
      </c>
    </row>
    <row r="1866" spans="1:3" x14ac:dyDescent="0.25">
      <c r="A1866" s="22" t="e">
        <f>CONCATENATE('BASE OBZ'!#REF!,"PROG")</f>
        <v>#REF!</v>
      </c>
      <c r="B1866" s="22" t="e">
        <f>CONCATENATE("P",(LEFT('BASE OBZ'!#REF!,3)),'BASE OBZ'!#REF!)</f>
        <v>#REF!</v>
      </c>
      <c r="C1866" t="s">
        <v>1777</v>
      </c>
    </row>
    <row r="1867" spans="1:3" x14ac:dyDescent="0.25">
      <c r="A1867" s="22" t="e">
        <f>CONCATENATE('BASE OBZ'!#REF!,"PROG")</f>
        <v>#REF!</v>
      </c>
      <c r="B1867" s="22" t="e">
        <f>CONCATENATE("P",(LEFT('BASE OBZ'!#REF!,3)),'BASE OBZ'!#REF!)</f>
        <v>#REF!</v>
      </c>
      <c r="C1867" t="s">
        <v>1777</v>
      </c>
    </row>
    <row r="1868" spans="1:3" x14ac:dyDescent="0.25">
      <c r="A1868" s="22" t="e">
        <f>CONCATENATE('BASE OBZ'!#REF!,"PROG")</f>
        <v>#REF!</v>
      </c>
      <c r="B1868" s="22" t="e">
        <f>CONCATENATE("P",(LEFT('BASE OBZ'!#REF!,3)),'BASE OBZ'!#REF!)</f>
        <v>#REF!</v>
      </c>
      <c r="C1868" t="s">
        <v>1777</v>
      </c>
    </row>
    <row r="1869" spans="1:3" x14ac:dyDescent="0.25">
      <c r="A1869" s="22" t="e">
        <f>CONCATENATE('BASE OBZ'!#REF!,"PROG")</f>
        <v>#REF!</v>
      </c>
      <c r="B1869" s="22" t="e">
        <f>CONCATENATE("P",(LEFT('BASE OBZ'!#REF!,3)),'BASE OBZ'!#REF!)</f>
        <v>#REF!</v>
      </c>
      <c r="C1869" t="s">
        <v>1777</v>
      </c>
    </row>
    <row r="1870" spans="1:3" x14ac:dyDescent="0.25">
      <c r="A1870" s="22" t="e">
        <f>CONCATENATE('BASE OBZ'!#REF!,"PROG")</f>
        <v>#REF!</v>
      </c>
      <c r="B1870" s="22" t="e">
        <f>CONCATENATE("P",(LEFT('BASE OBZ'!#REF!,3)),'BASE OBZ'!#REF!)</f>
        <v>#REF!</v>
      </c>
      <c r="C1870" t="s">
        <v>1777</v>
      </c>
    </row>
    <row r="1871" spans="1:3" x14ac:dyDescent="0.25">
      <c r="A1871" s="22" t="e">
        <f>CONCATENATE('BASE OBZ'!#REF!,"PROG")</f>
        <v>#REF!</v>
      </c>
      <c r="B1871" s="22" t="e">
        <f>CONCATENATE("P",(LEFT('BASE OBZ'!#REF!,3)),'BASE OBZ'!#REF!)</f>
        <v>#REF!</v>
      </c>
      <c r="C1871" t="s">
        <v>1777</v>
      </c>
    </row>
    <row r="1872" spans="1:3" x14ac:dyDescent="0.25">
      <c r="A1872" s="22" t="e">
        <f>CONCATENATE('BASE OBZ'!#REF!,"PROG")</f>
        <v>#REF!</v>
      </c>
      <c r="B1872" s="22" t="e">
        <f>CONCATENATE("P",(LEFT('BASE OBZ'!#REF!,3)),'BASE OBZ'!#REF!)</f>
        <v>#REF!</v>
      </c>
      <c r="C1872" t="s">
        <v>1777</v>
      </c>
    </row>
    <row r="1873" spans="1:3" x14ac:dyDescent="0.25">
      <c r="A1873" s="22" t="e">
        <f>CONCATENATE('BASE OBZ'!#REF!,"PROG")</f>
        <v>#REF!</v>
      </c>
      <c r="B1873" s="22" t="e">
        <f>CONCATENATE("P",(LEFT('BASE OBZ'!#REF!,3)),'BASE OBZ'!#REF!)</f>
        <v>#REF!</v>
      </c>
      <c r="C1873" t="s">
        <v>1777</v>
      </c>
    </row>
    <row r="1874" spans="1:3" x14ac:dyDescent="0.25">
      <c r="A1874" s="22" t="e">
        <f>CONCATENATE('BASE OBZ'!#REF!,"PROG")</f>
        <v>#REF!</v>
      </c>
      <c r="B1874" s="22" t="e">
        <f>CONCATENATE("P",(LEFT('BASE OBZ'!#REF!,3)),'BASE OBZ'!#REF!)</f>
        <v>#REF!</v>
      </c>
      <c r="C1874" t="s">
        <v>1777</v>
      </c>
    </row>
    <row r="1875" spans="1:3" x14ac:dyDescent="0.25">
      <c r="A1875" s="22" t="e">
        <f>CONCATENATE('BASE OBZ'!#REF!,"PROG")</f>
        <v>#REF!</v>
      </c>
      <c r="B1875" s="22" t="e">
        <f>CONCATENATE("P",(LEFT('BASE OBZ'!#REF!,3)),'BASE OBZ'!#REF!)</f>
        <v>#REF!</v>
      </c>
      <c r="C1875" t="s">
        <v>1777</v>
      </c>
    </row>
    <row r="1876" spans="1:3" x14ac:dyDescent="0.25">
      <c r="A1876" s="22" t="e">
        <f>CONCATENATE('BASE OBZ'!#REF!,"PROG")</f>
        <v>#REF!</v>
      </c>
      <c r="B1876" s="22" t="e">
        <f>CONCATENATE("P",(LEFT('BASE OBZ'!#REF!,3)),'BASE OBZ'!#REF!)</f>
        <v>#REF!</v>
      </c>
      <c r="C1876" t="s">
        <v>1777</v>
      </c>
    </row>
    <row r="1877" spans="1:3" x14ac:dyDescent="0.25">
      <c r="A1877" s="22" t="e">
        <f>CONCATENATE('BASE OBZ'!#REF!,"PROG")</f>
        <v>#REF!</v>
      </c>
      <c r="B1877" s="22" t="e">
        <f>CONCATENATE("P",(LEFT('BASE OBZ'!#REF!,3)),'BASE OBZ'!#REF!)</f>
        <v>#REF!</v>
      </c>
      <c r="C1877" t="s">
        <v>1777</v>
      </c>
    </row>
    <row r="1878" spans="1:3" x14ac:dyDescent="0.25">
      <c r="A1878" s="22" t="e">
        <f>CONCATENATE('BASE OBZ'!#REF!,"PROG")</f>
        <v>#REF!</v>
      </c>
      <c r="B1878" s="22" t="e">
        <f>CONCATENATE("P",(LEFT('BASE OBZ'!#REF!,3)),'BASE OBZ'!#REF!)</f>
        <v>#REF!</v>
      </c>
      <c r="C1878" t="s">
        <v>1777</v>
      </c>
    </row>
    <row r="1879" spans="1:3" x14ac:dyDescent="0.25">
      <c r="A1879" s="22" t="e">
        <f>CONCATENATE('BASE OBZ'!#REF!,"PROG")</f>
        <v>#REF!</v>
      </c>
      <c r="B1879" s="22" t="e">
        <f>CONCATENATE("P",(LEFT('BASE OBZ'!#REF!,3)),'BASE OBZ'!#REF!)</f>
        <v>#REF!</v>
      </c>
      <c r="C1879" t="s">
        <v>1777</v>
      </c>
    </row>
    <row r="1880" spans="1:3" x14ac:dyDescent="0.25">
      <c r="A1880" s="22" t="e">
        <f>CONCATENATE('BASE OBZ'!#REF!,"PROG")</f>
        <v>#REF!</v>
      </c>
      <c r="B1880" s="22" t="e">
        <f>CONCATENATE("P",(LEFT('BASE OBZ'!#REF!,3)),'BASE OBZ'!#REF!)</f>
        <v>#REF!</v>
      </c>
      <c r="C1880" t="s">
        <v>1777</v>
      </c>
    </row>
    <row r="1881" spans="1:3" x14ac:dyDescent="0.25">
      <c r="A1881" s="22" t="e">
        <f>CONCATENATE('BASE OBZ'!#REF!,"PROG")</f>
        <v>#REF!</v>
      </c>
      <c r="B1881" s="22" t="e">
        <f>CONCATENATE("P",(LEFT('BASE OBZ'!#REF!,3)),'BASE OBZ'!#REF!)</f>
        <v>#REF!</v>
      </c>
      <c r="C1881" t="s">
        <v>1777</v>
      </c>
    </row>
    <row r="1882" spans="1:3" x14ac:dyDescent="0.25">
      <c r="A1882" s="22" t="e">
        <f>CONCATENATE('BASE OBZ'!#REF!,"PROG")</f>
        <v>#REF!</v>
      </c>
      <c r="B1882" s="22" t="e">
        <f>CONCATENATE("P",(LEFT('BASE OBZ'!#REF!,3)),'BASE OBZ'!#REF!)</f>
        <v>#REF!</v>
      </c>
      <c r="C1882" t="s">
        <v>1777</v>
      </c>
    </row>
    <row r="1883" spans="1:3" x14ac:dyDescent="0.25">
      <c r="A1883" s="22" t="e">
        <f>CONCATENATE('BASE OBZ'!#REF!,"PROG")</f>
        <v>#REF!</v>
      </c>
      <c r="B1883" s="22" t="e">
        <f>CONCATENATE("P",(LEFT('BASE OBZ'!#REF!,3)),'BASE OBZ'!#REF!)</f>
        <v>#REF!</v>
      </c>
      <c r="C1883" t="s">
        <v>1777</v>
      </c>
    </row>
    <row r="1884" spans="1:3" x14ac:dyDescent="0.25">
      <c r="A1884" s="22" t="e">
        <f>CONCATENATE('BASE OBZ'!#REF!,"PROG")</f>
        <v>#REF!</v>
      </c>
      <c r="B1884" s="22" t="e">
        <f>CONCATENATE("P",(LEFT('BASE OBZ'!#REF!,3)),'BASE OBZ'!#REF!)</f>
        <v>#REF!</v>
      </c>
      <c r="C1884" t="s">
        <v>1777</v>
      </c>
    </row>
    <row r="1885" spans="1:3" x14ac:dyDescent="0.25">
      <c r="A1885" s="22" t="e">
        <f>CONCATENATE('BASE OBZ'!#REF!,"PROG")</f>
        <v>#REF!</v>
      </c>
      <c r="B1885" s="22" t="e">
        <f>CONCATENATE("P",(LEFT('BASE OBZ'!#REF!,3)),'BASE OBZ'!#REF!)</f>
        <v>#REF!</v>
      </c>
      <c r="C1885" t="s">
        <v>1777</v>
      </c>
    </row>
    <row r="1886" spans="1:3" x14ac:dyDescent="0.25">
      <c r="A1886" s="22" t="e">
        <f>CONCATENATE('BASE OBZ'!#REF!,"PROG")</f>
        <v>#REF!</v>
      </c>
      <c r="B1886" s="22" t="e">
        <f>CONCATENATE("P",(LEFT('BASE OBZ'!#REF!,3)),'BASE OBZ'!#REF!)</f>
        <v>#REF!</v>
      </c>
      <c r="C1886" t="s">
        <v>1777</v>
      </c>
    </row>
    <row r="1887" spans="1:3" x14ac:dyDescent="0.25">
      <c r="A1887" s="22" t="e">
        <f>CONCATENATE('BASE OBZ'!#REF!,"PROG")</f>
        <v>#REF!</v>
      </c>
      <c r="B1887" s="22" t="e">
        <f>CONCATENATE("P",(LEFT('BASE OBZ'!#REF!,3)),'BASE OBZ'!#REF!)</f>
        <v>#REF!</v>
      </c>
      <c r="C1887" t="s">
        <v>1777</v>
      </c>
    </row>
    <row r="1888" spans="1:3" x14ac:dyDescent="0.25">
      <c r="A1888" s="22" t="e">
        <f>CONCATENATE('BASE OBZ'!#REF!,"PROG")</f>
        <v>#REF!</v>
      </c>
      <c r="B1888" s="22" t="e">
        <f>CONCATENATE("P",(LEFT('BASE OBZ'!#REF!,3)),'BASE OBZ'!#REF!)</f>
        <v>#REF!</v>
      </c>
      <c r="C1888" t="s">
        <v>1777</v>
      </c>
    </row>
    <row r="1889" spans="1:3" x14ac:dyDescent="0.25">
      <c r="A1889" s="22" t="e">
        <f>CONCATENATE('BASE OBZ'!#REF!,"PROG")</f>
        <v>#REF!</v>
      </c>
      <c r="B1889" s="22" t="e">
        <f>CONCATENATE("P",(LEFT('BASE OBZ'!#REF!,3)),'BASE OBZ'!#REF!)</f>
        <v>#REF!</v>
      </c>
      <c r="C1889" t="s">
        <v>1777</v>
      </c>
    </row>
    <row r="1890" spans="1:3" x14ac:dyDescent="0.25">
      <c r="A1890" s="22" t="e">
        <f>CONCATENATE('BASE OBZ'!#REF!,"PROG")</f>
        <v>#REF!</v>
      </c>
      <c r="B1890" s="22" t="e">
        <f>CONCATENATE("P",(LEFT('BASE OBZ'!#REF!,3)),'BASE OBZ'!#REF!)</f>
        <v>#REF!</v>
      </c>
      <c r="C1890" t="s">
        <v>1777</v>
      </c>
    </row>
    <row r="1891" spans="1:3" x14ac:dyDescent="0.25">
      <c r="A1891" s="22" t="e">
        <f>CONCATENATE('BASE OBZ'!#REF!,"PROG")</f>
        <v>#REF!</v>
      </c>
      <c r="B1891" s="22" t="e">
        <f>CONCATENATE("P",(LEFT('BASE OBZ'!#REF!,3)),'BASE OBZ'!#REF!)</f>
        <v>#REF!</v>
      </c>
      <c r="C1891" t="s">
        <v>1777</v>
      </c>
    </row>
    <row r="1892" spans="1:3" x14ac:dyDescent="0.25">
      <c r="A1892" s="22" t="e">
        <f>CONCATENATE('BASE OBZ'!#REF!,"PROG")</f>
        <v>#REF!</v>
      </c>
      <c r="B1892" s="22" t="e">
        <f>CONCATENATE("P",(LEFT('BASE OBZ'!#REF!,3)),'BASE OBZ'!#REF!)</f>
        <v>#REF!</v>
      </c>
      <c r="C1892" t="s">
        <v>1777</v>
      </c>
    </row>
    <row r="1893" spans="1:3" x14ac:dyDescent="0.25">
      <c r="A1893" s="22" t="e">
        <f>CONCATENATE('BASE OBZ'!#REF!,"PROG")</f>
        <v>#REF!</v>
      </c>
      <c r="B1893" s="22" t="e">
        <f>CONCATENATE("P",(LEFT('BASE OBZ'!#REF!,3)),'BASE OBZ'!#REF!)</f>
        <v>#REF!</v>
      </c>
      <c r="C1893" t="s">
        <v>1777</v>
      </c>
    </row>
    <row r="1894" spans="1:3" x14ac:dyDescent="0.25">
      <c r="A1894" s="22" t="e">
        <f>CONCATENATE('BASE OBZ'!#REF!,"PROG")</f>
        <v>#REF!</v>
      </c>
      <c r="B1894" s="22" t="e">
        <f>CONCATENATE("P",(LEFT('BASE OBZ'!#REF!,3)),'BASE OBZ'!#REF!)</f>
        <v>#REF!</v>
      </c>
      <c r="C1894" t="s">
        <v>1777</v>
      </c>
    </row>
    <row r="1895" spans="1:3" x14ac:dyDescent="0.25">
      <c r="A1895" s="22" t="e">
        <f>CONCATENATE('BASE OBZ'!#REF!,"PROG")</f>
        <v>#REF!</v>
      </c>
      <c r="B1895" s="22" t="e">
        <f>CONCATENATE("P",(LEFT('BASE OBZ'!#REF!,3)),'BASE OBZ'!#REF!)</f>
        <v>#REF!</v>
      </c>
      <c r="C1895" t="s">
        <v>1777</v>
      </c>
    </row>
    <row r="1896" spans="1:3" x14ac:dyDescent="0.25">
      <c r="A1896" s="22" t="e">
        <f>CONCATENATE('BASE OBZ'!#REF!,"PROG")</f>
        <v>#REF!</v>
      </c>
      <c r="B1896" s="22" t="e">
        <f>CONCATENATE("P",(LEFT('BASE OBZ'!#REF!,3)),'BASE OBZ'!#REF!)</f>
        <v>#REF!</v>
      </c>
      <c r="C1896" t="s">
        <v>1777</v>
      </c>
    </row>
    <row r="1897" spans="1:3" x14ac:dyDescent="0.25">
      <c r="A1897" s="22" t="e">
        <f>CONCATENATE('BASE OBZ'!#REF!,"PROG")</f>
        <v>#REF!</v>
      </c>
      <c r="B1897" s="22" t="e">
        <f>CONCATENATE("P",(LEFT('BASE OBZ'!#REF!,3)),'BASE OBZ'!#REF!)</f>
        <v>#REF!</v>
      </c>
      <c r="C1897" t="s">
        <v>1777</v>
      </c>
    </row>
    <row r="1898" spans="1:3" x14ac:dyDescent="0.25">
      <c r="A1898" s="22" t="e">
        <f>CONCATENATE('BASE OBZ'!#REF!,"PROG")</f>
        <v>#REF!</v>
      </c>
      <c r="B1898" s="22" t="e">
        <f>CONCATENATE("P",(LEFT('BASE OBZ'!#REF!,3)),'BASE OBZ'!#REF!)</f>
        <v>#REF!</v>
      </c>
      <c r="C1898" t="s">
        <v>1777</v>
      </c>
    </row>
    <row r="1899" spans="1:3" x14ac:dyDescent="0.25">
      <c r="A1899" s="22" t="e">
        <f>CONCATENATE('BASE OBZ'!#REF!,"PROG")</f>
        <v>#REF!</v>
      </c>
      <c r="B1899" s="22" t="e">
        <f>CONCATENATE("P",(LEFT('BASE OBZ'!#REF!,3)),'BASE OBZ'!#REF!)</f>
        <v>#REF!</v>
      </c>
      <c r="C1899" t="s">
        <v>1777</v>
      </c>
    </row>
    <row r="1900" spans="1:3" x14ac:dyDescent="0.25">
      <c r="A1900" s="22" t="e">
        <f>CONCATENATE('BASE OBZ'!#REF!,"PROG")</f>
        <v>#REF!</v>
      </c>
      <c r="B1900" s="22" t="e">
        <f>CONCATENATE("P",(LEFT('BASE OBZ'!#REF!,3)),'BASE OBZ'!#REF!)</f>
        <v>#REF!</v>
      </c>
      <c r="C1900" t="s">
        <v>1777</v>
      </c>
    </row>
    <row r="1901" spans="1:3" x14ac:dyDescent="0.25">
      <c r="A1901" s="22" t="e">
        <f>CONCATENATE('BASE OBZ'!#REF!,"PROG")</f>
        <v>#REF!</v>
      </c>
      <c r="B1901" s="22" t="e">
        <f>CONCATENATE("P",(LEFT('BASE OBZ'!#REF!,3)),'BASE OBZ'!#REF!)</f>
        <v>#REF!</v>
      </c>
      <c r="C1901" t="s">
        <v>1777</v>
      </c>
    </row>
    <row r="1902" spans="1:3" x14ac:dyDescent="0.25">
      <c r="A1902" s="22" t="e">
        <f>CONCATENATE('BASE OBZ'!#REF!,"PROG")</f>
        <v>#REF!</v>
      </c>
      <c r="B1902" s="22" t="e">
        <f>CONCATENATE("P",(LEFT('BASE OBZ'!#REF!,3)),'BASE OBZ'!#REF!)</f>
        <v>#REF!</v>
      </c>
      <c r="C1902" t="s">
        <v>1777</v>
      </c>
    </row>
    <row r="1903" spans="1:3" x14ac:dyDescent="0.25">
      <c r="A1903" s="22" t="e">
        <f>CONCATENATE('BASE OBZ'!#REF!,"PROG")</f>
        <v>#REF!</v>
      </c>
      <c r="B1903" s="22" t="e">
        <f>CONCATENATE("P",(LEFT('BASE OBZ'!#REF!,3)),'BASE OBZ'!#REF!)</f>
        <v>#REF!</v>
      </c>
      <c r="C1903" t="s">
        <v>1777</v>
      </c>
    </row>
    <row r="1904" spans="1:3" x14ac:dyDescent="0.25">
      <c r="A1904" s="22" t="e">
        <f>CONCATENATE('BASE OBZ'!#REF!,"PROG")</f>
        <v>#REF!</v>
      </c>
      <c r="B1904" s="22" t="e">
        <f>CONCATENATE("P",(LEFT('BASE OBZ'!#REF!,3)),'BASE OBZ'!#REF!)</f>
        <v>#REF!</v>
      </c>
      <c r="C1904" t="s">
        <v>1777</v>
      </c>
    </row>
    <row r="1905" spans="1:3" x14ac:dyDescent="0.25">
      <c r="A1905" s="22" t="e">
        <f>CONCATENATE('BASE OBZ'!#REF!,"PROG")</f>
        <v>#REF!</v>
      </c>
      <c r="B1905" s="22" t="e">
        <f>CONCATENATE("P",(LEFT('BASE OBZ'!#REF!,3)),'BASE OBZ'!#REF!)</f>
        <v>#REF!</v>
      </c>
      <c r="C1905" t="s">
        <v>1777</v>
      </c>
    </row>
    <row r="1906" spans="1:3" x14ac:dyDescent="0.25">
      <c r="A1906" s="22" t="e">
        <f>CONCATENATE('BASE OBZ'!#REF!,"PROG")</f>
        <v>#REF!</v>
      </c>
      <c r="B1906" s="22" t="e">
        <f>CONCATENATE("P",(LEFT('BASE OBZ'!#REF!,3)),'BASE OBZ'!#REF!)</f>
        <v>#REF!</v>
      </c>
      <c r="C1906" t="s">
        <v>1777</v>
      </c>
    </row>
    <row r="1907" spans="1:3" x14ac:dyDescent="0.25">
      <c r="A1907" s="22" t="e">
        <f>CONCATENATE('BASE OBZ'!#REF!,"PROG")</f>
        <v>#REF!</v>
      </c>
      <c r="B1907" s="22" t="e">
        <f>CONCATENATE("P",(LEFT('BASE OBZ'!#REF!,3)),'BASE OBZ'!#REF!)</f>
        <v>#REF!</v>
      </c>
      <c r="C1907" t="s">
        <v>1777</v>
      </c>
    </row>
    <row r="1908" spans="1:3" x14ac:dyDescent="0.25">
      <c r="A1908" s="22" t="e">
        <f>CONCATENATE('BASE OBZ'!#REF!,"PROG")</f>
        <v>#REF!</v>
      </c>
      <c r="B1908" s="22" t="e">
        <f>CONCATENATE("P",(LEFT('BASE OBZ'!#REF!,3)),'BASE OBZ'!#REF!)</f>
        <v>#REF!</v>
      </c>
      <c r="C1908" t="s">
        <v>1777</v>
      </c>
    </row>
    <row r="1909" spans="1:3" x14ac:dyDescent="0.25">
      <c r="A1909" s="22" t="e">
        <f>CONCATENATE('BASE OBZ'!#REF!,"PROG")</f>
        <v>#REF!</v>
      </c>
      <c r="B1909" s="22" t="e">
        <f>CONCATENATE("P",(LEFT('BASE OBZ'!#REF!,3)),'BASE OBZ'!#REF!)</f>
        <v>#REF!</v>
      </c>
      <c r="C1909" t="s">
        <v>1777</v>
      </c>
    </row>
    <row r="1910" spans="1:3" x14ac:dyDescent="0.25">
      <c r="A1910" s="22" t="e">
        <f>CONCATENATE('BASE OBZ'!#REF!,"PROG")</f>
        <v>#REF!</v>
      </c>
      <c r="B1910" s="22" t="e">
        <f>CONCATENATE("P",(LEFT('BASE OBZ'!#REF!,3)),'BASE OBZ'!#REF!)</f>
        <v>#REF!</v>
      </c>
      <c r="C1910" t="s">
        <v>1777</v>
      </c>
    </row>
    <row r="1911" spans="1:3" x14ac:dyDescent="0.25">
      <c r="A1911" s="22" t="e">
        <f>CONCATENATE('BASE OBZ'!#REF!,"PROG")</f>
        <v>#REF!</v>
      </c>
      <c r="B1911" s="22" t="e">
        <f>CONCATENATE("P",(LEFT('BASE OBZ'!#REF!,3)),'BASE OBZ'!#REF!)</f>
        <v>#REF!</v>
      </c>
      <c r="C1911" t="s">
        <v>1777</v>
      </c>
    </row>
    <row r="1912" spans="1:3" x14ac:dyDescent="0.25">
      <c r="A1912" s="22" t="e">
        <f>CONCATENATE('BASE OBZ'!#REF!,"PROG")</f>
        <v>#REF!</v>
      </c>
      <c r="B1912" s="22" t="e">
        <f>CONCATENATE("P",(LEFT('BASE OBZ'!#REF!,3)),'BASE OBZ'!#REF!)</f>
        <v>#REF!</v>
      </c>
      <c r="C1912" t="s">
        <v>1777</v>
      </c>
    </row>
    <row r="1913" spans="1:3" x14ac:dyDescent="0.25">
      <c r="A1913" s="22" t="e">
        <f>CONCATENATE('BASE OBZ'!#REF!,"PROG")</f>
        <v>#REF!</v>
      </c>
      <c r="B1913" s="22" t="e">
        <f>CONCATENATE("P",(LEFT('BASE OBZ'!#REF!,3)),'BASE OBZ'!#REF!)</f>
        <v>#REF!</v>
      </c>
      <c r="C1913" t="s">
        <v>1777</v>
      </c>
    </row>
    <row r="1914" spans="1:3" x14ac:dyDescent="0.25">
      <c r="A1914" s="22" t="e">
        <f>CONCATENATE('BASE OBZ'!#REF!,"PROG")</f>
        <v>#REF!</v>
      </c>
      <c r="B1914" s="22" t="e">
        <f>CONCATENATE("P",(LEFT('BASE OBZ'!#REF!,3)),'BASE OBZ'!#REF!)</f>
        <v>#REF!</v>
      </c>
      <c r="C1914" t="s">
        <v>1777</v>
      </c>
    </row>
    <row r="1915" spans="1:3" x14ac:dyDescent="0.25">
      <c r="A1915" s="22" t="e">
        <f>CONCATENATE('BASE OBZ'!#REF!,"PROG")</f>
        <v>#REF!</v>
      </c>
      <c r="B1915" s="22" t="e">
        <f>CONCATENATE("P",(LEFT('BASE OBZ'!#REF!,3)),'BASE OBZ'!#REF!)</f>
        <v>#REF!</v>
      </c>
      <c r="C1915" t="s">
        <v>1777</v>
      </c>
    </row>
    <row r="1916" spans="1:3" x14ac:dyDescent="0.25">
      <c r="A1916" s="22" t="e">
        <f>CONCATENATE('BASE OBZ'!#REF!,"PROG")</f>
        <v>#REF!</v>
      </c>
      <c r="B1916" s="22" t="e">
        <f>CONCATENATE("P",(LEFT('BASE OBZ'!#REF!,3)),'BASE OBZ'!#REF!)</f>
        <v>#REF!</v>
      </c>
      <c r="C1916" t="s">
        <v>1777</v>
      </c>
    </row>
    <row r="1917" spans="1:3" x14ac:dyDescent="0.25">
      <c r="A1917" s="22" t="e">
        <f>CONCATENATE('BASE OBZ'!#REF!,"PROG")</f>
        <v>#REF!</v>
      </c>
      <c r="B1917" s="22" t="e">
        <f>CONCATENATE("P",(LEFT('BASE OBZ'!#REF!,3)),'BASE OBZ'!#REF!)</f>
        <v>#REF!</v>
      </c>
      <c r="C1917" t="s">
        <v>1777</v>
      </c>
    </row>
    <row r="1918" spans="1:3" x14ac:dyDescent="0.25">
      <c r="A1918" s="22" t="e">
        <f>CONCATENATE('BASE OBZ'!#REF!,"PROG")</f>
        <v>#REF!</v>
      </c>
      <c r="B1918" s="22" t="e">
        <f>CONCATENATE("P",(LEFT('BASE OBZ'!#REF!,3)),'BASE OBZ'!#REF!)</f>
        <v>#REF!</v>
      </c>
      <c r="C1918" t="s">
        <v>1777</v>
      </c>
    </row>
    <row r="1919" spans="1:3" x14ac:dyDescent="0.25">
      <c r="A1919" s="22" t="e">
        <f>CONCATENATE('BASE OBZ'!#REF!,"PROG")</f>
        <v>#REF!</v>
      </c>
      <c r="B1919" s="22" t="e">
        <f>CONCATENATE("P",(LEFT('BASE OBZ'!#REF!,3)),'BASE OBZ'!#REF!)</f>
        <v>#REF!</v>
      </c>
      <c r="C1919" t="s">
        <v>1777</v>
      </c>
    </row>
    <row r="1920" spans="1:3" x14ac:dyDescent="0.25">
      <c r="A1920" s="22" t="e">
        <f>CONCATENATE('BASE OBZ'!#REF!,"PROG")</f>
        <v>#REF!</v>
      </c>
      <c r="B1920" s="22" t="e">
        <f>CONCATENATE("P",(LEFT('BASE OBZ'!#REF!,3)),'BASE OBZ'!#REF!)</f>
        <v>#REF!</v>
      </c>
      <c r="C1920" t="s">
        <v>1777</v>
      </c>
    </row>
    <row r="1921" spans="1:3" x14ac:dyDescent="0.25">
      <c r="A1921" s="22" t="e">
        <f>CONCATENATE('BASE OBZ'!#REF!,"PROG")</f>
        <v>#REF!</v>
      </c>
      <c r="B1921" s="22" t="e">
        <f>CONCATENATE("P",(LEFT('BASE OBZ'!#REF!,3)),'BASE OBZ'!#REF!)</f>
        <v>#REF!</v>
      </c>
      <c r="C1921" t="s">
        <v>1777</v>
      </c>
    </row>
    <row r="1922" spans="1:3" x14ac:dyDescent="0.25">
      <c r="A1922" s="22" t="e">
        <f>CONCATENATE('BASE OBZ'!#REF!,"PROG")</f>
        <v>#REF!</v>
      </c>
      <c r="B1922" s="22" t="e">
        <f>CONCATENATE("P",(LEFT('BASE OBZ'!#REF!,3)),'BASE OBZ'!#REF!)</f>
        <v>#REF!</v>
      </c>
      <c r="C1922" t="s">
        <v>1777</v>
      </c>
    </row>
    <row r="1923" spans="1:3" x14ac:dyDescent="0.25">
      <c r="A1923" s="22" t="e">
        <f>CONCATENATE('BASE OBZ'!#REF!,"PROG")</f>
        <v>#REF!</v>
      </c>
      <c r="B1923" s="22" t="e">
        <f>CONCATENATE("P",(LEFT('BASE OBZ'!#REF!,3)),'BASE OBZ'!#REF!)</f>
        <v>#REF!</v>
      </c>
      <c r="C1923" t="s">
        <v>1777</v>
      </c>
    </row>
    <row r="1924" spans="1:3" x14ac:dyDescent="0.25">
      <c r="A1924" s="22" t="e">
        <f>CONCATENATE('BASE OBZ'!#REF!,"PROG")</f>
        <v>#REF!</v>
      </c>
      <c r="B1924" s="22" t="e">
        <f>CONCATENATE("P",(LEFT('BASE OBZ'!#REF!,3)),'BASE OBZ'!#REF!)</f>
        <v>#REF!</v>
      </c>
      <c r="C1924" t="s">
        <v>1777</v>
      </c>
    </row>
    <row r="1925" spans="1:3" x14ac:dyDescent="0.25">
      <c r="A1925" s="22" t="e">
        <f>CONCATENATE('BASE OBZ'!#REF!,"PROG")</f>
        <v>#REF!</v>
      </c>
      <c r="B1925" s="22" t="e">
        <f>CONCATENATE("P",(LEFT('BASE OBZ'!#REF!,3)),'BASE OBZ'!#REF!)</f>
        <v>#REF!</v>
      </c>
      <c r="C1925" t="s">
        <v>1777</v>
      </c>
    </row>
    <row r="1926" spans="1:3" x14ac:dyDescent="0.25">
      <c r="A1926" s="22" t="e">
        <f>CONCATENATE('BASE OBZ'!#REF!,"PROG")</f>
        <v>#REF!</v>
      </c>
      <c r="B1926" s="22" t="e">
        <f>CONCATENATE("P",(LEFT('BASE OBZ'!#REF!,3)),'BASE OBZ'!#REF!)</f>
        <v>#REF!</v>
      </c>
      <c r="C1926" t="s">
        <v>1777</v>
      </c>
    </row>
    <row r="1927" spans="1:3" x14ac:dyDescent="0.25">
      <c r="A1927" s="22" t="e">
        <f>CONCATENATE('BASE OBZ'!#REF!,"PROG")</f>
        <v>#REF!</v>
      </c>
      <c r="B1927" s="22" t="e">
        <f>CONCATENATE("P",(LEFT('BASE OBZ'!#REF!,3)),'BASE OBZ'!#REF!)</f>
        <v>#REF!</v>
      </c>
      <c r="C1927" t="s">
        <v>1777</v>
      </c>
    </row>
    <row r="1928" spans="1:3" x14ac:dyDescent="0.25">
      <c r="A1928" s="22" t="e">
        <f>CONCATENATE('BASE OBZ'!#REF!,"PROG")</f>
        <v>#REF!</v>
      </c>
      <c r="B1928" s="22" t="e">
        <f>CONCATENATE("P",(LEFT('BASE OBZ'!#REF!,3)),'BASE OBZ'!#REF!)</f>
        <v>#REF!</v>
      </c>
      <c r="C1928" t="s">
        <v>1777</v>
      </c>
    </row>
    <row r="1929" spans="1:3" x14ac:dyDescent="0.25">
      <c r="A1929" s="22" t="e">
        <f>CONCATENATE('BASE OBZ'!#REF!,"PROG")</f>
        <v>#REF!</v>
      </c>
      <c r="B1929" s="22" t="e">
        <f>CONCATENATE("P",(LEFT('BASE OBZ'!#REF!,3)),'BASE OBZ'!#REF!)</f>
        <v>#REF!</v>
      </c>
      <c r="C1929" t="s">
        <v>1777</v>
      </c>
    </row>
    <row r="1930" spans="1:3" x14ac:dyDescent="0.25">
      <c r="A1930" s="22" t="e">
        <f>CONCATENATE('BASE OBZ'!#REF!,"PROG")</f>
        <v>#REF!</v>
      </c>
      <c r="B1930" s="22" t="e">
        <f>CONCATENATE("P",(LEFT('BASE OBZ'!#REF!,3)),'BASE OBZ'!#REF!)</f>
        <v>#REF!</v>
      </c>
      <c r="C1930" t="s">
        <v>1777</v>
      </c>
    </row>
    <row r="1931" spans="1:3" x14ac:dyDescent="0.25">
      <c r="A1931" s="22" t="e">
        <f>CONCATENATE('BASE OBZ'!#REF!,"PROG")</f>
        <v>#REF!</v>
      </c>
      <c r="B1931" s="22" t="e">
        <f>CONCATENATE("P",(LEFT('BASE OBZ'!#REF!,3)),'BASE OBZ'!#REF!)</f>
        <v>#REF!</v>
      </c>
      <c r="C1931" t="s">
        <v>1777</v>
      </c>
    </row>
    <row r="1932" spans="1:3" x14ac:dyDescent="0.25">
      <c r="A1932" s="22" t="e">
        <f>CONCATENATE('BASE OBZ'!#REF!,"PROG")</f>
        <v>#REF!</v>
      </c>
      <c r="B1932" s="22" t="e">
        <f>CONCATENATE("P",(LEFT('BASE OBZ'!#REF!,3)),'BASE OBZ'!#REF!)</f>
        <v>#REF!</v>
      </c>
      <c r="C1932" t="s">
        <v>1777</v>
      </c>
    </row>
    <row r="1933" spans="1:3" x14ac:dyDescent="0.25">
      <c r="A1933" s="22" t="e">
        <f>CONCATENATE('BASE OBZ'!#REF!,"PROG")</f>
        <v>#REF!</v>
      </c>
      <c r="B1933" s="22" t="e">
        <f>CONCATENATE("P",(LEFT('BASE OBZ'!#REF!,3)),'BASE OBZ'!#REF!)</f>
        <v>#REF!</v>
      </c>
      <c r="C1933" t="s">
        <v>1777</v>
      </c>
    </row>
    <row r="1934" spans="1:3" x14ac:dyDescent="0.25">
      <c r="A1934" s="22" t="e">
        <f>CONCATENATE('BASE OBZ'!#REF!,"PROG")</f>
        <v>#REF!</v>
      </c>
      <c r="B1934" s="22" t="e">
        <f>CONCATENATE("P",(LEFT('BASE OBZ'!#REF!,3)),'BASE OBZ'!#REF!)</f>
        <v>#REF!</v>
      </c>
      <c r="C1934" t="s">
        <v>1777</v>
      </c>
    </row>
    <row r="1935" spans="1:3" x14ac:dyDescent="0.25">
      <c r="A1935" s="22" t="e">
        <f>CONCATENATE('BASE OBZ'!#REF!,"PROG")</f>
        <v>#REF!</v>
      </c>
      <c r="B1935" s="22" t="e">
        <f>CONCATENATE("P",(LEFT('BASE OBZ'!#REF!,3)),'BASE OBZ'!#REF!)</f>
        <v>#REF!</v>
      </c>
      <c r="C1935" t="s">
        <v>1777</v>
      </c>
    </row>
    <row r="1936" spans="1:3" x14ac:dyDescent="0.25">
      <c r="A1936" s="22" t="e">
        <f>CONCATENATE('BASE OBZ'!#REF!,"PROG")</f>
        <v>#REF!</v>
      </c>
      <c r="B1936" s="22" t="e">
        <f>CONCATENATE("P",(LEFT('BASE OBZ'!#REF!,3)),'BASE OBZ'!#REF!)</f>
        <v>#REF!</v>
      </c>
      <c r="C1936" t="s">
        <v>1777</v>
      </c>
    </row>
    <row r="1937" spans="1:3" x14ac:dyDescent="0.25">
      <c r="A1937" s="22" t="e">
        <f>CONCATENATE('BASE OBZ'!#REF!,"PROG")</f>
        <v>#REF!</v>
      </c>
      <c r="B1937" s="22" t="e">
        <f>CONCATENATE("P",(LEFT('BASE OBZ'!#REF!,3)),'BASE OBZ'!#REF!)</f>
        <v>#REF!</v>
      </c>
      <c r="C1937" t="s">
        <v>1777</v>
      </c>
    </row>
    <row r="1938" spans="1:3" x14ac:dyDescent="0.25">
      <c r="A1938" s="22" t="e">
        <f>CONCATENATE('BASE OBZ'!#REF!,"PROG")</f>
        <v>#REF!</v>
      </c>
      <c r="B1938" s="22" t="e">
        <f>CONCATENATE("P",(LEFT('BASE OBZ'!#REF!,3)),'BASE OBZ'!#REF!)</f>
        <v>#REF!</v>
      </c>
      <c r="C1938" t="s">
        <v>1777</v>
      </c>
    </row>
    <row r="1939" spans="1:3" x14ac:dyDescent="0.25">
      <c r="A1939" s="22" t="e">
        <f>CONCATENATE('BASE OBZ'!#REF!,"PROG")</f>
        <v>#REF!</v>
      </c>
      <c r="B1939" s="22" t="e">
        <f>CONCATENATE("P",(LEFT('BASE OBZ'!#REF!,3)),'BASE OBZ'!#REF!)</f>
        <v>#REF!</v>
      </c>
      <c r="C1939" t="s">
        <v>1777</v>
      </c>
    </row>
    <row r="1940" spans="1:3" x14ac:dyDescent="0.25">
      <c r="A1940" s="22" t="e">
        <f>CONCATENATE('BASE OBZ'!#REF!,"PROG")</f>
        <v>#REF!</v>
      </c>
      <c r="B1940" s="22" t="e">
        <f>CONCATENATE("P",(LEFT('BASE OBZ'!#REF!,3)),'BASE OBZ'!#REF!)</f>
        <v>#REF!</v>
      </c>
      <c r="C1940" t="s">
        <v>1777</v>
      </c>
    </row>
    <row r="1941" spans="1:3" x14ac:dyDescent="0.25">
      <c r="A1941" s="22" t="e">
        <f>CONCATENATE('BASE OBZ'!#REF!,"PROG")</f>
        <v>#REF!</v>
      </c>
      <c r="B1941" s="22" t="e">
        <f>CONCATENATE("P",(LEFT('BASE OBZ'!#REF!,3)),'BASE OBZ'!#REF!)</f>
        <v>#REF!</v>
      </c>
      <c r="C1941" t="s">
        <v>1777</v>
      </c>
    </row>
    <row r="1942" spans="1:3" x14ac:dyDescent="0.25">
      <c r="A1942" s="22" t="e">
        <f>CONCATENATE('BASE OBZ'!#REF!,"PROG")</f>
        <v>#REF!</v>
      </c>
      <c r="B1942" s="22" t="e">
        <f>CONCATENATE("P",(LEFT('BASE OBZ'!#REF!,3)),'BASE OBZ'!#REF!)</f>
        <v>#REF!</v>
      </c>
      <c r="C1942" t="s">
        <v>1777</v>
      </c>
    </row>
    <row r="1943" spans="1:3" x14ac:dyDescent="0.25">
      <c r="A1943" s="22" t="e">
        <f>CONCATENATE('BASE OBZ'!#REF!,"PROG")</f>
        <v>#REF!</v>
      </c>
      <c r="B1943" s="22" t="e">
        <f>CONCATENATE("P",(LEFT('BASE OBZ'!#REF!,3)),'BASE OBZ'!#REF!)</f>
        <v>#REF!</v>
      </c>
      <c r="C1943" t="s">
        <v>1777</v>
      </c>
    </row>
    <row r="1944" spans="1:3" x14ac:dyDescent="0.25">
      <c r="A1944" s="22" t="e">
        <f>CONCATENATE('BASE OBZ'!#REF!,"PROG")</f>
        <v>#REF!</v>
      </c>
      <c r="B1944" s="22" t="e">
        <f>CONCATENATE("P",(LEFT('BASE OBZ'!#REF!,3)),'BASE OBZ'!#REF!)</f>
        <v>#REF!</v>
      </c>
      <c r="C1944" t="s">
        <v>1777</v>
      </c>
    </row>
    <row r="1945" spans="1:3" x14ac:dyDescent="0.25">
      <c r="A1945" s="22" t="e">
        <f>CONCATENATE('BASE OBZ'!#REF!,"PROG")</f>
        <v>#REF!</v>
      </c>
      <c r="B1945" s="22" t="e">
        <f>CONCATENATE("P",(LEFT('BASE OBZ'!#REF!,3)),'BASE OBZ'!#REF!)</f>
        <v>#REF!</v>
      </c>
      <c r="C1945" t="s">
        <v>1777</v>
      </c>
    </row>
    <row r="1946" spans="1:3" x14ac:dyDescent="0.25">
      <c r="A1946" s="22" t="e">
        <f>CONCATENATE('BASE OBZ'!#REF!,"PROG")</f>
        <v>#REF!</v>
      </c>
      <c r="B1946" s="22" t="e">
        <f>CONCATENATE("P",(LEFT('BASE OBZ'!#REF!,3)),'BASE OBZ'!#REF!)</f>
        <v>#REF!</v>
      </c>
      <c r="C1946" t="s">
        <v>1777</v>
      </c>
    </row>
    <row r="1947" spans="1:3" x14ac:dyDescent="0.25">
      <c r="A1947" s="22" t="e">
        <f>CONCATENATE('BASE OBZ'!#REF!,"PROG")</f>
        <v>#REF!</v>
      </c>
      <c r="B1947" s="22" t="e">
        <f>CONCATENATE("P",(LEFT('BASE OBZ'!#REF!,3)),'BASE OBZ'!#REF!)</f>
        <v>#REF!</v>
      </c>
      <c r="C1947" t="s">
        <v>1777</v>
      </c>
    </row>
    <row r="1948" spans="1:3" x14ac:dyDescent="0.25">
      <c r="A1948" s="22" t="e">
        <f>CONCATENATE('BASE OBZ'!#REF!,"PROG")</f>
        <v>#REF!</v>
      </c>
      <c r="B1948" s="22" t="e">
        <f>CONCATENATE("P",(LEFT('BASE OBZ'!#REF!,3)),'BASE OBZ'!#REF!)</f>
        <v>#REF!</v>
      </c>
      <c r="C1948" t="s">
        <v>1777</v>
      </c>
    </row>
    <row r="1949" spans="1:3" x14ac:dyDescent="0.25">
      <c r="A1949" s="22" t="e">
        <f>CONCATENATE('BASE OBZ'!#REF!,"PROG")</f>
        <v>#REF!</v>
      </c>
      <c r="B1949" s="22" t="e">
        <f>CONCATENATE("P",(LEFT('BASE OBZ'!#REF!,3)),'BASE OBZ'!#REF!)</f>
        <v>#REF!</v>
      </c>
      <c r="C1949" t="s">
        <v>1777</v>
      </c>
    </row>
    <row r="1950" spans="1:3" x14ac:dyDescent="0.25">
      <c r="A1950" s="22" t="e">
        <f>CONCATENATE('BASE OBZ'!#REF!,"PROG")</f>
        <v>#REF!</v>
      </c>
      <c r="B1950" s="22" t="e">
        <f>CONCATENATE("P",(LEFT('BASE OBZ'!#REF!,3)),'BASE OBZ'!#REF!)</f>
        <v>#REF!</v>
      </c>
      <c r="C1950" t="s">
        <v>1777</v>
      </c>
    </row>
    <row r="1951" spans="1:3" x14ac:dyDescent="0.25">
      <c r="A1951" s="22" t="e">
        <f>CONCATENATE('BASE OBZ'!#REF!,"PROG")</f>
        <v>#REF!</v>
      </c>
      <c r="B1951" s="22" t="e">
        <f>CONCATENATE("P",(LEFT('BASE OBZ'!#REF!,3)),'BASE OBZ'!#REF!)</f>
        <v>#REF!</v>
      </c>
      <c r="C1951" t="s">
        <v>1777</v>
      </c>
    </row>
    <row r="1952" spans="1:3" x14ac:dyDescent="0.25">
      <c r="A1952" s="22" t="e">
        <f>CONCATENATE('BASE OBZ'!#REF!,"PROG")</f>
        <v>#REF!</v>
      </c>
      <c r="B1952" s="22" t="e">
        <f>CONCATENATE("P",(LEFT('BASE OBZ'!#REF!,3)),'BASE OBZ'!#REF!)</f>
        <v>#REF!</v>
      </c>
      <c r="C1952" t="s">
        <v>1777</v>
      </c>
    </row>
    <row r="1953" spans="1:3" x14ac:dyDescent="0.25">
      <c r="A1953" s="22" t="e">
        <f>CONCATENATE('BASE OBZ'!#REF!,"PROG")</f>
        <v>#REF!</v>
      </c>
      <c r="B1953" s="22" t="e">
        <f>CONCATENATE("P",(LEFT('BASE OBZ'!#REF!,3)),'BASE OBZ'!#REF!)</f>
        <v>#REF!</v>
      </c>
      <c r="C1953" t="s">
        <v>1777</v>
      </c>
    </row>
    <row r="1954" spans="1:3" x14ac:dyDescent="0.25">
      <c r="A1954" s="22" t="e">
        <f>CONCATENATE('BASE OBZ'!#REF!,"PROG")</f>
        <v>#REF!</v>
      </c>
      <c r="B1954" s="22" t="e">
        <f>CONCATENATE("P",(LEFT('BASE OBZ'!#REF!,3)),'BASE OBZ'!#REF!)</f>
        <v>#REF!</v>
      </c>
      <c r="C1954" t="s">
        <v>1777</v>
      </c>
    </row>
    <row r="1955" spans="1:3" x14ac:dyDescent="0.25">
      <c r="A1955" s="22" t="e">
        <f>CONCATENATE('BASE OBZ'!#REF!,"PROG")</f>
        <v>#REF!</v>
      </c>
      <c r="B1955" s="22" t="e">
        <f>CONCATENATE("P",(LEFT('BASE OBZ'!#REF!,3)),'BASE OBZ'!#REF!)</f>
        <v>#REF!</v>
      </c>
      <c r="C1955" t="s">
        <v>1777</v>
      </c>
    </row>
    <row r="1956" spans="1:3" x14ac:dyDescent="0.25">
      <c r="A1956" s="22" t="e">
        <f>CONCATENATE('BASE OBZ'!#REF!,"PROG")</f>
        <v>#REF!</v>
      </c>
      <c r="B1956" s="22" t="e">
        <f>CONCATENATE("P",(LEFT('BASE OBZ'!#REF!,3)),'BASE OBZ'!#REF!)</f>
        <v>#REF!</v>
      </c>
      <c r="C1956" t="s">
        <v>1777</v>
      </c>
    </row>
    <row r="1957" spans="1:3" x14ac:dyDescent="0.25">
      <c r="A1957" s="22" t="e">
        <f>CONCATENATE('BASE OBZ'!#REF!,"PROG")</f>
        <v>#REF!</v>
      </c>
      <c r="B1957" s="22" t="e">
        <f>CONCATENATE("P",(LEFT('BASE OBZ'!#REF!,3)),'BASE OBZ'!#REF!)</f>
        <v>#REF!</v>
      </c>
      <c r="C1957" t="s">
        <v>1777</v>
      </c>
    </row>
    <row r="1958" spans="1:3" x14ac:dyDescent="0.25">
      <c r="A1958" s="22" t="e">
        <f>CONCATENATE('BASE OBZ'!#REF!,"PROG")</f>
        <v>#REF!</v>
      </c>
      <c r="B1958" s="22" t="e">
        <f>CONCATENATE("P",(LEFT('BASE OBZ'!#REF!,3)),'BASE OBZ'!#REF!)</f>
        <v>#REF!</v>
      </c>
      <c r="C1958" t="s">
        <v>1777</v>
      </c>
    </row>
    <row r="1959" spans="1:3" x14ac:dyDescent="0.25">
      <c r="A1959" s="22" t="e">
        <f>CONCATENATE('BASE OBZ'!#REF!,"PROG")</f>
        <v>#REF!</v>
      </c>
      <c r="B1959" s="22" t="e">
        <f>CONCATENATE("P",(LEFT('BASE OBZ'!#REF!,3)),'BASE OBZ'!#REF!)</f>
        <v>#REF!</v>
      </c>
      <c r="C1959" t="s">
        <v>1777</v>
      </c>
    </row>
    <row r="1960" spans="1:3" x14ac:dyDescent="0.25">
      <c r="A1960" s="22" t="e">
        <f>CONCATENATE('BASE OBZ'!#REF!,"PROG")</f>
        <v>#REF!</v>
      </c>
      <c r="B1960" s="22" t="e">
        <f>CONCATENATE("P",(LEFT('BASE OBZ'!#REF!,3)),'BASE OBZ'!#REF!)</f>
        <v>#REF!</v>
      </c>
      <c r="C1960" t="s">
        <v>1777</v>
      </c>
    </row>
    <row r="1961" spans="1:3" x14ac:dyDescent="0.25">
      <c r="A1961" s="22" t="e">
        <f>CONCATENATE('BASE OBZ'!#REF!,"PROG")</f>
        <v>#REF!</v>
      </c>
      <c r="B1961" s="22" t="e">
        <f>CONCATENATE("P",(LEFT('BASE OBZ'!#REF!,3)),'BASE OBZ'!#REF!)</f>
        <v>#REF!</v>
      </c>
      <c r="C1961" t="s">
        <v>1777</v>
      </c>
    </row>
    <row r="1962" spans="1:3" x14ac:dyDescent="0.25">
      <c r="A1962" s="22" t="e">
        <f>CONCATENATE('BASE OBZ'!#REF!,"PROG")</f>
        <v>#REF!</v>
      </c>
      <c r="B1962" s="22" t="e">
        <f>CONCATENATE("P",(LEFT('BASE OBZ'!#REF!,3)),'BASE OBZ'!#REF!)</f>
        <v>#REF!</v>
      </c>
      <c r="C1962" t="s">
        <v>1777</v>
      </c>
    </row>
    <row r="1963" spans="1:3" x14ac:dyDescent="0.25">
      <c r="A1963" s="22" t="e">
        <f>CONCATENATE('BASE OBZ'!#REF!,"PROG")</f>
        <v>#REF!</v>
      </c>
      <c r="B1963" s="22" t="e">
        <f>CONCATENATE("P",(LEFT('BASE OBZ'!#REF!,3)),'BASE OBZ'!#REF!)</f>
        <v>#REF!</v>
      </c>
      <c r="C1963" t="s">
        <v>1777</v>
      </c>
    </row>
    <row r="1964" spans="1:3" x14ac:dyDescent="0.25">
      <c r="A1964" s="22" t="e">
        <f>CONCATENATE('BASE OBZ'!#REF!,"PROG")</f>
        <v>#REF!</v>
      </c>
      <c r="B1964" s="22" t="e">
        <f>CONCATENATE("P",(LEFT('BASE OBZ'!#REF!,3)),'BASE OBZ'!#REF!)</f>
        <v>#REF!</v>
      </c>
      <c r="C1964" t="s">
        <v>1777</v>
      </c>
    </row>
    <row r="1965" spans="1:3" x14ac:dyDescent="0.25">
      <c r="A1965" s="22" t="e">
        <f>CONCATENATE('BASE OBZ'!#REF!,"PROG")</f>
        <v>#REF!</v>
      </c>
      <c r="B1965" s="22" t="e">
        <f>CONCATENATE("P",(LEFT('BASE OBZ'!#REF!,3)),'BASE OBZ'!#REF!)</f>
        <v>#REF!</v>
      </c>
      <c r="C1965" t="s">
        <v>1777</v>
      </c>
    </row>
    <row r="1966" spans="1:3" x14ac:dyDescent="0.25">
      <c r="A1966" s="22" t="e">
        <f>CONCATENATE('BASE OBZ'!#REF!,"PROG")</f>
        <v>#REF!</v>
      </c>
      <c r="B1966" s="22" t="e">
        <f>CONCATENATE("P",(LEFT('BASE OBZ'!#REF!,3)),'BASE OBZ'!#REF!)</f>
        <v>#REF!</v>
      </c>
      <c r="C1966" t="s">
        <v>1777</v>
      </c>
    </row>
    <row r="1967" spans="1:3" x14ac:dyDescent="0.25">
      <c r="A1967" s="22" t="e">
        <f>CONCATENATE('BASE OBZ'!#REF!,"PROG")</f>
        <v>#REF!</v>
      </c>
      <c r="B1967" s="22" t="e">
        <f>CONCATENATE("P",(LEFT('BASE OBZ'!#REF!,3)),'BASE OBZ'!#REF!)</f>
        <v>#REF!</v>
      </c>
      <c r="C1967" t="s">
        <v>1777</v>
      </c>
    </row>
    <row r="1968" spans="1:3" x14ac:dyDescent="0.25">
      <c r="A1968" s="22" t="e">
        <f>CONCATENATE('BASE OBZ'!#REF!,"PROG")</f>
        <v>#REF!</v>
      </c>
      <c r="B1968" s="22" t="e">
        <f>CONCATENATE("P",(LEFT('BASE OBZ'!#REF!,3)),'BASE OBZ'!#REF!)</f>
        <v>#REF!</v>
      </c>
      <c r="C1968" t="s">
        <v>1777</v>
      </c>
    </row>
    <row r="1969" spans="1:3" x14ac:dyDescent="0.25">
      <c r="A1969" s="22" t="e">
        <f>CONCATENATE('BASE OBZ'!#REF!,"PROG")</f>
        <v>#REF!</v>
      </c>
      <c r="B1969" s="22" t="e">
        <f>CONCATENATE("P",(LEFT('BASE OBZ'!#REF!,3)),'BASE OBZ'!#REF!)</f>
        <v>#REF!</v>
      </c>
      <c r="C1969" t="s">
        <v>1777</v>
      </c>
    </row>
    <row r="1970" spans="1:3" x14ac:dyDescent="0.25">
      <c r="A1970" s="22" t="e">
        <f>CONCATENATE('BASE OBZ'!#REF!,"PROG")</f>
        <v>#REF!</v>
      </c>
      <c r="B1970" s="22" t="e">
        <f>CONCATENATE("P",(LEFT('BASE OBZ'!#REF!,3)),'BASE OBZ'!#REF!)</f>
        <v>#REF!</v>
      </c>
      <c r="C1970" t="s">
        <v>1777</v>
      </c>
    </row>
    <row r="1971" spans="1:3" x14ac:dyDescent="0.25">
      <c r="A1971" s="22" t="e">
        <f>CONCATENATE('BASE OBZ'!#REF!,"PROG")</f>
        <v>#REF!</v>
      </c>
      <c r="B1971" s="22" t="e">
        <f>CONCATENATE("P",(LEFT('BASE OBZ'!#REF!,3)),'BASE OBZ'!#REF!)</f>
        <v>#REF!</v>
      </c>
      <c r="C1971" t="s">
        <v>1777</v>
      </c>
    </row>
    <row r="1972" spans="1:3" x14ac:dyDescent="0.25">
      <c r="A1972" s="22" t="e">
        <f>CONCATENATE('BASE OBZ'!#REF!,"PROG")</f>
        <v>#REF!</v>
      </c>
      <c r="B1972" s="22" t="e">
        <f>CONCATENATE("P",(LEFT('BASE OBZ'!#REF!,3)),'BASE OBZ'!#REF!)</f>
        <v>#REF!</v>
      </c>
      <c r="C1972" t="s">
        <v>1777</v>
      </c>
    </row>
    <row r="1973" spans="1:3" x14ac:dyDescent="0.25">
      <c r="A1973" s="22" t="e">
        <f>CONCATENATE('BASE OBZ'!#REF!,"PROG")</f>
        <v>#REF!</v>
      </c>
      <c r="B1973" s="22" t="e">
        <f>CONCATENATE("P",(LEFT('BASE OBZ'!#REF!,3)),'BASE OBZ'!#REF!)</f>
        <v>#REF!</v>
      </c>
      <c r="C1973" t="s">
        <v>1777</v>
      </c>
    </row>
    <row r="1974" spans="1:3" x14ac:dyDescent="0.25">
      <c r="A1974" s="22" t="e">
        <f>CONCATENATE('BASE OBZ'!#REF!,"PROG")</f>
        <v>#REF!</v>
      </c>
      <c r="B1974" s="22" t="e">
        <f>CONCATENATE("P",(LEFT('BASE OBZ'!#REF!,3)),'BASE OBZ'!#REF!)</f>
        <v>#REF!</v>
      </c>
      <c r="C1974" t="s">
        <v>1777</v>
      </c>
    </row>
    <row r="1975" spans="1:3" x14ac:dyDescent="0.25">
      <c r="A1975" s="22" t="e">
        <f>CONCATENATE('BASE OBZ'!#REF!,"PROG")</f>
        <v>#REF!</v>
      </c>
      <c r="B1975" s="22" t="e">
        <f>CONCATENATE("P",(LEFT('BASE OBZ'!#REF!,3)),'BASE OBZ'!#REF!)</f>
        <v>#REF!</v>
      </c>
      <c r="C1975" t="s">
        <v>1777</v>
      </c>
    </row>
    <row r="1976" spans="1:3" x14ac:dyDescent="0.25">
      <c r="A1976" s="22" t="e">
        <f>CONCATENATE('BASE OBZ'!#REF!,"PROG")</f>
        <v>#REF!</v>
      </c>
      <c r="B1976" s="22" t="e">
        <f>CONCATENATE("P",(LEFT('BASE OBZ'!#REF!,3)),'BASE OBZ'!#REF!)</f>
        <v>#REF!</v>
      </c>
      <c r="C1976" t="s">
        <v>1777</v>
      </c>
    </row>
    <row r="1977" spans="1:3" x14ac:dyDescent="0.25">
      <c r="A1977" s="22" t="e">
        <f>CONCATENATE('BASE OBZ'!#REF!,"PROG")</f>
        <v>#REF!</v>
      </c>
      <c r="B1977" s="22" t="e">
        <f>CONCATENATE("P",(LEFT('BASE OBZ'!#REF!,3)),'BASE OBZ'!#REF!)</f>
        <v>#REF!</v>
      </c>
      <c r="C1977" t="s">
        <v>1777</v>
      </c>
    </row>
    <row r="1978" spans="1:3" x14ac:dyDescent="0.25">
      <c r="A1978" s="22" t="e">
        <f>CONCATENATE('BASE OBZ'!#REF!,"PROG")</f>
        <v>#REF!</v>
      </c>
      <c r="B1978" s="22" t="e">
        <f>CONCATENATE("P",(LEFT('BASE OBZ'!#REF!,3)),'BASE OBZ'!#REF!)</f>
        <v>#REF!</v>
      </c>
      <c r="C1978" t="s">
        <v>1777</v>
      </c>
    </row>
    <row r="1979" spans="1:3" x14ac:dyDescent="0.25">
      <c r="A1979" s="22" t="e">
        <f>CONCATENATE('BASE OBZ'!#REF!,"PROG")</f>
        <v>#REF!</v>
      </c>
      <c r="B1979" s="22" t="e">
        <f>CONCATENATE("P",(LEFT('BASE OBZ'!#REF!,3)),'BASE OBZ'!#REF!)</f>
        <v>#REF!</v>
      </c>
      <c r="C1979" t="s">
        <v>1777</v>
      </c>
    </row>
    <row r="1980" spans="1:3" x14ac:dyDescent="0.25">
      <c r="A1980" s="22" t="e">
        <f>CONCATENATE('BASE OBZ'!#REF!,"PROG")</f>
        <v>#REF!</v>
      </c>
      <c r="B1980" s="22" t="e">
        <f>CONCATENATE("P",(LEFT('BASE OBZ'!#REF!,3)),'BASE OBZ'!#REF!)</f>
        <v>#REF!</v>
      </c>
      <c r="C1980" t="s">
        <v>1777</v>
      </c>
    </row>
    <row r="1981" spans="1:3" x14ac:dyDescent="0.25">
      <c r="A1981" s="22" t="e">
        <f>CONCATENATE('BASE OBZ'!#REF!,"PROG")</f>
        <v>#REF!</v>
      </c>
      <c r="B1981" s="22" t="e">
        <f>CONCATENATE("P",(LEFT('BASE OBZ'!#REF!,3)),'BASE OBZ'!#REF!)</f>
        <v>#REF!</v>
      </c>
      <c r="C1981" t="s">
        <v>1777</v>
      </c>
    </row>
    <row r="1982" spans="1:3" x14ac:dyDescent="0.25">
      <c r="A1982" s="22" t="e">
        <f>CONCATENATE('BASE OBZ'!#REF!,"PROG")</f>
        <v>#REF!</v>
      </c>
      <c r="B1982" s="22" t="e">
        <f>CONCATENATE("P",(LEFT('BASE OBZ'!#REF!,3)),'BASE OBZ'!#REF!)</f>
        <v>#REF!</v>
      </c>
      <c r="C1982" t="s">
        <v>1777</v>
      </c>
    </row>
    <row r="1983" spans="1:3" x14ac:dyDescent="0.25">
      <c r="A1983" s="22" t="e">
        <f>CONCATENATE('BASE OBZ'!#REF!,"PROG")</f>
        <v>#REF!</v>
      </c>
      <c r="B1983" s="22" t="e">
        <f>CONCATENATE("P",(LEFT('BASE OBZ'!#REF!,3)),'BASE OBZ'!#REF!)</f>
        <v>#REF!</v>
      </c>
      <c r="C1983" t="s">
        <v>1777</v>
      </c>
    </row>
    <row r="1984" spans="1:3" x14ac:dyDescent="0.25">
      <c r="A1984" s="22" t="e">
        <f>CONCATENATE('BASE OBZ'!#REF!,"PROG")</f>
        <v>#REF!</v>
      </c>
      <c r="B1984" s="22" t="e">
        <f>CONCATENATE("P",(LEFT('BASE OBZ'!#REF!,3)),'BASE OBZ'!#REF!)</f>
        <v>#REF!</v>
      </c>
      <c r="C1984" t="s">
        <v>1777</v>
      </c>
    </row>
    <row r="1985" spans="1:3" x14ac:dyDescent="0.25">
      <c r="A1985" s="22" t="e">
        <f>CONCATENATE('BASE OBZ'!#REF!,"PROG")</f>
        <v>#REF!</v>
      </c>
      <c r="B1985" s="22" t="e">
        <f>CONCATENATE("P",(LEFT('BASE OBZ'!#REF!,3)),'BASE OBZ'!#REF!)</f>
        <v>#REF!</v>
      </c>
      <c r="C1985" t="s">
        <v>1777</v>
      </c>
    </row>
    <row r="1986" spans="1:3" x14ac:dyDescent="0.25">
      <c r="A1986" s="22" t="e">
        <f>CONCATENATE('BASE OBZ'!#REF!,"PROG")</f>
        <v>#REF!</v>
      </c>
      <c r="B1986" s="22" t="e">
        <f>CONCATENATE("P",(LEFT('BASE OBZ'!#REF!,3)),'BASE OBZ'!#REF!)</f>
        <v>#REF!</v>
      </c>
      <c r="C1986" t="s">
        <v>1777</v>
      </c>
    </row>
    <row r="1987" spans="1:3" x14ac:dyDescent="0.25">
      <c r="A1987" s="22" t="e">
        <f>CONCATENATE('BASE OBZ'!#REF!,"PROG")</f>
        <v>#REF!</v>
      </c>
      <c r="B1987" s="22" t="e">
        <f>CONCATENATE("P",(LEFT('BASE OBZ'!#REF!,3)),'BASE OBZ'!#REF!)</f>
        <v>#REF!</v>
      </c>
      <c r="C1987" t="s">
        <v>1777</v>
      </c>
    </row>
    <row r="1988" spans="1:3" x14ac:dyDescent="0.25">
      <c r="A1988" s="22" t="e">
        <f>CONCATENATE('BASE OBZ'!#REF!,"PROG")</f>
        <v>#REF!</v>
      </c>
      <c r="B1988" s="22" t="e">
        <f>CONCATENATE("P",(LEFT('BASE OBZ'!#REF!,3)),'BASE OBZ'!#REF!)</f>
        <v>#REF!</v>
      </c>
      <c r="C1988" t="s">
        <v>1777</v>
      </c>
    </row>
    <row r="1989" spans="1:3" x14ac:dyDescent="0.25">
      <c r="A1989" s="22" t="e">
        <f>CONCATENATE('BASE OBZ'!#REF!,"PROG")</f>
        <v>#REF!</v>
      </c>
      <c r="B1989" s="22" t="e">
        <f>CONCATENATE("P",(LEFT('BASE OBZ'!#REF!,3)),'BASE OBZ'!#REF!)</f>
        <v>#REF!</v>
      </c>
      <c r="C1989" t="s">
        <v>1777</v>
      </c>
    </row>
    <row r="1990" spans="1:3" x14ac:dyDescent="0.25">
      <c r="A1990" s="22" t="e">
        <f>CONCATENATE('BASE OBZ'!#REF!,"PROG")</f>
        <v>#REF!</v>
      </c>
      <c r="B1990" s="22" t="e">
        <f>CONCATENATE("P",(LEFT('BASE OBZ'!#REF!,3)),'BASE OBZ'!#REF!)</f>
        <v>#REF!</v>
      </c>
      <c r="C1990" t="s">
        <v>1777</v>
      </c>
    </row>
    <row r="1991" spans="1:3" x14ac:dyDescent="0.25">
      <c r="A1991" s="22" t="e">
        <f>CONCATENATE('BASE OBZ'!#REF!,"PROG")</f>
        <v>#REF!</v>
      </c>
      <c r="B1991" s="22" t="e">
        <f>CONCATENATE("P",(LEFT('BASE OBZ'!#REF!,3)),'BASE OBZ'!#REF!)</f>
        <v>#REF!</v>
      </c>
      <c r="C1991" t="s">
        <v>1777</v>
      </c>
    </row>
    <row r="1992" spans="1:3" x14ac:dyDescent="0.25">
      <c r="A1992" s="22" t="e">
        <f>CONCATENATE('BASE OBZ'!#REF!,"PROG")</f>
        <v>#REF!</v>
      </c>
      <c r="B1992" s="22" t="e">
        <f>CONCATENATE("P",(LEFT('BASE OBZ'!#REF!,3)),'BASE OBZ'!#REF!)</f>
        <v>#REF!</v>
      </c>
      <c r="C1992" t="s">
        <v>1777</v>
      </c>
    </row>
    <row r="1993" spans="1:3" x14ac:dyDescent="0.25">
      <c r="A1993" s="22" t="e">
        <f>CONCATENATE('BASE OBZ'!#REF!,"PROG")</f>
        <v>#REF!</v>
      </c>
      <c r="B1993" s="22" t="e">
        <f>CONCATENATE("P",(LEFT('BASE OBZ'!#REF!,3)),'BASE OBZ'!#REF!)</f>
        <v>#REF!</v>
      </c>
      <c r="C1993" t="s">
        <v>1777</v>
      </c>
    </row>
    <row r="1994" spans="1:3" x14ac:dyDescent="0.25">
      <c r="A1994" s="22" t="e">
        <f>CONCATENATE('BASE OBZ'!#REF!,"PROG")</f>
        <v>#REF!</v>
      </c>
      <c r="B1994" s="22" t="e">
        <f>CONCATENATE("P",(LEFT('BASE OBZ'!#REF!,3)),'BASE OBZ'!#REF!)</f>
        <v>#REF!</v>
      </c>
      <c r="C1994" t="s">
        <v>1777</v>
      </c>
    </row>
    <row r="1995" spans="1:3" x14ac:dyDescent="0.25">
      <c r="A1995" s="22" t="e">
        <f>CONCATENATE('BASE OBZ'!#REF!,"PROG")</f>
        <v>#REF!</v>
      </c>
      <c r="B1995" s="22" t="e">
        <f>CONCATENATE("P",(LEFT('BASE OBZ'!#REF!,3)),'BASE OBZ'!#REF!)</f>
        <v>#REF!</v>
      </c>
      <c r="C1995" t="s">
        <v>1777</v>
      </c>
    </row>
    <row r="1996" spans="1:3" x14ac:dyDescent="0.25">
      <c r="A1996" s="22" t="e">
        <f>CONCATENATE('BASE OBZ'!#REF!,"PROG")</f>
        <v>#REF!</v>
      </c>
      <c r="B1996" s="22" t="e">
        <f>CONCATENATE("P",(LEFT('BASE OBZ'!#REF!,3)),'BASE OBZ'!#REF!)</f>
        <v>#REF!</v>
      </c>
      <c r="C1996" t="s">
        <v>1777</v>
      </c>
    </row>
    <row r="1997" spans="1:3" x14ac:dyDescent="0.25">
      <c r="A1997" s="22" t="e">
        <f>CONCATENATE('BASE OBZ'!#REF!,"PROG")</f>
        <v>#REF!</v>
      </c>
      <c r="B1997" s="22" t="e">
        <f>CONCATENATE("P",(LEFT('BASE OBZ'!#REF!,3)),'BASE OBZ'!#REF!)</f>
        <v>#REF!</v>
      </c>
      <c r="C1997" t="s">
        <v>1777</v>
      </c>
    </row>
    <row r="1998" spans="1:3" x14ac:dyDescent="0.25">
      <c r="A1998" s="22" t="e">
        <f>CONCATENATE('BASE OBZ'!#REF!,"PROG")</f>
        <v>#REF!</v>
      </c>
      <c r="B1998" s="22" t="e">
        <f>CONCATENATE("P",(LEFT('BASE OBZ'!#REF!,3)),'BASE OBZ'!#REF!)</f>
        <v>#REF!</v>
      </c>
      <c r="C1998" t="s">
        <v>1777</v>
      </c>
    </row>
  </sheetData>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DJ101"/>
  <sheetViews>
    <sheetView topLeftCell="Z1" workbookViewId="0">
      <selection activeCell="D6709" sqref="D6709"/>
    </sheetView>
  </sheetViews>
  <sheetFormatPr defaultColWidth="7" defaultRowHeight="15" x14ac:dyDescent="0.25"/>
  <cols>
    <col min="1" max="1" width="106.5703125" bestFit="1" customWidth="1"/>
    <col min="2" max="2" width="83.28515625" bestFit="1" customWidth="1"/>
    <col min="3" max="3" width="91.28515625" bestFit="1" customWidth="1"/>
    <col min="4" max="4" width="85.28515625" bestFit="1" customWidth="1"/>
    <col min="5" max="5" width="128.42578125" bestFit="1" customWidth="1"/>
    <col min="6" max="6" width="72.85546875" bestFit="1" customWidth="1"/>
    <col min="7" max="7" width="137" bestFit="1" customWidth="1"/>
    <col min="8" max="8" width="70.28515625" bestFit="1" customWidth="1"/>
    <col min="9" max="9" width="63.85546875" bestFit="1" customWidth="1"/>
    <col min="10" max="10" width="84.85546875" bestFit="1" customWidth="1"/>
    <col min="11" max="11" width="61" bestFit="1" customWidth="1"/>
    <col min="12" max="12" width="57.28515625" bestFit="1" customWidth="1"/>
    <col min="13" max="13" width="75.7109375" bestFit="1" customWidth="1"/>
    <col min="14" max="14" width="77.140625" bestFit="1" customWidth="1"/>
    <col min="15" max="15" width="118.7109375" bestFit="1" customWidth="1"/>
    <col min="16" max="16" width="65.7109375" bestFit="1" customWidth="1"/>
    <col min="17" max="17" width="103.28515625" bestFit="1" customWidth="1"/>
    <col min="18" max="18" width="86" bestFit="1" customWidth="1"/>
    <col min="19" max="19" width="149.28515625" bestFit="1" customWidth="1"/>
    <col min="20" max="20" width="107.140625" bestFit="1" customWidth="1"/>
    <col min="21" max="21" width="80.5703125" bestFit="1" customWidth="1"/>
    <col min="22" max="22" width="116.140625" bestFit="1" customWidth="1"/>
    <col min="23" max="23" width="129.140625" bestFit="1" customWidth="1"/>
    <col min="24" max="24" width="116" bestFit="1" customWidth="1"/>
    <col min="25" max="25" width="81.5703125" bestFit="1" customWidth="1"/>
    <col min="26" max="26" width="142.7109375" bestFit="1" customWidth="1"/>
    <col min="27" max="27" width="68.5703125" bestFit="1" customWidth="1"/>
    <col min="28" max="28" width="87.140625" bestFit="1" customWidth="1"/>
    <col min="29" max="29" width="118.85546875" bestFit="1" customWidth="1"/>
    <col min="30" max="30" width="98.7109375" bestFit="1" customWidth="1"/>
    <col min="31" max="31" width="110.28515625" bestFit="1" customWidth="1"/>
    <col min="32" max="32" width="103.28515625" bestFit="1" customWidth="1"/>
    <col min="33" max="33" width="81.85546875" bestFit="1" customWidth="1"/>
    <col min="34" max="34" width="109.7109375" bestFit="1" customWidth="1"/>
    <col min="35" max="35" width="66.7109375" bestFit="1" customWidth="1"/>
    <col min="36" max="36" width="89.5703125" bestFit="1" customWidth="1"/>
    <col min="37" max="37" width="95.28515625" bestFit="1" customWidth="1"/>
    <col min="38" max="38" width="89.85546875" bestFit="1" customWidth="1"/>
    <col min="39" max="39" width="104.28515625" bestFit="1" customWidth="1"/>
    <col min="40" max="40" width="125" bestFit="1" customWidth="1"/>
    <col min="41" max="41" width="79.140625" bestFit="1" customWidth="1"/>
    <col min="42" max="42" width="76.85546875" bestFit="1" customWidth="1"/>
    <col min="43" max="43" width="81" bestFit="1" customWidth="1"/>
    <col min="44" max="44" width="99" bestFit="1" customWidth="1"/>
    <col min="45" max="45" width="64.5703125" bestFit="1" customWidth="1"/>
    <col min="46" max="46" width="77.85546875" bestFit="1" customWidth="1"/>
    <col min="47" max="47" width="84.140625" bestFit="1" customWidth="1"/>
    <col min="48" max="48" width="68.5703125" bestFit="1" customWidth="1"/>
    <col min="49" max="49" width="51" bestFit="1" customWidth="1"/>
    <col min="50" max="50" width="66.5703125" bestFit="1" customWidth="1"/>
    <col min="51" max="51" width="130" bestFit="1" customWidth="1"/>
    <col min="52" max="52" width="119.7109375" bestFit="1" customWidth="1"/>
    <col min="53" max="53" width="58.42578125" bestFit="1" customWidth="1"/>
    <col min="54" max="54" width="118" bestFit="1" customWidth="1"/>
    <col min="55" max="55" width="65.28515625" bestFit="1" customWidth="1"/>
    <col min="56" max="56" width="77.140625" bestFit="1" customWidth="1"/>
    <col min="57" max="57" width="124.5703125" bestFit="1" customWidth="1"/>
    <col min="58" max="58" width="53.5703125" bestFit="1" customWidth="1"/>
    <col min="59" max="59" width="72.28515625" bestFit="1" customWidth="1"/>
    <col min="60" max="60" width="73.140625" bestFit="1" customWidth="1"/>
    <col min="61" max="61" width="60.140625" bestFit="1" customWidth="1"/>
    <col min="62" max="62" width="102.5703125" bestFit="1" customWidth="1"/>
    <col min="63" max="63" width="111.5703125" bestFit="1" customWidth="1"/>
    <col min="64" max="64" width="75.28515625" bestFit="1" customWidth="1"/>
    <col min="65" max="65" width="59.28515625" bestFit="1" customWidth="1"/>
    <col min="66" max="66" width="136" bestFit="1" customWidth="1"/>
    <col min="67" max="67" width="66.140625" bestFit="1" customWidth="1"/>
    <col min="68" max="68" width="89.42578125" bestFit="1" customWidth="1"/>
    <col min="69" max="69" width="82" bestFit="1" customWidth="1"/>
    <col min="70" max="70" width="77" bestFit="1" customWidth="1"/>
    <col min="71" max="71" width="91.5703125" bestFit="1" customWidth="1"/>
    <col min="72" max="72" width="93.85546875" bestFit="1" customWidth="1"/>
    <col min="73" max="73" width="80.5703125" bestFit="1" customWidth="1"/>
    <col min="74" max="74" width="140.140625" bestFit="1" customWidth="1"/>
    <col min="75" max="75" width="135.7109375" bestFit="1" customWidth="1"/>
    <col min="76" max="76" width="88.7109375" bestFit="1" customWidth="1"/>
    <col min="77" max="77" width="73.7109375" bestFit="1" customWidth="1"/>
    <col min="78" max="78" width="68.140625" bestFit="1" customWidth="1"/>
    <col min="79" max="79" width="98.42578125" bestFit="1" customWidth="1"/>
    <col min="80" max="80" width="96.28515625" bestFit="1" customWidth="1"/>
    <col min="81" max="81" width="93.140625" bestFit="1" customWidth="1"/>
    <col min="82" max="82" width="104.85546875" bestFit="1" customWidth="1"/>
    <col min="83" max="83" width="80.5703125" bestFit="1" customWidth="1"/>
    <col min="84" max="84" width="64.140625" bestFit="1" customWidth="1"/>
    <col min="85" max="85" width="62.28515625" bestFit="1" customWidth="1"/>
    <col min="86" max="86" width="61.85546875" bestFit="1" customWidth="1"/>
    <col min="87" max="87" width="116.85546875" bestFit="1" customWidth="1"/>
    <col min="88" max="88" width="81" bestFit="1" customWidth="1"/>
    <col min="89" max="89" width="127.7109375" bestFit="1" customWidth="1"/>
    <col min="90" max="90" width="70.140625" bestFit="1" customWidth="1"/>
    <col min="91" max="91" width="79.140625" bestFit="1" customWidth="1"/>
    <col min="92" max="92" width="120.85546875" bestFit="1" customWidth="1"/>
    <col min="93" max="93" width="31.5703125" bestFit="1" customWidth="1"/>
    <col min="94" max="94" width="166.85546875" bestFit="1" customWidth="1"/>
    <col min="95" max="95" width="81.42578125" bestFit="1" customWidth="1"/>
    <col min="96" max="96" width="62.28515625" bestFit="1" customWidth="1"/>
    <col min="97" max="97" width="102.5703125" bestFit="1" customWidth="1"/>
    <col min="98" max="98" width="120.85546875" bestFit="1" customWidth="1"/>
    <col min="99" max="99" width="193.42578125" bestFit="1" customWidth="1"/>
    <col min="100" max="100" width="87.28515625" bestFit="1" customWidth="1"/>
    <col min="101" max="101" width="139" bestFit="1" customWidth="1"/>
    <col min="102" max="102" width="168.42578125" bestFit="1" customWidth="1"/>
    <col min="103" max="103" width="110.140625" bestFit="1" customWidth="1"/>
    <col min="104" max="104" width="144.85546875" bestFit="1" customWidth="1"/>
    <col min="105" max="105" width="121.42578125" bestFit="1" customWidth="1"/>
    <col min="106" max="106" width="115.140625" bestFit="1" customWidth="1"/>
    <col min="107" max="107" width="84.140625" bestFit="1" customWidth="1"/>
    <col min="108" max="108" width="114.85546875" bestFit="1" customWidth="1"/>
    <col min="109" max="109" width="163" bestFit="1" customWidth="1"/>
    <col min="110" max="110" width="64.5703125" bestFit="1" customWidth="1"/>
    <col min="111" max="111" width="104.42578125" bestFit="1" customWidth="1"/>
    <col min="112" max="112" width="87.7109375" bestFit="1" customWidth="1"/>
    <col min="113" max="113" width="63.140625" bestFit="1" customWidth="1"/>
    <col min="114" max="114" width="70.28515625" bestFit="1" customWidth="1"/>
  </cols>
  <sheetData>
    <row r="1" spans="1:114" s="96" customFormat="1" x14ac:dyDescent="0.25">
      <c r="A1" s="96" t="s">
        <v>1706</v>
      </c>
      <c r="B1" s="96" t="s">
        <v>1707</v>
      </c>
      <c r="C1" s="96" t="s">
        <v>1708</v>
      </c>
      <c r="D1" s="96" t="s">
        <v>1778</v>
      </c>
      <c r="E1" s="96" t="s">
        <v>1709</v>
      </c>
      <c r="F1" s="96" t="s">
        <v>1779</v>
      </c>
      <c r="G1" s="96" t="s">
        <v>1780</v>
      </c>
      <c r="H1" s="96" t="s">
        <v>1781</v>
      </c>
      <c r="I1" s="96" t="s">
        <v>1782</v>
      </c>
      <c r="J1" s="96" t="s">
        <v>1783</v>
      </c>
      <c r="K1" s="96" t="s">
        <v>1784</v>
      </c>
      <c r="L1" s="96" t="s">
        <v>1785</v>
      </c>
      <c r="M1" s="96" t="s">
        <v>1786</v>
      </c>
      <c r="N1" s="96" t="s">
        <v>1787</v>
      </c>
      <c r="O1" s="96" t="s">
        <v>1788</v>
      </c>
      <c r="P1" s="96" t="s">
        <v>1789</v>
      </c>
      <c r="Q1" s="96" t="s">
        <v>1712</v>
      </c>
      <c r="R1" s="96" t="s">
        <v>1790</v>
      </c>
      <c r="S1" s="96" t="s">
        <v>1711</v>
      </c>
      <c r="T1" s="96" t="s">
        <v>1791</v>
      </c>
      <c r="U1" s="96" t="s">
        <v>168</v>
      </c>
      <c r="V1" s="96" t="s">
        <v>1792</v>
      </c>
      <c r="W1" s="96" t="s">
        <v>1793</v>
      </c>
      <c r="X1" s="96" t="s">
        <v>1713</v>
      </c>
      <c r="Y1" s="96" t="s">
        <v>1715</v>
      </c>
      <c r="Z1" s="96" t="s">
        <v>1714</v>
      </c>
      <c r="AA1" s="96" t="s">
        <v>1794</v>
      </c>
      <c r="AB1" s="96" t="s">
        <v>1716</v>
      </c>
      <c r="AC1" s="96" t="s">
        <v>1734</v>
      </c>
      <c r="AD1" s="96" t="s">
        <v>1718</v>
      </c>
      <c r="AE1" s="96" t="s">
        <v>1717</v>
      </c>
      <c r="AF1" s="96" t="s">
        <v>38</v>
      </c>
      <c r="AG1" s="96" t="s">
        <v>1763</v>
      </c>
      <c r="AH1" s="96" t="s">
        <v>1729</v>
      </c>
      <c r="AI1" s="96" t="s">
        <v>1720</v>
      </c>
      <c r="AJ1" s="96" t="s">
        <v>1731</v>
      </c>
      <c r="AK1" s="96" t="s">
        <v>1724</v>
      </c>
      <c r="AL1" s="96" t="s">
        <v>1725</v>
      </c>
      <c r="AM1" s="96" t="s">
        <v>1727</v>
      </c>
      <c r="AN1" s="96" t="s">
        <v>1760</v>
      </c>
      <c r="AO1" s="96" t="s">
        <v>1795</v>
      </c>
      <c r="AP1" s="96" t="s">
        <v>1796</v>
      </c>
      <c r="AQ1" s="96" t="s">
        <v>1730</v>
      </c>
      <c r="AR1" s="96" t="s">
        <v>1797</v>
      </c>
      <c r="AS1" s="96" t="s">
        <v>1798</v>
      </c>
      <c r="AT1" s="96" t="s">
        <v>1719</v>
      </c>
      <c r="AU1" s="96" t="s">
        <v>1799</v>
      </c>
      <c r="AV1" s="96" t="s">
        <v>1723</v>
      </c>
      <c r="AW1" s="96" t="s">
        <v>1800</v>
      </c>
      <c r="AX1" s="96" t="s">
        <v>1801</v>
      </c>
      <c r="AY1" s="96" t="s">
        <v>1728</v>
      </c>
      <c r="AZ1" s="96" t="s">
        <v>1726</v>
      </c>
      <c r="BA1" s="96" t="s">
        <v>1802</v>
      </c>
      <c r="BB1" s="96" t="s">
        <v>1803</v>
      </c>
      <c r="BC1" s="96" t="s">
        <v>1804</v>
      </c>
      <c r="BD1" s="96" t="s">
        <v>1805</v>
      </c>
      <c r="BE1" s="96" t="s">
        <v>1721</v>
      </c>
      <c r="BF1" s="96" t="s">
        <v>1806</v>
      </c>
      <c r="BG1" s="96" t="s">
        <v>1807</v>
      </c>
      <c r="BH1" s="96" t="s">
        <v>1732</v>
      </c>
      <c r="BI1" s="96" t="s">
        <v>1808</v>
      </c>
      <c r="BJ1" s="96" t="s">
        <v>1809</v>
      </c>
      <c r="BK1" s="96" t="s">
        <v>1810</v>
      </c>
      <c r="BL1" s="96" t="s">
        <v>1811</v>
      </c>
      <c r="BM1" s="96" t="s">
        <v>1812</v>
      </c>
      <c r="BN1" s="96" t="s">
        <v>1722</v>
      </c>
      <c r="BO1" s="96" t="s">
        <v>1813</v>
      </c>
      <c r="BP1" s="96" t="s">
        <v>1814</v>
      </c>
      <c r="BQ1" s="96" t="s">
        <v>1815</v>
      </c>
      <c r="BR1" s="96" t="s">
        <v>1816</v>
      </c>
      <c r="BS1" s="96" t="s">
        <v>1817</v>
      </c>
      <c r="BT1" s="96" t="s">
        <v>1818</v>
      </c>
      <c r="BU1" s="96" t="s">
        <v>1733</v>
      </c>
      <c r="BV1" s="96" t="s">
        <v>1819</v>
      </c>
      <c r="BW1" s="96" t="s">
        <v>1735</v>
      </c>
      <c r="BX1" s="96" t="s">
        <v>1820</v>
      </c>
      <c r="BY1" s="96" t="s">
        <v>1821</v>
      </c>
      <c r="BZ1" s="96" t="s">
        <v>1740</v>
      </c>
      <c r="CA1" s="96" t="s">
        <v>1741</v>
      </c>
      <c r="CB1" s="96" t="s">
        <v>1736</v>
      </c>
      <c r="CC1" s="96" t="s">
        <v>1737</v>
      </c>
      <c r="CD1" s="96" t="s">
        <v>1739</v>
      </c>
      <c r="CE1" s="96" t="s">
        <v>1738</v>
      </c>
      <c r="CF1" s="96" t="s">
        <v>1742</v>
      </c>
      <c r="CG1" s="96" t="s">
        <v>1743</v>
      </c>
      <c r="CH1" s="96" t="s">
        <v>1822</v>
      </c>
      <c r="CI1" s="96" t="s">
        <v>1823</v>
      </c>
      <c r="CJ1" s="96" t="s">
        <v>1744</v>
      </c>
      <c r="CK1" s="96" t="s">
        <v>1824</v>
      </c>
      <c r="CL1" s="96" t="s">
        <v>1745</v>
      </c>
      <c r="CM1" s="96" t="s">
        <v>1746</v>
      </c>
      <c r="CN1" s="96" t="s">
        <v>1825</v>
      </c>
      <c r="CO1" s="96" t="s">
        <v>1826</v>
      </c>
      <c r="CP1" s="96" t="s">
        <v>1747</v>
      </c>
      <c r="CQ1" s="96" t="s">
        <v>1748</v>
      </c>
      <c r="CR1" s="96" t="s">
        <v>1750</v>
      </c>
      <c r="CS1" s="96" t="s">
        <v>1751</v>
      </c>
      <c r="CT1" s="96" t="s">
        <v>1752</v>
      </c>
      <c r="CU1" s="96" t="s">
        <v>1753</v>
      </c>
      <c r="CV1" s="96" t="s">
        <v>562</v>
      </c>
      <c r="CW1" s="96" t="s">
        <v>1754</v>
      </c>
      <c r="CX1" s="96" t="s">
        <v>1755</v>
      </c>
      <c r="CY1" s="96" t="s">
        <v>1756</v>
      </c>
      <c r="CZ1" s="96" t="s">
        <v>1757</v>
      </c>
      <c r="DA1" s="96" t="s">
        <v>1758</v>
      </c>
      <c r="DB1" s="96" t="s">
        <v>1759</v>
      </c>
      <c r="DC1" s="96" t="s">
        <v>1749</v>
      </c>
      <c r="DD1" s="96" t="s">
        <v>1827</v>
      </c>
      <c r="DE1" s="96" t="s">
        <v>1828</v>
      </c>
      <c r="DF1" s="96" t="s">
        <v>1829</v>
      </c>
      <c r="DG1" s="96" t="s">
        <v>1830</v>
      </c>
      <c r="DH1" s="96" t="s">
        <v>1761</v>
      </c>
      <c r="DI1" s="96" t="s">
        <v>1762</v>
      </c>
      <c r="DJ1" s="96" t="s">
        <v>1710</v>
      </c>
    </row>
    <row r="2" spans="1:114" x14ac:dyDescent="0.25">
      <c r="A2" t="s">
        <v>1831</v>
      </c>
      <c r="B2" t="s">
        <v>1832</v>
      </c>
      <c r="C2" t="s">
        <v>1832</v>
      </c>
      <c r="D2" t="s">
        <v>1833</v>
      </c>
      <c r="E2" t="s">
        <v>1834</v>
      </c>
      <c r="F2" t="s">
        <v>1835</v>
      </c>
      <c r="G2" t="s">
        <v>1836</v>
      </c>
      <c r="H2" t="s">
        <v>1837</v>
      </c>
      <c r="I2" t="s">
        <v>1838</v>
      </c>
      <c r="J2" t="s">
        <v>1839</v>
      </c>
      <c r="K2" t="s">
        <v>1839</v>
      </c>
      <c r="L2" t="s">
        <v>1839</v>
      </c>
      <c r="M2" t="s">
        <v>1835</v>
      </c>
      <c r="N2" t="s">
        <v>1840</v>
      </c>
      <c r="O2" t="s">
        <v>1841</v>
      </c>
      <c r="P2" t="s">
        <v>1842</v>
      </c>
      <c r="Q2" t="s">
        <v>1843</v>
      </c>
      <c r="R2" t="s">
        <v>1840</v>
      </c>
      <c r="S2" t="s">
        <v>1844</v>
      </c>
      <c r="T2" t="s">
        <v>1835</v>
      </c>
      <c r="U2" t="s">
        <v>1844</v>
      </c>
      <c r="V2" t="s">
        <v>1835</v>
      </c>
      <c r="W2" t="s">
        <v>1845</v>
      </c>
      <c r="X2" t="s">
        <v>1846</v>
      </c>
      <c r="Y2" t="s">
        <v>1847</v>
      </c>
      <c r="Z2" t="s">
        <v>1848</v>
      </c>
      <c r="AA2" t="s">
        <v>1835</v>
      </c>
      <c r="AB2" t="s">
        <v>1849</v>
      </c>
      <c r="AC2" t="s">
        <v>1850</v>
      </c>
      <c r="AD2" t="s">
        <v>1851</v>
      </c>
      <c r="AE2" t="s">
        <v>1852</v>
      </c>
      <c r="AF2" t="s">
        <v>1848</v>
      </c>
      <c r="AG2" t="s">
        <v>1853</v>
      </c>
      <c r="AH2" t="s">
        <v>1851</v>
      </c>
      <c r="AI2" t="s">
        <v>1854</v>
      </c>
      <c r="AJ2" t="s">
        <v>1855</v>
      </c>
      <c r="AK2" t="s">
        <v>1856</v>
      </c>
      <c r="AL2" t="s">
        <v>1857</v>
      </c>
      <c r="AM2" t="s">
        <v>1858</v>
      </c>
      <c r="AN2" t="s">
        <v>1859</v>
      </c>
      <c r="AO2" t="s">
        <v>1860</v>
      </c>
      <c r="AP2" t="s">
        <v>1861</v>
      </c>
      <c r="AQ2" t="s">
        <v>1862</v>
      </c>
      <c r="AR2" t="s">
        <v>1848</v>
      </c>
      <c r="AS2" t="s">
        <v>1863</v>
      </c>
      <c r="AT2" t="s">
        <v>1832</v>
      </c>
      <c r="AU2" t="s">
        <v>1864</v>
      </c>
      <c r="AV2" t="s">
        <v>1865</v>
      </c>
      <c r="AW2" t="s">
        <v>1866</v>
      </c>
      <c r="AX2" t="s">
        <v>1863</v>
      </c>
      <c r="AY2" t="s">
        <v>1865</v>
      </c>
      <c r="AZ2" t="s">
        <v>1840</v>
      </c>
      <c r="BA2" t="s">
        <v>1867</v>
      </c>
      <c r="BB2" t="s">
        <v>1866</v>
      </c>
      <c r="BC2" t="s">
        <v>1868</v>
      </c>
      <c r="BD2" t="s">
        <v>1869</v>
      </c>
      <c r="BE2" t="s">
        <v>1870</v>
      </c>
      <c r="BF2" t="s">
        <v>1848</v>
      </c>
      <c r="BG2" t="s">
        <v>1871</v>
      </c>
      <c r="BH2" t="s">
        <v>1872</v>
      </c>
      <c r="BI2" t="s">
        <v>1873</v>
      </c>
      <c r="BJ2" t="s">
        <v>1874</v>
      </c>
      <c r="BK2" t="s">
        <v>1875</v>
      </c>
      <c r="BL2" t="s">
        <v>1835</v>
      </c>
      <c r="BM2" t="s">
        <v>1876</v>
      </c>
      <c r="BN2" t="s">
        <v>1877</v>
      </c>
      <c r="BO2" t="s">
        <v>1878</v>
      </c>
      <c r="BP2" t="s">
        <v>1879</v>
      </c>
      <c r="BQ2" t="s">
        <v>1871</v>
      </c>
      <c r="BR2" t="s">
        <v>1835</v>
      </c>
      <c r="BS2" t="s">
        <v>1880</v>
      </c>
      <c r="BT2" t="s">
        <v>1881</v>
      </c>
      <c r="BU2" t="s">
        <v>1882</v>
      </c>
      <c r="BV2" t="s">
        <v>1835</v>
      </c>
      <c r="BW2" t="s">
        <v>1883</v>
      </c>
      <c r="BX2" t="s">
        <v>1884</v>
      </c>
      <c r="BY2" t="s">
        <v>1835</v>
      </c>
      <c r="BZ2" t="s">
        <v>1885</v>
      </c>
      <c r="CA2" t="s">
        <v>1886</v>
      </c>
      <c r="CB2" t="s">
        <v>1887</v>
      </c>
      <c r="CC2" t="s">
        <v>1848</v>
      </c>
      <c r="CD2" t="s">
        <v>1888</v>
      </c>
      <c r="CE2" t="s">
        <v>1844</v>
      </c>
      <c r="CF2" t="s">
        <v>1889</v>
      </c>
      <c r="CG2" t="s">
        <v>1890</v>
      </c>
      <c r="CH2" t="s">
        <v>1891</v>
      </c>
      <c r="CI2" t="s">
        <v>1892</v>
      </c>
      <c r="CJ2" t="s">
        <v>1893</v>
      </c>
      <c r="CK2" t="s">
        <v>1835</v>
      </c>
      <c r="CL2" t="s">
        <v>1894</v>
      </c>
      <c r="CM2" t="s">
        <v>1895</v>
      </c>
      <c r="CN2" t="s">
        <v>1896</v>
      </c>
      <c r="CO2" t="s">
        <v>1897</v>
      </c>
      <c r="CP2" t="s">
        <v>1851</v>
      </c>
      <c r="CQ2" t="s">
        <v>1898</v>
      </c>
      <c r="CR2" t="s">
        <v>1899</v>
      </c>
      <c r="CS2" t="s">
        <v>1900</v>
      </c>
      <c r="CT2" t="s">
        <v>1883</v>
      </c>
      <c r="CU2" t="s">
        <v>1851</v>
      </c>
      <c r="CV2" t="s">
        <v>1851</v>
      </c>
      <c r="CW2" t="s">
        <v>1901</v>
      </c>
      <c r="CX2" t="s">
        <v>1902</v>
      </c>
      <c r="CY2" t="s">
        <v>1844</v>
      </c>
      <c r="CZ2" t="s">
        <v>1903</v>
      </c>
      <c r="DA2" t="s">
        <v>1840</v>
      </c>
      <c r="DB2" t="s">
        <v>1904</v>
      </c>
      <c r="DC2" t="s">
        <v>1905</v>
      </c>
      <c r="DD2" t="s">
        <v>1835</v>
      </c>
      <c r="DE2" t="s">
        <v>1835</v>
      </c>
      <c r="DF2" t="s">
        <v>1835</v>
      </c>
      <c r="DG2" t="s">
        <v>1835</v>
      </c>
      <c r="DH2" t="s">
        <v>1906</v>
      </c>
      <c r="DI2" t="s">
        <v>1907</v>
      </c>
      <c r="DJ2" t="s">
        <v>1865</v>
      </c>
    </row>
    <row r="3" spans="1:114" x14ac:dyDescent="0.25">
      <c r="A3" t="s">
        <v>1908</v>
      </c>
      <c r="B3" t="s">
        <v>1835</v>
      </c>
      <c r="C3" t="s">
        <v>1863</v>
      </c>
      <c r="E3" t="s">
        <v>1835</v>
      </c>
      <c r="F3" t="s">
        <v>1909</v>
      </c>
      <c r="G3" t="s">
        <v>1910</v>
      </c>
      <c r="I3" t="s">
        <v>1911</v>
      </c>
      <c r="Q3" t="s">
        <v>1912</v>
      </c>
      <c r="S3" t="s">
        <v>1913</v>
      </c>
      <c r="T3" t="s">
        <v>1914</v>
      </c>
      <c r="U3" t="s">
        <v>1915</v>
      </c>
      <c r="W3" t="s">
        <v>1835</v>
      </c>
      <c r="X3" t="s">
        <v>1916</v>
      </c>
      <c r="Y3" t="s">
        <v>1917</v>
      </c>
      <c r="Z3" t="s">
        <v>1859</v>
      </c>
      <c r="AB3" t="s">
        <v>1835</v>
      </c>
      <c r="AC3" t="s">
        <v>1835</v>
      </c>
      <c r="AD3" t="s">
        <v>1848</v>
      </c>
      <c r="AE3" t="s">
        <v>1918</v>
      </c>
      <c r="AF3" t="s">
        <v>1919</v>
      </c>
      <c r="AG3" t="s">
        <v>1835</v>
      </c>
      <c r="AH3" t="s">
        <v>1920</v>
      </c>
      <c r="AI3" t="s">
        <v>1921</v>
      </c>
      <c r="AJ3" t="s">
        <v>1922</v>
      </c>
      <c r="AK3" t="s">
        <v>1923</v>
      </c>
      <c r="AL3" t="s">
        <v>1835</v>
      </c>
      <c r="AM3" t="s">
        <v>1924</v>
      </c>
      <c r="AN3" t="s">
        <v>1835</v>
      </c>
      <c r="AP3" t="s">
        <v>1925</v>
      </c>
      <c r="AQ3" t="s">
        <v>1835</v>
      </c>
      <c r="AZ3" t="s">
        <v>1926</v>
      </c>
      <c r="BB3" t="s">
        <v>1835</v>
      </c>
      <c r="BE3" t="s">
        <v>1927</v>
      </c>
      <c r="BH3" t="s">
        <v>1835</v>
      </c>
      <c r="BN3" t="s">
        <v>1928</v>
      </c>
      <c r="BP3" t="s">
        <v>1853</v>
      </c>
      <c r="BS3" t="s">
        <v>1929</v>
      </c>
      <c r="BU3" t="s">
        <v>1895</v>
      </c>
      <c r="BW3" t="s">
        <v>1930</v>
      </c>
      <c r="BX3" t="s">
        <v>1835</v>
      </c>
      <c r="BY3" t="s">
        <v>1931</v>
      </c>
      <c r="BZ3" t="s">
        <v>1932</v>
      </c>
      <c r="CA3" t="s">
        <v>1933</v>
      </c>
      <c r="CB3" t="s">
        <v>1895</v>
      </c>
      <c r="CC3" t="s">
        <v>1919</v>
      </c>
      <c r="CD3" t="s">
        <v>1934</v>
      </c>
      <c r="CE3" t="s">
        <v>1935</v>
      </c>
      <c r="CF3" t="s">
        <v>1835</v>
      </c>
      <c r="CG3" t="s">
        <v>1835</v>
      </c>
      <c r="CI3" t="s">
        <v>1864</v>
      </c>
      <c r="CJ3" t="s">
        <v>1936</v>
      </c>
      <c r="CL3" t="s">
        <v>1937</v>
      </c>
      <c r="CM3" t="s">
        <v>1938</v>
      </c>
      <c r="CN3" t="s">
        <v>1835</v>
      </c>
      <c r="CP3" t="s">
        <v>1939</v>
      </c>
      <c r="CQ3" t="s">
        <v>1940</v>
      </c>
      <c r="CR3" t="s">
        <v>1835</v>
      </c>
      <c r="CS3" t="s">
        <v>1848</v>
      </c>
      <c r="CT3" t="s">
        <v>1863</v>
      </c>
      <c r="CU3" t="s">
        <v>1880</v>
      </c>
      <c r="CV3" t="s">
        <v>1831</v>
      </c>
      <c r="CW3" t="s">
        <v>1941</v>
      </c>
      <c r="CX3" t="s">
        <v>1942</v>
      </c>
      <c r="CY3" t="s">
        <v>1915</v>
      </c>
      <c r="CZ3" t="s">
        <v>1943</v>
      </c>
      <c r="DA3" t="s">
        <v>1944</v>
      </c>
      <c r="DB3" t="s">
        <v>1945</v>
      </c>
      <c r="DC3" t="s">
        <v>1835</v>
      </c>
      <c r="DE3" t="s">
        <v>1946</v>
      </c>
      <c r="DF3" t="s">
        <v>1869</v>
      </c>
      <c r="DG3" t="s">
        <v>1947</v>
      </c>
      <c r="DH3" t="s">
        <v>1835</v>
      </c>
      <c r="DI3" t="s">
        <v>1835</v>
      </c>
    </row>
    <row r="4" spans="1:114" x14ac:dyDescent="0.25">
      <c r="A4" t="s">
        <v>1835</v>
      </c>
      <c r="C4" t="s">
        <v>1835</v>
      </c>
      <c r="D4" t="s">
        <v>1948</v>
      </c>
      <c r="G4" t="s">
        <v>1949</v>
      </c>
      <c r="H4" t="s">
        <v>1950</v>
      </c>
      <c r="J4" t="s">
        <v>1951</v>
      </c>
      <c r="K4" t="s">
        <v>1952</v>
      </c>
      <c r="L4" t="s">
        <v>1953</v>
      </c>
      <c r="M4" t="s">
        <v>1954</v>
      </c>
      <c r="N4" t="s">
        <v>1955</v>
      </c>
      <c r="O4" t="s">
        <v>1956</v>
      </c>
      <c r="P4" t="s">
        <v>1957</v>
      </c>
      <c r="Q4" t="s">
        <v>1958</v>
      </c>
      <c r="R4" t="s">
        <v>1959</v>
      </c>
      <c r="S4" t="s">
        <v>1960</v>
      </c>
      <c r="U4" t="s">
        <v>1835</v>
      </c>
      <c r="V4" t="s">
        <v>1961</v>
      </c>
      <c r="X4" t="s">
        <v>1898</v>
      </c>
      <c r="Y4" t="s">
        <v>1835</v>
      </c>
      <c r="Z4" t="s">
        <v>1835</v>
      </c>
      <c r="AA4" t="s">
        <v>1962</v>
      </c>
      <c r="AD4" t="s">
        <v>1919</v>
      </c>
      <c r="AE4" t="s">
        <v>1835</v>
      </c>
      <c r="AF4" t="s">
        <v>1963</v>
      </c>
      <c r="AH4" t="s">
        <v>1835</v>
      </c>
      <c r="AI4" t="s">
        <v>1835</v>
      </c>
      <c r="AJ4" t="s">
        <v>1964</v>
      </c>
      <c r="AK4" t="s">
        <v>1965</v>
      </c>
      <c r="AM4" t="s">
        <v>1966</v>
      </c>
      <c r="AO4" t="s">
        <v>1967</v>
      </c>
      <c r="AR4" t="s">
        <v>1968</v>
      </c>
      <c r="AS4" t="s">
        <v>1969</v>
      </c>
      <c r="AT4" t="s">
        <v>1970</v>
      </c>
      <c r="AU4" t="s">
        <v>1971</v>
      </c>
      <c r="AV4" t="s">
        <v>1972</v>
      </c>
      <c r="AW4" t="s">
        <v>1973</v>
      </c>
      <c r="AX4" t="s">
        <v>1974</v>
      </c>
      <c r="AY4" t="s">
        <v>1975</v>
      </c>
      <c r="AZ4" t="s">
        <v>1887</v>
      </c>
      <c r="BA4" t="s">
        <v>1976</v>
      </c>
      <c r="BC4" t="s">
        <v>1977</v>
      </c>
      <c r="BD4" t="s">
        <v>1978</v>
      </c>
      <c r="BF4" t="s">
        <v>1979</v>
      </c>
      <c r="BG4" t="s">
        <v>1980</v>
      </c>
      <c r="BI4" t="s">
        <v>1981</v>
      </c>
      <c r="BJ4" t="s">
        <v>1982</v>
      </c>
      <c r="BK4" t="s">
        <v>1983</v>
      </c>
      <c r="BL4" t="s">
        <v>1984</v>
      </c>
      <c r="BM4" t="s">
        <v>1985</v>
      </c>
      <c r="BN4" t="s">
        <v>1986</v>
      </c>
      <c r="BO4" t="s">
        <v>1987</v>
      </c>
      <c r="BQ4" t="s">
        <v>1988</v>
      </c>
      <c r="BR4" t="s">
        <v>1989</v>
      </c>
      <c r="BS4" t="s">
        <v>1871</v>
      </c>
      <c r="BT4" t="s">
        <v>1990</v>
      </c>
      <c r="BU4" t="s">
        <v>1844</v>
      </c>
      <c r="BV4" t="s">
        <v>1991</v>
      </c>
      <c r="BW4" t="s">
        <v>1835</v>
      </c>
      <c r="BY4" t="s">
        <v>1992</v>
      </c>
      <c r="BZ4" t="s">
        <v>1862</v>
      </c>
      <c r="CA4" t="s">
        <v>1835</v>
      </c>
      <c r="CB4" t="s">
        <v>1835</v>
      </c>
      <c r="CC4" t="s">
        <v>1963</v>
      </c>
      <c r="CD4" t="s">
        <v>1898</v>
      </c>
      <c r="CE4" t="s">
        <v>1835</v>
      </c>
      <c r="CH4" t="s">
        <v>1993</v>
      </c>
      <c r="CI4" t="s">
        <v>1994</v>
      </c>
      <c r="CJ4" t="s">
        <v>1835</v>
      </c>
      <c r="CK4" t="s">
        <v>1995</v>
      </c>
      <c r="CL4" t="s">
        <v>1996</v>
      </c>
      <c r="CM4" t="s">
        <v>1997</v>
      </c>
      <c r="CN4" t="s">
        <v>1998</v>
      </c>
      <c r="CO4" t="s">
        <v>1999</v>
      </c>
      <c r="CP4" t="s">
        <v>1835</v>
      </c>
      <c r="CQ4" t="s">
        <v>2000</v>
      </c>
      <c r="CS4" t="s">
        <v>1919</v>
      </c>
      <c r="CT4" t="s">
        <v>2001</v>
      </c>
      <c r="CU4" t="s">
        <v>1879</v>
      </c>
      <c r="CV4" t="s">
        <v>606</v>
      </c>
      <c r="CW4" t="s">
        <v>2002</v>
      </c>
      <c r="CX4" t="s">
        <v>1994</v>
      </c>
      <c r="CY4" t="s">
        <v>1865</v>
      </c>
      <c r="CZ4" t="s">
        <v>1878</v>
      </c>
      <c r="DA4" t="s">
        <v>1926</v>
      </c>
      <c r="DB4" t="s">
        <v>2003</v>
      </c>
      <c r="DD4" t="s">
        <v>2004</v>
      </c>
      <c r="DE4" t="s">
        <v>2005</v>
      </c>
      <c r="DJ4" t="s">
        <v>2006</v>
      </c>
    </row>
    <row r="5" spans="1:114" x14ac:dyDescent="0.25">
      <c r="B5" t="s">
        <v>2007</v>
      </c>
      <c r="E5" t="s">
        <v>2008</v>
      </c>
      <c r="F5" t="s">
        <v>1989</v>
      </c>
      <c r="H5" t="s">
        <v>2009</v>
      </c>
      <c r="I5" t="s">
        <v>2010</v>
      </c>
      <c r="N5" t="s">
        <v>2011</v>
      </c>
      <c r="O5" t="s">
        <v>2012</v>
      </c>
      <c r="P5" t="s">
        <v>2013</v>
      </c>
      <c r="Q5" t="s">
        <v>2014</v>
      </c>
      <c r="R5" t="s">
        <v>2015</v>
      </c>
      <c r="S5" t="s">
        <v>1835</v>
      </c>
      <c r="T5" t="s">
        <v>1989</v>
      </c>
      <c r="V5" t="s">
        <v>2016</v>
      </c>
      <c r="W5" t="s">
        <v>2017</v>
      </c>
      <c r="X5" t="s">
        <v>1940</v>
      </c>
      <c r="AA5" t="s">
        <v>2018</v>
      </c>
      <c r="AB5" t="s">
        <v>2019</v>
      </c>
      <c r="AC5" t="s">
        <v>2020</v>
      </c>
      <c r="AD5" t="s">
        <v>1963</v>
      </c>
      <c r="AF5" t="s">
        <v>2021</v>
      </c>
      <c r="AG5" t="s">
        <v>2022</v>
      </c>
      <c r="AJ5" t="s">
        <v>2023</v>
      </c>
      <c r="AK5" t="s">
        <v>2024</v>
      </c>
      <c r="AL5" t="s">
        <v>2025</v>
      </c>
      <c r="AM5" t="s">
        <v>2026</v>
      </c>
      <c r="AN5" t="s">
        <v>2027</v>
      </c>
      <c r="AP5" t="s">
        <v>2028</v>
      </c>
      <c r="AQ5" t="s">
        <v>2029</v>
      </c>
      <c r="AT5" t="s">
        <v>2030</v>
      </c>
      <c r="AU5" t="s">
        <v>2031</v>
      </c>
      <c r="AY5" t="s">
        <v>2032</v>
      </c>
      <c r="AZ5" t="s">
        <v>1935</v>
      </c>
      <c r="BB5" t="s">
        <v>2033</v>
      </c>
      <c r="BD5" t="s">
        <v>2034</v>
      </c>
      <c r="BE5" t="s">
        <v>2035</v>
      </c>
      <c r="BH5" t="s">
        <v>2036</v>
      </c>
      <c r="BI5" t="s">
        <v>2037</v>
      </c>
      <c r="BJ5" t="s">
        <v>2038</v>
      </c>
      <c r="BN5" t="s">
        <v>2039</v>
      </c>
      <c r="BP5" t="s">
        <v>2040</v>
      </c>
      <c r="BR5" t="s">
        <v>2041</v>
      </c>
      <c r="BU5" t="s">
        <v>1938</v>
      </c>
      <c r="BV5" t="s">
        <v>2042</v>
      </c>
      <c r="BX5" t="s">
        <v>2043</v>
      </c>
      <c r="BZ5" t="s">
        <v>1835</v>
      </c>
      <c r="CC5" t="s">
        <v>2021</v>
      </c>
      <c r="CD5" t="s">
        <v>2044</v>
      </c>
      <c r="CF5" t="s">
        <v>2045</v>
      </c>
      <c r="CG5" t="s">
        <v>2046</v>
      </c>
      <c r="CK5" t="s">
        <v>2047</v>
      </c>
      <c r="CL5" t="s">
        <v>1835</v>
      </c>
      <c r="CM5" t="s">
        <v>2048</v>
      </c>
      <c r="CQ5" t="s">
        <v>2044</v>
      </c>
      <c r="CR5" t="s">
        <v>2049</v>
      </c>
      <c r="CS5" t="s">
        <v>1963</v>
      </c>
      <c r="CT5" t="s">
        <v>1839</v>
      </c>
      <c r="CU5" t="s">
        <v>1853</v>
      </c>
      <c r="CV5" t="s">
        <v>2050</v>
      </c>
      <c r="CW5" t="s">
        <v>1835</v>
      </c>
      <c r="CX5" t="s">
        <v>2051</v>
      </c>
      <c r="CY5" t="s">
        <v>2052</v>
      </c>
      <c r="CZ5" t="s">
        <v>1875</v>
      </c>
      <c r="DA5" t="s">
        <v>1835</v>
      </c>
      <c r="DB5" t="s">
        <v>2053</v>
      </c>
      <c r="DC5" t="s">
        <v>2054</v>
      </c>
      <c r="DF5" t="s">
        <v>1989</v>
      </c>
      <c r="DG5" t="s">
        <v>1989</v>
      </c>
      <c r="DH5" t="s">
        <v>2055</v>
      </c>
      <c r="DI5" t="s">
        <v>2056</v>
      </c>
      <c r="DJ5" t="s">
        <v>2057</v>
      </c>
    </row>
    <row r="6" spans="1:114" x14ac:dyDescent="0.25">
      <c r="A6" t="s">
        <v>2058</v>
      </c>
      <c r="B6" t="s">
        <v>2059</v>
      </c>
      <c r="C6" t="s">
        <v>2060</v>
      </c>
      <c r="E6" t="s">
        <v>2061</v>
      </c>
      <c r="F6" t="s">
        <v>2062</v>
      </c>
      <c r="G6" t="s">
        <v>2063</v>
      </c>
      <c r="I6" t="s">
        <v>2064</v>
      </c>
      <c r="N6" t="s">
        <v>2065</v>
      </c>
      <c r="Q6" t="s">
        <v>1835</v>
      </c>
      <c r="T6" t="s">
        <v>2062</v>
      </c>
      <c r="U6" t="s">
        <v>2066</v>
      </c>
      <c r="W6" t="s">
        <v>2067</v>
      </c>
      <c r="X6" t="s">
        <v>1835</v>
      </c>
      <c r="Y6" t="s">
        <v>2068</v>
      </c>
      <c r="Z6" t="s">
        <v>2069</v>
      </c>
      <c r="AB6" t="s">
        <v>2070</v>
      </c>
      <c r="AC6" t="s">
        <v>2071</v>
      </c>
      <c r="AD6" t="s">
        <v>1835</v>
      </c>
      <c r="AE6" t="s">
        <v>2072</v>
      </c>
      <c r="AF6" t="s">
        <v>1835</v>
      </c>
      <c r="AH6" t="s">
        <v>2073</v>
      </c>
      <c r="AI6" t="s">
        <v>2074</v>
      </c>
      <c r="AJ6" t="s">
        <v>1835</v>
      </c>
      <c r="AK6" t="s">
        <v>2075</v>
      </c>
      <c r="AL6" t="s">
        <v>2076</v>
      </c>
      <c r="AM6" t="s">
        <v>1835</v>
      </c>
      <c r="AN6" t="s">
        <v>2077</v>
      </c>
      <c r="AT6" t="s">
        <v>2078</v>
      </c>
      <c r="AU6" t="s">
        <v>2079</v>
      </c>
      <c r="AY6" t="s">
        <v>2080</v>
      </c>
      <c r="AZ6" t="s">
        <v>1835</v>
      </c>
      <c r="BD6" t="s">
        <v>2081</v>
      </c>
      <c r="BE6" t="s">
        <v>2082</v>
      </c>
      <c r="BH6" t="s">
        <v>2083</v>
      </c>
      <c r="BN6" t="s">
        <v>2084</v>
      </c>
      <c r="BR6" t="s">
        <v>2085</v>
      </c>
      <c r="BS6" t="s">
        <v>2086</v>
      </c>
      <c r="BU6" t="s">
        <v>2087</v>
      </c>
      <c r="BV6" t="s">
        <v>2088</v>
      </c>
      <c r="BW6" t="s">
        <v>2089</v>
      </c>
      <c r="BX6" t="s">
        <v>2090</v>
      </c>
      <c r="BY6" t="s">
        <v>2091</v>
      </c>
      <c r="CA6" t="s">
        <v>2092</v>
      </c>
      <c r="CB6" t="s">
        <v>2093</v>
      </c>
      <c r="CC6" t="s">
        <v>1835</v>
      </c>
      <c r="CD6" t="s">
        <v>2094</v>
      </c>
      <c r="CE6" t="s">
        <v>2095</v>
      </c>
      <c r="CF6" t="s">
        <v>2096</v>
      </c>
      <c r="CI6" t="s">
        <v>2097</v>
      </c>
      <c r="CJ6" t="s">
        <v>2098</v>
      </c>
      <c r="CK6" t="s">
        <v>2099</v>
      </c>
      <c r="CM6" t="s">
        <v>2100</v>
      </c>
      <c r="CN6" t="s">
        <v>2091</v>
      </c>
      <c r="CP6" t="s">
        <v>2101</v>
      </c>
      <c r="CQ6" t="s">
        <v>1873</v>
      </c>
      <c r="CR6" t="s">
        <v>2102</v>
      </c>
      <c r="CS6" t="s">
        <v>2021</v>
      </c>
      <c r="CT6" t="s">
        <v>1918</v>
      </c>
      <c r="CU6" t="s">
        <v>1929</v>
      </c>
      <c r="CV6" t="s">
        <v>2103</v>
      </c>
      <c r="CX6" t="s">
        <v>2104</v>
      </c>
      <c r="CY6" t="s">
        <v>2105</v>
      </c>
      <c r="CZ6" t="s">
        <v>2106</v>
      </c>
      <c r="DB6" t="s">
        <v>2107</v>
      </c>
      <c r="DE6" t="s">
        <v>2108</v>
      </c>
      <c r="DF6" t="s">
        <v>2062</v>
      </c>
      <c r="DG6" t="s">
        <v>2062</v>
      </c>
      <c r="DH6" t="s">
        <v>2109</v>
      </c>
      <c r="DI6" t="s">
        <v>2110</v>
      </c>
      <c r="DJ6" t="s">
        <v>2111</v>
      </c>
    </row>
    <row r="7" spans="1:114" x14ac:dyDescent="0.25">
      <c r="A7" t="s">
        <v>2112</v>
      </c>
      <c r="C7" t="s">
        <v>2113</v>
      </c>
      <c r="E7" t="s">
        <v>2114</v>
      </c>
      <c r="I7" t="s">
        <v>2115</v>
      </c>
      <c r="S7" t="s">
        <v>2116</v>
      </c>
      <c r="Y7" t="s">
        <v>2117</v>
      </c>
      <c r="AC7" t="s">
        <v>2118</v>
      </c>
      <c r="AE7" t="s">
        <v>2119</v>
      </c>
      <c r="AG7" t="s">
        <v>2008</v>
      </c>
      <c r="AH7" t="s">
        <v>2120</v>
      </c>
      <c r="AI7" t="s">
        <v>2121</v>
      </c>
      <c r="AK7" t="s">
        <v>2050</v>
      </c>
      <c r="AL7" t="s">
        <v>2122</v>
      </c>
      <c r="AN7" t="s">
        <v>2123</v>
      </c>
      <c r="AP7" t="s">
        <v>2124</v>
      </c>
      <c r="AQ7" t="s">
        <v>1989</v>
      </c>
      <c r="AY7" t="s">
        <v>2125</v>
      </c>
      <c r="BB7" t="s">
        <v>2126</v>
      </c>
      <c r="BD7" t="s">
        <v>2127</v>
      </c>
      <c r="BE7" t="s">
        <v>2128</v>
      </c>
      <c r="BH7" t="s">
        <v>2129</v>
      </c>
      <c r="BN7" t="s">
        <v>2130</v>
      </c>
      <c r="BP7" t="s">
        <v>2131</v>
      </c>
      <c r="BR7" t="s">
        <v>2132</v>
      </c>
      <c r="BU7" t="s">
        <v>2133</v>
      </c>
      <c r="BV7" t="s">
        <v>2134</v>
      </c>
      <c r="BW7" t="s">
        <v>2135</v>
      </c>
      <c r="BY7" t="s">
        <v>1989</v>
      </c>
      <c r="BZ7" t="s">
        <v>2136</v>
      </c>
      <c r="CA7" t="s">
        <v>2137</v>
      </c>
      <c r="CB7" t="s">
        <v>2138</v>
      </c>
      <c r="CD7" t="s">
        <v>1835</v>
      </c>
      <c r="CG7" t="s">
        <v>2008</v>
      </c>
      <c r="CI7" t="s">
        <v>2139</v>
      </c>
      <c r="CJ7" t="s">
        <v>2140</v>
      </c>
      <c r="CK7" t="s">
        <v>2141</v>
      </c>
      <c r="CL7" t="s">
        <v>2142</v>
      </c>
      <c r="CM7" t="s">
        <v>1835</v>
      </c>
      <c r="CN7" t="s">
        <v>2143</v>
      </c>
      <c r="CQ7" t="s">
        <v>2144</v>
      </c>
      <c r="CR7" t="s">
        <v>2145</v>
      </c>
      <c r="CS7" t="s">
        <v>1835</v>
      </c>
      <c r="CT7" t="s">
        <v>1835</v>
      </c>
      <c r="CU7" t="s">
        <v>2146</v>
      </c>
      <c r="CV7" t="s">
        <v>2147</v>
      </c>
      <c r="CW7" t="s">
        <v>2148</v>
      </c>
      <c r="CX7" t="s">
        <v>1835</v>
      </c>
      <c r="CY7" t="s">
        <v>1881</v>
      </c>
      <c r="CZ7" t="s">
        <v>1835</v>
      </c>
      <c r="DA7" t="s">
        <v>2149</v>
      </c>
      <c r="DB7" t="s">
        <v>2150</v>
      </c>
      <c r="DC7" t="s">
        <v>2008</v>
      </c>
      <c r="DE7" t="s">
        <v>1989</v>
      </c>
      <c r="DG7" t="s">
        <v>2151</v>
      </c>
      <c r="DH7" t="s">
        <v>2152</v>
      </c>
      <c r="DI7" t="s">
        <v>2153</v>
      </c>
      <c r="DJ7" t="s">
        <v>2154</v>
      </c>
    </row>
    <row r="8" spans="1:114" x14ac:dyDescent="0.25">
      <c r="A8" t="s">
        <v>2155</v>
      </c>
      <c r="B8" t="s">
        <v>2008</v>
      </c>
      <c r="E8" t="s">
        <v>2156</v>
      </c>
      <c r="F8" t="s">
        <v>2157</v>
      </c>
      <c r="G8" t="s">
        <v>2158</v>
      </c>
      <c r="I8" t="s">
        <v>2159</v>
      </c>
      <c r="Q8" t="s">
        <v>2160</v>
      </c>
      <c r="T8" t="s">
        <v>2161</v>
      </c>
      <c r="U8" t="s">
        <v>2162</v>
      </c>
      <c r="W8" t="s">
        <v>2163</v>
      </c>
      <c r="X8" t="s">
        <v>2164</v>
      </c>
      <c r="Y8" t="s">
        <v>2165</v>
      </c>
      <c r="Z8" t="s">
        <v>2166</v>
      </c>
      <c r="AB8" t="s">
        <v>2008</v>
      </c>
      <c r="AD8" t="s">
        <v>2167</v>
      </c>
      <c r="AE8" t="s">
        <v>2168</v>
      </c>
      <c r="AF8" t="s">
        <v>2169</v>
      </c>
      <c r="AG8" t="s">
        <v>2170</v>
      </c>
      <c r="AH8" t="s">
        <v>2171</v>
      </c>
      <c r="AJ8" t="s">
        <v>2172</v>
      </c>
      <c r="AK8" t="s">
        <v>1835</v>
      </c>
      <c r="AL8" t="s">
        <v>2173</v>
      </c>
      <c r="AM8" t="s">
        <v>2174</v>
      </c>
      <c r="AY8" t="s">
        <v>2175</v>
      </c>
      <c r="AZ8" t="s">
        <v>2176</v>
      </c>
      <c r="BD8" t="s">
        <v>2177</v>
      </c>
      <c r="BE8" t="s">
        <v>2178</v>
      </c>
      <c r="BH8" t="s">
        <v>2179</v>
      </c>
      <c r="BN8" t="s">
        <v>2180</v>
      </c>
      <c r="BR8" t="s">
        <v>2181</v>
      </c>
      <c r="BS8" t="s">
        <v>2182</v>
      </c>
      <c r="BU8" t="s">
        <v>2183</v>
      </c>
      <c r="BV8" t="s">
        <v>2184</v>
      </c>
      <c r="BW8" t="s">
        <v>2185</v>
      </c>
      <c r="BX8" t="s">
        <v>2008</v>
      </c>
      <c r="BY8" t="s">
        <v>2186</v>
      </c>
      <c r="BZ8" t="s">
        <v>2187</v>
      </c>
      <c r="CB8" t="s">
        <v>2188</v>
      </c>
      <c r="CC8" t="s">
        <v>2189</v>
      </c>
      <c r="CE8" t="s">
        <v>2190</v>
      </c>
      <c r="CF8" t="s">
        <v>2008</v>
      </c>
      <c r="CG8" t="s">
        <v>2170</v>
      </c>
      <c r="CJ8" t="s">
        <v>2191</v>
      </c>
      <c r="CK8" t="s">
        <v>2192</v>
      </c>
      <c r="CL8" t="s">
        <v>2193</v>
      </c>
      <c r="CN8" t="s">
        <v>2194</v>
      </c>
      <c r="CP8" t="s">
        <v>2195</v>
      </c>
      <c r="CQ8" t="s">
        <v>2196</v>
      </c>
      <c r="CU8" t="s">
        <v>1871</v>
      </c>
      <c r="CV8" t="s">
        <v>2197</v>
      </c>
      <c r="CW8" t="s">
        <v>2198</v>
      </c>
      <c r="CY8" t="s">
        <v>1835</v>
      </c>
      <c r="DA8" t="s">
        <v>2199</v>
      </c>
      <c r="DB8" t="s">
        <v>2200</v>
      </c>
      <c r="DC8" t="s">
        <v>2170</v>
      </c>
      <c r="DE8" t="s">
        <v>2062</v>
      </c>
      <c r="DF8" t="s">
        <v>2201</v>
      </c>
      <c r="DH8" t="s">
        <v>2202</v>
      </c>
      <c r="DI8" t="s">
        <v>2203</v>
      </c>
      <c r="DJ8" t="s">
        <v>2204</v>
      </c>
    </row>
    <row r="9" spans="1:114" x14ac:dyDescent="0.25">
      <c r="B9" t="s">
        <v>2170</v>
      </c>
      <c r="C9" t="s">
        <v>2205</v>
      </c>
      <c r="E9" t="s">
        <v>2206</v>
      </c>
      <c r="Q9" t="s">
        <v>2207</v>
      </c>
      <c r="S9" t="s">
        <v>2208</v>
      </c>
      <c r="T9" t="s">
        <v>2209</v>
      </c>
      <c r="U9" t="s">
        <v>2210</v>
      </c>
      <c r="W9" t="s">
        <v>2211</v>
      </c>
      <c r="Z9" t="s">
        <v>2212</v>
      </c>
      <c r="AB9" t="s">
        <v>2170</v>
      </c>
      <c r="AC9" t="s">
        <v>2008</v>
      </c>
      <c r="AE9" t="s">
        <v>2213</v>
      </c>
      <c r="AF9" t="s">
        <v>2214</v>
      </c>
      <c r="AG9" t="s">
        <v>1989</v>
      </c>
      <c r="AI9" t="s">
        <v>2215</v>
      </c>
      <c r="AL9" t="s">
        <v>2216</v>
      </c>
      <c r="AM9" t="s">
        <v>2217</v>
      </c>
      <c r="AN9" t="s">
        <v>2008</v>
      </c>
      <c r="AY9" t="s">
        <v>2218</v>
      </c>
      <c r="BE9" t="s">
        <v>2219</v>
      </c>
      <c r="BH9" t="s">
        <v>2220</v>
      </c>
      <c r="BN9" t="s">
        <v>1929</v>
      </c>
      <c r="BR9" t="s">
        <v>2221</v>
      </c>
      <c r="BU9" t="s">
        <v>1835</v>
      </c>
      <c r="BV9" t="s">
        <v>2222</v>
      </c>
      <c r="BW9" t="s">
        <v>2223</v>
      </c>
      <c r="BX9" t="s">
        <v>2170</v>
      </c>
      <c r="BZ9" t="s">
        <v>2224</v>
      </c>
      <c r="CA9" t="s">
        <v>2225</v>
      </c>
      <c r="CB9" t="s">
        <v>2226</v>
      </c>
      <c r="CC9" t="s">
        <v>2227</v>
      </c>
      <c r="CD9" t="s">
        <v>2228</v>
      </c>
      <c r="CE9" t="s">
        <v>2229</v>
      </c>
      <c r="CF9" t="s">
        <v>2170</v>
      </c>
      <c r="CG9" t="s">
        <v>1989</v>
      </c>
      <c r="CI9" t="s">
        <v>2230</v>
      </c>
      <c r="CJ9" t="s">
        <v>2231</v>
      </c>
      <c r="CK9" t="s">
        <v>2232</v>
      </c>
      <c r="CL9" t="s">
        <v>2233</v>
      </c>
      <c r="CM9" t="s">
        <v>2234</v>
      </c>
      <c r="CP9" t="s">
        <v>2235</v>
      </c>
      <c r="CQ9" t="s">
        <v>2094</v>
      </c>
      <c r="CR9" t="s">
        <v>2008</v>
      </c>
      <c r="CS9" t="s">
        <v>2236</v>
      </c>
      <c r="CT9" t="s">
        <v>2237</v>
      </c>
      <c r="CU9" t="s">
        <v>1870</v>
      </c>
      <c r="CV9" t="s">
        <v>2238</v>
      </c>
      <c r="CW9" t="s">
        <v>2239</v>
      </c>
      <c r="CX9" t="s">
        <v>2240</v>
      </c>
      <c r="CZ9" t="s">
        <v>2241</v>
      </c>
      <c r="DA9" t="s">
        <v>2242</v>
      </c>
      <c r="DB9" t="s">
        <v>1845</v>
      </c>
      <c r="DF9" t="s">
        <v>2243</v>
      </c>
      <c r="DG9" t="s">
        <v>2244</v>
      </c>
      <c r="DH9" t="s">
        <v>2245</v>
      </c>
      <c r="DI9" t="s">
        <v>2246</v>
      </c>
      <c r="DJ9" t="s">
        <v>2247</v>
      </c>
    </row>
    <row r="10" spans="1:114" x14ac:dyDescent="0.25">
      <c r="A10" t="s">
        <v>2248</v>
      </c>
      <c r="B10" t="s">
        <v>1989</v>
      </c>
      <c r="G10" t="s">
        <v>2249</v>
      </c>
      <c r="I10" t="s">
        <v>2250</v>
      </c>
      <c r="Q10" t="s">
        <v>2251</v>
      </c>
      <c r="S10" t="s">
        <v>2252</v>
      </c>
      <c r="T10" t="s">
        <v>2253</v>
      </c>
      <c r="U10" t="s">
        <v>2254</v>
      </c>
      <c r="X10" t="s">
        <v>2255</v>
      </c>
      <c r="Y10" t="s">
        <v>2256</v>
      </c>
      <c r="Z10" t="s">
        <v>2257</v>
      </c>
      <c r="AC10" t="s">
        <v>1989</v>
      </c>
      <c r="AD10" t="s">
        <v>2258</v>
      </c>
      <c r="AE10" t="s">
        <v>2259</v>
      </c>
      <c r="AH10" t="s">
        <v>2260</v>
      </c>
      <c r="AI10" t="s">
        <v>2261</v>
      </c>
      <c r="AJ10" t="s">
        <v>2262</v>
      </c>
      <c r="AK10" t="s">
        <v>2263</v>
      </c>
      <c r="AL10" t="s">
        <v>2264</v>
      </c>
      <c r="AM10" t="s">
        <v>2265</v>
      </c>
      <c r="AN10" t="s">
        <v>2170</v>
      </c>
      <c r="AY10" t="s">
        <v>2266</v>
      </c>
      <c r="AZ10" t="s">
        <v>2267</v>
      </c>
      <c r="BE10" t="s">
        <v>2268</v>
      </c>
      <c r="BH10" t="s">
        <v>2269</v>
      </c>
      <c r="BN10" t="s">
        <v>2270</v>
      </c>
      <c r="BR10" t="s">
        <v>2271</v>
      </c>
      <c r="BS10" t="s">
        <v>2272</v>
      </c>
      <c r="BV10" t="s">
        <v>2273</v>
      </c>
      <c r="BW10" t="s">
        <v>2274</v>
      </c>
      <c r="BX10" t="s">
        <v>1989</v>
      </c>
      <c r="BY10" t="s">
        <v>2275</v>
      </c>
      <c r="BZ10" t="s">
        <v>2276</v>
      </c>
      <c r="CA10" t="s">
        <v>2277</v>
      </c>
      <c r="CB10" t="s">
        <v>2278</v>
      </c>
      <c r="CC10" t="s">
        <v>2279</v>
      </c>
      <c r="CD10" t="s">
        <v>2280</v>
      </c>
      <c r="CE10" t="s">
        <v>2281</v>
      </c>
      <c r="CF10" t="s">
        <v>1989</v>
      </c>
      <c r="CJ10" t="s">
        <v>2282</v>
      </c>
      <c r="CK10" t="s">
        <v>2283</v>
      </c>
      <c r="CL10" t="s">
        <v>2284</v>
      </c>
      <c r="CN10" t="s">
        <v>1989</v>
      </c>
      <c r="CP10" t="s">
        <v>2285</v>
      </c>
      <c r="CQ10" t="s">
        <v>1835</v>
      </c>
      <c r="CR10" t="s">
        <v>2170</v>
      </c>
      <c r="CS10" t="s">
        <v>2286</v>
      </c>
      <c r="CU10" t="s">
        <v>1874</v>
      </c>
      <c r="CV10" t="s">
        <v>564</v>
      </c>
      <c r="CW10" t="s">
        <v>2287</v>
      </c>
      <c r="CY10" t="s">
        <v>2288</v>
      </c>
      <c r="CZ10" t="s">
        <v>2289</v>
      </c>
      <c r="DB10" t="s">
        <v>2290</v>
      </c>
      <c r="DE10" t="s">
        <v>2091</v>
      </c>
      <c r="DG10" t="s">
        <v>2291</v>
      </c>
      <c r="DH10" t="s">
        <v>2292</v>
      </c>
      <c r="DI10" t="s">
        <v>2293</v>
      </c>
      <c r="DJ10" t="s">
        <v>2294</v>
      </c>
    </row>
    <row r="11" spans="1:114" x14ac:dyDescent="0.25">
      <c r="A11" t="s">
        <v>2295</v>
      </c>
      <c r="C11" t="s">
        <v>2008</v>
      </c>
      <c r="E11" t="s">
        <v>2008</v>
      </c>
      <c r="I11" t="s">
        <v>2296</v>
      </c>
      <c r="S11" t="s">
        <v>2297</v>
      </c>
      <c r="T11" t="s">
        <v>2298</v>
      </c>
      <c r="U11" t="s">
        <v>2299</v>
      </c>
      <c r="X11" t="s">
        <v>2300</v>
      </c>
      <c r="Y11" t="s">
        <v>2301</v>
      </c>
      <c r="Z11" t="s">
        <v>2302</v>
      </c>
      <c r="AF11" t="s">
        <v>2303</v>
      </c>
      <c r="AH11" t="s">
        <v>2304</v>
      </c>
      <c r="AK11" t="s">
        <v>2305</v>
      </c>
      <c r="AL11" t="s">
        <v>2306</v>
      </c>
      <c r="AM11" t="s">
        <v>2307</v>
      </c>
      <c r="AN11" t="s">
        <v>1989</v>
      </c>
      <c r="AY11" t="s">
        <v>2308</v>
      </c>
      <c r="AZ11" t="s">
        <v>2309</v>
      </c>
      <c r="BE11" t="s">
        <v>2310</v>
      </c>
      <c r="BN11" t="s">
        <v>1835</v>
      </c>
      <c r="BR11" t="s">
        <v>2311</v>
      </c>
      <c r="BU11" t="s">
        <v>2312</v>
      </c>
      <c r="BV11" t="s">
        <v>2313</v>
      </c>
      <c r="BZ11" t="s">
        <v>2314</v>
      </c>
      <c r="CB11" t="s">
        <v>2315</v>
      </c>
      <c r="CC11" t="s">
        <v>2316</v>
      </c>
      <c r="CD11" t="s">
        <v>2317</v>
      </c>
      <c r="CE11" t="s">
        <v>2318</v>
      </c>
      <c r="CI11" t="s">
        <v>2319</v>
      </c>
      <c r="CJ11" t="s">
        <v>2320</v>
      </c>
      <c r="CK11" t="s">
        <v>2321</v>
      </c>
      <c r="CL11" t="s">
        <v>2322</v>
      </c>
      <c r="CM11" t="s">
        <v>2323</v>
      </c>
      <c r="CN11" t="s">
        <v>2062</v>
      </c>
      <c r="CP11" t="s">
        <v>2324</v>
      </c>
      <c r="CS11" t="s">
        <v>2325</v>
      </c>
      <c r="CT11" t="s">
        <v>2326</v>
      </c>
      <c r="CU11" t="s">
        <v>2327</v>
      </c>
      <c r="CV11" t="s">
        <v>2328</v>
      </c>
      <c r="CW11" t="s">
        <v>2329</v>
      </c>
      <c r="CX11" t="s">
        <v>2330</v>
      </c>
      <c r="DA11" t="s">
        <v>2331</v>
      </c>
      <c r="DB11" t="s">
        <v>1835</v>
      </c>
      <c r="DE11" t="s">
        <v>2332</v>
      </c>
      <c r="DG11" t="s">
        <v>2333</v>
      </c>
      <c r="DI11" t="s">
        <v>2334</v>
      </c>
      <c r="DJ11" t="s">
        <v>2335</v>
      </c>
    </row>
    <row r="12" spans="1:114" x14ac:dyDescent="0.25">
      <c r="A12" t="s">
        <v>2336</v>
      </c>
      <c r="C12" t="s">
        <v>2170</v>
      </c>
      <c r="E12" t="s">
        <v>2170</v>
      </c>
      <c r="I12" t="s">
        <v>2337</v>
      </c>
      <c r="Q12" t="s">
        <v>2338</v>
      </c>
      <c r="S12" t="s">
        <v>2339</v>
      </c>
      <c r="T12" t="s">
        <v>2340</v>
      </c>
      <c r="U12" t="s">
        <v>2341</v>
      </c>
      <c r="Y12" t="s">
        <v>2342</v>
      </c>
      <c r="Z12" t="s">
        <v>2343</v>
      </c>
      <c r="AD12" t="s">
        <v>2344</v>
      </c>
      <c r="AE12" t="s">
        <v>2345</v>
      </c>
      <c r="AH12" t="s">
        <v>2346</v>
      </c>
      <c r="AI12" t="s">
        <v>2008</v>
      </c>
      <c r="AJ12" t="s">
        <v>2347</v>
      </c>
      <c r="AK12" t="s">
        <v>2348</v>
      </c>
      <c r="AM12" t="s">
        <v>2349</v>
      </c>
      <c r="AY12" t="s">
        <v>2350</v>
      </c>
      <c r="AZ12" t="s">
        <v>2351</v>
      </c>
      <c r="BE12" t="s">
        <v>2352</v>
      </c>
      <c r="BH12" t="s">
        <v>2353</v>
      </c>
      <c r="BR12" t="s">
        <v>2354</v>
      </c>
      <c r="BW12" t="s">
        <v>2355</v>
      </c>
      <c r="BY12" t="s">
        <v>2356</v>
      </c>
      <c r="CA12" t="s">
        <v>2357</v>
      </c>
      <c r="CB12" t="s">
        <v>2358</v>
      </c>
      <c r="CD12" t="s">
        <v>2359</v>
      </c>
      <c r="CE12" t="s">
        <v>2360</v>
      </c>
      <c r="CJ12" t="s">
        <v>2361</v>
      </c>
      <c r="CK12" t="s">
        <v>2362</v>
      </c>
      <c r="CL12" t="s">
        <v>2363</v>
      </c>
      <c r="CP12" t="s">
        <v>2364</v>
      </c>
      <c r="CQ12" t="s">
        <v>2365</v>
      </c>
      <c r="CS12" t="s">
        <v>2366</v>
      </c>
      <c r="CT12" t="s">
        <v>2367</v>
      </c>
      <c r="CU12" t="s">
        <v>1927</v>
      </c>
      <c r="CV12" t="s">
        <v>2368</v>
      </c>
      <c r="CY12" t="s">
        <v>2369</v>
      </c>
      <c r="CZ12" t="s">
        <v>2370</v>
      </c>
      <c r="DA12" t="s">
        <v>2371</v>
      </c>
      <c r="DG12" t="s">
        <v>2372</v>
      </c>
      <c r="DH12" t="s">
        <v>2008</v>
      </c>
      <c r="DJ12" t="s">
        <v>2373</v>
      </c>
    </row>
    <row r="13" spans="1:114" x14ac:dyDescent="0.25">
      <c r="C13" t="s">
        <v>1989</v>
      </c>
      <c r="E13" t="s">
        <v>1989</v>
      </c>
      <c r="I13" t="s">
        <v>2374</v>
      </c>
      <c r="Q13" t="s">
        <v>2375</v>
      </c>
      <c r="S13" t="s">
        <v>2376</v>
      </c>
      <c r="T13" t="s">
        <v>2377</v>
      </c>
      <c r="U13" t="s">
        <v>2378</v>
      </c>
      <c r="X13" t="s">
        <v>2379</v>
      </c>
      <c r="Y13" t="s">
        <v>2380</v>
      </c>
      <c r="Z13" t="s">
        <v>2381</v>
      </c>
      <c r="AD13" t="s">
        <v>2382</v>
      </c>
      <c r="AE13" t="s">
        <v>2383</v>
      </c>
      <c r="AF13" t="s">
        <v>2384</v>
      </c>
      <c r="AH13" t="s">
        <v>2385</v>
      </c>
      <c r="AI13" t="s">
        <v>2170</v>
      </c>
      <c r="AK13" t="s">
        <v>2386</v>
      </c>
      <c r="AL13" t="s">
        <v>2008</v>
      </c>
      <c r="AM13" t="s">
        <v>2387</v>
      </c>
      <c r="AY13" t="s">
        <v>2388</v>
      </c>
      <c r="BE13" t="s">
        <v>2389</v>
      </c>
      <c r="BN13" t="s">
        <v>2390</v>
      </c>
      <c r="BR13" t="s">
        <v>2391</v>
      </c>
      <c r="BU13" t="s">
        <v>2392</v>
      </c>
      <c r="BW13" t="s">
        <v>2393</v>
      </c>
      <c r="BZ13" t="s">
        <v>2394</v>
      </c>
      <c r="CA13" t="s">
        <v>2395</v>
      </c>
      <c r="CC13" t="s">
        <v>2396</v>
      </c>
      <c r="CD13" t="s">
        <v>2397</v>
      </c>
      <c r="CE13" t="s">
        <v>2398</v>
      </c>
      <c r="CK13" t="s">
        <v>2399</v>
      </c>
      <c r="CL13" t="s">
        <v>2400</v>
      </c>
      <c r="CM13" t="s">
        <v>2401</v>
      </c>
      <c r="CN13" t="s">
        <v>2402</v>
      </c>
      <c r="CQ13" t="s">
        <v>2403</v>
      </c>
      <c r="CS13" t="s">
        <v>2404</v>
      </c>
      <c r="CT13" t="s">
        <v>2405</v>
      </c>
      <c r="CU13" t="s">
        <v>2406</v>
      </c>
      <c r="CW13" t="s">
        <v>2407</v>
      </c>
      <c r="CX13" t="s">
        <v>2408</v>
      </c>
      <c r="CZ13" t="s">
        <v>2409</v>
      </c>
      <c r="DA13" t="s">
        <v>2410</v>
      </c>
      <c r="DB13" t="s">
        <v>2411</v>
      </c>
      <c r="DE13" t="s">
        <v>2412</v>
      </c>
      <c r="DG13" t="s">
        <v>2413</v>
      </c>
      <c r="DH13" t="s">
        <v>2170</v>
      </c>
      <c r="DI13" t="s">
        <v>2414</v>
      </c>
      <c r="DJ13" t="s">
        <v>2415</v>
      </c>
    </row>
    <row r="14" spans="1:114" x14ac:dyDescent="0.25">
      <c r="A14" t="s">
        <v>2008</v>
      </c>
      <c r="Q14" t="s">
        <v>2416</v>
      </c>
      <c r="S14" t="s">
        <v>2417</v>
      </c>
      <c r="U14" t="s">
        <v>2418</v>
      </c>
      <c r="Y14" t="s">
        <v>2419</v>
      </c>
      <c r="Z14" t="s">
        <v>2420</v>
      </c>
      <c r="AD14" t="s">
        <v>2421</v>
      </c>
      <c r="AE14" t="s">
        <v>2422</v>
      </c>
      <c r="AH14" t="s">
        <v>2423</v>
      </c>
      <c r="AI14" t="s">
        <v>1989</v>
      </c>
      <c r="AJ14" t="s">
        <v>2424</v>
      </c>
      <c r="AK14" t="s">
        <v>2425</v>
      </c>
      <c r="AL14" t="s">
        <v>2170</v>
      </c>
      <c r="AM14" t="s">
        <v>2426</v>
      </c>
      <c r="AY14" t="s">
        <v>2427</v>
      </c>
      <c r="AZ14" t="s">
        <v>2428</v>
      </c>
      <c r="BN14" t="s">
        <v>2429</v>
      </c>
      <c r="BR14" t="s">
        <v>2430</v>
      </c>
      <c r="BW14" t="s">
        <v>2431</v>
      </c>
      <c r="BZ14" t="s">
        <v>2432</v>
      </c>
      <c r="CA14" t="s">
        <v>2008</v>
      </c>
      <c r="CB14" t="s">
        <v>2433</v>
      </c>
      <c r="CD14" t="s">
        <v>2434</v>
      </c>
      <c r="CE14" t="s">
        <v>2435</v>
      </c>
      <c r="CJ14" t="s">
        <v>2436</v>
      </c>
      <c r="CL14" t="s">
        <v>2437</v>
      </c>
      <c r="CM14" t="s">
        <v>2438</v>
      </c>
      <c r="CP14" t="s">
        <v>2008</v>
      </c>
      <c r="CQ14" t="s">
        <v>2439</v>
      </c>
      <c r="CT14" t="s">
        <v>2440</v>
      </c>
      <c r="CU14" t="s">
        <v>2441</v>
      </c>
      <c r="CV14" t="s">
        <v>2442</v>
      </c>
      <c r="CW14" t="s">
        <v>2443</v>
      </c>
      <c r="CX14" t="s">
        <v>2444</v>
      </c>
      <c r="CY14" t="s">
        <v>2445</v>
      </c>
      <c r="CZ14" t="s">
        <v>2446</v>
      </c>
      <c r="DA14" t="s">
        <v>2447</v>
      </c>
      <c r="DB14" t="s">
        <v>2448</v>
      </c>
      <c r="DG14" t="s">
        <v>2449</v>
      </c>
      <c r="DH14" t="s">
        <v>1989</v>
      </c>
      <c r="DI14" t="s">
        <v>2008</v>
      </c>
      <c r="DJ14" t="s">
        <v>2450</v>
      </c>
    </row>
    <row r="15" spans="1:114" x14ac:dyDescent="0.25">
      <c r="A15" t="s">
        <v>2170</v>
      </c>
      <c r="S15" t="s">
        <v>2451</v>
      </c>
      <c r="U15" t="s">
        <v>2452</v>
      </c>
      <c r="X15" t="s">
        <v>2453</v>
      </c>
      <c r="Y15" t="s">
        <v>2454</v>
      </c>
      <c r="Z15" t="s">
        <v>2455</v>
      </c>
      <c r="AD15" t="s">
        <v>2456</v>
      </c>
      <c r="AE15" t="s">
        <v>2457</v>
      </c>
      <c r="AF15" t="s">
        <v>2458</v>
      </c>
      <c r="AJ15" t="s">
        <v>2459</v>
      </c>
      <c r="AK15" t="s">
        <v>2460</v>
      </c>
      <c r="AL15" t="s">
        <v>1989</v>
      </c>
      <c r="AM15" t="s">
        <v>2461</v>
      </c>
      <c r="AY15" t="s">
        <v>2462</v>
      </c>
      <c r="BE15" t="s">
        <v>2463</v>
      </c>
      <c r="BN15" t="s">
        <v>2464</v>
      </c>
      <c r="BR15" t="s">
        <v>2465</v>
      </c>
      <c r="BU15" t="s">
        <v>2466</v>
      </c>
      <c r="BW15" t="s">
        <v>2467</v>
      </c>
      <c r="BZ15" t="s">
        <v>2468</v>
      </c>
      <c r="CA15" t="s">
        <v>2469</v>
      </c>
      <c r="CC15" t="s">
        <v>2470</v>
      </c>
      <c r="CE15" t="s">
        <v>2471</v>
      </c>
      <c r="CJ15" t="s">
        <v>2472</v>
      </c>
      <c r="CL15" t="s">
        <v>2473</v>
      </c>
      <c r="CP15" t="s">
        <v>2170</v>
      </c>
      <c r="CQ15" t="s">
        <v>2474</v>
      </c>
      <c r="CS15" t="s">
        <v>2475</v>
      </c>
      <c r="CT15" t="s">
        <v>2476</v>
      </c>
      <c r="CU15" t="s">
        <v>2477</v>
      </c>
      <c r="CW15" t="s">
        <v>2478</v>
      </c>
      <c r="CX15" t="s">
        <v>2479</v>
      </c>
      <c r="CY15" t="s">
        <v>2480</v>
      </c>
      <c r="CZ15" t="s">
        <v>2481</v>
      </c>
      <c r="DB15" t="s">
        <v>2482</v>
      </c>
      <c r="DI15" t="s">
        <v>2170</v>
      </c>
    </row>
    <row r="16" spans="1:114" x14ac:dyDescent="0.25">
      <c r="A16" t="s">
        <v>2483</v>
      </c>
      <c r="Q16" t="s">
        <v>2484</v>
      </c>
      <c r="S16" t="s">
        <v>2485</v>
      </c>
      <c r="U16" t="s">
        <v>2486</v>
      </c>
      <c r="Z16" t="s">
        <v>2487</v>
      </c>
      <c r="AE16" t="s">
        <v>2488</v>
      </c>
      <c r="AF16" t="s">
        <v>2489</v>
      </c>
      <c r="AH16" t="s">
        <v>2008</v>
      </c>
      <c r="AK16" t="s">
        <v>2490</v>
      </c>
      <c r="AY16" t="s">
        <v>2491</v>
      </c>
      <c r="AZ16" t="s">
        <v>2492</v>
      </c>
      <c r="BN16" t="s">
        <v>2493</v>
      </c>
      <c r="BR16" t="s">
        <v>2494</v>
      </c>
      <c r="CA16" t="s">
        <v>1989</v>
      </c>
      <c r="CB16" t="s">
        <v>2008</v>
      </c>
      <c r="CD16" t="s">
        <v>2495</v>
      </c>
      <c r="CJ16" t="s">
        <v>2496</v>
      </c>
      <c r="CL16" t="s">
        <v>2497</v>
      </c>
      <c r="CM16" t="s">
        <v>2498</v>
      </c>
      <c r="CS16" t="s">
        <v>2499</v>
      </c>
      <c r="CT16" t="s">
        <v>2500</v>
      </c>
      <c r="CU16" t="s">
        <v>1835</v>
      </c>
      <c r="CV16" t="s">
        <v>2501</v>
      </c>
      <c r="CW16" t="s">
        <v>2502</v>
      </c>
      <c r="CX16" t="s">
        <v>2503</v>
      </c>
      <c r="CY16" t="s">
        <v>2504</v>
      </c>
      <c r="CZ16" t="s">
        <v>2505</v>
      </c>
      <c r="DA16" t="s">
        <v>2506</v>
      </c>
      <c r="DB16" t="s">
        <v>2507</v>
      </c>
      <c r="DI16" t="s">
        <v>1989</v>
      </c>
    </row>
    <row r="17" spans="17:106" x14ac:dyDescent="0.25">
      <c r="Q17" t="s">
        <v>2508</v>
      </c>
      <c r="S17" t="s">
        <v>2509</v>
      </c>
      <c r="U17" t="s">
        <v>2510</v>
      </c>
      <c r="X17" t="s">
        <v>2008</v>
      </c>
      <c r="Y17" t="s">
        <v>2008</v>
      </c>
      <c r="AD17" t="s">
        <v>2511</v>
      </c>
      <c r="AH17" t="s">
        <v>2170</v>
      </c>
      <c r="AJ17" t="s">
        <v>2008</v>
      </c>
      <c r="AM17" t="s">
        <v>2512</v>
      </c>
      <c r="AY17" t="s">
        <v>2513</v>
      </c>
      <c r="AZ17" t="s">
        <v>2514</v>
      </c>
      <c r="BR17" t="s">
        <v>2515</v>
      </c>
      <c r="BU17" t="s">
        <v>2516</v>
      </c>
      <c r="BW17" t="s">
        <v>2170</v>
      </c>
      <c r="BZ17" t="s">
        <v>2517</v>
      </c>
      <c r="CB17" t="s">
        <v>2170</v>
      </c>
      <c r="CC17" t="s">
        <v>2518</v>
      </c>
      <c r="CD17" t="s">
        <v>2519</v>
      </c>
      <c r="CE17" t="s">
        <v>2008</v>
      </c>
      <c r="CJ17" t="s">
        <v>2520</v>
      </c>
      <c r="CL17" t="s">
        <v>2521</v>
      </c>
      <c r="CM17" t="s">
        <v>2522</v>
      </c>
      <c r="CQ17" t="s">
        <v>2523</v>
      </c>
      <c r="CS17" t="s">
        <v>2524</v>
      </c>
      <c r="CW17" t="s">
        <v>2525</v>
      </c>
      <c r="CY17" t="s">
        <v>2526</v>
      </c>
      <c r="CZ17" t="s">
        <v>2527</v>
      </c>
      <c r="DA17" t="s">
        <v>2528</v>
      </c>
      <c r="DB17" t="s">
        <v>2529</v>
      </c>
    </row>
    <row r="18" spans="17:106" x14ac:dyDescent="0.25">
      <c r="Q18" t="s">
        <v>2530</v>
      </c>
      <c r="S18" t="s">
        <v>2531</v>
      </c>
      <c r="U18" t="s">
        <v>2532</v>
      </c>
      <c r="X18" t="s">
        <v>2170</v>
      </c>
      <c r="Y18" t="s">
        <v>2170</v>
      </c>
      <c r="Z18" t="s">
        <v>2170</v>
      </c>
      <c r="AE18" t="s">
        <v>2533</v>
      </c>
      <c r="AF18" t="s">
        <v>2008</v>
      </c>
      <c r="AH18" t="s">
        <v>1989</v>
      </c>
      <c r="AJ18" t="s">
        <v>2170</v>
      </c>
      <c r="AK18" t="s">
        <v>2534</v>
      </c>
      <c r="AY18" t="s">
        <v>2535</v>
      </c>
      <c r="AZ18" t="s">
        <v>2536</v>
      </c>
      <c r="BN18" t="s">
        <v>2537</v>
      </c>
      <c r="BR18" t="s">
        <v>2538</v>
      </c>
      <c r="BU18" t="s">
        <v>2539</v>
      </c>
      <c r="BW18" t="s">
        <v>1989</v>
      </c>
      <c r="CB18" t="s">
        <v>1989</v>
      </c>
      <c r="CC18" t="s">
        <v>2540</v>
      </c>
      <c r="CD18" t="s">
        <v>2541</v>
      </c>
      <c r="CE18" t="s">
        <v>2170</v>
      </c>
      <c r="CJ18" t="s">
        <v>2542</v>
      </c>
      <c r="CS18" t="s">
        <v>2543</v>
      </c>
      <c r="CT18" t="s">
        <v>2544</v>
      </c>
      <c r="CU18" t="s">
        <v>2545</v>
      </c>
      <c r="CV18" t="s">
        <v>2546</v>
      </c>
      <c r="CW18" t="s">
        <v>2547</v>
      </c>
      <c r="CX18" t="s">
        <v>2548</v>
      </c>
      <c r="CY18" t="s">
        <v>2549</v>
      </c>
      <c r="DA18" t="s">
        <v>2550</v>
      </c>
    </row>
    <row r="19" spans="17:106" x14ac:dyDescent="0.25">
      <c r="S19" t="s">
        <v>2551</v>
      </c>
      <c r="X19" t="s">
        <v>1989</v>
      </c>
      <c r="Y19" t="s">
        <v>1989</v>
      </c>
      <c r="Z19" t="s">
        <v>1989</v>
      </c>
      <c r="AD19" t="s">
        <v>2008</v>
      </c>
      <c r="AE19" t="s">
        <v>2008</v>
      </c>
      <c r="AF19" t="s">
        <v>2170</v>
      </c>
      <c r="AJ19" t="s">
        <v>1989</v>
      </c>
      <c r="AK19" t="s">
        <v>2552</v>
      </c>
      <c r="AM19" t="s">
        <v>2553</v>
      </c>
      <c r="AY19" t="s">
        <v>2554</v>
      </c>
      <c r="AZ19" t="s">
        <v>2555</v>
      </c>
      <c r="BN19" t="s">
        <v>2556</v>
      </c>
      <c r="BR19" t="s">
        <v>2557</v>
      </c>
      <c r="BU19" t="s">
        <v>2558</v>
      </c>
      <c r="BZ19" t="s">
        <v>2559</v>
      </c>
      <c r="CC19" t="s">
        <v>2560</v>
      </c>
      <c r="CE19" t="s">
        <v>1989</v>
      </c>
      <c r="CJ19" t="s">
        <v>2561</v>
      </c>
      <c r="CL19" t="s">
        <v>2562</v>
      </c>
      <c r="CM19" t="s">
        <v>2563</v>
      </c>
      <c r="CQ19" t="s">
        <v>2564</v>
      </c>
      <c r="CT19" t="s">
        <v>2565</v>
      </c>
      <c r="CU19" t="s">
        <v>2566</v>
      </c>
      <c r="CV19" t="s">
        <v>2567</v>
      </c>
      <c r="CW19" t="s">
        <v>2568</v>
      </c>
      <c r="CY19" t="s">
        <v>2569</v>
      </c>
      <c r="CZ19" t="s">
        <v>2570</v>
      </c>
      <c r="DB19" t="s">
        <v>2571</v>
      </c>
    </row>
    <row r="20" spans="17:106" x14ac:dyDescent="0.25">
      <c r="Q20" t="s">
        <v>2572</v>
      </c>
      <c r="S20" t="s">
        <v>2573</v>
      </c>
      <c r="U20" t="s">
        <v>2008</v>
      </c>
      <c r="AD20" t="s">
        <v>2170</v>
      </c>
      <c r="AE20" t="s">
        <v>2170</v>
      </c>
      <c r="AF20" t="s">
        <v>1989</v>
      </c>
      <c r="AK20" t="s">
        <v>2574</v>
      </c>
      <c r="AM20" t="s">
        <v>2575</v>
      </c>
      <c r="AY20" t="s">
        <v>2576</v>
      </c>
      <c r="BN20" t="s">
        <v>2577</v>
      </c>
      <c r="BR20" t="s">
        <v>2578</v>
      </c>
      <c r="BU20" t="s">
        <v>2579</v>
      </c>
      <c r="BZ20" t="s">
        <v>2580</v>
      </c>
      <c r="CC20" t="s">
        <v>2581</v>
      </c>
      <c r="CD20" t="s">
        <v>2582</v>
      </c>
      <c r="CJ20" t="s">
        <v>2583</v>
      </c>
      <c r="CL20" t="s">
        <v>2584</v>
      </c>
      <c r="CM20" t="s">
        <v>2585</v>
      </c>
      <c r="CQ20" t="s">
        <v>2586</v>
      </c>
      <c r="CS20" t="s">
        <v>2587</v>
      </c>
      <c r="CT20" t="s">
        <v>2588</v>
      </c>
      <c r="CV20" t="s">
        <v>2589</v>
      </c>
      <c r="CW20" t="s">
        <v>2590</v>
      </c>
      <c r="CX20" t="s">
        <v>2591</v>
      </c>
      <c r="CY20" t="s">
        <v>2111</v>
      </c>
      <c r="CZ20" t="s">
        <v>2592</v>
      </c>
      <c r="DA20" t="s">
        <v>2593</v>
      </c>
      <c r="DB20" t="s">
        <v>2594</v>
      </c>
    </row>
    <row r="21" spans="17:106" x14ac:dyDescent="0.25">
      <c r="Q21" t="s">
        <v>2595</v>
      </c>
      <c r="S21" t="s">
        <v>2596</v>
      </c>
      <c r="U21" t="s">
        <v>2170</v>
      </c>
      <c r="AD21" t="s">
        <v>1989</v>
      </c>
      <c r="AE21" t="s">
        <v>1989</v>
      </c>
      <c r="AM21" t="s">
        <v>2597</v>
      </c>
      <c r="AZ21" t="s">
        <v>2170</v>
      </c>
      <c r="BN21" t="s">
        <v>2598</v>
      </c>
      <c r="BR21" t="s">
        <v>2599</v>
      </c>
      <c r="BZ21" t="s">
        <v>2008</v>
      </c>
      <c r="CM21" t="s">
        <v>2600</v>
      </c>
      <c r="CQ21" t="s">
        <v>2601</v>
      </c>
      <c r="CS21" t="s">
        <v>2602</v>
      </c>
      <c r="CT21" t="s">
        <v>2603</v>
      </c>
      <c r="CU21" t="s">
        <v>2604</v>
      </c>
      <c r="CV21" t="s">
        <v>2605</v>
      </c>
      <c r="CW21" t="s">
        <v>2606</v>
      </c>
      <c r="CX21" t="s">
        <v>2607</v>
      </c>
      <c r="CZ21" t="s">
        <v>2608</v>
      </c>
      <c r="DA21" t="s">
        <v>2008</v>
      </c>
      <c r="DB21" t="s">
        <v>2609</v>
      </c>
    </row>
    <row r="22" spans="17:106" x14ac:dyDescent="0.25">
      <c r="Q22" t="s">
        <v>2610</v>
      </c>
      <c r="U22" t="s">
        <v>1989</v>
      </c>
      <c r="AK22" t="s">
        <v>2611</v>
      </c>
      <c r="BN22" t="s">
        <v>2612</v>
      </c>
      <c r="BR22" t="s">
        <v>2613</v>
      </c>
      <c r="BU22" t="s">
        <v>2614</v>
      </c>
      <c r="BZ22" t="s">
        <v>2170</v>
      </c>
      <c r="CC22" t="s">
        <v>2008</v>
      </c>
      <c r="CD22" t="s">
        <v>2615</v>
      </c>
      <c r="CJ22" t="s">
        <v>2008</v>
      </c>
      <c r="CL22" t="s">
        <v>2616</v>
      </c>
      <c r="CM22" t="s">
        <v>2617</v>
      </c>
      <c r="CQ22" t="s">
        <v>2618</v>
      </c>
      <c r="CS22" t="s">
        <v>2619</v>
      </c>
      <c r="CU22" t="s">
        <v>2620</v>
      </c>
      <c r="CV22" t="s">
        <v>2621</v>
      </c>
      <c r="CW22" t="s">
        <v>2622</v>
      </c>
      <c r="CX22" t="s">
        <v>2623</v>
      </c>
      <c r="CY22" t="s">
        <v>2624</v>
      </c>
      <c r="CZ22" t="s">
        <v>2625</v>
      </c>
      <c r="DA22" t="s">
        <v>2170</v>
      </c>
      <c r="DB22" t="s">
        <v>2626</v>
      </c>
    </row>
    <row r="23" spans="17:106" x14ac:dyDescent="0.25">
      <c r="S23" t="s">
        <v>2627</v>
      </c>
      <c r="AK23" t="s">
        <v>2628</v>
      </c>
      <c r="AM23" t="s">
        <v>2629</v>
      </c>
      <c r="BR23" t="s">
        <v>2630</v>
      </c>
      <c r="BZ23" t="s">
        <v>1989</v>
      </c>
      <c r="CC23" t="s">
        <v>2170</v>
      </c>
      <c r="CJ23" t="s">
        <v>2170</v>
      </c>
      <c r="CL23" t="s">
        <v>2631</v>
      </c>
      <c r="CM23" t="s">
        <v>2632</v>
      </c>
      <c r="CT23" t="s">
        <v>2633</v>
      </c>
      <c r="CU23" t="s">
        <v>2634</v>
      </c>
      <c r="CV23" t="s">
        <v>2635</v>
      </c>
      <c r="CW23" t="s">
        <v>2636</v>
      </c>
      <c r="CY23" t="s">
        <v>2637</v>
      </c>
      <c r="CZ23" t="s">
        <v>2638</v>
      </c>
      <c r="DB23" t="s">
        <v>2639</v>
      </c>
    </row>
    <row r="24" spans="17:106" x14ac:dyDescent="0.25">
      <c r="Q24" t="s">
        <v>2008</v>
      </c>
      <c r="AM24" t="s">
        <v>2640</v>
      </c>
      <c r="BN24" t="s">
        <v>2641</v>
      </c>
      <c r="BR24" t="s">
        <v>2642</v>
      </c>
      <c r="BU24" t="s">
        <v>2643</v>
      </c>
      <c r="CC24" t="s">
        <v>1989</v>
      </c>
      <c r="CD24" t="s">
        <v>2644</v>
      </c>
      <c r="CL24" t="s">
        <v>2645</v>
      </c>
      <c r="CM24" t="s">
        <v>2646</v>
      </c>
      <c r="CQ24" t="s">
        <v>2647</v>
      </c>
      <c r="CS24" t="s">
        <v>2648</v>
      </c>
      <c r="CT24" t="s">
        <v>2649</v>
      </c>
      <c r="CU24" t="s">
        <v>2650</v>
      </c>
      <c r="CV24" t="s">
        <v>2651</v>
      </c>
      <c r="CX24" t="s">
        <v>2008</v>
      </c>
      <c r="CY24" t="s">
        <v>2652</v>
      </c>
      <c r="CZ24" t="s">
        <v>2653</v>
      </c>
      <c r="DB24" t="s">
        <v>2654</v>
      </c>
    </row>
    <row r="25" spans="17:106" x14ac:dyDescent="0.25">
      <c r="Q25" t="s">
        <v>2170</v>
      </c>
      <c r="S25" t="s">
        <v>2170</v>
      </c>
      <c r="AK25" t="s">
        <v>2655</v>
      </c>
      <c r="AM25" t="s">
        <v>2656</v>
      </c>
      <c r="BN25" t="s">
        <v>2657</v>
      </c>
      <c r="BR25" t="s">
        <v>2658</v>
      </c>
      <c r="CQ25" t="s">
        <v>2659</v>
      </c>
      <c r="CS25" t="s">
        <v>2660</v>
      </c>
      <c r="CT25" t="s">
        <v>2661</v>
      </c>
      <c r="CU25" t="s">
        <v>2662</v>
      </c>
      <c r="CV25" t="s">
        <v>2663</v>
      </c>
      <c r="CW25" t="s">
        <v>2664</v>
      </c>
      <c r="CX25" t="s">
        <v>2170</v>
      </c>
      <c r="CY25" t="s">
        <v>2665</v>
      </c>
    </row>
    <row r="26" spans="17:106" x14ac:dyDescent="0.25">
      <c r="S26" t="s">
        <v>2666</v>
      </c>
      <c r="AK26" t="s">
        <v>2667</v>
      </c>
      <c r="BN26" t="s">
        <v>2668</v>
      </c>
      <c r="BR26" t="s">
        <v>2669</v>
      </c>
      <c r="BU26" t="s">
        <v>2008</v>
      </c>
      <c r="CD26" t="s">
        <v>2008</v>
      </c>
      <c r="CL26" t="s">
        <v>2008</v>
      </c>
      <c r="CM26" t="s">
        <v>2170</v>
      </c>
      <c r="CQ26" t="s">
        <v>2670</v>
      </c>
      <c r="CT26" t="s">
        <v>2671</v>
      </c>
      <c r="CV26" t="s">
        <v>2672</v>
      </c>
      <c r="CW26" t="s">
        <v>2673</v>
      </c>
      <c r="CY26" t="s">
        <v>2674</v>
      </c>
      <c r="CZ26" t="s">
        <v>2675</v>
      </c>
      <c r="DB26" t="s">
        <v>2676</v>
      </c>
    </row>
    <row r="27" spans="17:106" x14ac:dyDescent="0.25">
      <c r="S27" t="s">
        <v>2151</v>
      </c>
      <c r="AM27" t="s">
        <v>2008</v>
      </c>
      <c r="BN27" t="s">
        <v>2677</v>
      </c>
      <c r="BR27" t="s">
        <v>2678</v>
      </c>
      <c r="BU27" t="s">
        <v>2170</v>
      </c>
      <c r="CD27" t="s">
        <v>2170</v>
      </c>
      <c r="CL27" t="s">
        <v>2170</v>
      </c>
      <c r="CM27" t="s">
        <v>2151</v>
      </c>
      <c r="CQ27" t="s">
        <v>2679</v>
      </c>
      <c r="CS27" t="s">
        <v>2680</v>
      </c>
      <c r="CT27" t="s">
        <v>2681</v>
      </c>
      <c r="CU27" t="s">
        <v>2682</v>
      </c>
      <c r="CV27" t="s">
        <v>2683</v>
      </c>
      <c r="CW27" t="s">
        <v>2684</v>
      </c>
      <c r="CY27" t="s">
        <v>2685</v>
      </c>
      <c r="CZ27" t="s">
        <v>2686</v>
      </c>
      <c r="DB27" t="s">
        <v>2687</v>
      </c>
    </row>
    <row r="28" spans="17:106" x14ac:dyDescent="0.25">
      <c r="S28" t="s">
        <v>2688</v>
      </c>
      <c r="AK28" t="s">
        <v>2689</v>
      </c>
      <c r="AM28" t="s">
        <v>2170</v>
      </c>
      <c r="BR28" t="s">
        <v>2690</v>
      </c>
      <c r="CD28" t="s">
        <v>1989</v>
      </c>
      <c r="CL28" t="s">
        <v>2688</v>
      </c>
      <c r="CM28" t="s">
        <v>2688</v>
      </c>
      <c r="CQ28" t="s">
        <v>2691</v>
      </c>
      <c r="CS28" t="s">
        <v>2692</v>
      </c>
      <c r="CT28" t="s">
        <v>2693</v>
      </c>
      <c r="CU28" t="s">
        <v>2694</v>
      </c>
      <c r="CV28" t="s">
        <v>2695</v>
      </c>
      <c r="CW28" t="s">
        <v>2696</v>
      </c>
      <c r="CY28" t="s">
        <v>2697</v>
      </c>
      <c r="DB28" t="s">
        <v>2698</v>
      </c>
    </row>
    <row r="29" spans="17:106" x14ac:dyDescent="0.25">
      <c r="AK29" t="s">
        <v>2699</v>
      </c>
      <c r="AM29" t="s">
        <v>1989</v>
      </c>
      <c r="BN29" t="s">
        <v>2700</v>
      </c>
      <c r="BR29" t="s">
        <v>2701</v>
      </c>
      <c r="BU29" t="s">
        <v>2702</v>
      </c>
      <c r="CS29" t="s">
        <v>2703</v>
      </c>
      <c r="CT29" t="s">
        <v>2704</v>
      </c>
      <c r="CU29" t="s">
        <v>2705</v>
      </c>
      <c r="CV29" t="s">
        <v>2706</v>
      </c>
      <c r="CW29" t="s">
        <v>2707</v>
      </c>
      <c r="CY29" t="s">
        <v>2708</v>
      </c>
      <c r="CZ29" t="s">
        <v>2709</v>
      </c>
    </row>
    <row r="30" spans="17:106" x14ac:dyDescent="0.25">
      <c r="BN30" t="s">
        <v>2710</v>
      </c>
      <c r="BR30" t="s">
        <v>2711</v>
      </c>
      <c r="BU30" t="s">
        <v>2712</v>
      </c>
      <c r="CQ30" t="s">
        <v>2713</v>
      </c>
      <c r="CT30" t="s">
        <v>2714</v>
      </c>
      <c r="CV30" t="s">
        <v>2715</v>
      </c>
      <c r="CW30" t="s">
        <v>2716</v>
      </c>
      <c r="CY30" t="s">
        <v>2717</v>
      </c>
      <c r="CZ30" t="s">
        <v>2718</v>
      </c>
      <c r="DB30" t="s">
        <v>2719</v>
      </c>
    </row>
    <row r="31" spans="17:106" x14ac:dyDescent="0.25">
      <c r="AK31" t="s">
        <v>2720</v>
      </c>
      <c r="BN31" t="s">
        <v>2721</v>
      </c>
      <c r="BR31" t="s">
        <v>2722</v>
      </c>
      <c r="CQ31" t="s">
        <v>2723</v>
      </c>
      <c r="CS31" t="s">
        <v>2008</v>
      </c>
      <c r="CT31" t="s">
        <v>2724</v>
      </c>
      <c r="CU31" t="s">
        <v>2725</v>
      </c>
      <c r="CV31" t="s">
        <v>2726</v>
      </c>
      <c r="CY31" t="s">
        <v>2727</v>
      </c>
      <c r="CZ31" t="s">
        <v>2728</v>
      </c>
      <c r="DB31" t="s">
        <v>2729</v>
      </c>
    </row>
    <row r="32" spans="17:106" x14ac:dyDescent="0.25">
      <c r="BN32" t="s">
        <v>2730</v>
      </c>
      <c r="BR32" t="s">
        <v>2731</v>
      </c>
      <c r="CS32" t="s">
        <v>2170</v>
      </c>
      <c r="CV32" t="s">
        <v>2732</v>
      </c>
      <c r="CW32" t="s">
        <v>2008</v>
      </c>
    </row>
    <row r="33" spans="37:106" x14ac:dyDescent="0.25">
      <c r="AK33" t="s">
        <v>2170</v>
      </c>
      <c r="BR33" t="s">
        <v>2733</v>
      </c>
      <c r="CQ33" t="s">
        <v>2734</v>
      </c>
      <c r="CT33" t="s">
        <v>2735</v>
      </c>
      <c r="CU33" t="s">
        <v>2736</v>
      </c>
      <c r="CV33" t="s">
        <v>2737</v>
      </c>
      <c r="CW33" t="s">
        <v>2170</v>
      </c>
      <c r="CY33" t="s">
        <v>2738</v>
      </c>
      <c r="CZ33" t="s">
        <v>2008</v>
      </c>
      <c r="DB33" t="s">
        <v>2739</v>
      </c>
    </row>
    <row r="34" spans="37:106" x14ac:dyDescent="0.25">
      <c r="AK34" t="s">
        <v>1989</v>
      </c>
      <c r="BN34" t="s">
        <v>2740</v>
      </c>
      <c r="BR34" t="s">
        <v>2741</v>
      </c>
      <c r="CQ34" t="s">
        <v>2742</v>
      </c>
      <c r="CT34" t="s">
        <v>2743</v>
      </c>
      <c r="CU34" t="s">
        <v>2744</v>
      </c>
      <c r="CV34" t="s">
        <v>2745</v>
      </c>
      <c r="CY34" t="s">
        <v>2746</v>
      </c>
      <c r="CZ34" t="s">
        <v>2170</v>
      </c>
      <c r="DB34" t="s">
        <v>2747</v>
      </c>
    </row>
    <row r="35" spans="37:106" x14ac:dyDescent="0.25">
      <c r="BN35" t="s">
        <v>2748</v>
      </c>
      <c r="BR35" t="s">
        <v>2749</v>
      </c>
      <c r="CQ35" t="s">
        <v>2750</v>
      </c>
      <c r="CU35" t="s">
        <v>2751</v>
      </c>
      <c r="CV35" t="s">
        <v>2752</v>
      </c>
      <c r="CY35" t="s">
        <v>2753</v>
      </c>
      <c r="DB35" t="s">
        <v>2754</v>
      </c>
    </row>
    <row r="36" spans="37:106" x14ac:dyDescent="0.25">
      <c r="BN36" t="s">
        <v>2755</v>
      </c>
      <c r="BR36" t="s">
        <v>2756</v>
      </c>
      <c r="CQ36" t="s">
        <v>2757</v>
      </c>
      <c r="CT36" t="s">
        <v>2008</v>
      </c>
      <c r="CV36" t="s">
        <v>2758</v>
      </c>
      <c r="CY36" t="s">
        <v>2759</v>
      </c>
      <c r="DB36" t="s">
        <v>2760</v>
      </c>
    </row>
    <row r="37" spans="37:106" x14ac:dyDescent="0.25">
      <c r="BN37" t="s">
        <v>2761</v>
      </c>
      <c r="BR37" t="s">
        <v>2762</v>
      </c>
      <c r="CQ37" t="s">
        <v>2763</v>
      </c>
      <c r="CT37" t="s">
        <v>2170</v>
      </c>
      <c r="CU37" t="s">
        <v>2764</v>
      </c>
      <c r="CV37" t="s">
        <v>2765</v>
      </c>
    </row>
    <row r="38" spans="37:106" x14ac:dyDescent="0.25">
      <c r="BN38" t="s">
        <v>2766</v>
      </c>
      <c r="BR38" t="s">
        <v>2767</v>
      </c>
      <c r="CU38" t="s">
        <v>2768</v>
      </c>
      <c r="CY38" t="s">
        <v>2769</v>
      </c>
      <c r="DB38" t="s">
        <v>2770</v>
      </c>
    </row>
    <row r="39" spans="37:106" x14ac:dyDescent="0.25">
      <c r="BR39" t="s">
        <v>2771</v>
      </c>
      <c r="CQ39" t="s">
        <v>2772</v>
      </c>
      <c r="CU39" t="s">
        <v>2773</v>
      </c>
      <c r="CV39" t="s">
        <v>2774</v>
      </c>
      <c r="DB39" t="s">
        <v>2775</v>
      </c>
    </row>
    <row r="40" spans="37:106" x14ac:dyDescent="0.25">
      <c r="BN40" t="s">
        <v>2776</v>
      </c>
      <c r="BR40" t="s">
        <v>2777</v>
      </c>
      <c r="CQ40" t="s">
        <v>2778</v>
      </c>
      <c r="CU40" t="s">
        <v>2779</v>
      </c>
      <c r="CV40" t="s">
        <v>2780</v>
      </c>
      <c r="CY40" t="s">
        <v>2008</v>
      </c>
    </row>
    <row r="41" spans="37:106" x14ac:dyDescent="0.25">
      <c r="BN41" t="s">
        <v>2781</v>
      </c>
      <c r="BR41" t="s">
        <v>2782</v>
      </c>
      <c r="CU41" t="s">
        <v>2783</v>
      </c>
      <c r="CV41" t="s">
        <v>2784</v>
      </c>
      <c r="CY41" t="s">
        <v>2170</v>
      </c>
      <c r="DB41" t="s">
        <v>2785</v>
      </c>
    </row>
    <row r="42" spans="37:106" x14ac:dyDescent="0.25">
      <c r="BN42" t="s">
        <v>2786</v>
      </c>
      <c r="BR42" t="s">
        <v>2787</v>
      </c>
      <c r="CQ42" t="s">
        <v>2788</v>
      </c>
      <c r="CU42" t="s">
        <v>2789</v>
      </c>
      <c r="DB42" t="s">
        <v>2790</v>
      </c>
    </row>
    <row r="43" spans="37:106" x14ac:dyDescent="0.25">
      <c r="BN43" t="s">
        <v>2791</v>
      </c>
      <c r="BR43" t="s">
        <v>2792</v>
      </c>
      <c r="CU43" t="s">
        <v>2793</v>
      </c>
      <c r="CV43" t="s">
        <v>2794</v>
      </c>
    </row>
    <row r="44" spans="37:106" x14ac:dyDescent="0.25">
      <c r="BN44" t="s">
        <v>2795</v>
      </c>
      <c r="BR44" t="s">
        <v>2796</v>
      </c>
      <c r="CQ44" t="s">
        <v>2008</v>
      </c>
      <c r="CU44" t="s">
        <v>2797</v>
      </c>
      <c r="DB44" t="s">
        <v>2798</v>
      </c>
    </row>
    <row r="45" spans="37:106" x14ac:dyDescent="0.25">
      <c r="BN45" t="s">
        <v>2799</v>
      </c>
      <c r="BR45" t="s">
        <v>2800</v>
      </c>
      <c r="CQ45" t="s">
        <v>2170</v>
      </c>
      <c r="CU45" t="s">
        <v>2801</v>
      </c>
      <c r="CV45" t="s">
        <v>2802</v>
      </c>
      <c r="DB45" t="s">
        <v>2803</v>
      </c>
    </row>
    <row r="46" spans="37:106" x14ac:dyDescent="0.25">
      <c r="BR46" t="s">
        <v>2804</v>
      </c>
      <c r="CV46" t="s">
        <v>2805</v>
      </c>
      <c r="DB46" t="s">
        <v>2806</v>
      </c>
    </row>
    <row r="47" spans="37:106" x14ac:dyDescent="0.25">
      <c r="BN47" t="s">
        <v>2807</v>
      </c>
      <c r="BR47" t="s">
        <v>2808</v>
      </c>
      <c r="CU47" t="s">
        <v>2809</v>
      </c>
      <c r="CV47" t="s">
        <v>2810</v>
      </c>
      <c r="DB47" t="s">
        <v>2811</v>
      </c>
    </row>
    <row r="48" spans="37:106" x14ac:dyDescent="0.25">
      <c r="BN48" t="s">
        <v>2812</v>
      </c>
      <c r="BR48" t="s">
        <v>2813</v>
      </c>
      <c r="CU48" t="s">
        <v>2814</v>
      </c>
      <c r="CV48" t="s">
        <v>2815</v>
      </c>
    </row>
    <row r="49" spans="66:106" x14ac:dyDescent="0.25">
      <c r="BR49" t="s">
        <v>2816</v>
      </c>
      <c r="CU49" t="s">
        <v>2817</v>
      </c>
      <c r="DB49" t="s">
        <v>2818</v>
      </c>
    </row>
    <row r="50" spans="66:106" x14ac:dyDescent="0.25">
      <c r="BN50" t="s">
        <v>2819</v>
      </c>
      <c r="BR50" t="s">
        <v>2820</v>
      </c>
      <c r="CU50" t="s">
        <v>2821</v>
      </c>
      <c r="CV50" t="s">
        <v>2822</v>
      </c>
      <c r="DB50" t="s">
        <v>2823</v>
      </c>
    </row>
    <row r="51" spans="66:106" x14ac:dyDescent="0.25">
      <c r="BR51" t="s">
        <v>2824</v>
      </c>
      <c r="CU51" t="s">
        <v>2825</v>
      </c>
      <c r="CV51" t="s">
        <v>2826</v>
      </c>
      <c r="DB51" t="s">
        <v>2827</v>
      </c>
    </row>
    <row r="52" spans="66:106" x14ac:dyDescent="0.25">
      <c r="BN52" t="s">
        <v>2828</v>
      </c>
      <c r="BR52" t="s">
        <v>2829</v>
      </c>
      <c r="CU52" t="s">
        <v>2830</v>
      </c>
      <c r="CV52" t="s">
        <v>2831</v>
      </c>
      <c r="DB52" t="s">
        <v>2832</v>
      </c>
    </row>
    <row r="53" spans="66:106" x14ac:dyDescent="0.25">
      <c r="BN53" t="s">
        <v>2833</v>
      </c>
      <c r="BR53" t="s">
        <v>2834</v>
      </c>
      <c r="CU53" t="s">
        <v>2835</v>
      </c>
      <c r="CV53" t="s">
        <v>2836</v>
      </c>
      <c r="DB53" t="s">
        <v>2837</v>
      </c>
    </row>
    <row r="54" spans="66:106" x14ac:dyDescent="0.25">
      <c r="BN54" t="s">
        <v>2838</v>
      </c>
      <c r="BR54" t="s">
        <v>2839</v>
      </c>
      <c r="CU54" t="s">
        <v>2840</v>
      </c>
      <c r="CV54" t="s">
        <v>2841</v>
      </c>
    </row>
    <row r="55" spans="66:106" x14ac:dyDescent="0.25">
      <c r="BN55" t="s">
        <v>2842</v>
      </c>
      <c r="BR55" t="s">
        <v>2843</v>
      </c>
      <c r="CU55" t="s">
        <v>2844</v>
      </c>
      <c r="CV55" t="s">
        <v>2845</v>
      </c>
      <c r="DB55" t="s">
        <v>2008</v>
      </c>
    </row>
    <row r="56" spans="66:106" x14ac:dyDescent="0.25">
      <c r="BN56" t="s">
        <v>2846</v>
      </c>
      <c r="BR56" t="s">
        <v>2847</v>
      </c>
      <c r="CV56" t="s">
        <v>2848</v>
      </c>
      <c r="DB56" t="s">
        <v>2170</v>
      </c>
    </row>
    <row r="57" spans="66:106" x14ac:dyDescent="0.25">
      <c r="BN57" t="s">
        <v>2849</v>
      </c>
      <c r="BR57" t="s">
        <v>2850</v>
      </c>
      <c r="CU57" t="s">
        <v>2851</v>
      </c>
      <c r="CV57" t="s">
        <v>2852</v>
      </c>
    </row>
    <row r="58" spans="66:106" x14ac:dyDescent="0.25">
      <c r="BN58" t="s">
        <v>2853</v>
      </c>
      <c r="BR58" t="s">
        <v>2854</v>
      </c>
      <c r="CV58" t="s">
        <v>2855</v>
      </c>
    </row>
    <row r="59" spans="66:106" x14ac:dyDescent="0.25">
      <c r="BR59" t="s">
        <v>2856</v>
      </c>
      <c r="CU59" t="s">
        <v>2857</v>
      </c>
      <c r="CV59" t="s">
        <v>2858</v>
      </c>
    </row>
    <row r="60" spans="66:106" x14ac:dyDescent="0.25">
      <c r="BN60" t="s">
        <v>2859</v>
      </c>
      <c r="BR60" t="s">
        <v>2860</v>
      </c>
      <c r="CU60" t="s">
        <v>2861</v>
      </c>
      <c r="CV60" t="s">
        <v>2862</v>
      </c>
    </row>
    <row r="61" spans="66:106" x14ac:dyDescent="0.25">
      <c r="BN61" t="s">
        <v>2863</v>
      </c>
      <c r="BR61" t="s">
        <v>2864</v>
      </c>
      <c r="CU61" t="s">
        <v>2865</v>
      </c>
      <c r="CV61" t="s">
        <v>2866</v>
      </c>
    </row>
    <row r="62" spans="66:106" x14ac:dyDescent="0.25">
      <c r="BN62" t="s">
        <v>2008</v>
      </c>
      <c r="BR62" t="s">
        <v>2867</v>
      </c>
      <c r="CV62" t="s">
        <v>2868</v>
      </c>
    </row>
    <row r="63" spans="66:106" x14ac:dyDescent="0.25">
      <c r="BN63" t="s">
        <v>2170</v>
      </c>
      <c r="BR63" t="s">
        <v>2869</v>
      </c>
      <c r="CU63" t="s">
        <v>2870</v>
      </c>
      <c r="CV63" t="s">
        <v>2871</v>
      </c>
    </row>
    <row r="64" spans="66:106" x14ac:dyDescent="0.25">
      <c r="BR64" t="s">
        <v>2872</v>
      </c>
      <c r="CU64" t="s">
        <v>2873</v>
      </c>
      <c r="CV64" t="s">
        <v>2874</v>
      </c>
    </row>
    <row r="65" spans="99:100" x14ac:dyDescent="0.25">
      <c r="CU65" t="s">
        <v>2875</v>
      </c>
      <c r="CV65" t="s">
        <v>2876</v>
      </c>
    </row>
    <row r="66" spans="99:100" x14ac:dyDescent="0.25">
      <c r="CV66" t="s">
        <v>2877</v>
      </c>
    </row>
    <row r="67" spans="99:100" x14ac:dyDescent="0.25">
      <c r="CU67" t="s">
        <v>2878</v>
      </c>
      <c r="CV67" t="s">
        <v>2879</v>
      </c>
    </row>
    <row r="68" spans="99:100" x14ac:dyDescent="0.25">
      <c r="CU68" t="s">
        <v>2880</v>
      </c>
    </row>
    <row r="69" spans="99:100" x14ac:dyDescent="0.25">
      <c r="CU69" t="s">
        <v>2881</v>
      </c>
      <c r="CV69" t="s">
        <v>2882</v>
      </c>
    </row>
    <row r="70" spans="99:100" x14ac:dyDescent="0.25">
      <c r="CU70" t="s">
        <v>2883</v>
      </c>
      <c r="CV70" t="s">
        <v>2884</v>
      </c>
    </row>
    <row r="71" spans="99:100" x14ac:dyDescent="0.25">
      <c r="CV71" t="s">
        <v>2885</v>
      </c>
    </row>
    <row r="72" spans="99:100" x14ac:dyDescent="0.25">
      <c r="CU72" t="s">
        <v>2886</v>
      </c>
      <c r="CV72" t="s">
        <v>2887</v>
      </c>
    </row>
    <row r="73" spans="99:100" x14ac:dyDescent="0.25">
      <c r="CU73" t="s">
        <v>2888</v>
      </c>
      <c r="CV73" t="s">
        <v>2889</v>
      </c>
    </row>
    <row r="74" spans="99:100" x14ac:dyDescent="0.25">
      <c r="CU74" t="s">
        <v>2890</v>
      </c>
      <c r="CV74" t="s">
        <v>2891</v>
      </c>
    </row>
    <row r="75" spans="99:100" x14ac:dyDescent="0.25">
      <c r="CV75" t="s">
        <v>2892</v>
      </c>
    </row>
    <row r="76" spans="99:100" x14ac:dyDescent="0.25">
      <c r="CU76" t="s">
        <v>2893</v>
      </c>
      <c r="CV76" t="s">
        <v>2894</v>
      </c>
    </row>
    <row r="77" spans="99:100" x14ac:dyDescent="0.25">
      <c r="CU77" t="s">
        <v>2895</v>
      </c>
      <c r="CV77" t="s">
        <v>2896</v>
      </c>
    </row>
    <row r="78" spans="99:100" x14ac:dyDescent="0.25">
      <c r="CU78" t="s">
        <v>2897</v>
      </c>
      <c r="CV78" t="s">
        <v>2898</v>
      </c>
    </row>
    <row r="79" spans="99:100" x14ac:dyDescent="0.25">
      <c r="CV79" t="s">
        <v>2899</v>
      </c>
    </row>
    <row r="80" spans="99:100" x14ac:dyDescent="0.25">
      <c r="CU80" t="s">
        <v>2900</v>
      </c>
      <c r="CV80" t="s">
        <v>715</v>
      </c>
    </row>
    <row r="81" spans="99:100" x14ac:dyDescent="0.25">
      <c r="CU81" t="s">
        <v>2901</v>
      </c>
      <c r="CV81" t="s">
        <v>2902</v>
      </c>
    </row>
    <row r="82" spans="99:100" x14ac:dyDescent="0.25">
      <c r="CU82" t="s">
        <v>2008</v>
      </c>
    </row>
    <row r="83" spans="99:100" x14ac:dyDescent="0.25">
      <c r="CV83" t="s">
        <v>2903</v>
      </c>
    </row>
    <row r="84" spans="99:100" x14ac:dyDescent="0.25">
      <c r="CU84" t="s">
        <v>2008</v>
      </c>
      <c r="CV84" t="s">
        <v>565</v>
      </c>
    </row>
    <row r="85" spans="99:100" x14ac:dyDescent="0.25">
      <c r="CU85" t="s">
        <v>2170</v>
      </c>
      <c r="CV85" t="s">
        <v>2904</v>
      </c>
    </row>
    <row r="87" spans="99:100" x14ac:dyDescent="0.25">
      <c r="CV87" t="s">
        <v>2905</v>
      </c>
    </row>
    <row r="88" spans="99:100" x14ac:dyDescent="0.25">
      <c r="CV88" t="s">
        <v>2906</v>
      </c>
    </row>
    <row r="89" spans="99:100" x14ac:dyDescent="0.25">
      <c r="CV89" t="s">
        <v>2907</v>
      </c>
    </row>
    <row r="90" spans="99:100" x14ac:dyDescent="0.25">
      <c r="CV90" t="s">
        <v>2908</v>
      </c>
    </row>
    <row r="91" spans="99:100" x14ac:dyDescent="0.25">
      <c r="CV91" t="s">
        <v>2909</v>
      </c>
    </row>
    <row r="92" spans="99:100" x14ac:dyDescent="0.25">
      <c r="CV92" t="s">
        <v>2910</v>
      </c>
    </row>
    <row r="93" spans="99:100" x14ac:dyDescent="0.25">
      <c r="CV93" t="s">
        <v>2911</v>
      </c>
    </row>
    <row r="94" spans="99:100" x14ac:dyDescent="0.25">
      <c r="CV94" t="s">
        <v>2912</v>
      </c>
    </row>
    <row r="95" spans="99:100" x14ac:dyDescent="0.25">
      <c r="CV95" t="s">
        <v>2913</v>
      </c>
    </row>
    <row r="97" spans="100:100" x14ac:dyDescent="0.25">
      <c r="CV97" t="s">
        <v>2914</v>
      </c>
    </row>
    <row r="98" spans="100:100" x14ac:dyDescent="0.25">
      <c r="CV98" t="s">
        <v>2915</v>
      </c>
    </row>
    <row r="99" spans="100:100" x14ac:dyDescent="0.25">
      <c r="CV99" t="s">
        <v>2916</v>
      </c>
    </row>
    <row r="100" spans="100:100" x14ac:dyDescent="0.25">
      <c r="CV100" t="s">
        <v>2917</v>
      </c>
    </row>
    <row r="101" spans="100:100" x14ac:dyDescent="0.25">
      <c r="CV101" t="s">
        <v>2918</v>
      </c>
    </row>
  </sheetData>
  <pageMargins left="0.511811024" right="0.511811024" top="0.78740157499999996" bottom="0.78740157499999996" header="0.31496062000000002" footer="0.31496062000000002"/>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799"/>
  <sheetViews>
    <sheetView zoomScale="80" zoomScaleNormal="80" workbookViewId="0">
      <pane ySplit="1" topLeftCell="A2" activePane="bottomLeft" state="frozen"/>
      <selection activeCell="D6709" sqref="D6709"/>
      <selection pane="bottomLeft" activeCell="F15" sqref="F15"/>
    </sheetView>
  </sheetViews>
  <sheetFormatPr defaultRowHeight="15" x14ac:dyDescent="0.25"/>
  <cols>
    <col min="1" max="1" width="8.28515625" bestFit="1" customWidth="1"/>
    <col min="2" max="2" width="15.140625" bestFit="1" customWidth="1"/>
    <col min="3" max="3" width="155.42578125" bestFit="1" customWidth="1"/>
    <col min="5" max="5" width="46.85546875" customWidth="1"/>
  </cols>
  <sheetData>
    <row r="1" spans="1:15" x14ac:dyDescent="0.25">
      <c r="A1" s="96" t="s">
        <v>2919</v>
      </c>
      <c r="B1" s="96" t="s">
        <v>2920</v>
      </c>
      <c r="C1" s="96" t="s">
        <v>2921</v>
      </c>
      <c r="D1" s="96" t="s">
        <v>2922</v>
      </c>
      <c r="E1" s="96" t="s">
        <v>2923</v>
      </c>
      <c r="G1" t="s">
        <v>643</v>
      </c>
      <c r="H1">
        <v>4501</v>
      </c>
      <c r="I1">
        <v>8201</v>
      </c>
      <c r="K1" t="s">
        <v>2924</v>
      </c>
      <c r="N1" t="s">
        <v>1756</v>
      </c>
      <c r="O1" t="s">
        <v>1728</v>
      </c>
    </row>
    <row r="2" spans="1:15" x14ac:dyDescent="0.25">
      <c r="A2">
        <v>1071</v>
      </c>
      <c r="B2" t="s">
        <v>1733</v>
      </c>
      <c r="C2" t="s">
        <v>2925</v>
      </c>
      <c r="D2" t="str">
        <f t="shared" ref="D2:D65" si="0">CONCATENATE(B2,LEFT(C2,4))</f>
        <v>GMG0810</v>
      </c>
      <c r="E2" t="s">
        <v>2926</v>
      </c>
      <c r="K2" t="s">
        <v>2927</v>
      </c>
    </row>
    <row r="3" spans="1:15" x14ac:dyDescent="0.25">
      <c r="A3">
        <v>1071</v>
      </c>
      <c r="B3" t="s">
        <v>1733</v>
      </c>
      <c r="C3" t="s">
        <v>2928</v>
      </c>
      <c r="D3" t="str">
        <f t="shared" si="0"/>
        <v>GMG1401</v>
      </c>
      <c r="E3" t="s">
        <v>44</v>
      </c>
      <c r="K3" t="s">
        <v>2929</v>
      </c>
    </row>
    <row r="4" spans="1:15" x14ac:dyDescent="0.25">
      <c r="A4">
        <v>1071</v>
      </c>
      <c r="B4" t="s">
        <v>1733</v>
      </c>
      <c r="C4" t="s">
        <v>2930</v>
      </c>
      <c r="D4" t="str">
        <f t="shared" si="0"/>
        <v>GMG1501</v>
      </c>
      <c r="E4" t="s">
        <v>44</v>
      </c>
      <c r="K4" t="s">
        <v>2931</v>
      </c>
    </row>
    <row r="5" spans="1:15" x14ac:dyDescent="0.25">
      <c r="A5">
        <v>1071</v>
      </c>
      <c r="B5" t="s">
        <v>1733</v>
      </c>
      <c r="C5" t="s">
        <v>2932</v>
      </c>
      <c r="D5" t="str">
        <f t="shared" si="0"/>
        <v>GMG3001</v>
      </c>
      <c r="E5" t="s">
        <v>2933</v>
      </c>
      <c r="K5" t="s">
        <v>2934</v>
      </c>
    </row>
    <row r="6" spans="1:15" x14ac:dyDescent="0.25">
      <c r="A6">
        <v>1071</v>
      </c>
      <c r="B6" t="s">
        <v>1733</v>
      </c>
      <c r="C6" t="s">
        <v>256</v>
      </c>
      <c r="D6" t="str">
        <f t="shared" si="0"/>
        <v>GMG3002</v>
      </c>
      <c r="E6" t="s">
        <v>2933</v>
      </c>
      <c r="K6" t="s">
        <v>2935</v>
      </c>
    </row>
    <row r="7" spans="1:15" x14ac:dyDescent="0.25">
      <c r="A7">
        <v>1071</v>
      </c>
      <c r="B7" t="s">
        <v>1733</v>
      </c>
      <c r="C7" t="s">
        <v>979</v>
      </c>
      <c r="D7" t="str">
        <f t="shared" si="0"/>
        <v>GMG3003</v>
      </c>
      <c r="E7" t="s">
        <v>2933</v>
      </c>
      <c r="K7" t="s">
        <v>2936</v>
      </c>
    </row>
    <row r="8" spans="1:15" x14ac:dyDescent="0.25">
      <c r="A8">
        <v>1071</v>
      </c>
      <c r="B8" t="s">
        <v>1733</v>
      </c>
      <c r="C8" t="s">
        <v>2937</v>
      </c>
      <c r="D8" t="str">
        <f t="shared" si="0"/>
        <v>GMG3004</v>
      </c>
      <c r="E8" t="s">
        <v>2933</v>
      </c>
      <c r="K8" t="s">
        <v>2938</v>
      </c>
    </row>
    <row r="9" spans="1:15" x14ac:dyDescent="0.25">
      <c r="A9">
        <v>1071</v>
      </c>
      <c r="B9" t="s">
        <v>1733</v>
      </c>
      <c r="C9" t="s">
        <v>2939</v>
      </c>
      <c r="D9" t="str">
        <f t="shared" si="0"/>
        <v>GMG3005</v>
      </c>
      <c r="E9" t="s">
        <v>2933</v>
      </c>
      <c r="K9" t="s">
        <v>2940</v>
      </c>
    </row>
    <row r="10" spans="1:15" x14ac:dyDescent="0.25">
      <c r="A10">
        <v>1071</v>
      </c>
      <c r="B10" t="s">
        <v>1733</v>
      </c>
      <c r="C10" t="s">
        <v>2941</v>
      </c>
      <c r="D10" t="str">
        <f t="shared" si="0"/>
        <v>GMG3008</v>
      </c>
      <c r="E10" t="s">
        <v>2933</v>
      </c>
      <c r="K10" t="s">
        <v>2942</v>
      </c>
    </row>
    <row r="11" spans="1:15" x14ac:dyDescent="0.25">
      <c r="A11">
        <v>1071</v>
      </c>
      <c r="B11" t="s">
        <v>1733</v>
      </c>
      <c r="C11" t="s">
        <v>354</v>
      </c>
      <c r="D11" t="str">
        <f t="shared" si="0"/>
        <v>GMG3009</v>
      </c>
      <c r="E11" t="s">
        <v>2933</v>
      </c>
      <c r="K11" t="s">
        <v>573</v>
      </c>
    </row>
    <row r="12" spans="1:15" x14ac:dyDescent="0.25">
      <c r="A12">
        <v>1071</v>
      </c>
      <c r="B12" t="s">
        <v>1733</v>
      </c>
      <c r="C12" t="s">
        <v>2943</v>
      </c>
      <c r="D12" t="str">
        <f t="shared" si="0"/>
        <v>GMG3010</v>
      </c>
      <c r="E12" t="s">
        <v>2944</v>
      </c>
      <c r="K12" t="s">
        <v>2945</v>
      </c>
    </row>
    <row r="13" spans="1:15" x14ac:dyDescent="0.25">
      <c r="A13">
        <v>1071</v>
      </c>
      <c r="B13" t="s">
        <v>1733</v>
      </c>
      <c r="C13" t="s">
        <v>2946</v>
      </c>
      <c r="D13" t="str">
        <f t="shared" si="0"/>
        <v>GMG3013</v>
      </c>
      <c r="E13" t="s">
        <v>2933</v>
      </c>
      <c r="K13" t="s">
        <v>2947</v>
      </c>
    </row>
    <row r="14" spans="1:15" x14ac:dyDescent="0.25">
      <c r="A14">
        <v>1071</v>
      </c>
      <c r="B14" t="s">
        <v>1733</v>
      </c>
      <c r="C14" t="s">
        <v>2948</v>
      </c>
      <c r="D14" t="str">
        <f t="shared" si="0"/>
        <v>GMG3015</v>
      </c>
      <c r="E14" t="s">
        <v>2933</v>
      </c>
      <c r="K14" t="s">
        <v>2949</v>
      </c>
    </row>
    <row r="15" spans="1:15" x14ac:dyDescent="0.25">
      <c r="A15">
        <v>1071</v>
      </c>
      <c r="B15" t="s">
        <v>1733</v>
      </c>
      <c r="C15" t="s">
        <v>2950</v>
      </c>
      <c r="D15" t="str">
        <f t="shared" si="0"/>
        <v>GMG3016</v>
      </c>
      <c r="E15" t="s">
        <v>2933</v>
      </c>
      <c r="K15" t="s">
        <v>2951</v>
      </c>
    </row>
    <row r="16" spans="1:15" x14ac:dyDescent="0.25">
      <c r="A16">
        <v>1071</v>
      </c>
      <c r="B16" t="s">
        <v>1733</v>
      </c>
      <c r="C16" t="s">
        <v>406</v>
      </c>
      <c r="D16" t="str">
        <f t="shared" si="0"/>
        <v>GMG3017</v>
      </c>
      <c r="E16" t="s">
        <v>2933</v>
      </c>
      <c r="K16" t="s">
        <v>2952</v>
      </c>
    </row>
    <row r="17" spans="1:11" x14ac:dyDescent="0.25">
      <c r="A17">
        <v>1071</v>
      </c>
      <c r="B17" t="s">
        <v>1733</v>
      </c>
      <c r="C17" t="s">
        <v>2953</v>
      </c>
      <c r="D17" t="str">
        <f t="shared" si="0"/>
        <v>GMG3019</v>
      </c>
      <c r="E17" t="s">
        <v>2954</v>
      </c>
      <c r="K17" t="s">
        <v>2932</v>
      </c>
    </row>
    <row r="18" spans="1:11" x14ac:dyDescent="0.25">
      <c r="A18">
        <v>1071</v>
      </c>
      <c r="B18" t="s">
        <v>1733</v>
      </c>
      <c r="C18" t="s">
        <v>2955</v>
      </c>
      <c r="D18" t="str">
        <f t="shared" si="0"/>
        <v>GMG3020</v>
      </c>
      <c r="E18" t="s">
        <v>2933</v>
      </c>
      <c r="K18" t="s">
        <v>256</v>
      </c>
    </row>
    <row r="19" spans="1:11" x14ac:dyDescent="0.25">
      <c r="A19">
        <v>1071</v>
      </c>
      <c r="B19" t="s">
        <v>1733</v>
      </c>
      <c r="C19" t="s">
        <v>2956</v>
      </c>
      <c r="D19" t="str">
        <f t="shared" si="0"/>
        <v>GMG3021</v>
      </c>
      <c r="E19" t="s">
        <v>2933</v>
      </c>
      <c r="K19" t="s">
        <v>979</v>
      </c>
    </row>
    <row r="20" spans="1:11" x14ac:dyDescent="0.25">
      <c r="A20">
        <v>1071</v>
      </c>
      <c r="B20" t="s">
        <v>1733</v>
      </c>
      <c r="C20" t="s">
        <v>431</v>
      </c>
      <c r="D20" t="str">
        <f t="shared" si="0"/>
        <v>GMG3022</v>
      </c>
      <c r="E20" t="s">
        <v>2933</v>
      </c>
      <c r="K20" t="s">
        <v>2937</v>
      </c>
    </row>
    <row r="21" spans="1:11" x14ac:dyDescent="0.25">
      <c r="A21">
        <v>1071</v>
      </c>
      <c r="B21" t="s">
        <v>1733</v>
      </c>
      <c r="C21" t="s">
        <v>2957</v>
      </c>
      <c r="D21" t="str">
        <f t="shared" si="0"/>
        <v>GMG3023</v>
      </c>
      <c r="E21" t="s">
        <v>2958</v>
      </c>
      <c r="K21" t="s">
        <v>2939</v>
      </c>
    </row>
    <row r="22" spans="1:11" x14ac:dyDescent="0.25">
      <c r="A22">
        <v>1071</v>
      </c>
      <c r="B22" t="s">
        <v>1733</v>
      </c>
      <c r="C22" t="s">
        <v>441</v>
      </c>
      <c r="D22" t="str">
        <f t="shared" si="0"/>
        <v>GMG3024</v>
      </c>
      <c r="E22" t="s">
        <v>2933</v>
      </c>
      <c r="K22" t="s">
        <v>323</v>
      </c>
    </row>
    <row r="23" spans="1:11" x14ac:dyDescent="0.25">
      <c r="A23">
        <v>1071</v>
      </c>
      <c r="B23" t="s">
        <v>1733</v>
      </c>
      <c r="C23" t="s">
        <v>2959</v>
      </c>
      <c r="D23" t="str">
        <f t="shared" si="0"/>
        <v>GMG3025</v>
      </c>
      <c r="E23" t="s">
        <v>2933</v>
      </c>
      <c r="K23" t="s">
        <v>333</v>
      </c>
    </row>
    <row r="24" spans="1:11" x14ac:dyDescent="0.25">
      <c r="A24">
        <v>1071</v>
      </c>
      <c r="B24" t="s">
        <v>1733</v>
      </c>
      <c r="C24" t="s">
        <v>2960</v>
      </c>
      <c r="D24" t="str">
        <f t="shared" si="0"/>
        <v>GMG3026</v>
      </c>
      <c r="E24" t="s">
        <v>2958</v>
      </c>
      <c r="K24" t="s">
        <v>2941</v>
      </c>
    </row>
    <row r="25" spans="1:11" x14ac:dyDescent="0.25">
      <c r="A25">
        <v>1071</v>
      </c>
      <c r="B25" t="s">
        <v>1733</v>
      </c>
      <c r="C25" t="s">
        <v>2961</v>
      </c>
      <c r="D25" t="str">
        <f t="shared" si="0"/>
        <v>GMG3027</v>
      </c>
      <c r="E25" t="s">
        <v>2933</v>
      </c>
      <c r="K25" t="s">
        <v>354</v>
      </c>
    </row>
    <row r="26" spans="1:11" x14ac:dyDescent="0.25">
      <c r="A26">
        <v>1071</v>
      </c>
      <c r="B26" t="s">
        <v>1733</v>
      </c>
      <c r="C26" t="s">
        <v>467</v>
      </c>
      <c r="D26" t="str">
        <f t="shared" si="0"/>
        <v>GMG3030</v>
      </c>
      <c r="E26" t="s">
        <v>2933</v>
      </c>
      <c r="K26" t="s">
        <v>2943</v>
      </c>
    </row>
    <row r="27" spans="1:11" x14ac:dyDescent="0.25">
      <c r="A27">
        <v>1071</v>
      </c>
      <c r="B27" t="s">
        <v>1733</v>
      </c>
      <c r="C27" t="s">
        <v>470</v>
      </c>
      <c r="D27" t="str">
        <f t="shared" si="0"/>
        <v>GMG3031</v>
      </c>
      <c r="E27" t="s">
        <v>2933</v>
      </c>
      <c r="K27" t="s">
        <v>2962</v>
      </c>
    </row>
    <row r="28" spans="1:11" x14ac:dyDescent="0.25">
      <c r="A28">
        <v>1071</v>
      </c>
      <c r="B28" t="s">
        <v>1733</v>
      </c>
      <c r="C28" t="s">
        <v>2963</v>
      </c>
      <c r="D28" t="str">
        <f t="shared" si="0"/>
        <v>GMG3032</v>
      </c>
      <c r="E28" t="s">
        <v>2933</v>
      </c>
      <c r="K28" t="s">
        <v>138</v>
      </c>
    </row>
    <row r="29" spans="1:11" x14ac:dyDescent="0.25">
      <c r="A29">
        <v>1071</v>
      </c>
      <c r="B29" t="s">
        <v>1733</v>
      </c>
      <c r="C29" t="s">
        <v>2964</v>
      </c>
      <c r="D29" t="str">
        <f t="shared" si="0"/>
        <v>GMG3033</v>
      </c>
      <c r="E29" t="s">
        <v>2965</v>
      </c>
      <c r="K29" t="s">
        <v>2946</v>
      </c>
    </row>
    <row r="30" spans="1:11" x14ac:dyDescent="0.25">
      <c r="A30">
        <v>1071</v>
      </c>
      <c r="B30" t="s">
        <v>1733</v>
      </c>
      <c r="C30" t="s">
        <v>477</v>
      </c>
      <c r="D30" t="str">
        <f t="shared" si="0"/>
        <v>GMG3034</v>
      </c>
      <c r="E30" t="s">
        <v>2965</v>
      </c>
      <c r="K30" t="s">
        <v>2966</v>
      </c>
    </row>
    <row r="31" spans="1:11" x14ac:dyDescent="0.25">
      <c r="A31">
        <v>1071</v>
      </c>
      <c r="B31" t="s">
        <v>1733</v>
      </c>
      <c r="C31" t="s">
        <v>485</v>
      </c>
      <c r="D31" t="str">
        <f t="shared" si="0"/>
        <v>GMG3039</v>
      </c>
      <c r="E31" t="s">
        <v>2933</v>
      </c>
      <c r="K31" t="s">
        <v>2948</v>
      </c>
    </row>
    <row r="32" spans="1:11" x14ac:dyDescent="0.25">
      <c r="A32">
        <v>1071</v>
      </c>
      <c r="B32" t="s">
        <v>1733</v>
      </c>
      <c r="C32" t="s">
        <v>487</v>
      </c>
      <c r="D32" t="str">
        <f t="shared" si="0"/>
        <v>GMG3040</v>
      </c>
      <c r="E32" t="s">
        <v>2933</v>
      </c>
      <c r="K32" t="s">
        <v>2950</v>
      </c>
    </row>
    <row r="33" spans="1:11" x14ac:dyDescent="0.25">
      <c r="A33">
        <v>1071</v>
      </c>
      <c r="B33" t="s">
        <v>1733</v>
      </c>
      <c r="C33" t="s">
        <v>491</v>
      </c>
      <c r="D33" t="str">
        <f t="shared" si="0"/>
        <v>GMG3099</v>
      </c>
      <c r="E33" t="s">
        <v>2933</v>
      </c>
      <c r="K33" t="s">
        <v>406</v>
      </c>
    </row>
    <row r="34" spans="1:11" x14ac:dyDescent="0.25">
      <c r="A34">
        <v>1071</v>
      </c>
      <c r="B34" t="s">
        <v>1733</v>
      </c>
      <c r="C34" t="s">
        <v>2967</v>
      </c>
      <c r="D34" t="str">
        <f t="shared" si="0"/>
        <v>GMG3101</v>
      </c>
      <c r="E34" t="s">
        <v>2968</v>
      </c>
      <c r="K34" t="s">
        <v>2969</v>
      </c>
    </row>
    <row r="35" spans="1:11" x14ac:dyDescent="0.25">
      <c r="A35">
        <v>1071</v>
      </c>
      <c r="B35" t="s">
        <v>1733</v>
      </c>
      <c r="C35" t="s">
        <v>227</v>
      </c>
      <c r="D35" t="str">
        <f t="shared" si="0"/>
        <v>GMG3201</v>
      </c>
      <c r="E35" t="s">
        <v>2968</v>
      </c>
      <c r="K35" t="s">
        <v>2970</v>
      </c>
    </row>
    <row r="36" spans="1:11" x14ac:dyDescent="0.25">
      <c r="A36">
        <v>1071</v>
      </c>
      <c r="B36" t="s">
        <v>1733</v>
      </c>
      <c r="C36" t="s">
        <v>2971</v>
      </c>
      <c r="D36" t="str">
        <f t="shared" si="0"/>
        <v>GMG3202</v>
      </c>
      <c r="E36" t="s">
        <v>2972</v>
      </c>
      <c r="K36" t="s">
        <v>2973</v>
      </c>
    </row>
    <row r="37" spans="1:11" x14ac:dyDescent="0.25">
      <c r="A37">
        <v>1071</v>
      </c>
      <c r="B37" t="s">
        <v>1733</v>
      </c>
      <c r="C37" t="s">
        <v>54</v>
      </c>
      <c r="D37" t="str">
        <f t="shared" si="0"/>
        <v>GMG3301</v>
      </c>
      <c r="E37" t="s">
        <v>44</v>
      </c>
      <c r="K37" t="s">
        <v>2974</v>
      </c>
    </row>
    <row r="38" spans="1:11" x14ac:dyDescent="0.25">
      <c r="A38">
        <v>1071</v>
      </c>
      <c r="B38" t="s">
        <v>1733</v>
      </c>
      <c r="C38" t="s">
        <v>2975</v>
      </c>
      <c r="D38" t="str">
        <f t="shared" si="0"/>
        <v>GMG3302</v>
      </c>
      <c r="E38" t="s">
        <v>44</v>
      </c>
      <c r="K38" t="s">
        <v>2976</v>
      </c>
    </row>
    <row r="39" spans="1:11" x14ac:dyDescent="0.25">
      <c r="A39">
        <v>1071</v>
      </c>
      <c r="B39" t="s">
        <v>1733</v>
      </c>
      <c r="C39" t="s">
        <v>2977</v>
      </c>
      <c r="D39" t="str">
        <f t="shared" si="0"/>
        <v>GMG3304</v>
      </c>
      <c r="E39" t="s">
        <v>44</v>
      </c>
      <c r="K39" t="s">
        <v>2957</v>
      </c>
    </row>
    <row r="40" spans="1:11" x14ac:dyDescent="0.25">
      <c r="A40">
        <v>1071</v>
      </c>
      <c r="B40" t="s">
        <v>1733</v>
      </c>
      <c r="C40" t="s">
        <v>309</v>
      </c>
      <c r="D40" t="str">
        <f t="shared" si="0"/>
        <v>GMG3305</v>
      </c>
      <c r="E40" t="s">
        <v>44</v>
      </c>
      <c r="K40" t="s">
        <v>2978</v>
      </c>
    </row>
    <row r="41" spans="1:11" x14ac:dyDescent="0.25">
      <c r="A41">
        <v>1071</v>
      </c>
      <c r="B41" t="s">
        <v>1733</v>
      </c>
      <c r="C41" t="s">
        <v>2979</v>
      </c>
      <c r="D41" t="str">
        <f t="shared" si="0"/>
        <v>GMG3612</v>
      </c>
      <c r="E41" t="s">
        <v>2968</v>
      </c>
      <c r="K41" t="s">
        <v>2959</v>
      </c>
    </row>
    <row r="42" spans="1:11" x14ac:dyDescent="0.25">
      <c r="A42">
        <v>1071</v>
      </c>
      <c r="B42" t="s">
        <v>1733</v>
      </c>
      <c r="C42" t="s">
        <v>471</v>
      </c>
      <c r="D42" t="str">
        <f t="shared" si="0"/>
        <v>GMG3699</v>
      </c>
      <c r="E42" t="s">
        <v>2968</v>
      </c>
      <c r="K42" t="s">
        <v>2960</v>
      </c>
    </row>
    <row r="43" spans="1:11" x14ac:dyDescent="0.25">
      <c r="A43">
        <v>1071</v>
      </c>
      <c r="B43" t="s">
        <v>1733</v>
      </c>
      <c r="C43" t="s">
        <v>2980</v>
      </c>
      <c r="D43" t="str">
        <f t="shared" si="0"/>
        <v>GMG3701</v>
      </c>
      <c r="E43" t="s">
        <v>2981</v>
      </c>
      <c r="K43" t="s">
        <v>2982</v>
      </c>
    </row>
    <row r="44" spans="1:11" x14ac:dyDescent="0.25">
      <c r="A44">
        <v>1071</v>
      </c>
      <c r="B44" t="s">
        <v>1733</v>
      </c>
      <c r="C44" t="s">
        <v>2983</v>
      </c>
      <c r="D44" t="str">
        <f t="shared" si="0"/>
        <v>GMG3703</v>
      </c>
      <c r="E44" t="s">
        <v>117</v>
      </c>
      <c r="K44" t="s">
        <v>2984</v>
      </c>
    </row>
    <row r="45" spans="1:11" x14ac:dyDescent="0.25">
      <c r="A45">
        <v>1071</v>
      </c>
      <c r="B45" t="s">
        <v>1733</v>
      </c>
      <c r="C45" t="s">
        <v>2985</v>
      </c>
      <c r="D45" t="str">
        <f t="shared" si="0"/>
        <v>GMG3704</v>
      </c>
      <c r="E45" t="s">
        <v>117</v>
      </c>
      <c r="K45" t="s">
        <v>467</v>
      </c>
    </row>
    <row r="46" spans="1:11" x14ac:dyDescent="0.25">
      <c r="A46">
        <v>1071</v>
      </c>
      <c r="B46" t="s">
        <v>1733</v>
      </c>
      <c r="C46" t="s">
        <v>2986</v>
      </c>
      <c r="D46" t="str">
        <f t="shared" si="0"/>
        <v>GMG3705</v>
      </c>
      <c r="E46" t="s">
        <v>117</v>
      </c>
      <c r="K46" t="s">
        <v>2987</v>
      </c>
    </row>
    <row r="47" spans="1:11" x14ac:dyDescent="0.25">
      <c r="A47">
        <v>1071</v>
      </c>
      <c r="B47" t="s">
        <v>1733</v>
      </c>
      <c r="C47" t="s">
        <v>2988</v>
      </c>
      <c r="D47" t="str">
        <f t="shared" si="0"/>
        <v>GMG3903</v>
      </c>
      <c r="E47" t="s">
        <v>87</v>
      </c>
      <c r="K47" t="s">
        <v>2963</v>
      </c>
    </row>
    <row r="48" spans="1:11" x14ac:dyDescent="0.25">
      <c r="A48">
        <v>1071</v>
      </c>
      <c r="B48" t="s">
        <v>1733</v>
      </c>
      <c r="C48" t="s">
        <v>299</v>
      </c>
      <c r="D48" t="str">
        <f t="shared" si="0"/>
        <v>GMG3904</v>
      </c>
      <c r="E48" t="s">
        <v>2968</v>
      </c>
      <c r="K48" t="s">
        <v>2964</v>
      </c>
    </row>
    <row r="49" spans="1:11" x14ac:dyDescent="0.25">
      <c r="A49">
        <v>1071</v>
      </c>
      <c r="B49" t="s">
        <v>1733</v>
      </c>
      <c r="C49" t="s">
        <v>2989</v>
      </c>
      <c r="D49" t="str">
        <f t="shared" si="0"/>
        <v>GMG3908</v>
      </c>
      <c r="E49" t="s">
        <v>2968</v>
      </c>
      <c r="K49" t="s">
        <v>2990</v>
      </c>
    </row>
    <row r="50" spans="1:11" x14ac:dyDescent="0.25">
      <c r="A50">
        <v>1071</v>
      </c>
      <c r="B50" t="s">
        <v>1733</v>
      </c>
      <c r="C50" t="s">
        <v>346</v>
      </c>
      <c r="D50" t="str">
        <f t="shared" si="0"/>
        <v>GMG3910</v>
      </c>
      <c r="E50" t="s">
        <v>2968</v>
      </c>
      <c r="K50" t="s">
        <v>485</v>
      </c>
    </row>
    <row r="51" spans="1:11" x14ac:dyDescent="0.25">
      <c r="A51">
        <v>1071</v>
      </c>
      <c r="B51" t="s">
        <v>1733</v>
      </c>
      <c r="C51" t="s">
        <v>356</v>
      </c>
      <c r="D51" t="str">
        <f t="shared" si="0"/>
        <v>GMG3911</v>
      </c>
      <c r="E51" t="s">
        <v>2968</v>
      </c>
      <c r="K51" t="s">
        <v>487</v>
      </c>
    </row>
    <row r="52" spans="1:11" x14ac:dyDescent="0.25">
      <c r="A52">
        <v>1071</v>
      </c>
      <c r="B52" t="s">
        <v>1733</v>
      </c>
      <c r="C52" t="s">
        <v>2991</v>
      </c>
      <c r="D52" t="str">
        <f t="shared" si="0"/>
        <v>GMG3912</v>
      </c>
      <c r="E52" t="s">
        <v>2992</v>
      </c>
      <c r="K52" t="s">
        <v>2993</v>
      </c>
    </row>
    <row r="53" spans="1:11" x14ac:dyDescent="0.25">
      <c r="A53">
        <v>1071</v>
      </c>
      <c r="B53" t="s">
        <v>1733</v>
      </c>
      <c r="C53" t="s">
        <v>2994</v>
      </c>
      <c r="D53" t="str">
        <f t="shared" si="0"/>
        <v>GMG3913</v>
      </c>
      <c r="E53" t="s">
        <v>2992</v>
      </c>
      <c r="K53" t="s">
        <v>491</v>
      </c>
    </row>
    <row r="54" spans="1:11" x14ac:dyDescent="0.25">
      <c r="A54">
        <v>1071</v>
      </c>
      <c r="B54" t="s">
        <v>1733</v>
      </c>
      <c r="C54" t="s">
        <v>384</v>
      </c>
      <c r="D54" t="str">
        <f t="shared" si="0"/>
        <v>GMG3915</v>
      </c>
      <c r="E54" t="s">
        <v>2992</v>
      </c>
      <c r="K54" t="s">
        <v>2967</v>
      </c>
    </row>
    <row r="55" spans="1:11" x14ac:dyDescent="0.25">
      <c r="A55">
        <v>1071</v>
      </c>
      <c r="B55" t="s">
        <v>1733</v>
      </c>
      <c r="C55" t="s">
        <v>390</v>
      </c>
      <c r="D55" t="str">
        <f t="shared" si="0"/>
        <v>GMG3916</v>
      </c>
      <c r="E55" t="s">
        <v>2968</v>
      </c>
      <c r="K55" t="s">
        <v>2995</v>
      </c>
    </row>
    <row r="56" spans="1:11" x14ac:dyDescent="0.25">
      <c r="A56">
        <v>1071</v>
      </c>
      <c r="B56" t="s">
        <v>1733</v>
      </c>
      <c r="C56" t="s">
        <v>2996</v>
      </c>
      <c r="D56" t="str">
        <f t="shared" si="0"/>
        <v>GMG3917</v>
      </c>
      <c r="E56" t="s">
        <v>2958</v>
      </c>
      <c r="K56" t="s">
        <v>2997</v>
      </c>
    </row>
    <row r="57" spans="1:11" x14ac:dyDescent="0.25">
      <c r="A57">
        <v>1071</v>
      </c>
      <c r="B57" t="s">
        <v>1733</v>
      </c>
      <c r="C57" t="s">
        <v>2998</v>
      </c>
      <c r="D57" t="str">
        <f t="shared" si="0"/>
        <v>GMG3918</v>
      </c>
      <c r="E57" t="s">
        <v>2958</v>
      </c>
      <c r="K57" t="s">
        <v>2999</v>
      </c>
    </row>
    <row r="58" spans="1:11" x14ac:dyDescent="0.25">
      <c r="A58">
        <v>1071</v>
      </c>
      <c r="B58" t="s">
        <v>1733</v>
      </c>
      <c r="C58" t="s">
        <v>3000</v>
      </c>
      <c r="D58" t="str">
        <f t="shared" si="0"/>
        <v>GMG3919</v>
      </c>
      <c r="E58" t="s">
        <v>3001</v>
      </c>
      <c r="K58" t="s">
        <v>2971</v>
      </c>
    </row>
    <row r="59" spans="1:11" x14ac:dyDescent="0.25">
      <c r="A59">
        <v>1071</v>
      </c>
      <c r="B59" t="s">
        <v>1733</v>
      </c>
      <c r="C59" t="s">
        <v>3002</v>
      </c>
      <c r="D59" t="str">
        <f t="shared" si="0"/>
        <v>GMG3921</v>
      </c>
      <c r="E59" t="s">
        <v>3001</v>
      </c>
      <c r="K59" t="s">
        <v>579</v>
      </c>
    </row>
    <row r="60" spans="1:11" x14ac:dyDescent="0.25">
      <c r="A60">
        <v>1071</v>
      </c>
      <c r="B60" t="s">
        <v>1733</v>
      </c>
      <c r="C60" t="s">
        <v>3003</v>
      </c>
      <c r="D60" t="str">
        <f t="shared" si="0"/>
        <v>GMG3922</v>
      </c>
      <c r="E60" t="s">
        <v>2954</v>
      </c>
      <c r="K60" t="s">
        <v>587</v>
      </c>
    </row>
    <row r="61" spans="1:11" x14ac:dyDescent="0.25">
      <c r="A61">
        <v>1071</v>
      </c>
      <c r="B61" t="s">
        <v>1733</v>
      </c>
      <c r="C61" t="s">
        <v>428</v>
      </c>
      <c r="D61" t="str">
        <f t="shared" si="0"/>
        <v>GMG3923</v>
      </c>
      <c r="E61" t="s">
        <v>2968</v>
      </c>
      <c r="K61" t="s">
        <v>2977</v>
      </c>
    </row>
    <row r="62" spans="1:11" x14ac:dyDescent="0.25">
      <c r="A62">
        <v>1071</v>
      </c>
      <c r="B62" t="s">
        <v>1733</v>
      </c>
      <c r="C62" t="s">
        <v>566</v>
      </c>
      <c r="D62" t="str">
        <f t="shared" si="0"/>
        <v>GMG3924</v>
      </c>
      <c r="E62" t="s">
        <v>3004</v>
      </c>
      <c r="K62" t="s">
        <v>3005</v>
      </c>
    </row>
    <row r="63" spans="1:11" x14ac:dyDescent="0.25">
      <c r="A63">
        <v>1071</v>
      </c>
      <c r="B63" t="s">
        <v>1733</v>
      </c>
      <c r="C63" t="s">
        <v>443</v>
      </c>
      <c r="D63" t="str">
        <f t="shared" si="0"/>
        <v>GMG3926</v>
      </c>
      <c r="E63" t="s">
        <v>3006</v>
      </c>
      <c r="K63" t="s">
        <v>3007</v>
      </c>
    </row>
    <row r="64" spans="1:11" x14ac:dyDescent="0.25">
      <c r="A64">
        <v>1071</v>
      </c>
      <c r="B64" t="s">
        <v>1733</v>
      </c>
      <c r="C64" t="s">
        <v>3008</v>
      </c>
      <c r="D64" t="str">
        <f t="shared" si="0"/>
        <v>GMG3927</v>
      </c>
      <c r="E64" t="s">
        <v>3009</v>
      </c>
      <c r="K64" t="s">
        <v>3010</v>
      </c>
    </row>
    <row r="65" spans="1:11" x14ac:dyDescent="0.25">
      <c r="A65">
        <v>1071</v>
      </c>
      <c r="B65" t="s">
        <v>1733</v>
      </c>
      <c r="C65" t="s">
        <v>3011</v>
      </c>
      <c r="D65" t="str">
        <f t="shared" si="0"/>
        <v>GMG3929</v>
      </c>
      <c r="E65" t="s">
        <v>2944</v>
      </c>
      <c r="K65" t="s">
        <v>3012</v>
      </c>
    </row>
    <row r="66" spans="1:11" x14ac:dyDescent="0.25">
      <c r="A66">
        <v>1071</v>
      </c>
      <c r="B66" t="s">
        <v>1733</v>
      </c>
      <c r="C66" t="s">
        <v>1481</v>
      </c>
      <c r="D66" t="str">
        <f t="shared" ref="D66:D129" si="1">CONCATENATE(B66,LEFT(C66,4))</f>
        <v>GMG3931</v>
      </c>
      <c r="E66" t="s">
        <v>2968</v>
      </c>
      <c r="K66" t="s">
        <v>3013</v>
      </c>
    </row>
    <row r="67" spans="1:11" x14ac:dyDescent="0.25">
      <c r="A67">
        <v>1071</v>
      </c>
      <c r="B67" t="s">
        <v>1733</v>
      </c>
      <c r="C67" t="s">
        <v>469</v>
      </c>
      <c r="D67" t="str">
        <f t="shared" si="1"/>
        <v>GMG3934</v>
      </c>
      <c r="E67" t="s">
        <v>2965</v>
      </c>
      <c r="K67" t="s">
        <v>3014</v>
      </c>
    </row>
    <row r="68" spans="1:11" x14ac:dyDescent="0.25">
      <c r="A68">
        <v>1071</v>
      </c>
      <c r="B68" t="s">
        <v>1733</v>
      </c>
      <c r="C68" t="s">
        <v>3015</v>
      </c>
      <c r="D68" t="str">
        <f t="shared" si="1"/>
        <v>GMG3935</v>
      </c>
      <c r="E68" t="s">
        <v>2965</v>
      </c>
      <c r="K68" t="s">
        <v>3016</v>
      </c>
    </row>
    <row r="69" spans="1:11" x14ac:dyDescent="0.25">
      <c r="A69">
        <v>1071</v>
      </c>
      <c r="B69" t="s">
        <v>1733</v>
      </c>
      <c r="C69" t="s">
        <v>3017</v>
      </c>
      <c r="D69" t="str">
        <f t="shared" si="1"/>
        <v>GMG3936</v>
      </c>
      <c r="E69" t="s">
        <v>94</v>
      </c>
      <c r="K69" t="s">
        <v>3018</v>
      </c>
    </row>
    <row r="70" spans="1:11" x14ac:dyDescent="0.25">
      <c r="A70">
        <v>1071</v>
      </c>
      <c r="B70" t="s">
        <v>1733</v>
      </c>
      <c r="C70" t="s">
        <v>3019</v>
      </c>
      <c r="D70" t="str">
        <f t="shared" si="1"/>
        <v>GMG3940</v>
      </c>
      <c r="E70" t="s">
        <v>3009</v>
      </c>
      <c r="K70" t="s">
        <v>345</v>
      </c>
    </row>
    <row r="71" spans="1:11" x14ac:dyDescent="0.25">
      <c r="A71">
        <v>1071</v>
      </c>
      <c r="B71" t="s">
        <v>1733</v>
      </c>
      <c r="C71" t="s">
        <v>482</v>
      </c>
      <c r="D71" t="str">
        <f t="shared" si="1"/>
        <v>GMG3942</v>
      </c>
      <c r="E71" t="s">
        <v>2968</v>
      </c>
      <c r="K71" t="s">
        <v>355</v>
      </c>
    </row>
    <row r="72" spans="1:11" x14ac:dyDescent="0.25">
      <c r="A72">
        <v>1071</v>
      </c>
      <c r="B72" t="s">
        <v>1733</v>
      </c>
      <c r="C72" t="s">
        <v>3020</v>
      </c>
      <c r="D72" t="str">
        <f t="shared" si="1"/>
        <v>GMG3943</v>
      </c>
      <c r="E72" t="s">
        <v>2958</v>
      </c>
      <c r="K72" t="s">
        <v>3021</v>
      </c>
    </row>
    <row r="73" spans="1:11" x14ac:dyDescent="0.25">
      <c r="A73">
        <v>1071</v>
      </c>
      <c r="B73" t="s">
        <v>1733</v>
      </c>
      <c r="C73" t="s">
        <v>492</v>
      </c>
      <c r="D73" t="str">
        <f t="shared" si="1"/>
        <v>GMG3948</v>
      </c>
      <c r="E73" t="s">
        <v>3004</v>
      </c>
      <c r="K73" t="s">
        <v>2979</v>
      </c>
    </row>
    <row r="74" spans="1:11" x14ac:dyDescent="0.25">
      <c r="A74">
        <v>1071</v>
      </c>
      <c r="B74" t="s">
        <v>1733</v>
      </c>
      <c r="C74" t="s">
        <v>3022</v>
      </c>
      <c r="D74" t="str">
        <f t="shared" si="1"/>
        <v>GMG3950</v>
      </c>
      <c r="E74" t="s">
        <v>44</v>
      </c>
      <c r="K74" t="s">
        <v>383</v>
      </c>
    </row>
    <row r="75" spans="1:11" x14ac:dyDescent="0.25">
      <c r="A75">
        <v>1071</v>
      </c>
      <c r="B75" t="s">
        <v>1733</v>
      </c>
      <c r="C75" t="s">
        <v>496</v>
      </c>
      <c r="D75" t="str">
        <f t="shared" si="1"/>
        <v>GMG3953</v>
      </c>
      <c r="E75" t="s">
        <v>3004</v>
      </c>
      <c r="K75" t="s">
        <v>3023</v>
      </c>
    </row>
    <row r="76" spans="1:11" x14ac:dyDescent="0.25">
      <c r="A76">
        <v>1071</v>
      </c>
      <c r="B76" t="s">
        <v>1733</v>
      </c>
      <c r="C76" t="s">
        <v>498</v>
      </c>
      <c r="D76" t="str">
        <f t="shared" si="1"/>
        <v>GMG3955</v>
      </c>
      <c r="E76" t="s">
        <v>2968</v>
      </c>
      <c r="K76" t="s">
        <v>3024</v>
      </c>
    </row>
    <row r="77" spans="1:11" x14ac:dyDescent="0.25">
      <c r="A77">
        <v>1071</v>
      </c>
      <c r="B77" t="s">
        <v>1733</v>
      </c>
      <c r="C77" t="s">
        <v>3025</v>
      </c>
      <c r="D77" t="str">
        <f t="shared" si="1"/>
        <v>GMG3959</v>
      </c>
      <c r="E77" t="s">
        <v>2968</v>
      </c>
      <c r="K77" t="s">
        <v>3026</v>
      </c>
    </row>
    <row r="78" spans="1:11" x14ac:dyDescent="0.25">
      <c r="A78">
        <v>1071</v>
      </c>
      <c r="B78" t="s">
        <v>1733</v>
      </c>
      <c r="C78" t="s">
        <v>3027</v>
      </c>
      <c r="D78" t="str">
        <f t="shared" si="1"/>
        <v>GMG3961</v>
      </c>
      <c r="E78" t="s">
        <v>2981</v>
      </c>
      <c r="K78" t="s">
        <v>3028</v>
      </c>
    </row>
    <row r="79" spans="1:11" x14ac:dyDescent="0.25">
      <c r="A79">
        <v>1071</v>
      </c>
      <c r="B79" t="s">
        <v>1733</v>
      </c>
      <c r="C79" t="s">
        <v>3029</v>
      </c>
      <c r="D79" t="str">
        <f t="shared" si="1"/>
        <v>GMG3966</v>
      </c>
      <c r="E79" t="s">
        <v>2992</v>
      </c>
      <c r="K79" t="s">
        <v>417</v>
      </c>
    </row>
    <row r="80" spans="1:11" x14ac:dyDescent="0.25">
      <c r="A80">
        <v>1071</v>
      </c>
      <c r="B80" t="s">
        <v>1733</v>
      </c>
      <c r="C80" t="s">
        <v>1154</v>
      </c>
      <c r="D80" t="str">
        <f t="shared" si="1"/>
        <v>GMG3969</v>
      </c>
      <c r="E80" t="s">
        <v>2992</v>
      </c>
      <c r="K80" t="s">
        <v>3030</v>
      </c>
    </row>
    <row r="81" spans="1:11" x14ac:dyDescent="0.25">
      <c r="A81">
        <v>1071</v>
      </c>
      <c r="B81" t="s">
        <v>1733</v>
      </c>
      <c r="C81" t="s">
        <v>3031</v>
      </c>
      <c r="D81" t="str">
        <f t="shared" si="1"/>
        <v>GMG3970</v>
      </c>
      <c r="E81" t="s">
        <v>3009</v>
      </c>
      <c r="K81" t="s">
        <v>3032</v>
      </c>
    </row>
    <row r="82" spans="1:11" x14ac:dyDescent="0.25">
      <c r="A82">
        <v>1071</v>
      </c>
      <c r="B82" t="s">
        <v>1733</v>
      </c>
      <c r="C82" t="s">
        <v>513</v>
      </c>
      <c r="D82" t="str">
        <f t="shared" si="1"/>
        <v>GMG3971</v>
      </c>
      <c r="E82" t="s">
        <v>3033</v>
      </c>
      <c r="K82" t="s">
        <v>3034</v>
      </c>
    </row>
    <row r="83" spans="1:11" x14ac:dyDescent="0.25">
      <c r="A83">
        <v>1071</v>
      </c>
      <c r="B83" t="s">
        <v>1733</v>
      </c>
      <c r="C83" t="s">
        <v>521</v>
      </c>
      <c r="D83" t="str">
        <f t="shared" si="1"/>
        <v>GMG3981</v>
      </c>
      <c r="E83" t="s">
        <v>2968</v>
      </c>
      <c r="K83" t="s">
        <v>3035</v>
      </c>
    </row>
    <row r="84" spans="1:11" x14ac:dyDescent="0.25">
      <c r="A84">
        <v>1071</v>
      </c>
      <c r="B84" t="s">
        <v>1733</v>
      </c>
      <c r="C84" t="s">
        <v>3036</v>
      </c>
      <c r="D84" t="str">
        <f t="shared" si="1"/>
        <v>GMG3987</v>
      </c>
      <c r="E84" t="s">
        <v>2958</v>
      </c>
      <c r="K84" t="s">
        <v>3037</v>
      </c>
    </row>
    <row r="85" spans="1:11" x14ac:dyDescent="0.25">
      <c r="A85">
        <v>1071</v>
      </c>
      <c r="B85" t="s">
        <v>1733</v>
      </c>
      <c r="C85" t="s">
        <v>3038</v>
      </c>
      <c r="D85" t="str">
        <f t="shared" si="1"/>
        <v>GMG3994</v>
      </c>
      <c r="E85" t="s">
        <v>2965</v>
      </c>
      <c r="K85" t="s">
        <v>3039</v>
      </c>
    </row>
    <row r="86" spans="1:11" x14ac:dyDescent="0.25">
      <c r="A86">
        <v>1071</v>
      </c>
      <c r="B86" t="s">
        <v>1733</v>
      </c>
      <c r="C86" t="s">
        <v>3040</v>
      </c>
      <c r="D86" t="str">
        <f t="shared" si="1"/>
        <v>GMG3999</v>
      </c>
      <c r="E86" t="s">
        <v>2968</v>
      </c>
      <c r="K86" t="s">
        <v>457</v>
      </c>
    </row>
    <row r="87" spans="1:11" x14ac:dyDescent="0.25">
      <c r="A87">
        <v>1071</v>
      </c>
      <c r="B87" t="s">
        <v>1733</v>
      </c>
      <c r="C87" t="s">
        <v>3041</v>
      </c>
      <c r="D87" t="str">
        <f t="shared" si="1"/>
        <v>GMG4002</v>
      </c>
      <c r="E87" t="s">
        <v>3009</v>
      </c>
      <c r="K87" t="s">
        <v>3042</v>
      </c>
    </row>
    <row r="88" spans="1:11" x14ac:dyDescent="0.25">
      <c r="A88">
        <v>1071</v>
      </c>
      <c r="B88" t="s">
        <v>1733</v>
      </c>
      <c r="C88" t="s">
        <v>3043</v>
      </c>
      <c r="D88" t="str">
        <f t="shared" si="1"/>
        <v>GMG4003</v>
      </c>
      <c r="E88" t="s">
        <v>94</v>
      </c>
      <c r="K88" t="s">
        <v>3044</v>
      </c>
    </row>
    <row r="89" spans="1:11" x14ac:dyDescent="0.25">
      <c r="A89">
        <v>1071</v>
      </c>
      <c r="B89" t="s">
        <v>1733</v>
      </c>
      <c r="C89" t="s">
        <v>3045</v>
      </c>
      <c r="D89" t="str">
        <f t="shared" si="1"/>
        <v>GMG4004</v>
      </c>
      <c r="E89" t="s">
        <v>3009</v>
      </c>
      <c r="K89" t="s">
        <v>3046</v>
      </c>
    </row>
    <row r="90" spans="1:11" x14ac:dyDescent="0.25">
      <c r="A90">
        <v>1071</v>
      </c>
      <c r="B90" t="s">
        <v>1733</v>
      </c>
      <c r="C90" t="s">
        <v>3047</v>
      </c>
      <c r="D90" t="str">
        <f t="shared" si="1"/>
        <v>GMG4005</v>
      </c>
      <c r="E90" t="s">
        <v>3009</v>
      </c>
      <c r="K90" t="s">
        <v>2980</v>
      </c>
    </row>
    <row r="91" spans="1:11" x14ac:dyDescent="0.25">
      <c r="A91">
        <v>1071</v>
      </c>
      <c r="B91" t="s">
        <v>1733</v>
      </c>
      <c r="C91" t="s">
        <v>3048</v>
      </c>
      <c r="D91" t="str">
        <f t="shared" si="1"/>
        <v>GMG4701</v>
      </c>
      <c r="E91" t="s">
        <v>3049</v>
      </c>
      <c r="K91" t="s">
        <v>3050</v>
      </c>
    </row>
    <row r="92" spans="1:11" x14ac:dyDescent="0.25">
      <c r="A92">
        <v>1071</v>
      </c>
      <c r="B92" t="s">
        <v>1733</v>
      </c>
      <c r="C92" t="s">
        <v>239</v>
      </c>
      <c r="D92" t="str">
        <f t="shared" si="1"/>
        <v>GMG4702</v>
      </c>
      <c r="E92" t="s">
        <v>3049</v>
      </c>
      <c r="K92" t="s">
        <v>2983</v>
      </c>
    </row>
    <row r="93" spans="1:11" x14ac:dyDescent="0.25">
      <c r="A93">
        <v>1071</v>
      </c>
      <c r="B93" t="s">
        <v>1733</v>
      </c>
      <c r="C93" t="s">
        <v>364</v>
      </c>
      <c r="D93" t="str">
        <f t="shared" si="1"/>
        <v>GMG4799</v>
      </c>
      <c r="E93" t="s">
        <v>3049</v>
      </c>
      <c r="K93" t="s">
        <v>2985</v>
      </c>
    </row>
    <row r="94" spans="1:11" x14ac:dyDescent="0.25">
      <c r="A94">
        <v>1071</v>
      </c>
      <c r="B94" t="s">
        <v>1733</v>
      </c>
      <c r="C94" t="s">
        <v>3051</v>
      </c>
      <c r="D94" t="str">
        <f t="shared" si="1"/>
        <v>GMG5101</v>
      </c>
      <c r="E94" t="s">
        <v>3052</v>
      </c>
      <c r="K94" t="s">
        <v>2986</v>
      </c>
    </row>
    <row r="95" spans="1:11" x14ac:dyDescent="0.25">
      <c r="A95">
        <v>1071</v>
      </c>
      <c r="B95" t="s">
        <v>1733</v>
      </c>
      <c r="C95" t="s">
        <v>3053</v>
      </c>
      <c r="D95" t="str">
        <f t="shared" si="1"/>
        <v>GMG5103</v>
      </c>
      <c r="E95" t="s">
        <v>3052</v>
      </c>
      <c r="K95" t="s">
        <v>233</v>
      </c>
    </row>
    <row r="96" spans="1:11" x14ac:dyDescent="0.25">
      <c r="A96">
        <v>1071</v>
      </c>
      <c r="B96" t="s">
        <v>1733</v>
      </c>
      <c r="C96" t="s">
        <v>3054</v>
      </c>
      <c r="D96" t="str">
        <f t="shared" si="1"/>
        <v>GMG5204</v>
      </c>
      <c r="E96" t="s">
        <v>3055</v>
      </c>
      <c r="K96" t="s">
        <v>3056</v>
      </c>
    </row>
    <row r="97" spans="1:11" x14ac:dyDescent="0.25">
      <c r="A97">
        <v>1071</v>
      </c>
      <c r="B97" t="s">
        <v>1733</v>
      </c>
      <c r="C97" t="s">
        <v>329</v>
      </c>
      <c r="D97" t="str">
        <f t="shared" si="1"/>
        <v>GMG5206</v>
      </c>
      <c r="E97" t="s">
        <v>3057</v>
      </c>
      <c r="K97" t="s">
        <v>2988</v>
      </c>
    </row>
    <row r="98" spans="1:11" x14ac:dyDescent="0.25">
      <c r="A98">
        <v>1071</v>
      </c>
      <c r="B98" t="s">
        <v>1733</v>
      </c>
      <c r="C98" t="s">
        <v>3058</v>
      </c>
      <c r="D98" t="str">
        <f t="shared" si="1"/>
        <v>GMG5207</v>
      </c>
      <c r="E98" t="s">
        <v>3057</v>
      </c>
      <c r="K98" t="s">
        <v>3059</v>
      </c>
    </row>
    <row r="99" spans="1:11" x14ac:dyDescent="0.25">
      <c r="A99">
        <v>1071</v>
      </c>
      <c r="B99" t="s">
        <v>1733</v>
      </c>
      <c r="C99" t="s">
        <v>3060</v>
      </c>
      <c r="D99" t="str">
        <f t="shared" si="1"/>
        <v>GMG5208</v>
      </c>
      <c r="E99" t="s">
        <v>3057</v>
      </c>
      <c r="K99" t="s">
        <v>3061</v>
      </c>
    </row>
    <row r="100" spans="1:11" x14ac:dyDescent="0.25">
      <c r="A100">
        <v>1071</v>
      </c>
      <c r="B100" t="s">
        <v>1733</v>
      </c>
      <c r="C100" t="s">
        <v>359</v>
      </c>
      <c r="D100" t="str">
        <f t="shared" si="1"/>
        <v>GMG5209</v>
      </c>
      <c r="E100" t="s">
        <v>3055</v>
      </c>
      <c r="K100" t="s">
        <v>3062</v>
      </c>
    </row>
    <row r="101" spans="1:11" x14ac:dyDescent="0.25">
      <c r="A101">
        <v>1071</v>
      </c>
      <c r="B101" t="s">
        <v>1733</v>
      </c>
      <c r="C101" t="s">
        <v>3063</v>
      </c>
      <c r="D101" t="str">
        <f t="shared" si="1"/>
        <v>GMG5210</v>
      </c>
      <c r="E101" t="s">
        <v>3055</v>
      </c>
      <c r="K101" t="s">
        <v>336</v>
      </c>
    </row>
    <row r="102" spans="1:11" x14ac:dyDescent="0.25">
      <c r="A102">
        <v>1071</v>
      </c>
      <c r="B102" t="s">
        <v>1733</v>
      </c>
      <c r="C102" t="s">
        <v>3064</v>
      </c>
      <c r="D102" t="str">
        <f t="shared" si="1"/>
        <v>GMG5212</v>
      </c>
      <c r="E102" t="s">
        <v>3055</v>
      </c>
      <c r="K102" t="s">
        <v>3065</v>
      </c>
    </row>
    <row r="103" spans="1:11" x14ac:dyDescent="0.25">
      <c r="A103">
        <v>1071</v>
      </c>
      <c r="B103" t="s">
        <v>1733</v>
      </c>
      <c r="C103" t="s">
        <v>391</v>
      </c>
      <c r="D103" t="str">
        <f t="shared" si="1"/>
        <v>GMG5214</v>
      </c>
      <c r="E103" t="s">
        <v>3055</v>
      </c>
      <c r="K103" t="s">
        <v>3066</v>
      </c>
    </row>
    <row r="104" spans="1:11" x14ac:dyDescent="0.25">
      <c r="A104">
        <v>1071</v>
      </c>
      <c r="B104" t="s">
        <v>1733</v>
      </c>
      <c r="C104" t="s">
        <v>409</v>
      </c>
      <c r="D104" t="str">
        <f t="shared" si="1"/>
        <v>GMG5217</v>
      </c>
      <c r="E104" t="s">
        <v>3067</v>
      </c>
      <c r="K104" t="s">
        <v>2991</v>
      </c>
    </row>
    <row r="105" spans="1:11" x14ac:dyDescent="0.25">
      <c r="A105">
        <v>1071</v>
      </c>
      <c r="B105" t="s">
        <v>1733</v>
      </c>
      <c r="C105" t="s">
        <v>3068</v>
      </c>
      <c r="D105" t="str">
        <f t="shared" si="1"/>
        <v>GMG5220</v>
      </c>
      <c r="E105" t="s">
        <v>3057</v>
      </c>
      <c r="K105" t="s">
        <v>2994</v>
      </c>
    </row>
    <row r="106" spans="1:11" x14ac:dyDescent="0.25">
      <c r="A106">
        <v>1071</v>
      </c>
      <c r="B106" t="s">
        <v>1733</v>
      </c>
      <c r="C106" t="s">
        <v>449</v>
      </c>
      <c r="D106" t="str">
        <f t="shared" si="1"/>
        <v>GMG5225</v>
      </c>
      <c r="E106" t="s">
        <v>3055</v>
      </c>
      <c r="K106" t="s">
        <v>3069</v>
      </c>
    </row>
    <row r="107" spans="1:11" x14ac:dyDescent="0.25">
      <c r="A107">
        <v>1071</v>
      </c>
      <c r="B107" t="s">
        <v>1733</v>
      </c>
      <c r="C107" t="s">
        <v>3070</v>
      </c>
      <c r="D107" t="str">
        <f t="shared" si="1"/>
        <v>GMG5226</v>
      </c>
      <c r="E107" t="s">
        <v>3055</v>
      </c>
      <c r="K107" t="s">
        <v>3071</v>
      </c>
    </row>
    <row r="108" spans="1:11" x14ac:dyDescent="0.25">
      <c r="A108">
        <v>1071</v>
      </c>
      <c r="B108" t="s">
        <v>1733</v>
      </c>
      <c r="C108" t="s">
        <v>3072</v>
      </c>
      <c r="D108" t="str">
        <f t="shared" si="1"/>
        <v>GMG5227</v>
      </c>
      <c r="E108" t="s">
        <v>3055</v>
      </c>
      <c r="K108" t="s">
        <v>3073</v>
      </c>
    </row>
    <row r="109" spans="1:11" x14ac:dyDescent="0.25">
      <c r="A109">
        <v>1071</v>
      </c>
      <c r="B109" t="s">
        <v>1733</v>
      </c>
      <c r="C109" t="s">
        <v>3074</v>
      </c>
      <c r="D109" t="str">
        <f t="shared" si="1"/>
        <v>GMG9202</v>
      </c>
      <c r="E109" t="s">
        <v>3075</v>
      </c>
      <c r="K109" t="s">
        <v>2996</v>
      </c>
    </row>
    <row r="110" spans="1:11" x14ac:dyDescent="0.25">
      <c r="A110">
        <v>1071</v>
      </c>
      <c r="B110" t="s">
        <v>1733</v>
      </c>
      <c r="C110" t="s">
        <v>250</v>
      </c>
      <c r="D110" t="str">
        <f t="shared" si="1"/>
        <v>GMG9301</v>
      </c>
      <c r="E110" t="s">
        <v>2968</v>
      </c>
      <c r="K110" t="s">
        <v>2998</v>
      </c>
    </row>
    <row r="111" spans="1:11" x14ac:dyDescent="0.25">
      <c r="A111">
        <v>1071</v>
      </c>
      <c r="B111" t="s">
        <v>1733</v>
      </c>
      <c r="C111" t="s">
        <v>320</v>
      </c>
      <c r="D111" t="str">
        <f t="shared" si="1"/>
        <v>GMG9305</v>
      </c>
      <c r="E111" t="s">
        <v>2968</v>
      </c>
      <c r="K111" t="s">
        <v>3000</v>
      </c>
    </row>
    <row r="112" spans="1:11" x14ac:dyDescent="0.25">
      <c r="A112">
        <v>1071</v>
      </c>
      <c r="B112" t="s">
        <v>1733</v>
      </c>
      <c r="C112" t="s">
        <v>331</v>
      </c>
      <c r="D112" t="str">
        <f t="shared" si="1"/>
        <v>GMG9306</v>
      </c>
      <c r="E112" t="s">
        <v>3076</v>
      </c>
      <c r="K112" t="s">
        <v>3077</v>
      </c>
    </row>
    <row r="113" spans="1:11" x14ac:dyDescent="0.25">
      <c r="A113">
        <v>1071</v>
      </c>
      <c r="B113" t="s">
        <v>1733</v>
      </c>
      <c r="C113" t="s">
        <v>440</v>
      </c>
      <c r="D113" t="str">
        <f t="shared" si="1"/>
        <v>GMG9326</v>
      </c>
      <c r="E113" t="s">
        <v>2968</v>
      </c>
      <c r="K113" t="s">
        <v>3078</v>
      </c>
    </row>
    <row r="114" spans="1:11" x14ac:dyDescent="0.25">
      <c r="A114">
        <v>1071</v>
      </c>
      <c r="B114" t="s">
        <v>1733</v>
      </c>
      <c r="C114" t="s">
        <v>3079</v>
      </c>
      <c r="D114" t="str">
        <f t="shared" si="1"/>
        <v>GMG9399</v>
      </c>
      <c r="E114" t="s">
        <v>2968</v>
      </c>
      <c r="K114" t="s">
        <v>3003</v>
      </c>
    </row>
    <row r="115" spans="1:11" x14ac:dyDescent="0.25">
      <c r="A115">
        <v>1081</v>
      </c>
      <c r="B115" t="s">
        <v>1706</v>
      </c>
      <c r="C115" t="s">
        <v>2925</v>
      </c>
      <c r="D115" t="str">
        <f t="shared" si="1"/>
        <v>AGE0810</v>
      </c>
      <c r="E115" t="s">
        <v>2926</v>
      </c>
      <c r="K115" t="s">
        <v>3080</v>
      </c>
    </row>
    <row r="116" spans="1:11" x14ac:dyDescent="0.25">
      <c r="A116">
        <v>1081</v>
      </c>
      <c r="B116" t="s">
        <v>1706</v>
      </c>
      <c r="C116" t="s">
        <v>2942</v>
      </c>
      <c r="D116" t="str">
        <f t="shared" si="1"/>
        <v>AGE1317</v>
      </c>
      <c r="E116" t="s">
        <v>3081</v>
      </c>
      <c r="K116" t="s">
        <v>566</v>
      </c>
    </row>
    <row r="117" spans="1:11" x14ac:dyDescent="0.25">
      <c r="A117">
        <v>1081</v>
      </c>
      <c r="B117" t="s">
        <v>1706</v>
      </c>
      <c r="C117" t="s">
        <v>2928</v>
      </c>
      <c r="D117" t="str">
        <f t="shared" si="1"/>
        <v>AGE1401</v>
      </c>
      <c r="E117" t="s">
        <v>44</v>
      </c>
      <c r="K117" t="s">
        <v>438</v>
      </c>
    </row>
    <row r="118" spans="1:11" x14ac:dyDescent="0.25">
      <c r="A118">
        <v>1081</v>
      </c>
      <c r="B118" t="s">
        <v>1706</v>
      </c>
      <c r="C118" t="s">
        <v>2930</v>
      </c>
      <c r="D118" t="str">
        <f t="shared" si="1"/>
        <v>AGE1501</v>
      </c>
      <c r="E118" t="s">
        <v>44</v>
      </c>
      <c r="K118" t="s">
        <v>443</v>
      </c>
    </row>
    <row r="119" spans="1:11" x14ac:dyDescent="0.25">
      <c r="A119">
        <v>1081</v>
      </c>
      <c r="B119" t="s">
        <v>1706</v>
      </c>
      <c r="C119" t="s">
        <v>979</v>
      </c>
      <c r="D119" t="str">
        <f t="shared" si="1"/>
        <v>AGE3003</v>
      </c>
      <c r="E119" t="s">
        <v>2933</v>
      </c>
      <c r="K119" t="s">
        <v>3082</v>
      </c>
    </row>
    <row r="120" spans="1:11" x14ac:dyDescent="0.25">
      <c r="A120">
        <v>1081</v>
      </c>
      <c r="B120" t="s">
        <v>1706</v>
      </c>
      <c r="C120" t="s">
        <v>2937</v>
      </c>
      <c r="D120" t="str">
        <f t="shared" si="1"/>
        <v>AGE3004</v>
      </c>
      <c r="E120" t="s">
        <v>2933</v>
      </c>
      <c r="K120" t="s">
        <v>3083</v>
      </c>
    </row>
    <row r="121" spans="1:11" x14ac:dyDescent="0.25">
      <c r="A121">
        <v>1081</v>
      </c>
      <c r="B121" t="s">
        <v>1706</v>
      </c>
      <c r="C121" t="s">
        <v>2939</v>
      </c>
      <c r="D121" t="str">
        <f t="shared" si="1"/>
        <v>AGE3005</v>
      </c>
      <c r="E121" t="s">
        <v>2933</v>
      </c>
      <c r="K121" t="s">
        <v>3084</v>
      </c>
    </row>
    <row r="122" spans="1:11" x14ac:dyDescent="0.25">
      <c r="A122">
        <v>1081</v>
      </c>
      <c r="B122" t="s">
        <v>1706</v>
      </c>
      <c r="C122" t="s">
        <v>2941</v>
      </c>
      <c r="D122" t="str">
        <f t="shared" si="1"/>
        <v>AGE3008</v>
      </c>
      <c r="E122" t="s">
        <v>2933</v>
      </c>
      <c r="K122" t="s">
        <v>1481</v>
      </c>
    </row>
    <row r="123" spans="1:11" x14ac:dyDescent="0.25">
      <c r="A123">
        <v>1081</v>
      </c>
      <c r="B123" t="s">
        <v>1706</v>
      </c>
      <c r="C123" t="s">
        <v>2943</v>
      </c>
      <c r="D123" t="str">
        <f t="shared" si="1"/>
        <v>AGE3010</v>
      </c>
      <c r="E123" t="s">
        <v>2944</v>
      </c>
      <c r="K123" t="s">
        <v>3085</v>
      </c>
    </row>
    <row r="124" spans="1:11" x14ac:dyDescent="0.25">
      <c r="A124">
        <v>1081</v>
      </c>
      <c r="B124" t="s">
        <v>1706</v>
      </c>
      <c r="C124" t="s">
        <v>2948</v>
      </c>
      <c r="D124" t="str">
        <f t="shared" si="1"/>
        <v>AGE3015</v>
      </c>
      <c r="E124" t="s">
        <v>2933</v>
      </c>
      <c r="K124" t="s">
        <v>3086</v>
      </c>
    </row>
    <row r="125" spans="1:11" x14ac:dyDescent="0.25">
      <c r="A125">
        <v>1081</v>
      </c>
      <c r="B125" t="s">
        <v>1706</v>
      </c>
      <c r="C125" t="s">
        <v>2950</v>
      </c>
      <c r="D125" t="str">
        <f t="shared" si="1"/>
        <v>AGE3016</v>
      </c>
      <c r="E125" t="s">
        <v>2933</v>
      </c>
      <c r="K125" t="s">
        <v>3087</v>
      </c>
    </row>
    <row r="126" spans="1:11" x14ac:dyDescent="0.25">
      <c r="A126">
        <v>1081</v>
      </c>
      <c r="B126" t="s">
        <v>1706</v>
      </c>
      <c r="C126" t="s">
        <v>406</v>
      </c>
      <c r="D126" t="str">
        <f t="shared" si="1"/>
        <v>AGE3017</v>
      </c>
      <c r="E126" t="s">
        <v>2933</v>
      </c>
      <c r="K126" t="s">
        <v>3088</v>
      </c>
    </row>
    <row r="127" spans="1:11" x14ac:dyDescent="0.25">
      <c r="A127">
        <v>1081</v>
      </c>
      <c r="B127" t="s">
        <v>1706</v>
      </c>
      <c r="C127" t="s">
        <v>411</v>
      </c>
      <c r="D127" t="str">
        <f t="shared" si="1"/>
        <v>AGE3018</v>
      </c>
      <c r="E127" t="s">
        <v>2933</v>
      </c>
      <c r="K127" t="s">
        <v>3089</v>
      </c>
    </row>
    <row r="128" spans="1:11" x14ac:dyDescent="0.25">
      <c r="A128">
        <v>1081</v>
      </c>
      <c r="B128" t="s">
        <v>1706</v>
      </c>
      <c r="C128" t="s">
        <v>2953</v>
      </c>
      <c r="D128" t="str">
        <f t="shared" si="1"/>
        <v>AGE3019</v>
      </c>
      <c r="E128" t="s">
        <v>2954</v>
      </c>
      <c r="K128" t="s">
        <v>3090</v>
      </c>
    </row>
    <row r="129" spans="1:11" x14ac:dyDescent="0.25">
      <c r="A129">
        <v>1081</v>
      </c>
      <c r="B129" t="s">
        <v>1706</v>
      </c>
      <c r="C129" t="s">
        <v>2955</v>
      </c>
      <c r="D129" t="str">
        <f t="shared" si="1"/>
        <v>AGE3020</v>
      </c>
      <c r="E129" t="s">
        <v>2933</v>
      </c>
      <c r="K129" t="s">
        <v>3091</v>
      </c>
    </row>
    <row r="130" spans="1:11" x14ac:dyDescent="0.25">
      <c r="A130">
        <v>1081</v>
      </c>
      <c r="B130" t="s">
        <v>1706</v>
      </c>
      <c r="C130" t="s">
        <v>2956</v>
      </c>
      <c r="D130" t="str">
        <f t="shared" ref="D130:D193" si="2">CONCATENATE(B130,LEFT(C130,4))</f>
        <v>AGE3021</v>
      </c>
      <c r="E130" t="s">
        <v>2933</v>
      </c>
      <c r="K130" t="s">
        <v>3092</v>
      </c>
    </row>
    <row r="131" spans="1:11" x14ac:dyDescent="0.25">
      <c r="A131">
        <v>1081</v>
      </c>
      <c r="B131" t="s">
        <v>1706</v>
      </c>
      <c r="C131" t="s">
        <v>431</v>
      </c>
      <c r="D131" t="str">
        <f t="shared" si="2"/>
        <v>AGE3022</v>
      </c>
      <c r="E131" t="s">
        <v>2933</v>
      </c>
      <c r="K131" t="s">
        <v>3093</v>
      </c>
    </row>
    <row r="132" spans="1:11" x14ac:dyDescent="0.25">
      <c r="A132">
        <v>1081</v>
      </c>
      <c r="B132" t="s">
        <v>1706</v>
      </c>
      <c r="C132" t="s">
        <v>2957</v>
      </c>
      <c r="D132" t="str">
        <f t="shared" si="2"/>
        <v>AGE3023</v>
      </c>
      <c r="E132" t="s">
        <v>2958</v>
      </c>
      <c r="K132" t="s">
        <v>3094</v>
      </c>
    </row>
    <row r="133" spans="1:11" x14ac:dyDescent="0.25">
      <c r="A133">
        <v>1081</v>
      </c>
      <c r="B133" t="s">
        <v>1706</v>
      </c>
      <c r="C133" t="s">
        <v>441</v>
      </c>
      <c r="D133" t="str">
        <f t="shared" si="2"/>
        <v>AGE3024</v>
      </c>
      <c r="E133" t="s">
        <v>2933</v>
      </c>
      <c r="K133" t="s">
        <v>3095</v>
      </c>
    </row>
    <row r="134" spans="1:11" x14ac:dyDescent="0.25">
      <c r="A134">
        <v>1081</v>
      </c>
      <c r="B134" t="s">
        <v>1706</v>
      </c>
      <c r="C134" t="s">
        <v>2959</v>
      </c>
      <c r="D134" t="str">
        <f t="shared" si="2"/>
        <v>AGE3025</v>
      </c>
      <c r="E134" t="s">
        <v>2933</v>
      </c>
      <c r="K134" t="s">
        <v>3096</v>
      </c>
    </row>
    <row r="135" spans="1:11" x14ac:dyDescent="0.25">
      <c r="A135">
        <v>1081</v>
      </c>
      <c r="B135" t="s">
        <v>1706</v>
      </c>
      <c r="C135" t="s">
        <v>2960</v>
      </c>
      <c r="D135" t="str">
        <f t="shared" si="2"/>
        <v>AGE3026</v>
      </c>
      <c r="E135" t="s">
        <v>2958</v>
      </c>
      <c r="K135" t="s">
        <v>3022</v>
      </c>
    </row>
    <row r="136" spans="1:11" x14ac:dyDescent="0.25">
      <c r="A136">
        <v>1081</v>
      </c>
      <c r="B136" t="s">
        <v>1706</v>
      </c>
      <c r="C136" t="s">
        <v>467</v>
      </c>
      <c r="D136" t="str">
        <f t="shared" si="2"/>
        <v>AGE3030</v>
      </c>
      <c r="E136" t="s">
        <v>2933</v>
      </c>
      <c r="K136" t="s">
        <v>3097</v>
      </c>
    </row>
    <row r="137" spans="1:11" x14ac:dyDescent="0.25">
      <c r="A137">
        <v>1081</v>
      </c>
      <c r="B137" t="s">
        <v>1706</v>
      </c>
      <c r="C137" t="s">
        <v>487</v>
      </c>
      <c r="D137" t="str">
        <f t="shared" si="2"/>
        <v>AGE3040</v>
      </c>
      <c r="E137" t="s">
        <v>2933</v>
      </c>
      <c r="K137" t="s">
        <v>3098</v>
      </c>
    </row>
    <row r="138" spans="1:11" x14ac:dyDescent="0.25">
      <c r="A138">
        <v>1081</v>
      </c>
      <c r="B138" t="s">
        <v>1706</v>
      </c>
      <c r="C138" t="s">
        <v>491</v>
      </c>
      <c r="D138" t="str">
        <f t="shared" si="2"/>
        <v>AGE3099</v>
      </c>
      <c r="E138" t="s">
        <v>2933</v>
      </c>
      <c r="K138" t="s">
        <v>3099</v>
      </c>
    </row>
    <row r="139" spans="1:11" x14ac:dyDescent="0.25">
      <c r="A139">
        <v>1081</v>
      </c>
      <c r="B139" t="s">
        <v>1706</v>
      </c>
      <c r="C139" t="s">
        <v>54</v>
      </c>
      <c r="D139" t="str">
        <f t="shared" si="2"/>
        <v>AGE3301</v>
      </c>
      <c r="E139" t="s">
        <v>44</v>
      </c>
      <c r="K139" t="s">
        <v>3100</v>
      </c>
    </row>
    <row r="140" spans="1:11" x14ac:dyDescent="0.25">
      <c r="A140">
        <v>1081</v>
      </c>
      <c r="B140" t="s">
        <v>1706</v>
      </c>
      <c r="C140" t="s">
        <v>2975</v>
      </c>
      <c r="D140" t="str">
        <f t="shared" si="2"/>
        <v>AGE3302</v>
      </c>
      <c r="E140" t="s">
        <v>44</v>
      </c>
      <c r="K140" t="s">
        <v>3101</v>
      </c>
    </row>
    <row r="141" spans="1:11" x14ac:dyDescent="0.25">
      <c r="A141">
        <v>1081</v>
      </c>
      <c r="B141" t="s">
        <v>1706</v>
      </c>
      <c r="C141" t="s">
        <v>2977</v>
      </c>
      <c r="D141" t="str">
        <f t="shared" si="2"/>
        <v>AGE3304</v>
      </c>
      <c r="E141" t="s">
        <v>44</v>
      </c>
      <c r="K141" t="s">
        <v>3025</v>
      </c>
    </row>
    <row r="142" spans="1:11" x14ac:dyDescent="0.25">
      <c r="A142">
        <v>1081</v>
      </c>
      <c r="B142" t="s">
        <v>1706</v>
      </c>
      <c r="C142" t="s">
        <v>3012</v>
      </c>
      <c r="D142" t="str">
        <f t="shared" si="2"/>
        <v>AGE3601</v>
      </c>
      <c r="E142" t="s">
        <v>65</v>
      </c>
      <c r="K142" t="s">
        <v>3102</v>
      </c>
    </row>
    <row r="143" spans="1:11" x14ac:dyDescent="0.25">
      <c r="A143">
        <v>1081</v>
      </c>
      <c r="B143" t="s">
        <v>1706</v>
      </c>
      <c r="C143" t="s">
        <v>355</v>
      </c>
      <c r="D143" t="str">
        <f t="shared" si="2"/>
        <v>AGE3610</v>
      </c>
      <c r="E143" t="s">
        <v>2968</v>
      </c>
      <c r="K143" t="s">
        <v>3027</v>
      </c>
    </row>
    <row r="144" spans="1:11" x14ac:dyDescent="0.25">
      <c r="A144">
        <v>1081</v>
      </c>
      <c r="B144" t="s">
        <v>1706</v>
      </c>
      <c r="C144" t="s">
        <v>2979</v>
      </c>
      <c r="D144" t="str">
        <f t="shared" si="2"/>
        <v>AGE3612</v>
      </c>
      <c r="E144" t="s">
        <v>2968</v>
      </c>
      <c r="K144" t="s">
        <v>3103</v>
      </c>
    </row>
    <row r="145" spans="1:11" x14ac:dyDescent="0.25">
      <c r="A145">
        <v>1081</v>
      </c>
      <c r="B145" t="s">
        <v>1706</v>
      </c>
      <c r="C145" t="s">
        <v>401</v>
      </c>
      <c r="D145" t="str">
        <f t="shared" si="2"/>
        <v>AGE3617</v>
      </c>
      <c r="E145" t="s">
        <v>2968</v>
      </c>
      <c r="K145" t="s">
        <v>3104</v>
      </c>
    </row>
    <row r="146" spans="1:11" x14ac:dyDescent="0.25">
      <c r="A146">
        <v>1081</v>
      </c>
      <c r="B146" t="s">
        <v>1706</v>
      </c>
      <c r="C146" t="s">
        <v>407</v>
      </c>
      <c r="D146" t="str">
        <f t="shared" si="2"/>
        <v>AGE3618</v>
      </c>
      <c r="E146" t="s">
        <v>2954</v>
      </c>
      <c r="K146" t="s">
        <v>3105</v>
      </c>
    </row>
    <row r="147" spans="1:11" x14ac:dyDescent="0.25">
      <c r="A147">
        <v>1081</v>
      </c>
      <c r="B147" t="s">
        <v>1706</v>
      </c>
      <c r="C147" t="s">
        <v>422</v>
      </c>
      <c r="D147" t="str">
        <f t="shared" si="2"/>
        <v>AGE3621</v>
      </c>
      <c r="E147" t="s">
        <v>3106</v>
      </c>
      <c r="K147" t="s">
        <v>3029</v>
      </c>
    </row>
    <row r="148" spans="1:11" x14ac:dyDescent="0.25">
      <c r="A148">
        <v>1081</v>
      </c>
      <c r="B148" t="s">
        <v>1706</v>
      </c>
      <c r="C148" t="s">
        <v>427</v>
      </c>
      <c r="D148" t="str">
        <f t="shared" si="2"/>
        <v>AGE3622</v>
      </c>
      <c r="E148" t="s">
        <v>3107</v>
      </c>
      <c r="K148" t="s">
        <v>3108</v>
      </c>
    </row>
    <row r="149" spans="1:11" x14ac:dyDescent="0.25">
      <c r="A149">
        <v>1081</v>
      </c>
      <c r="B149" t="s">
        <v>1706</v>
      </c>
      <c r="C149" t="s">
        <v>471</v>
      </c>
      <c r="D149" t="str">
        <f t="shared" si="2"/>
        <v>AGE3699</v>
      </c>
      <c r="E149" t="s">
        <v>2968</v>
      </c>
      <c r="K149" t="s">
        <v>1154</v>
      </c>
    </row>
    <row r="150" spans="1:11" x14ac:dyDescent="0.25">
      <c r="A150">
        <v>1081</v>
      </c>
      <c r="B150" t="s">
        <v>1706</v>
      </c>
      <c r="C150" t="s">
        <v>2980</v>
      </c>
      <c r="D150" t="str">
        <f t="shared" si="2"/>
        <v>AGE3701</v>
      </c>
      <c r="E150" t="s">
        <v>103</v>
      </c>
      <c r="K150" t="s">
        <v>3109</v>
      </c>
    </row>
    <row r="151" spans="1:11" x14ac:dyDescent="0.25">
      <c r="A151">
        <v>1081</v>
      </c>
      <c r="B151" t="s">
        <v>1706</v>
      </c>
      <c r="C151" t="s">
        <v>3050</v>
      </c>
      <c r="D151" t="str">
        <f t="shared" si="2"/>
        <v>AGE3702</v>
      </c>
      <c r="E151" t="s">
        <v>2981</v>
      </c>
      <c r="K151" t="s">
        <v>3110</v>
      </c>
    </row>
    <row r="152" spans="1:11" x14ac:dyDescent="0.25">
      <c r="A152">
        <v>1081</v>
      </c>
      <c r="B152" t="s">
        <v>1706</v>
      </c>
      <c r="C152" t="s">
        <v>2983</v>
      </c>
      <c r="D152" t="str">
        <f t="shared" si="2"/>
        <v>AGE3703</v>
      </c>
      <c r="E152" t="s">
        <v>117</v>
      </c>
      <c r="K152" t="s">
        <v>3111</v>
      </c>
    </row>
    <row r="153" spans="1:11" x14ac:dyDescent="0.25">
      <c r="A153">
        <v>1081</v>
      </c>
      <c r="B153" t="s">
        <v>1706</v>
      </c>
      <c r="C153" t="s">
        <v>2985</v>
      </c>
      <c r="D153" t="str">
        <f t="shared" si="2"/>
        <v>AGE3704</v>
      </c>
      <c r="E153" t="s">
        <v>117</v>
      </c>
      <c r="K153" t="s">
        <v>635</v>
      </c>
    </row>
    <row r="154" spans="1:11" x14ac:dyDescent="0.25">
      <c r="A154">
        <v>1081</v>
      </c>
      <c r="B154" t="s">
        <v>1706</v>
      </c>
      <c r="C154" t="s">
        <v>2986</v>
      </c>
      <c r="D154" t="str">
        <f t="shared" si="2"/>
        <v>AGE3705</v>
      </c>
      <c r="E154" t="s">
        <v>117</v>
      </c>
      <c r="K154" t="s">
        <v>3112</v>
      </c>
    </row>
    <row r="155" spans="1:11" x14ac:dyDescent="0.25">
      <c r="A155">
        <v>1081</v>
      </c>
      <c r="B155" t="s">
        <v>1706</v>
      </c>
      <c r="C155" t="s">
        <v>299</v>
      </c>
      <c r="D155" t="str">
        <f t="shared" si="2"/>
        <v>AGE3904</v>
      </c>
      <c r="E155" t="s">
        <v>2968</v>
      </c>
      <c r="K155" t="s">
        <v>3113</v>
      </c>
    </row>
    <row r="156" spans="1:11" x14ac:dyDescent="0.25">
      <c r="A156">
        <v>1081</v>
      </c>
      <c r="B156" t="s">
        <v>1706</v>
      </c>
      <c r="C156" t="s">
        <v>326</v>
      </c>
      <c r="D156" t="str">
        <f t="shared" si="2"/>
        <v>AGE3906</v>
      </c>
      <c r="E156" t="s">
        <v>2968</v>
      </c>
      <c r="K156" t="s">
        <v>3114</v>
      </c>
    </row>
    <row r="157" spans="1:11" x14ac:dyDescent="0.25">
      <c r="A157">
        <v>1081</v>
      </c>
      <c r="B157" t="s">
        <v>1706</v>
      </c>
      <c r="C157" t="s">
        <v>346</v>
      </c>
      <c r="D157" t="str">
        <f t="shared" si="2"/>
        <v>AGE3910</v>
      </c>
      <c r="E157" t="s">
        <v>2968</v>
      </c>
      <c r="K157" t="s">
        <v>3115</v>
      </c>
    </row>
    <row r="158" spans="1:11" x14ac:dyDescent="0.25">
      <c r="A158">
        <v>1081</v>
      </c>
      <c r="B158" t="s">
        <v>1706</v>
      </c>
      <c r="C158" t="s">
        <v>356</v>
      </c>
      <c r="D158" t="str">
        <f t="shared" si="2"/>
        <v>AGE3911</v>
      </c>
      <c r="E158" t="s">
        <v>2968</v>
      </c>
      <c r="K158" t="s">
        <v>3116</v>
      </c>
    </row>
    <row r="159" spans="1:11" x14ac:dyDescent="0.25">
      <c r="A159">
        <v>1081</v>
      </c>
      <c r="B159" t="s">
        <v>1706</v>
      </c>
      <c r="C159" t="s">
        <v>2991</v>
      </c>
      <c r="D159" t="str">
        <f t="shared" si="2"/>
        <v>AGE3912</v>
      </c>
      <c r="E159" t="s">
        <v>2992</v>
      </c>
      <c r="K159" t="s">
        <v>643</v>
      </c>
    </row>
    <row r="160" spans="1:11" x14ac:dyDescent="0.25">
      <c r="A160">
        <v>1081</v>
      </c>
      <c r="B160" t="s">
        <v>1706</v>
      </c>
      <c r="C160" t="s">
        <v>2994</v>
      </c>
      <c r="D160" t="str">
        <f t="shared" si="2"/>
        <v>AGE3913</v>
      </c>
      <c r="E160" t="s">
        <v>2992</v>
      </c>
      <c r="K160" t="s">
        <v>526</v>
      </c>
    </row>
    <row r="161" spans="1:11" x14ac:dyDescent="0.25">
      <c r="A161">
        <v>1081</v>
      </c>
      <c r="B161" t="s">
        <v>1706</v>
      </c>
      <c r="C161" t="s">
        <v>384</v>
      </c>
      <c r="D161" t="str">
        <f t="shared" si="2"/>
        <v>AGE3915</v>
      </c>
      <c r="E161" t="s">
        <v>2992</v>
      </c>
      <c r="K161" t="s">
        <v>3036</v>
      </c>
    </row>
    <row r="162" spans="1:11" x14ac:dyDescent="0.25">
      <c r="A162">
        <v>1081</v>
      </c>
      <c r="B162" t="s">
        <v>1706</v>
      </c>
      <c r="C162" t="s">
        <v>2996</v>
      </c>
      <c r="D162" t="str">
        <f t="shared" si="2"/>
        <v>AGE3917</v>
      </c>
      <c r="E162" t="s">
        <v>2958</v>
      </c>
      <c r="K162" t="s">
        <v>528</v>
      </c>
    </row>
    <row r="163" spans="1:11" x14ac:dyDescent="0.25">
      <c r="A163">
        <v>1081</v>
      </c>
      <c r="B163" t="s">
        <v>1706</v>
      </c>
      <c r="C163" t="s">
        <v>2998</v>
      </c>
      <c r="D163" t="str">
        <f t="shared" si="2"/>
        <v>AGE3918</v>
      </c>
      <c r="E163" t="s">
        <v>2958</v>
      </c>
      <c r="K163" t="s">
        <v>531</v>
      </c>
    </row>
    <row r="164" spans="1:11" x14ac:dyDescent="0.25">
      <c r="A164">
        <v>1081</v>
      </c>
      <c r="B164" t="s">
        <v>1706</v>
      </c>
      <c r="C164" t="s">
        <v>3000</v>
      </c>
      <c r="D164" t="str">
        <f t="shared" si="2"/>
        <v>AGE3919</v>
      </c>
      <c r="E164" t="s">
        <v>3001</v>
      </c>
      <c r="K164" t="s">
        <v>3117</v>
      </c>
    </row>
    <row r="165" spans="1:11" x14ac:dyDescent="0.25">
      <c r="A165">
        <v>1081</v>
      </c>
      <c r="B165" t="s">
        <v>1706</v>
      </c>
      <c r="C165" t="s">
        <v>3077</v>
      </c>
      <c r="D165" t="str">
        <f t="shared" si="2"/>
        <v>AGE3920</v>
      </c>
      <c r="E165" t="s">
        <v>3107</v>
      </c>
      <c r="K165" t="s">
        <v>534</v>
      </c>
    </row>
    <row r="166" spans="1:11" x14ac:dyDescent="0.25">
      <c r="A166">
        <v>1081</v>
      </c>
      <c r="B166" t="s">
        <v>1706</v>
      </c>
      <c r="C166" t="s">
        <v>3002</v>
      </c>
      <c r="D166" t="str">
        <f t="shared" si="2"/>
        <v>AGE3921</v>
      </c>
      <c r="E166" t="s">
        <v>3001</v>
      </c>
      <c r="K166" t="s">
        <v>3118</v>
      </c>
    </row>
    <row r="167" spans="1:11" x14ac:dyDescent="0.25">
      <c r="A167">
        <v>1081</v>
      </c>
      <c r="B167" t="s">
        <v>1706</v>
      </c>
      <c r="C167" t="s">
        <v>3003</v>
      </c>
      <c r="D167" t="str">
        <f t="shared" si="2"/>
        <v>AGE3922</v>
      </c>
      <c r="E167" t="s">
        <v>2954</v>
      </c>
      <c r="K167" t="s">
        <v>3119</v>
      </c>
    </row>
    <row r="168" spans="1:11" x14ac:dyDescent="0.25">
      <c r="A168">
        <v>1081</v>
      </c>
      <c r="B168" t="s">
        <v>1706</v>
      </c>
      <c r="C168" t="s">
        <v>438</v>
      </c>
      <c r="D168" t="str">
        <f t="shared" si="2"/>
        <v>AGE3925</v>
      </c>
      <c r="E168" t="s">
        <v>3120</v>
      </c>
      <c r="K168" t="s">
        <v>664</v>
      </c>
    </row>
    <row r="169" spans="1:11" x14ac:dyDescent="0.25">
      <c r="A169">
        <v>1081</v>
      </c>
      <c r="B169" t="s">
        <v>1706</v>
      </c>
      <c r="C169" t="s">
        <v>443</v>
      </c>
      <c r="D169" t="str">
        <f t="shared" si="2"/>
        <v>AGE3926</v>
      </c>
      <c r="E169" t="s">
        <v>3006</v>
      </c>
      <c r="K169" t="s">
        <v>3121</v>
      </c>
    </row>
    <row r="170" spans="1:11" x14ac:dyDescent="0.25">
      <c r="A170">
        <v>1081</v>
      </c>
      <c r="B170" t="s">
        <v>1706</v>
      </c>
      <c r="C170" t="s">
        <v>3008</v>
      </c>
      <c r="D170" t="str">
        <f t="shared" si="2"/>
        <v>AGE3927</v>
      </c>
      <c r="E170" t="s">
        <v>3009</v>
      </c>
      <c r="K170" t="s">
        <v>3122</v>
      </c>
    </row>
    <row r="171" spans="1:11" x14ac:dyDescent="0.25">
      <c r="A171">
        <v>1081</v>
      </c>
      <c r="B171" t="s">
        <v>1706</v>
      </c>
      <c r="C171" t="s">
        <v>458</v>
      </c>
      <c r="D171" t="str">
        <f t="shared" si="2"/>
        <v>AGE3930</v>
      </c>
      <c r="E171" t="s">
        <v>3006</v>
      </c>
      <c r="K171" t="s">
        <v>3045</v>
      </c>
    </row>
    <row r="172" spans="1:11" x14ac:dyDescent="0.25">
      <c r="A172">
        <v>1081</v>
      </c>
      <c r="B172" t="s">
        <v>1706</v>
      </c>
      <c r="C172" t="s">
        <v>1481</v>
      </c>
      <c r="D172" t="str">
        <f t="shared" si="2"/>
        <v>AGE3931</v>
      </c>
      <c r="E172" t="s">
        <v>2968</v>
      </c>
      <c r="K172" t="s">
        <v>3047</v>
      </c>
    </row>
    <row r="173" spans="1:11" x14ac:dyDescent="0.25">
      <c r="A173">
        <v>1081</v>
      </c>
      <c r="B173" t="s">
        <v>1706</v>
      </c>
      <c r="C173" t="s">
        <v>3017</v>
      </c>
      <c r="D173" t="str">
        <f t="shared" si="2"/>
        <v>AGE3936</v>
      </c>
      <c r="E173" t="s">
        <v>94</v>
      </c>
      <c r="K173" t="s">
        <v>314</v>
      </c>
    </row>
    <row r="174" spans="1:11" x14ac:dyDescent="0.25">
      <c r="A174">
        <v>1081</v>
      </c>
      <c r="B174" t="s">
        <v>1706</v>
      </c>
      <c r="C174" t="s">
        <v>3088</v>
      </c>
      <c r="D174" t="str">
        <f t="shared" si="2"/>
        <v>AGE3937</v>
      </c>
      <c r="E174" t="s">
        <v>3107</v>
      </c>
      <c r="K174" t="s">
        <v>630</v>
      </c>
    </row>
    <row r="175" spans="1:11" x14ac:dyDescent="0.25">
      <c r="A175">
        <v>1081</v>
      </c>
      <c r="B175" t="s">
        <v>1706</v>
      </c>
      <c r="C175" t="s">
        <v>3019</v>
      </c>
      <c r="D175" t="str">
        <f t="shared" si="2"/>
        <v>AGE3940</v>
      </c>
      <c r="E175" t="s">
        <v>3009</v>
      </c>
      <c r="K175" t="s">
        <v>3123</v>
      </c>
    </row>
    <row r="176" spans="1:11" x14ac:dyDescent="0.25">
      <c r="A176">
        <v>1081</v>
      </c>
      <c r="B176" t="s">
        <v>1706</v>
      </c>
      <c r="C176" t="s">
        <v>482</v>
      </c>
      <c r="D176" t="str">
        <f t="shared" si="2"/>
        <v>AGE3942</v>
      </c>
      <c r="E176" t="s">
        <v>2968</v>
      </c>
      <c r="K176" t="s">
        <v>3124</v>
      </c>
    </row>
    <row r="177" spans="1:11" x14ac:dyDescent="0.25">
      <c r="A177">
        <v>1081</v>
      </c>
      <c r="B177" t="s">
        <v>1706</v>
      </c>
      <c r="C177" t="s">
        <v>3020</v>
      </c>
      <c r="D177" t="str">
        <f t="shared" si="2"/>
        <v>AGE3943</v>
      </c>
      <c r="E177" t="s">
        <v>2958</v>
      </c>
      <c r="K177" t="s">
        <v>3125</v>
      </c>
    </row>
    <row r="178" spans="1:11" x14ac:dyDescent="0.25">
      <c r="A178">
        <v>1081</v>
      </c>
      <c r="B178" t="s">
        <v>1706</v>
      </c>
      <c r="C178" t="s">
        <v>492</v>
      </c>
      <c r="D178" t="str">
        <f t="shared" si="2"/>
        <v>AGE3948</v>
      </c>
      <c r="E178" t="s">
        <v>3004</v>
      </c>
      <c r="K178" t="s">
        <v>3126</v>
      </c>
    </row>
    <row r="179" spans="1:11" x14ac:dyDescent="0.25">
      <c r="A179">
        <v>1081</v>
      </c>
      <c r="B179" t="s">
        <v>1706</v>
      </c>
      <c r="C179" t="s">
        <v>3027</v>
      </c>
      <c r="D179" t="str">
        <f t="shared" si="2"/>
        <v>AGE3961</v>
      </c>
      <c r="E179" t="s">
        <v>2981</v>
      </c>
      <c r="K179" t="s">
        <v>3127</v>
      </c>
    </row>
    <row r="180" spans="1:11" x14ac:dyDescent="0.25">
      <c r="A180">
        <v>1081</v>
      </c>
      <c r="B180" t="s">
        <v>1706</v>
      </c>
      <c r="C180" t="s">
        <v>3103</v>
      </c>
      <c r="D180" t="str">
        <f t="shared" si="2"/>
        <v>AGE3962</v>
      </c>
      <c r="E180" t="s">
        <v>3033</v>
      </c>
      <c r="K180" t="s">
        <v>3128</v>
      </c>
    </row>
    <row r="181" spans="1:11" x14ac:dyDescent="0.25">
      <c r="A181">
        <v>1081</v>
      </c>
      <c r="B181" t="s">
        <v>1706</v>
      </c>
      <c r="C181" t="s">
        <v>510</v>
      </c>
      <c r="D181" t="str">
        <f t="shared" si="2"/>
        <v>AGE3967</v>
      </c>
      <c r="E181" t="s">
        <v>2968</v>
      </c>
      <c r="K181" t="s">
        <v>238</v>
      </c>
    </row>
    <row r="182" spans="1:11" x14ac:dyDescent="0.25">
      <c r="A182">
        <v>1081</v>
      </c>
      <c r="B182" t="s">
        <v>1706</v>
      </c>
      <c r="C182" t="s">
        <v>1154</v>
      </c>
      <c r="D182" t="str">
        <f t="shared" si="2"/>
        <v>AGE3969</v>
      </c>
      <c r="E182" t="s">
        <v>2992</v>
      </c>
      <c r="K182" t="s">
        <v>3129</v>
      </c>
    </row>
    <row r="183" spans="1:11" x14ac:dyDescent="0.25">
      <c r="A183">
        <v>1081</v>
      </c>
      <c r="B183" t="s">
        <v>1706</v>
      </c>
      <c r="C183" t="s">
        <v>3031</v>
      </c>
      <c r="D183" t="str">
        <f t="shared" si="2"/>
        <v>AGE3970</v>
      </c>
      <c r="E183" t="s">
        <v>3009</v>
      </c>
      <c r="K183" t="s">
        <v>3130</v>
      </c>
    </row>
    <row r="184" spans="1:11" x14ac:dyDescent="0.25">
      <c r="A184">
        <v>1081</v>
      </c>
      <c r="B184" t="s">
        <v>1706</v>
      </c>
      <c r="C184" t="s">
        <v>516</v>
      </c>
      <c r="D184" t="str">
        <f t="shared" si="2"/>
        <v>AGE3974</v>
      </c>
      <c r="E184" t="s">
        <v>3131</v>
      </c>
      <c r="K184" t="s">
        <v>239</v>
      </c>
    </row>
    <row r="185" spans="1:11" x14ac:dyDescent="0.25">
      <c r="A185">
        <v>1081</v>
      </c>
      <c r="B185" t="s">
        <v>1706</v>
      </c>
      <c r="C185" t="s">
        <v>3036</v>
      </c>
      <c r="D185" t="str">
        <f t="shared" si="2"/>
        <v>AGE3987</v>
      </c>
      <c r="E185" t="s">
        <v>2958</v>
      </c>
      <c r="K185" t="s">
        <v>265</v>
      </c>
    </row>
    <row r="186" spans="1:11" x14ac:dyDescent="0.25">
      <c r="A186">
        <v>1081</v>
      </c>
      <c r="B186" t="s">
        <v>1706</v>
      </c>
      <c r="C186" t="s">
        <v>537</v>
      </c>
      <c r="D186" t="str">
        <f t="shared" si="2"/>
        <v>AGE3997</v>
      </c>
      <c r="E186" t="s">
        <v>2968</v>
      </c>
      <c r="K186" t="s">
        <v>3132</v>
      </c>
    </row>
    <row r="187" spans="1:11" x14ac:dyDescent="0.25">
      <c r="A187">
        <v>1081</v>
      </c>
      <c r="B187" t="s">
        <v>1706</v>
      </c>
      <c r="C187" t="s">
        <v>3040</v>
      </c>
      <c r="D187" t="str">
        <f t="shared" si="2"/>
        <v>AGE3999</v>
      </c>
      <c r="E187" t="s">
        <v>2968</v>
      </c>
      <c r="K187" t="s">
        <v>3133</v>
      </c>
    </row>
    <row r="188" spans="1:11" x14ac:dyDescent="0.25">
      <c r="A188">
        <v>1081</v>
      </c>
      <c r="B188" t="s">
        <v>1706</v>
      </c>
      <c r="C188" t="s">
        <v>3041</v>
      </c>
      <c r="D188" t="str">
        <f t="shared" si="2"/>
        <v>AGE4002</v>
      </c>
      <c r="E188" t="s">
        <v>3009</v>
      </c>
      <c r="K188" t="s">
        <v>3134</v>
      </c>
    </row>
    <row r="189" spans="1:11" x14ac:dyDescent="0.25">
      <c r="A189">
        <v>1081</v>
      </c>
      <c r="B189" t="s">
        <v>1706</v>
      </c>
      <c r="C189" t="s">
        <v>3043</v>
      </c>
      <c r="D189" t="str">
        <f t="shared" si="2"/>
        <v>AGE4003</v>
      </c>
      <c r="E189" t="s">
        <v>94</v>
      </c>
      <c r="K189" t="s">
        <v>3135</v>
      </c>
    </row>
    <row r="190" spans="1:11" x14ac:dyDescent="0.25">
      <c r="A190">
        <v>1081</v>
      </c>
      <c r="B190" t="s">
        <v>1706</v>
      </c>
      <c r="C190" t="s">
        <v>3045</v>
      </c>
      <c r="D190" t="str">
        <f t="shared" si="2"/>
        <v>AGE4004</v>
      </c>
      <c r="E190" t="s">
        <v>3009</v>
      </c>
      <c r="K190" t="s">
        <v>348</v>
      </c>
    </row>
    <row r="191" spans="1:11" x14ac:dyDescent="0.25">
      <c r="A191">
        <v>1081</v>
      </c>
      <c r="B191" t="s">
        <v>1706</v>
      </c>
      <c r="C191" t="s">
        <v>3047</v>
      </c>
      <c r="D191" t="str">
        <f t="shared" si="2"/>
        <v>AGE4005</v>
      </c>
      <c r="E191" t="s">
        <v>3009</v>
      </c>
      <c r="K191" t="s">
        <v>3136</v>
      </c>
    </row>
    <row r="192" spans="1:11" x14ac:dyDescent="0.25">
      <c r="A192">
        <v>1081</v>
      </c>
      <c r="B192" t="s">
        <v>1706</v>
      </c>
      <c r="C192" t="s">
        <v>813</v>
      </c>
      <c r="D192" t="str">
        <f t="shared" si="2"/>
        <v>AGE4006</v>
      </c>
      <c r="E192" t="s">
        <v>3057</v>
      </c>
      <c r="K192" t="s">
        <v>3137</v>
      </c>
    </row>
    <row r="193" spans="1:11" x14ac:dyDescent="0.25">
      <c r="A193">
        <v>1081</v>
      </c>
      <c r="B193" t="s">
        <v>1706</v>
      </c>
      <c r="C193" t="s">
        <v>3138</v>
      </c>
      <c r="D193" t="str">
        <f t="shared" si="2"/>
        <v>AGE4007</v>
      </c>
      <c r="E193" t="s">
        <v>94</v>
      </c>
      <c r="K193" t="s">
        <v>3139</v>
      </c>
    </row>
    <row r="194" spans="1:11" x14ac:dyDescent="0.25">
      <c r="A194">
        <v>1081</v>
      </c>
      <c r="B194" t="s">
        <v>1706</v>
      </c>
      <c r="C194" t="s">
        <v>3048</v>
      </c>
      <c r="D194" t="str">
        <f t="shared" ref="D194:D257" si="3">CONCATENATE(B194,LEFT(C194,4))</f>
        <v>AGE4701</v>
      </c>
      <c r="E194" t="s">
        <v>3049</v>
      </c>
      <c r="K194" t="s">
        <v>3140</v>
      </c>
    </row>
    <row r="195" spans="1:11" x14ac:dyDescent="0.25">
      <c r="A195">
        <v>1081</v>
      </c>
      <c r="B195" t="s">
        <v>1706</v>
      </c>
      <c r="C195" t="s">
        <v>265</v>
      </c>
      <c r="D195" t="str">
        <f t="shared" si="3"/>
        <v>AGE4703</v>
      </c>
      <c r="E195" t="s">
        <v>3049</v>
      </c>
      <c r="K195" t="s">
        <v>3141</v>
      </c>
    </row>
    <row r="196" spans="1:11" x14ac:dyDescent="0.25">
      <c r="A196">
        <v>1081</v>
      </c>
      <c r="B196" t="s">
        <v>1706</v>
      </c>
      <c r="C196" t="s">
        <v>328</v>
      </c>
      <c r="D196" t="str">
        <f t="shared" si="3"/>
        <v>AGE4707</v>
      </c>
      <c r="E196" t="s">
        <v>3049</v>
      </c>
      <c r="K196" t="s">
        <v>3142</v>
      </c>
    </row>
    <row r="197" spans="1:11" x14ac:dyDescent="0.25">
      <c r="A197">
        <v>1081</v>
      </c>
      <c r="B197" t="s">
        <v>1706</v>
      </c>
      <c r="C197" t="s">
        <v>329</v>
      </c>
      <c r="D197" t="str">
        <f t="shared" si="3"/>
        <v>AGE5206</v>
      </c>
      <c r="E197" t="s">
        <v>3057</v>
      </c>
      <c r="K197" t="s">
        <v>3143</v>
      </c>
    </row>
    <row r="198" spans="1:11" x14ac:dyDescent="0.25">
      <c r="A198">
        <v>1081</v>
      </c>
      <c r="B198" t="s">
        <v>1706</v>
      </c>
      <c r="C198" t="s">
        <v>3058</v>
      </c>
      <c r="D198" t="str">
        <f t="shared" si="3"/>
        <v>AGE5207</v>
      </c>
      <c r="E198" t="s">
        <v>3057</v>
      </c>
      <c r="K198" t="s">
        <v>3144</v>
      </c>
    </row>
    <row r="199" spans="1:11" x14ac:dyDescent="0.25">
      <c r="A199">
        <v>1081</v>
      </c>
      <c r="B199" t="s">
        <v>1706</v>
      </c>
      <c r="C199" t="s">
        <v>3060</v>
      </c>
      <c r="D199" t="str">
        <f t="shared" si="3"/>
        <v>AGE5208</v>
      </c>
      <c r="E199" t="s">
        <v>3057</v>
      </c>
      <c r="K199" t="s">
        <v>3051</v>
      </c>
    </row>
    <row r="200" spans="1:11" x14ac:dyDescent="0.25">
      <c r="A200">
        <v>1081</v>
      </c>
      <c r="B200" t="s">
        <v>1706</v>
      </c>
      <c r="C200" t="s">
        <v>3063</v>
      </c>
      <c r="D200" t="str">
        <f t="shared" si="3"/>
        <v>AGE5210</v>
      </c>
      <c r="E200" t="s">
        <v>3055</v>
      </c>
      <c r="K200" t="s">
        <v>3053</v>
      </c>
    </row>
    <row r="201" spans="1:11" x14ac:dyDescent="0.25">
      <c r="A201">
        <v>1081</v>
      </c>
      <c r="B201" t="s">
        <v>1706</v>
      </c>
      <c r="C201" t="s">
        <v>3064</v>
      </c>
      <c r="D201" t="str">
        <f t="shared" si="3"/>
        <v>AGE5212</v>
      </c>
      <c r="E201" t="s">
        <v>3055</v>
      </c>
      <c r="K201" t="s">
        <v>3145</v>
      </c>
    </row>
    <row r="202" spans="1:11" x14ac:dyDescent="0.25">
      <c r="A202">
        <v>1081</v>
      </c>
      <c r="B202" t="s">
        <v>1706</v>
      </c>
      <c r="C202" t="s">
        <v>391</v>
      </c>
      <c r="D202" t="str">
        <f t="shared" si="3"/>
        <v>AGE5214</v>
      </c>
      <c r="E202" t="s">
        <v>3055</v>
      </c>
      <c r="K202" t="s">
        <v>3146</v>
      </c>
    </row>
    <row r="203" spans="1:11" x14ac:dyDescent="0.25">
      <c r="A203">
        <v>1081</v>
      </c>
      <c r="B203" t="s">
        <v>1706</v>
      </c>
      <c r="C203" t="s">
        <v>409</v>
      </c>
      <c r="D203" t="str">
        <f t="shared" si="3"/>
        <v>AGE5217</v>
      </c>
      <c r="E203" t="s">
        <v>3055</v>
      </c>
      <c r="K203" t="s">
        <v>3147</v>
      </c>
    </row>
    <row r="204" spans="1:11" x14ac:dyDescent="0.25">
      <c r="A204">
        <v>1081</v>
      </c>
      <c r="B204" t="s">
        <v>1706</v>
      </c>
      <c r="C204" t="s">
        <v>3068</v>
      </c>
      <c r="D204" t="str">
        <f t="shared" si="3"/>
        <v>AGE5220</v>
      </c>
      <c r="E204" t="s">
        <v>3057</v>
      </c>
      <c r="K204" t="s">
        <v>3148</v>
      </c>
    </row>
    <row r="205" spans="1:11" x14ac:dyDescent="0.25">
      <c r="A205">
        <v>1081</v>
      </c>
      <c r="B205" t="s">
        <v>1706</v>
      </c>
      <c r="C205" t="s">
        <v>449</v>
      </c>
      <c r="D205" t="str">
        <f t="shared" si="3"/>
        <v>AGE5225</v>
      </c>
      <c r="E205" t="s">
        <v>3055</v>
      </c>
      <c r="K205" t="s">
        <v>3149</v>
      </c>
    </row>
    <row r="206" spans="1:11" x14ac:dyDescent="0.25">
      <c r="A206">
        <v>1081</v>
      </c>
      <c r="B206" t="s">
        <v>1706</v>
      </c>
      <c r="C206" t="s">
        <v>3150</v>
      </c>
      <c r="D206" t="str">
        <f t="shared" si="3"/>
        <v>AGE5230</v>
      </c>
      <c r="E206" t="s">
        <v>3055</v>
      </c>
      <c r="K206" t="s">
        <v>242</v>
      </c>
    </row>
    <row r="207" spans="1:11" x14ac:dyDescent="0.25">
      <c r="A207">
        <v>1081</v>
      </c>
      <c r="B207" t="s">
        <v>1706</v>
      </c>
      <c r="C207" t="s">
        <v>3074</v>
      </c>
      <c r="D207" t="str">
        <f t="shared" si="3"/>
        <v>AGE9202</v>
      </c>
      <c r="E207" t="s">
        <v>3075</v>
      </c>
      <c r="K207" t="s">
        <v>288</v>
      </c>
    </row>
    <row r="208" spans="1:11" x14ac:dyDescent="0.25">
      <c r="A208">
        <v>1081</v>
      </c>
      <c r="B208" t="s">
        <v>1706</v>
      </c>
      <c r="C208" t="s">
        <v>250</v>
      </c>
      <c r="D208" t="str">
        <f t="shared" si="3"/>
        <v>AGE9301</v>
      </c>
      <c r="E208" t="s">
        <v>2968</v>
      </c>
      <c r="K208" t="s">
        <v>3054</v>
      </c>
    </row>
    <row r="209" spans="1:11" x14ac:dyDescent="0.25">
      <c r="A209">
        <v>1081</v>
      </c>
      <c r="B209" t="s">
        <v>1706</v>
      </c>
      <c r="C209" t="s">
        <v>380</v>
      </c>
      <c r="D209" t="str">
        <f t="shared" si="3"/>
        <v>AGE9312</v>
      </c>
      <c r="E209" t="s">
        <v>2968</v>
      </c>
      <c r="K209" t="s">
        <v>3151</v>
      </c>
    </row>
    <row r="210" spans="1:11" x14ac:dyDescent="0.25">
      <c r="A210">
        <v>1081</v>
      </c>
      <c r="B210" t="s">
        <v>1706</v>
      </c>
      <c r="C210" t="s">
        <v>3079</v>
      </c>
      <c r="D210" t="str">
        <f t="shared" si="3"/>
        <v>AGE9399</v>
      </c>
      <c r="E210" t="s">
        <v>3152</v>
      </c>
      <c r="K210" t="s">
        <v>3058</v>
      </c>
    </row>
    <row r="211" spans="1:11" x14ac:dyDescent="0.25">
      <c r="A211">
        <v>1101</v>
      </c>
      <c r="B211" t="s">
        <v>1744</v>
      </c>
      <c r="C211" t="s">
        <v>2928</v>
      </c>
      <c r="D211" t="str">
        <f t="shared" si="3"/>
        <v>OGE1401</v>
      </c>
      <c r="E211" t="s">
        <v>44</v>
      </c>
      <c r="K211" t="s">
        <v>3060</v>
      </c>
    </row>
    <row r="212" spans="1:11" x14ac:dyDescent="0.25">
      <c r="A212">
        <v>1101</v>
      </c>
      <c r="B212" t="s">
        <v>1744</v>
      </c>
      <c r="C212" t="s">
        <v>2930</v>
      </c>
      <c r="D212" t="str">
        <f t="shared" si="3"/>
        <v>OGE1501</v>
      </c>
      <c r="E212" t="s">
        <v>44</v>
      </c>
      <c r="K212" t="s">
        <v>3153</v>
      </c>
    </row>
    <row r="213" spans="1:11" x14ac:dyDescent="0.25">
      <c r="A213">
        <v>1101</v>
      </c>
      <c r="B213" t="s">
        <v>1744</v>
      </c>
      <c r="C213" t="s">
        <v>2932</v>
      </c>
      <c r="D213" t="str">
        <f t="shared" si="3"/>
        <v>OGE3001</v>
      </c>
      <c r="E213" t="s">
        <v>2933</v>
      </c>
      <c r="K213" t="s">
        <v>3154</v>
      </c>
    </row>
    <row r="214" spans="1:11" x14ac:dyDescent="0.25">
      <c r="A214">
        <v>1101</v>
      </c>
      <c r="B214" t="s">
        <v>1744</v>
      </c>
      <c r="C214" t="s">
        <v>2937</v>
      </c>
      <c r="D214" t="str">
        <f t="shared" si="3"/>
        <v>OGE3004</v>
      </c>
      <c r="E214" t="s">
        <v>2933</v>
      </c>
      <c r="K214" t="s">
        <v>3155</v>
      </c>
    </row>
    <row r="215" spans="1:11" x14ac:dyDescent="0.25">
      <c r="A215">
        <v>1101</v>
      </c>
      <c r="B215" t="s">
        <v>1744</v>
      </c>
      <c r="C215" t="s">
        <v>2939</v>
      </c>
      <c r="D215" t="str">
        <f t="shared" si="3"/>
        <v>OGE3005</v>
      </c>
      <c r="E215" t="s">
        <v>2933</v>
      </c>
      <c r="K215" t="s">
        <v>3156</v>
      </c>
    </row>
    <row r="216" spans="1:11" x14ac:dyDescent="0.25">
      <c r="A216">
        <v>1101</v>
      </c>
      <c r="B216" t="s">
        <v>1744</v>
      </c>
      <c r="C216" t="s">
        <v>2948</v>
      </c>
      <c r="D216" t="str">
        <f t="shared" si="3"/>
        <v>OGE3015</v>
      </c>
      <c r="E216" t="s">
        <v>2933</v>
      </c>
      <c r="K216" t="s">
        <v>385</v>
      </c>
    </row>
    <row r="217" spans="1:11" x14ac:dyDescent="0.25">
      <c r="A217">
        <v>1101</v>
      </c>
      <c r="B217" t="s">
        <v>1744</v>
      </c>
      <c r="C217" t="s">
        <v>2950</v>
      </c>
      <c r="D217" t="str">
        <f t="shared" si="3"/>
        <v>OGE3016</v>
      </c>
      <c r="E217" t="s">
        <v>2933</v>
      </c>
      <c r="K217" t="s">
        <v>3157</v>
      </c>
    </row>
    <row r="218" spans="1:11" x14ac:dyDescent="0.25">
      <c r="A218">
        <v>1101</v>
      </c>
      <c r="B218" t="s">
        <v>1744</v>
      </c>
      <c r="C218" t="s">
        <v>431</v>
      </c>
      <c r="D218" t="str">
        <f t="shared" si="3"/>
        <v>OGE3022</v>
      </c>
      <c r="E218" t="s">
        <v>2933</v>
      </c>
      <c r="K218" t="s">
        <v>3158</v>
      </c>
    </row>
    <row r="219" spans="1:11" x14ac:dyDescent="0.25">
      <c r="A219">
        <v>1101</v>
      </c>
      <c r="B219" t="s">
        <v>1744</v>
      </c>
      <c r="C219" t="s">
        <v>2960</v>
      </c>
      <c r="D219" t="str">
        <f t="shared" si="3"/>
        <v>OGE3026</v>
      </c>
      <c r="E219" t="s">
        <v>2958</v>
      </c>
      <c r="K219" t="s">
        <v>3159</v>
      </c>
    </row>
    <row r="220" spans="1:11" x14ac:dyDescent="0.25">
      <c r="A220">
        <v>1101</v>
      </c>
      <c r="B220" t="s">
        <v>1744</v>
      </c>
      <c r="C220" t="s">
        <v>491</v>
      </c>
      <c r="D220" t="str">
        <f t="shared" si="3"/>
        <v>OGE3099</v>
      </c>
      <c r="E220" t="s">
        <v>2933</v>
      </c>
      <c r="K220" t="s">
        <v>3160</v>
      </c>
    </row>
    <row r="221" spans="1:11" x14ac:dyDescent="0.25">
      <c r="A221">
        <v>1101</v>
      </c>
      <c r="B221" t="s">
        <v>1744</v>
      </c>
      <c r="C221" t="s">
        <v>54</v>
      </c>
      <c r="D221" t="str">
        <f t="shared" si="3"/>
        <v>OGE3301</v>
      </c>
      <c r="E221" t="s">
        <v>44</v>
      </c>
      <c r="K221" t="s">
        <v>3068</v>
      </c>
    </row>
    <row r="222" spans="1:11" x14ac:dyDescent="0.25">
      <c r="A222">
        <v>1101</v>
      </c>
      <c r="B222" t="s">
        <v>1744</v>
      </c>
      <c r="C222" t="s">
        <v>2975</v>
      </c>
      <c r="D222" t="str">
        <f t="shared" si="3"/>
        <v>OGE3302</v>
      </c>
      <c r="E222" t="s">
        <v>44</v>
      </c>
      <c r="K222" t="s">
        <v>3161</v>
      </c>
    </row>
    <row r="223" spans="1:11" x14ac:dyDescent="0.25">
      <c r="A223">
        <v>1101</v>
      </c>
      <c r="B223" t="s">
        <v>1744</v>
      </c>
      <c r="C223" t="s">
        <v>2977</v>
      </c>
      <c r="D223" t="str">
        <f t="shared" si="3"/>
        <v>OGE3304</v>
      </c>
      <c r="E223" t="s">
        <v>44</v>
      </c>
      <c r="K223" t="s">
        <v>434</v>
      </c>
    </row>
    <row r="224" spans="1:11" x14ac:dyDescent="0.25">
      <c r="A224">
        <v>1101</v>
      </c>
      <c r="B224" t="s">
        <v>1744</v>
      </c>
      <c r="C224" t="s">
        <v>297</v>
      </c>
      <c r="D224" t="str">
        <f t="shared" si="3"/>
        <v>OGE3604</v>
      </c>
      <c r="E224" t="s">
        <v>44</v>
      </c>
      <c r="K224" t="s">
        <v>3162</v>
      </c>
    </row>
    <row r="225" spans="1:11" x14ac:dyDescent="0.25">
      <c r="A225">
        <v>1101</v>
      </c>
      <c r="B225" t="s">
        <v>1744</v>
      </c>
      <c r="C225" t="s">
        <v>355</v>
      </c>
      <c r="D225" t="str">
        <f t="shared" si="3"/>
        <v>OGE3610</v>
      </c>
      <c r="E225" t="s">
        <v>2968</v>
      </c>
      <c r="K225" t="s">
        <v>3070</v>
      </c>
    </row>
    <row r="226" spans="1:11" x14ac:dyDescent="0.25">
      <c r="A226">
        <v>1101</v>
      </c>
      <c r="B226" t="s">
        <v>1744</v>
      </c>
      <c r="C226" t="s">
        <v>2979</v>
      </c>
      <c r="D226" t="str">
        <f t="shared" si="3"/>
        <v>OGE3612</v>
      </c>
      <c r="E226" t="s">
        <v>2968</v>
      </c>
      <c r="K226" t="s">
        <v>3163</v>
      </c>
    </row>
    <row r="227" spans="1:11" x14ac:dyDescent="0.25">
      <c r="A227">
        <v>1101</v>
      </c>
      <c r="B227" t="s">
        <v>1744</v>
      </c>
      <c r="C227" t="s">
        <v>2985</v>
      </c>
      <c r="D227" t="str">
        <f t="shared" si="3"/>
        <v>OGE3704</v>
      </c>
      <c r="E227" t="s">
        <v>117</v>
      </c>
      <c r="K227" t="s">
        <v>3150</v>
      </c>
    </row>
    <row r="228" spans="1:11" x14ac:dyDescent="0.25">
      <c r="A228">
        <v>1101</v>
      </c>
      <c r="B228" t="s">
        <v>1744</v>
      </c>
      <c r="C228" t="s">
        <v>2986</v>
      </c>
      <c r="D228" t="str">
        <f t="shared" si="3"/>
        <v>OGE3705</v>
      </c>
      <c r="E228" t="s">
        <v>117</v>
      </c>
      <c r="K228" t="s">
        <v>459</v>
      </c>
    </row>
    <row r="229" spans="1:11" x14ac:dyDescent="0.25">
      <c r="A229">
        <v>1101</v>
      </c>
      <c r="B229" t="s">
        <v>1744</v>
      </c>
      <c r="C229" t="s">
        <v>2988</v>
      </c>
      <c r="D229" t="str">
        <f t="shared" si="3"/>
        <v>OGE3903</v>
      </c>
      <c r="E229" t="s">
        <v>87</v>
      </c>
      <c r="K229" t="s">
        <v>3164</v>
      </c>
    </row>
    <row r="230" spans="1:11" x14ac:dyDescent="0.25">
      <c r="A230">
        <v>1101</v>
      </c>
      <c r="B230" t="s">
        <v>1744</v>
      </c>
      <c r="C230" t="s">
        <v>346</v>
      </c>
      <c r="D230" t="str">
        <f t="shared" si="3"/>
        <v>OGE3910</v>
      </c>
      <c r="E230" t="s">
        <v>2968</v>
      </c>
      <c r="K230" t="s">
        <v>3165</v>
      </c>
    </row>
    <row r="231" spans="1:11" x14ac:dyDescent="0.25">
      <c r="A231">
        <v>1101</v>
      </c>
      <c r="B231" t="s">
        <v>1744</v>
      </c>
      <c r="C231" t="s">
        <v>356</v>
      </c>
      <c r="D231" t="str">
        <f t="shared" si="3"/>
        <v>OGE3911</v>
      </c>
      <c r="E231" t="s">
        <v>2968</v>
      </c>
      <c r="K231" t="s">
        <v>3166</v>
      </c>
    </row>
    <row r="232" spans="1:11" x14ac:dyDescent="0.25">
      <c r="A232">
        <v>1101</v>
      </c>
      <c r="B232" t="s">
        <v>1744</v>
      </c>
      <c r="C232" t="s">
        <v>2996</v>
      </c>
      <c r="D232" t="str">
        <f t="shared" si="3"/>
        <v>OGE3917</v>
      </c>
      <c r="E232" t="s">
        <v>2958</v>
      </c>
      <c r="K232" t="s">
        <v>3167</v>
      </c>
    </row>
    <row r="233" spans="1:11" x14ac:dyDescent="0.25">
      <c r="A233">
        <v>1101</v>
      </c>
      <c r="B233" t="s">
        <v>1744</v>
      </c>
      <c r="C233" t="s">
        <v>2998</v>
      </c>
      <c r="D233" t="str">
        <f t="shared" si="3"/>
        <v>OGE3918</v>
      </c>
      <c r="E233" t="s">
        <v>2958</v>
      </c>
      <c r="K233" t="s">
        <v>3168</v>
      </c>
    </row>
    <row r="234" spans="1:11" x14ac:dyDescent="0.25">
      <c r="A234">
        <v>1101</v>
      </c>
      <c r="B234" t="s">
        <v>1744</v>
      </c>
      <c r="C234" t="s">
        <v>566</v>
      </c>
      <c r="D234" t="str">
        <f t="shared" si="3"/>
        <v>OGE3924</v>
      </c>
      <c r="E234" t="s">
        <v>3004</v>
      </c>
      <c r="K234" t="s">
        <v>3169</v>
      </c>
    </row>
    <row r="235" spans="1:11" x14ac:dyDescent="0.25">
      <c r="A235">
        <v>1101</v>
      </c>
      <c r="B235" t="s">
        <v>1744</v>
      </c>
      <c r="C235" t="s">
        <v>443</v>
      </c>
      <c r="D235" t="str">
        <f t="shared" si="3"/>
        <v>OGE3926</v>
      </c>
      <c r="E235" t="s">
        <v>3006</v>
      </c>
      <c r="K235" t="s">
        <v>3170</v>
      </c>
    </row>
    <row r="236" spans="1:11" x14ac:dyDescent="0.25">
      <c r="A236">
        <v>1101</v>
      </c>
      <c r="B236" t="s">
        <v>1744</v>
      </c>
      <c r="C236" t="s">
        <v>3008</v>
      </c>
      <c r="D236" t="str">
        <f t="shared" si="3"/>
        <v>OGE3927</v>
      </c>
      <c r="E236" t="s">
        <v>3009</v>
      </c>
      <c r="K236" t="s">
        <v>3171</v>
      </c>
    </row>
    <row r="237" spans="1:11" x14ac:dyDescent="0.25">
      <c r="A237">
        <v>1101</v>
      </c>
      <c r="B237" t="s">
        <v>1744</v>
      </c>
      <c r="C237" t="s">
        <v>1481</v>
      </c>
      <c r="D237" t="str">
        <f t="shared" si="3"/>
        <v>OGE3931</v>
      </c>
      <c r="E237" t="s">
        <v>2968</v>
      </c>
      <c r="K237" t="s">
        <v>3172</v>
      </c>
    </row>
    <row r="238" spans="1:11" x14ac:dyDescent="0.25">
      <c r="A238">
        <v>1101</v>
      </c>
      <c r="B238" t="s">
        <v>1744</v>
      </c>
      <c r="C238" t="s">
        <v>3017</v>
      </c>
      <c r="D238" t="str">
        <f t="shared" si="3"/>
        <v>OGE3936</v>
      </c>
      <c r="E238" t="s">
        <v>94</v>
      </c>
      <c r="K238" t="s">
        <v>3173</v>
      </c>
    </row>
    <row r="239" spans="1:11" x14ac:dyDescent="0.25">
      <c r="A239">
        <v>1101</v>
      </c>
      <c r="B239" t="s">
        <v>1744</v>
      </c>
      <c r="C239" t="s">
        <v>3019</v>
      </c>
      <c r="D239" t="str">
        <f t="shared" si="3"/>
        <v>OGE3940</v>
      </c>
      <c r="E239" t="s">
        <v>3009</v>
      </c>
      <c r="K239" t="s">
        <v>3174</v>
      </c>
    </row>
    <row r="240" spans="1:11" x14ac:dyDescent="0.25">
      <c r="A240">
        <v>1101</v>
      </c>
      <c r="B240" t="s">
        <v>1744</v>
      </c>
      <c r="C240" t="s">
        <v>3020</v>
      </c>
      <c r="D240" t="str">
        <f t="shared" si="3"/>
        <v>OGE3943</v>
      </c>
      <c r="E240" t="s">
        <v>2958</v>
      </c>
      <c r="K240" t="s">
        <v>3175</v>
      </c>
    </row>
    <row r="241" spans="1:11" x14ac:dyDescent="0.25">
      <c r="A241">
        <v>1101</v>
      </c>
      <c r="B241" t="s">
        <v>1744</v>
      </c>
      <c r="C241" t="s">
        <v>492</v>
      </c>
      <c r="D241" t="str">
        <f t="shared" si="3"/>
        <v>OGE3948</v>
      </c>
      <c r="E241" t="s">
        <v>3004</v>
      </c>
      <c r="K241" t="s">
        <v>3176</v>
      </c>
    </row>
    <row r="242" spans="1:11" x14ac:dyDescent="0.25">
      <c r="A242">
        <v>1101</v>
      </c>
      <c r="B242" t="s">
        <v>1744</v>
      </c>
      <c r="C242" t="s">
        <v>3098</v>
      </c>
      <c r="D242" t="str">
        <f t="shared" si="3"/>
        <v>OGE3952</v>
      </c>
      <c r="E242" t="s">
        <v>65</v>
      </c>
      <c r="K242" t="s">
        <v>3177</v>
      </c>
    </row>
    <row r="243" spans="1:11" x14ac:dyDescent="0.25">
      <c r="A243">
        <v>1101</v>
      </c>
      <c r="B243" t="s">
        <v>1744</v>
      </c>
      <c r="C243" t="s">
        <v>496</v>
      </c>
      <c r="D243" t="str">
        <f t="shared" si="3"/>
        <v>OGE3953</v>
      </c>
      <c r="E243" t="s">
        <v>3004</v>
      </c>
      <c r="K243" t="s">
        <v>3178</v>
      </c>
    </row>
    <row r="244" spans="1:11" x14ac:dyDescent="0.25">
      <c r="A244">
        <v>1101</v>
      </c>
      <c r="B244" t="s">
        <v>1744</v>
      </c>
      <c r="C244" t="s">
        <v>3027</v>
      </c>
      <c r="D244" t="str">
        <f t="shared" si="3"/>
        <v>OGE3961</v>
      </c>
      <c r="E244" t="s">
        <v>2981</v>
      </c>
      <c r="K244" t="s">
        <v>3179</v>
      </c>
    </row>
    <row r="245" spans="1:11" x14ac:dyDescent="0.25">
      <c r="A245">
        <v>1101</v>
      </c>
      <c r="B245" t="s">
        <v>1744</v>
      </c>
      <c r="C245" t="s">
        <v>3036</v>
      </c>
      <c r="D245" t="str">
        <f t="shared" si="3"/>
        <v>OGE3987</v>
      </c>
      <c r="E245" t="s">
        <v>2958</v>
      </c>
      <c r="K245" t="s">
        <v>3180</v>
      </c>
    </row>
    <row r="246" spans="1:11" x14ac:dyDescent="0.25">
      <c r="A246">
        <v>1101</v>
      </c>
      <c r="B246" t="s">
        <v>1744</v>
      </c>
      <c r="C246" t="s">
        <v>3040</v>
      </c>
      <c r="D246" t="str">
        <f t="shared" si="3"/>
        <v>OGE3999</v>
      </c>
      <c r="E246" t="s">
        <v>2968</v>
      </c>
      <c r="K246" t="s">
        <v>3181</v>
      </c>
    </row>
    <row r="247" spans="1:11" x14ac:dyDescent="0.25">
      <c r="A247">
        <v>1101</v>
      </c>
      <c r="B247" t="s">
        <v>1744</v>
      </c>
      <c r="C247" t="s">
        <v>3041</v>
      </c>
      <c r="D247" t="str">
        <f t="shared" si="3"/>
        <v>OGE4002</v>
      </c>
      <c r="E247" t="s">
        <v>3009</v>
      </c>
      <c r="K247" t="s">
        <v>3182</v>
      </c>
    </row>
    <row r="248" spans="1:11" x14ac:dyDescent="0.25">
      <c r="A248">
        <v>1101</v>
      </c>
      <c r="B248" t="s">
        <v>1744</v>
      </c>
      <c r="C248" t="s">
        <v>3043</v>
      </c>
      <c r="D248" t="str">
        <f t="shared" si="3"/>
        <v>OGE4003</v>
      </c>
      <c r="E248" t="s">
        <v>94</v>
      </c>
      <c r="K248" t="s">
        <v>3183</v>
      </c>
    </row>
    <row r="249" spans="1:11" x14ac:dyDescent="0.25">
      <c r="A249">
        <v>1101</v>
      </c>
      <c r="B249" t="s">
        <v>1744</v>
      </c>
      <c r="C249" t="s">
        <v>3045</v>
      </c>
      <c r="D249" t="str">
        <f t="shared" si="3"/>
        <v>OGE4004</v>
      </c>
      <c r="E249" t="s">
        <v>3009</v>
      </c>
      <c r="K249" t="s">
        <v>3184</v>
      </c>
    </row>
    <row r="250" spans="1:11" x14ac:dyDescent="0.25">
      <c r="A250">
        <v>1101</v>
      </c>
      <c r="B250" t="s">
        <v>1744</v>
      </c>
      <c r="C250" t="s">
        <v>813</v>
      </c>
      <c r="D250" t="str">
        <f t="shared" si="3"/>
        <v>OGE4006</v>
      </c>
      <c r="E250" t="s">
        <v>3057</v>
      </c>
      <c r="K250" t="s">
        <v>3185</v>
      </c>
    </row>
    <row r="251" spans="1:11" x14ac:dyDescent="0.25">
      <c r="A251">
        <v>1101</v>
      </c>
      <c r="B251" t="s">
        <v>1744</v>
      </c>
      <c r="C251" t="s">
        <v>3058</v>
      </c>
      <c r="D251" t="str">
        <f t="shared" si="3"/>
        <v>OGE5207</v>
      </c>
      <c r="E251" t="s">
        <v>3057</v>
      </c>
      <c r="K251" t="s">
        <v>250</v>
      </c>
    </row>
    <row r="252" spans="1:11" x14ac:dyDescent="0.25">
      <c r="A252">
        <v>1101</v>
      </c>
      <c r="B252" t="s">
        <v>1744</v>
      </c>
      <c r="C252" t="s">
        <v>3060</v>
      </c>
      <c r="D252" t="str">
        <f t="shared" si="3"/>
        <v>OGE5208</v>
      </c>
      <c r="E252" t="s">
        <v>3057</v>
      </c>
      <c r="K252" t="s">
        <v>272</v>
      </c>
    </row>
    <row r="253" spans="1:11" x14ac:dyDescent="0.25">
      <c r="A253">
        <v>1101</v>
      </c>
      <c r="B253" t="s">
        <v>1744</v>
      </c>
      <c r="C253" t="s">
        <v>391</v>
      </c>
      <c r="D253" t="str">
        <f t="shared" si="3"/>
        <v>OGE5214</v>
      </c>
      <c r="E253" t="s">
        <v>3055</v>
      </c>
      <c r="K253" t="s">
        <v>3186</v>
      </c>
    </row>
    <row r="254" spans="1:11" x14ac:dyDescent="0.25">
      <c r="A254">
        <v>1101</v>
      </c>
      <c r="B254" t="s">
        <v>1744</v>
      </c>
      <c r="C254" t="s">
        <v>459</v>
      </c>
      <c r="D254" t="str">
        <f t="shared" si="3"/>
        <v>OGE5299</v>
      </c>
      <c r="E254" t="s">
        <v>3055</v>
      </c>
      <c r="K254" t="s">
        <v>3187</v>
      </c>
    </row>
    <row r="255" spans="1:11" x14ac:dyDescent="0.25">
      <c r="A255">
        <v>1101</v>
      </c>
      <c r="B255" t="s">
        <v>1744</v>
      </c>
      <c r="C255" t="s">
        <v>3074</v>
      </c>
      <c r="D255" t="str">
        <f t="shared" si="3"/>
        <v>OGE9202</v>
      </c>
      <c r="E255" t="s">
        <v>3075</v>
      </c>
      <c r="K255" t="s">
        <v>3188</v>
      </c>
    </row>
    <row r="256" spans="1:11" x14ac:dyDescent="0.25">
      <c r="A256">
        <v>1101</v>
      </c>
      <c r="B256" t="s">
        <v>1744</v>
      </c>
      <c r="C256" t="s">
        <v>3079</v>
      </c>
      <c r="D256" t="str">
        <f t="shared" si="3"/>
        <v>OGE9399</v>
      </c>
      <c r="E256" t="s">
        <v>2968</v>
      </c>
      <c r="K256" t="s">
        <v>360</v>
      </c>
    </row>
    <row r="257" spans="1:11" x14ac:dyDescent="0.25">
      <c r="A257">
        <v>1191</v>
      </c>
      <c r="B257" t="s">
        <v>1754</v>
      </c>
      <c r="C257" t="s">
        <v>2925</v>
      </c>
      <c r="D257" t="str">
        <f t="shared" si="3"/>
        <v>SEF0810</v>
      </c>
      <c r="E257" t="s">
        <v>2926</v>
      </c>
      <c r="K257" t="s">
        <v>3189</v>
      </c>
    </row>
    <row r="258" spans="1:11" x14ac:dyDescent="0.25">
      <c r="A258">
        <v>1191</v>
      </c>
      <c r="B258" t="s">
        <v>1754</v>
      </c>
      <c r="C258" t="s">
        <v>332</v>
      </c>
      <c r="D258" t="str">
        <f t="shared" ref="D258:D285" si="4">CONCATENATE(B258,LEFT(C258,4))</f>
        <v>SEF1314</v>
      </c>
      <c r="E258" t="s">
        <v>3081</v>
      </c>
      <c r="K258" t="s">
        <v>3190</v>
      </c>
    </row>
    <row r="259" spans="1:11" x14ac:dyDescent="0.25">
      <c r="A259">
        <v>1191</v>
      </c>
      <c r="B259" t="s">
        <v>1754</v>
      </c>
      <c r="C259" t="s">
        <v>2928</v>
      </c>
      <c r="D259" t="str">
        <f t="shared" si="4"/>
        <v>SEF1401</v>
      </c>
      <c r="E259" t="s">
        <v>44</v>
      </c>
      <c r="K259" t="s">
        <v>3191</v>
      </c>
    </row>
    <row r="260" spans="1:11" x14ac:dyDescent="0.25">
      <c r="A260">
        <v>1191</v>
      </c>
      <c r="B260" t="s">
        <v>1754</v>
      </c>
      <c r="C260" t="s">
        <v>2932</v>
      </c>
      <c r="D260" t="str">
        <f t="shared" si="4"/>
        <v>SEF3001</v>
      </c>
      <c r="E260" t="s">
        <v>2933</v>
      </c>
      <c r="K260" t="s">
        <v>3192</v>
      </c>
    </row>
    <row r="261" spans="1:11" x14ac:dyDescent="0.25">
      <c r="A261">
        <v>1191</v>
      </c>
      <c r="B261" t="s">
        <v>1754</v>
      </c>
      <c r="C261" t="s">
        <v>979</v>
      </c>
      <c r="D261" t="str">
        <f t="shared" si="4"/>
        <v>SEF3003</v>
      </c>
      <c r="E261" t="s">
        <v>2933</v>
      </c>
      <c r="K261" t="s">
        <v>3193</v>
      </c>
    </row>
    <row r="262" spans="1:11" x14ac:dyDescent="0.25">
      <c r="A262">
        <v>1191</v>
      </c>
      <c r="B262" t="s">
        <v>1754</v>
      </c>
      <c r="C262" t="s">
        <v>2937</v>
      </c>
      <c r="D262" t="str">
        <f t="shared" si="4"/>
        <v>SEF3004</v>
      </c>
      <c r="E262" t="s">
        <v>2933</v>
      </c>
      <c r="K262" t="s">
        <v>3194</v>
      </c>
    </row>
    <row r="263" spans="1:11" x14ac:dyDescent="0.25">
      <c r="A263">
        <v>1191</v>
      </c>
      <c r="B263" t="s">
        <v>1754</v>
      </c>
      <c r="C263" t="s">
        <v>2939</v>
      </c>
      <c r="D263" t="str">
        <f t="shared" si="4"/>
        <v>SEF3005</v>
      </c>
      <c r="E263" t="s">
        <v>2933</v>
      </c>
      <c r="K263" t="s">
        <v>3195</v>
      </c>
    </row>
    <row r="264" spans="1:11" x14ac:dyDescent="0.25">
      <c r="A264">
        <v>1191</v>
      </c>
      <c r="B264" t="s">
        <v>1754</v>
      </c>
      <c r="C264" t="s">
        <v>333</v>
      </c>
      <c r="D264" t="str">
        <f t="shared" si="4"/>
        <v>SEF3007</v>
      </c>
      <c r="E264" t="s">
        <v>2933</v>
      </c>
      <c r="K264" t="s">
        <v>3196</v>
      </c>
    </row>
    <row r="265" spans="1:11" x14ac:dyDescent="0.25">
      <c r="A265">
        <v>1191</v>
      </c>
      <c r="B265" t="s">
        <v>1754</v>
      </c>
      <c r="C265" t="s">
        <v>2941</v>
      </c>
      <c r="D265" t="str">
        <f t="shared" si="4"/>
        <v>SEF3008</v>
      </c>
      <c r="E265" t="s">
        <v>2933</v>
      </c>
      <c r="K265" t="s">
        <v>3197</v>
      </c>
    </row>
    <row r="266" spans="1:11" x14ac:dyDescent="0.25">
      <c r="A266">
        <v>1191</v>
      </c>
      <c r="B266" t="s">
        <v>1754</v>
      </c>
      <c r="C266" t="s">
        <v>2943</v>
      </c>
      <c r="D266" t="str">
        <f t="shared" si="4"/>
        <v>SEF3010</v>
      </c>
      <c r="E266" t="s">
        <v>2944</v>
      </c>
      <c r="K266" t="s">
        <v>3198</v>
      </c>
    </row>
    <row r="267" spans="1:11" x14ac:dyDescent="0.25">
      <c r="A267">
        <v>1191</v>
      </c>
      <c r="B267" t="s">
        <v>1754</v>
      </c>
      <c r="C267" t="s">
        <v>369</v>
      </c>
      <c r="D267" t="str">
        <f t="shared" si="4"/>
        <v>SEF3011</v>
      </c>
      <c r="E267" t="s">
        <v>2933</v>
      </c>
      <c r="K267" t="s">
        <v>3079</v>
      </c>
    </row>
    <row r="268" spans="1:11" x14ac:dyDescent="0.25">
      <c r="A268">
        <v>1191</v>
      </c>
      <c r="B268" t="s">
        <v>1754</v>
      </c>
      <c r="C268" t="s">
        <v>2946</v>
      </c>
      <c r="D268" t="str">
        <f t="shared" si="4"/>
        <v>SEF3013</v>
      </c>
      <c r="E268" t="s">
        <v>2933</v>
      </c>
    </row>
    <row r="269" spans="1:11" x14ac:dyDescent="0.25">
      <c r="A269">
        <v>1191</v>
      </c>
      <c r="B269" t="s">
        <v>1754</v>
      </c>
      <c r="C269" t="s">
        <v>2948</v>
      </c>
      <c r="D269" t="str">
        <f t="shared" si="4"/>
        <v>SEF3015</v>
      </c>
      <c r="E269" t="s">
        <v>2933</v>
      </c>
    </row>
    <row r="270" spans="1:11" x14ac:dyDescent="0.25">
      <c r="A270">
        <v>1191</v>
      </c>
      <c r="B270" t="s">
        <v>1754</v>
      </c>
      <c r="C270" t="s">
        <v>2950</v>
      </c>
      <c r="D270" t="str">
        <f t="shared" si="4"/>
        <v>SEF3016</v>
      </c>
      <c r="E270" t="s">
        <v>2933</v>
      </c>
    </row>
    <row r="271" spans="1:11" x14ac:dyDescent="0.25">
      <c r="A271">
        <v>1191</v>
      </c>
      <c r="B271" t="s">
        <v>1754</v>
      </c>
      <c r="C271" t="s">
        <v>406</v>
      </c>
      <c r="D271" t="str">
        <f t="shared" si="4"/>
        <v>SEF3017</v>
      </c>
      <c r="E271" t="s">
        <v>2933</v>
      </c>
    </row>
    <row r="272" spans="1:11" x14ac:dyDescent="0.25">
      <c r="A272">
        <v>1191</v>
      </c>
      <c r="B272" t="s">
        <v>1754</v>
      </c>
      <c r="C272" t="s">
        <v>411</v>
      </c>
      <c r="D272" t="str">
        <f t="shared" si="4"/>
        <v>SEF3018</v>
      </c>
      <c r="E272" t="s">
        <v>2933</v>
      </c>
    </row>
    <row r="273" spans="1:5" x14ac:dyDescent="0.25">
      <c r="A273">
        <v>1191</v>
      </c>
      <c r="B273" t="s">
        <v>1754</v>
      </c>
      <c r="C273" t="s">
        <v>2953</v>
      </c>
      <c r="D273" t="str">
        <f t="shared" si="4"/>
        <v>SEF3019</v>
      </c>
      <c r="E273" t="s">
        <v>2954</v>
      </c>
    </row>
    <row r="274" spans="1:5" x14ac:dyDescent="0.25">
      <c r="A274">
        <v>1191</v>
      </c>
      <c r="B274" t="s">
        <v>1754</v>
      </c>
      <c r="C274" t="s">
        <v>2955</v>
      </c>
      <c r="D274" t="str">
        <f t="shared" si="4"/>
        <v>SEF3020</v>
      </c>
      <c r="E274" t="s">
        <v>2933</v>
      </c>
    </row>
    <row r="275" spans="1:5" x14ac:dyDescent="0.25">
      <c r="A275">
        <v>1191</v>
      </c>
      <c r="B275" t="s">
        <v>1754</v>
      </c>
      <c r="C275" t="s">
        <v>2956</v>
      </c>
      <c r="D275" t="str">
        <f t="shared" si="4"/>
        <v>SEF3021</v>
      </c>
      <c r="E275" t="s">
        <v>2933</v>
      </c>
    </row>
    <row r="276" spans="1:5" x14ac:dyDescent="0.25">
      <c r="A276">
        <v>1191</v>
      </c>
      <c r="B276" t="s">
        <v>1754</v>
      </c>
      <c r="C276" t="s">
        <v>431</v>
      </c>
      <c r="D276" t="str">
        <f t="shared" si="4"/>
        <v>SEF3022</v>
      </c>
      <c r="E276" t="s">
        <v>2933</v>
      </c>
    </row>
    <row r="277" spans="1:5" x14ac:dyDescent="0.25">
      <c r="A277">
        <v>1191</v>
      </c>
      <c r="B277" t="s">
        <v>1754</v>
      </c>
      <c r="C277" t="s">
        <v>2957</v>
      </c>
      <c r="D277" t="str">
        <f t="shared" si="4"/>
        <v>SEF3023</v>
      </c>
      <c r="E277" t="s">
        <v>2958</v>
      </c>
    </row>
    <row r="278" spans="1:5" x14ac:dyDescent="0.25">
      <c r="A278">
        <v>1191</v>
      </c>
      <c r="B278" t="s">
        <v>1754</v>
      </c>
      <c r="C278" t="s">
        <v>441</v>
      </c>
      <c r="D278" t="str">
        <f t="shared" si="4"/>
        <v>SEF3024</v>
      </c>
      <c r="E278" t="s">
        <v>2933</v>
      </c>
    </row>
    <row r="279" spans="1:5" x14ac:dyDescent="0.25">
      <c r="A279">
        <v>1191</v>
      </c>
      <c r="B279" t="s">
        <v>1754</v>
      </c>
      <c r="C279" t="s">
        <v>2959</v>
      </c>
      <c r="D279" t="str">
        <f t="shared" si="4"/>
        <v>SEF3025</v>
      </c>
      <c r="E279" t="s">
        <v>2933</v>
      </c>
    </row>
    <row r="280" spans="1:5" x14ac:dyDescent="0.25">
      <c r="A280">
        <v>1191</v>
      </c>
      <c r="B280" t="s">
        <v>1754</v>
      </c>
      <c r="C280" t="s">
        <v>2960</v>
      </c>
      <c r="D280" t="str">
        <f t="shared" si="4"/>
        <v>SEF3026</v>
      </c>
      <c r="E280" t="s">
        <v>2958</v>
      </c>
    </row>
    <row r="281" spans="1:5" x14ac:dyDescent="0.25">
      <c r="A281">
        <v>1191</v>
      </c>
      <c r="B281" t="s">
        <v>1754</v>
      </c>
      <c r="C281" t="s">
        <v>2961</v>
      </c>
      <c r="D281" t="str">
        <f t="shared" si="4"/>
        <v>SEF3027</v>
      </c>
      <c r="E281" t="s">
        <v>2933</v>
      </c>
    </row>
    <row r="282" spans="1:5" x14ac:dyDescent="0.25">
      <c r="A282">
        <v>1191</v>
      </c>
      <c r="B282" t="s">
        <v>1754</v>
      </c>
      <c r="C282" t="s">
        <v>2984</v>
      </c>
      <c r="D282" t="str">
        <f t="shared" si="4"/>
        <v>SEF3029</v>
      </c>
      <c r="E282" t="s">
        <v>2933</v>
      </c>
    </row>
    <row r="283" spans="1:5" x14ac:dyDescent="0.25">
      <c r="A283">
        <v>1191</v>
      </c>
      <c r="B283" t="s">
        <v>1754</v>
      </c>
      <c r="C283" t="s">
        <v>467</v>
      </c>
      <c r="D283" t="str">
        <f t="shared" si="4"/>
        <v>SEF3030</v>
      </c>
      <c r="E283" t="s">
        <v>2933</v>
      </c>
    </row>
    <row r="284" spans="1:5" x14ac:dyDescent="0.25">
      <c r="A284">
        <v>1191</v>
      </c>
      <c r="B284" t="s">
        <v>1754</v>
      </c>
      <c r="C284" t="s">
        <v>470</v>
      </c>
      <c r="D284" t="str">
        <f t="shared" si="4"/>
        <v>SEF3031</v>
      </c>
      <c r="E284" t="s">
        <v>2933</v>
      </c>
    </row>
    <row r="285" spans="1:5" x14ac:dyDescent="0.25">
      <c r="A285">
        <v>1191</v>
      </c>
      <c r="B285" t="s">
        <v>1754</v>
      </c>
      <c r="C285" t="s">
        <v>485</v>
      </c>
      <c r="D285" t="str">
        <f t="shared" si="4"/>
        <v>SEF3039</v>
      </c>
      <c r="E285" t="s">
        <v>2933</v>
      </c>
    </row>
    <row r="286" spans="1:5" x14ac:dyDescent="0.25">
      <c r="A286">
        <v>1191</v>
      </c>
      <c r="B286" t="s">
        <v>1754</v>
      </c>
      <c r="C286" t="s">
        <v>487</v>
      </c>
      <c r="D286" t="str">
        <f t="shared" ref="D286:D323" si="5">CONCATENATE(B286,LEFT(C286,4))</f>
        <v>SEF3040</v>
      </c>
      <c r="E286" t="s">
        <v>2933</v>
      </c>
    </row>
    <row r="287" spans="1:5" x14ac:dyDescent="0.25">
      <c r="A287">
        <v>1191</v>
      </c>
      <c r="B287" t="s">
        <v>1754</v>
      </c>
      <c r="C287" t="s">
        <v>2993</v>
      </c>
      <c r="D287" t="str">
        <f t="shared" si="5"/>
        <v>SEF3041</v>
      </c>
      <c r="E287" t="s">
        <v>2968</v>
      </c>
    </row>
    <row r="288" spans="1:5" x14ac:dyDescent="0.25">
      <c r="A288">
        <v>1191</v>
      </c>
      <c r="B288" t="s">
        <v>1754</v>
      </c>
      <c r="C288" t="s">
        <v>491</v>
      </c>
      <c r="D288" t="str">
        <f t="shared" si="5"/>
        <v>SEF3099</v>
      </c>
      <c r="E288" t="s">
        <v>2933</v>
      </c>
    </row>
    <row r="289" spans="1:5" x14ac:dyDescent="0.25">
      <c r="A289">
        <v>1191</v>
      </c>
      <c r="B289" t="s">
        <v>1754</v>
      </c>
      <c r="C289" t="s">
        <v>2997</v>
      </c>
      <c r="D289" t="str">
        <f t="shared" si="5"/>
        <v>SEF3105</v>
      </c>
      <c r="E289" s="102" t="s">
        <v>3199</v>
      </c>
    </row>
    <row r="290" spans="1:5" x14ac:dyDescent="0.25">
      <c r="A290">
        <v>1191</v>
      </c>
      <c r="B290" t="s">
        <v>1754</v>
      </c>
      <c r="C290" t="s">
        <v>54</v>
      </c>
      <c r="D290" t="str">
        <f t="shared" si="5"/>
        <v>SEF3301</v>
      </c>
      <c r="E290" t="s">
        <v>44</v>
      </c>
    </row>
    <row r="291" spans="1:5" x14ac:dyDescent="0.25">
      <c r="A291">
        <v>1191</v>
      </c>
      <c r="B291" t="s">
        <v>1754</v>
      </c>
      <c r="C291" t="s">
        <v>2975</v>
      </c>
      <c r="D291" t="str">
        <f t="shared" si="5"/>
        <v>SEF3302</v>
      </c>
      <c r="E291" t="s">
        <v>44</v>
      </c>
    </row>
    <row r="292" spans="1:5" x14ac:dyDescent="0.25">
      <c r="A292">
        <v>1191</v>
      </c>
      <c r="B292" t="s">
        <v>1754</v>
      </c>
      <c r="C292" t="s">
        <v>3200</v>
      </c>
      <c r="D292" t="str">
        <f t="shared" si="5"/>
        <v>SEF3303</v>
      </c>
      <c r="E292" t="s">
        <v>44</v>
      </c>
    </row>
    <row r="293" spans="1:5" x14ac:dyDescent="0.25">
      <c r="A293">
        <v>1191</v>
      </c>
      <c r="B293" t="s">
        <v>1754</v>
      </c>
      <c r="C293" t="s">
        <v>2977</v>
      </c>
      <c r="D293" t="str">
        <f t="shared" si="5"/>
        <v>SEF3304</v>
      </c>
      <c r="E293" t="s">
        <v>44</v>
      </c>
    </row>
    <row r="294" spans="1:5" x14ac:dyDescent="0.25">
      <c r="A294">
        <v>1191</v>
      </c>
      <c r="B294" t="s">
        <v>1754</v>
      </c>
      <c r="C294" t="s">
        <v>3201</v>
      </c>
      <c r="D294" t="str">
        <f t="shared" si="5"/>
        <v>SEF3502</v>
      </c>
      <c r="E294" t="s">
        <v>1660</v>
      </c>
    </row>
    <row r="295" spans="1:5" x14ac:dyDescent="0.25">
      <c r="A295">
        <v>1191</v>
      </c>
      <c r="B295" t="s">
        <v>1754</v>
      </c>
      <c r="C295" t="s">
        <v>3012</v>
      </c>
      <c r="D295" t="str">
        <f t="shared" si="5"/>
        <v>SEF3601</v>
      </c>
      <c r="E295" t="s">
        <v>65</v>
      </c>
    </row>
    <row r="296" spans="1:5" x14ac:dyDescent="0.25">
      <c r="A296">
        <v>1191</v>
      </c>
      <c r="B296" t="s">
        <v>1754</v>
      </c>
      <c r="C296" t="s">
        <v>297</v>
      </c>
      <c r="D296" t="str">
        <f t="shared" si="5"/>
        <v>SEF3604</v>
      </c>
      <c r="E296" t="s">
        <v>44</v>
      </c>
    </row>
    <row r="297" spans="1:5" x14ac:dyDescent="0.25">
      <c r="A297">
        <v>1191</v>
      </c>
      <c r="B297" t="s">
        <v>1754</v>
      </c>
      <c r="C297" t="s">
        <v>355</v>
      </c>
      <c r="D297" t="str">
        <f t="shared" si="5"/>
        <v>SEF3610</v>
      </c>
      <c r="E297" t="s">
        <v>2968</v>
      </c>
    </row>
    <row r="298" spans="1:5" x14ac:dyDescent="0.25">
      <c r="A298">
        <v>1191</v>
      </c>
      <c r="B298" t="s">
        <v>1754</v>
      </c>
      <c r="C298" t="s">
        <v>3021</v>
      </c>
      <c r="D298" t="str">
        <f t="shared" si="5"/>
        <v>SEF3611</v>
      </c>
      <c r="E298" t="s">
        <v>3107</v>
      </c>
    </row>
    <row r="299" spans="1:5" x14ac:dyDescent="0.25">
      <c r="A299">
        <v>1191</v>
      </c>
      <c r="B299" t="s">
        <v>1754</v>
      </c>
      <c r="C299" t="s">
        <v>2979</v>
      </c>
      <c r="D299" t="str">
        <f t="shared" si="5"/>
        <v>SEF3612</v>
      </c>
      <c r="E299" t="s">
        <v>2968</v>
      </c>
    </row>
    <row r="300" spans="1:5" x14ac:dyDescent="0.25">
      <c r="A300">
        <v>1191</v>
      </c>
      <c r="B300" t="s">
        <v>1754</v>
      </c>
      <c r="C300" t="s">
        <v>389</v>
      </c>
      <c r="D300" t="str">
        <f t="shared" si="5"/>
        <v>SEF3615</v>
      </c>
      <c r="E300" t="s">
        <v>3006</v>
      </c>
    </row>
    <row r="301" spans="1:5" x14ac:dyDescent="0.25">
      <c r="A301">
        <v>1191</v>
      </c>
      <c r="B301" t="s">
        <v>1754</v>
      </c>
      <c r="C301" t="s">
        <v>401</v>
      </c>
      <c r="D301" t="str">
        <f t="shared" si="5"/>
        <v>SEF3617</v>
      </c>
      <c r="E301" t="s">
        <v>2968</v>
      </c>
    </row>
    <row r="302" spans="1:5" x14ac:dyDescent="0.25">
      <c r="A302">
        <v>1191</v>
      </c>
      <c r="B302" t="s">
        <v>1754</v>
      </c>
      <c r="C302" t="s">
        <v>427</v>
      </c>
      <c r="D302" t="str">
        <f t="shared" si="5"/>
        <v>SEF3622</v>
      </c>
      <c r="E302" t="s">
        <v>3107</v>
      </c>
    </row>
    <row r="303" spans="1:5" x14ac:dyDescent="0.25">
      <c r="A303">
        <v>1191</v>
      </c>
      <c r="B303" t="s">
        <v>1754</v>
      </c>
      <c r="C303" t="s">
        <v>447</v>
      </c>
      <c r="D303" t="str">
        <f t="shared" si="5"/>
        <v>SEF3626</v>
      </c>
      <c r="E303" t="s">
        <v>2968</v>
      </c>
    </row>
    <row r="304" spans="1:5" x14ac:dyDescent="0.25">
      <c r="A304">
        <v>1191</v>
      </c>
      <c r="B304" t="s">
        <v>1754</v>
      </c>
      <c r="C304" t="s">
        <v>471</v>
      </c>
      <c r="D304" t="str">
        <f t="shared" si="5"/>
        <v>SEF3699</v>
      </c>
      <c r="E304" t="s">
        <v>2968</v>
      </c>
    </row>
    <row r="305" spans="1:5" x14ac:dyDescent="0.25">
      <c r="A305">
        <v>1191</v>
      </c>
      <c r="B305" t="s">
        <v>1754</v>
      </c>
      <c r="C305" t="s">
        <v>2980</v>
      </c>
      <c r="D305" t="str">
        <f t="shared" si="5"/>
        <v>SEF3701</v>
      </c>
      <c r="E305" t="s">
        <v>2981</v>
      </c>
    </row>
    <row r="306" spans="1:5" x14ac:dyDescent="0.25">
      <c r="A306">
        <v>1191</v>
      </c>
      <c r="B306" t="s">
        <v>1754</v>
      </c>
      <c r="C306" t="s">
        <v>3050</v>
      </c>
      <c r="D306" t="str">
        <f t="shared" si="5"/>
        <v>SEF3702</v>
      </c>
      <c r="E306" t="s">
        <v>2981</v>
      </c>
    </row>
    <row r="307" spans="1:5" x14ac:dyDescent="0.25">
      <c r="A307">
        <v>1191</v>
      </c>
      <c r="B307" t="s">
        <v>1754</v>
      </c>
      <c r="C307" t="s">
        <v>2985</v>
      </c>
      <c r="D307" t="str">
        <f t="shared" si="5"/>
        <v>SEF3704</v>
      </c>
      <c r="E307" t="s">
        <v>117</v>
      </c>
    </row>
    <row r="308" spans="1:5" x14ac:dyDescent="0.25">
      <c r="A308">
        <v>1191</v>
      </c>
      <c r="B308" t="s">
        <v>1754</v>
      </c>
      <c r="C308" t="s">
        <v>2986</v>
      </c>
      <c r="D308" t="str">
        <f t="shared" si="5"/>
        <v>SEF3705</v>
      </c>
      <c r="E308" t="s">
        <v>117</v>
      </c>
    </row>
    <row r="309" spans="1:5" x14ac:dyDescent="0.25">
      <c r="A309">
        <v>1191</v>
      </c>
      <c r="B309" t="s">
        <v>1754</v>
      </c>
      <c r="C309" t="s">
        <v>2988</v>
      </c>
      <c r="D309" t="str">
        <f t="shared" si="5"/>
        <v>SEF3903</v>
      </c>
      <c r="E309" t="s">
        <v>87</v>
      </c>
    </row>
    <row r="310" spans="1:5" x14ac:dyDescent="0.25">
      <c r="A310">
        <v>1191</v>
      </c>
      <c r="B310" t="s">
        <v>1754</v>
      </c>
      <c r="C310" t="s">
        <v>299</v>
      </c>
      <c r="D310" t="str">
        <f t="shared" si="5"/>
        <v>SEF3904</v>
      </c>
      <c r="E310" t="s">
        <v>2968</v>
      </c>
    </row>
    <row r="311" spans="1:5" x14ac:dyDescent="0.25">
      <c r="A311">
        <v>1191</v>
      </c>
      <c r="B311" t="s">
        <v>1754</v>
      </c>
      <c r="C311" t="s">
        <v>326</v>
      </c>
      <c r="D311" t="str">
        <f t="shared" si="5"/>
        <v>SEF3906</v>
      </c>
      <c r="E311" t="s">
        <v>2968</v>
      </c>
    </row>
    <row r="312" spans="1:5" x14ac:dyDescent="0.25">
      <c r="A312">
        <v>1191</v>
      </c>
      <c r="B312" t="s">
        <v>1754</v>
      </c>
      <c r="C312" t="s">
        <v>346</v>
      </c>
      <c r="D312" t="str">
        <f t="shared" si="5"/>
        <v>SEF3910</v>
      </c>
      <c r="E312" t="s">
        <v>2968</v>
      </c>
    </row>
    <row r="313" spans="1:5" x14ac:dyDescent="0.25">
      <c r="A313">
        <v>1191</v>
      </c>
      <c r="B313" t="s">
        <v>1754</v>
      </c>
      <c r="C313" t="s">
        <v>356</v>
      </c>
      <c r="D313" t="str">
        <f t="shared" si="5"/>
        <v>SEF3911</v>
      </c>
      <c r="E313" t="s">
        <v>2968</v>
      </c>
    </row>
    <row r="314" spans="1:5" x14ac:dyDescent="0.25">
      <c r="A314">
        <v>1191</v>
      </c>
      <c r="B314" t="s">
        <v>1754</v>
      </c>
      <c r="C314" t="s">
        <v>2991</v>
      </c>
      <c r="D314" t="str">
        <f t="shared" si="5"/>
        <v>SEF3912</v>
      </c>
      <c r="E314" t="s">
        <v>2992</v>
      </c>
    </row>
    <row r="315" spans="1:5" x14ac:dyDescent="0.25">
      <c r="A315">
        <v>1191</v>
      </c>
      <c r="B315" t="s">
        <v>1754</v>
      </c>
      <c r="C315" t="s">
        <v>2994</v>
      </c>
      <c r="D315" t="str">
        <f t="shared" si="5"/>
        <v>SEF3913</v>
      </c>
      <c r="E315" t="s">
        <v>2992</v>
      </c>
    </row>
    <row r="316" spans="1:5" x14ac:dyDescent="0.25">
      <c r="A316">
        <v>1191</v>
      </c>
      <c r="B316" t="s">
        <v>1754</v>
      </c>
      <c r="C316" t="s">
        <v>377</v>
      </c>
      <c r="D316" t="str">
        <f t="shared" si="5"/>
        <v>SEF3914</v>
      </c>
      <c r="E316" t="s">
        <v>3009</v>
      </c>
    </row>
    <row r="317" spans="1:5" x14ac:dyDescent="0.25">
      <c r="A317">
        <v>1191</v>
      </c>
      <c r="B317" t="s">
        <v>1754</v>
      </c>
      <c r="C317" t="s">
        <v>384</v>
      </c>
      <c r="D317" t="str">
        <f t="shared" si="5"/>
        <v>SEF3915</v>
      </c>
      <c r="E317" t="s">
        <v>2992</v>
      </c>
    </row>
    <row r="318" spans="1:5" x14ac:dyDescent="0.25">
      <c r="A318">
        <v>1191</v>
      </c>
      <c r="B318" t="s">
        <v>1754</v>
      </c>
      <c r="C318" t="s">
        <v>2996</v>
      </c>
      <c r="D318" t="str">
        <f t="shared" si="5"/>
        <v>SEF3917</v>
      </c>
      <c r="E318" t="s">
        <v>2958</v>
      </c>
    </row>
    <row r="319" spans="1:5" x14ac:dyDescent="0.25">
      <c r="A319">
        <v>1191</v>
      </c>
      <c r="B319" t="s">
        <v>1754</v>
      </c>
      <c r="C319" t="s">
        <v>2998</v>
      </c>
      <c r="D319" t="str">
        <f t="shared" si="5"/>
        <v>SEF3918</v>
      </c>
      <c r="E319" t="s">
        <v>2958</v>
      </c>
    </row>
    <row r="320" spans="1:5" x14ac:dyDescent="0.25">
      <c r="A320">
        <v>1191</v>
      </c>
      <c r="B320" t="s">
        <v>1754</v>
      </c>
      <c r="C320" t="s">
        <v>3000</v>
      </c>
      <c r="D320" t="str">
        <f t="shared" si="5"/>
        <v>SEF3919</v>
      </c>
      <c r="E320" t="s">
        <v>3001</v>
      </c>
    </row>
    <row r="321" spans="1:5" x14ac:dyDescent="0.25">
      <c r="A321">
        <v>1191</v>
      </c>
      <c r="B321" t="s">
        <v>1754</v>
      </c>
      <c r="C321" t="s">
        <v>3077</v>
      </c>
      <c r="D321" t="str">
        <f t="shared" si="5"/>
        <v>SEF3920</v>
      </c>
      <c r="E321" t="s">
        <v>3107</v>
      </c>
    </row>
    <row r="322" spans="1:5" x14ac:dyDescent="0.25">
      <c r="A322">
        <v>1191</v>
      </c>
      <c r="B322" t="s">
        <v>1754</v>
      </c>
      <c r="C322" t="s">
        <v>3002</v>
      </c>
      <c r="D322" t="str">
        <f t="shared" si="5"/>
        <v>SEF3921</v>
      </c>
      <c r="E322" t="s">
        <v>3001</v>
      </c>
    </row>
    <row r="323" spans="1:5" x14ac:dyDescent="0.25">
      <c r="A323">
        <v>1191</v>
      </c>
      <c r="B323" t="s">
        <v>1754</v>
      </c>
      <c r="C323" t="s">
        <v>3003</v>
      </c>
      <c r="D323" t="str">
        <f t="shared" si="5"/>
        <v>SEF3922</v>
      </c>
      <c r="E323" t="s">
        <v>2954</v>
      </c>
    </row>
    <row r="324" spans="1:5" x14ac:dyDescent="0.25">
      <c r="A324">
        <v>1191</v>
      </c>
      <c r="B324" t="s">
        <v>1754</v>
      </c>
      <c r="C324" t="s">
        <v>566</v>
      </c>
      <c r="D324" t="str">
        <f t="shared" ref="D324:D382" si="6">CONCATENATE(B324,LEFT(C324,4))</f>
        <v>SEF3924</v>
      </c>
      <c r="E324" t="s">
        <v>3004</v>
      </c>
    </row>
    <row r="325" spans="1:5" x14ac:dyDescent="0.25">
      <c r="A325">
        <v>1191</v>
      </c>
      <c r="B325" t="s">
        <v>1754</v>
      </c>
      <c r="C325" t="s">
        <v>443</v>
      </c>
      <c r="D325" t="str">
        <f t="shared" si="6"/>
        <v>SEF3926</v>
      </c>
      <c r="E325" t="s">
        <v>3006</v>
      </c>
    </row>
    <row r="326" spans="1:5" x14ac:dyDescent="0.25">
      <c r="A326">
        <v>1191</v>
      </c>
      <c r="B326" t="s">
        <v>1754</v>
      </c>
      <c r="C326" t="s">
        <v>3008</v>
      </c>
      <c r="D326" t="str">
        <f t="shared" si="6"/>
        <v>SEF3927</v>
      </c>
      <c r="E326" t="s">
        <v>3009</v>
      </c>
    </row>
    <row r="327" spans="1:5" x14ac:dyDescent="0.25">
      <c r="A327">
        <v>1191</v>
      </c>
      <c r="B327" t="s">
        <v>1754</v>
      </c>
      <c r="C327" t="s">
        <v>458</v>
      </c>
      <c r="D327" t="str">
        <f t="shared" si="6"/>
        <v>SEF3930</v>
      </c>
      <c r="E327" t="s">
        <v>3006</v>
      </c>
    </row>
    <row r="328" spans="1:5" x14ac:dyDescent="0.25">
      <c r="A328">
        <v>1191</v>
      </c>
      <c r="B328" t="s">
        <v>1754</v>
      </c>
      <c r="C328" t="s">
        <v>1481</v>
      </c>
      <c r="D328" t="str">
        <f t="shared" si="6"/>
        <v>SEF3931</v>
      </c>
      <c r="E328" t="s">
        <v>2968</v>
      </c>
    </row>
    <row r="329" spans="1:5" x14ac:dyDescent="0.25">
      <c r="A329">
        <v>1191</v>
      </c>
      <c r="B329" t="s">
        <v>1754</v>
      </c>
      <c r="C329" t="s">
        <v>3017</v>
      </c>
      <c r="D329" t="str">
        <f t="shared" si="6"/>
        <v>SEF3936</v>
      </c>
      <c r="E329" t="s">
        <v>94</v>
      </c>
    </row>
    <row r="330" spans="1:5" x14ac:dyDescent="0.25">
      <c r="A330">
        <v>1191</v>
      </c>
      <c r="B330" t="s">
        <v>1754</v>
      </c>
      <c r="C330" t="s">
        <v>3088</v>
      </c>
      <c r="D330" t="str">
        <f t="shared" si="6"/>
        <v>SEF3937</v>
      </c>
      <c r="E330" t="s">
        <v>3107</v>
      </c>
    </row>
    <row r="331" spans="1:5" x14ac:dyDescent="0.25">
      <c r="A331">
        <v>1191</v>
      </c>
      <c r="B331" t="s">
        <v>1754</v>
      </c>
      <c r="C331" t="s">
        <v>3202</v>
      </c>
      <c r="D331" t="str">
        <f t="shared" si="6"/>
        <v>SEF3938</v>
      </c>
      <c r="E331" t="s">
        <v>2968</v>
      </c>
    </row>
    <row r="332" spans="1:5" x14ac:dyDescent="0.25">
      <c r="A332">
        <v>1191</v>
      </c>
      <c r="B332" t="s">
        <v>1754</v>
      </c>
      <c r="C332" t="s">
        <v>3019</v>
      </c>
      <c r="D332" t="str">
        <f t="shared" si="6"/>
        <v>SEF3940</v>
      </c>
      <c r="E332" t="s">
        <v>3009</v>
      </c>
    </row>
    <row r="333" spans="1:5" x14ac:dyDescent="0.25">
      <c r="A333">
        <v>1191</v>
      </c>
      <c r="B333" t="s">
        <v>1754</v>
      </c>
      <c r="C333" t="s">
        <v>480</v>
      </c>
      <c r="D333" t="str">
        <f t="shared" si="6"/>
        <v>SEF3941</v>
      </c>
      <c r="E333" t="s">
        <v>2968</v>
      </c>
    </row>
    <row r="334" spans="1:5" x14ac:dyDescent="0.25">
      <c r="A334">
        <v>1191</v>
      </c>
      <c r="B334" t="s">
        <v>1754</v>
      </c>
      <c r="C334" t="s">
        <v>482</v>
      </c>
      <c r="D334" t="str">
        <f t="shared" si="6"/>
        <v>SEF3942</v>
      </c>
      <c r="E334" t="s">
        <v>2968</v>
      </c>
    </row>
    <row r="335" spans="1:5" x14ac:dyDescent="0.25">
      <c r="A335">
        <v>1191</v>
      </c>
      <c r="B335" t="s">
        <v>1754</v>
      </c>
      <c r="C335" t="s">
        <v>3020</v>
      </c>
      <c r="D335" t="str">
        <f t="shared" si="6"/>
        <v>SEF3943</v>
      </c>
      <c r="E335" t="s">
        <v>2958</v>
      </c>
    </row>
    <row r="336" spans="1:5" x14ac:dyDescent="0.25">
      <c r="A336">
        <v>1191</v>
      </c>
      <c r="B336" t="s">
        <v>1754</v>
      </c>
      <c r="C336" t="s">
        <v>492</v>
      </c>
      <c r="D336" t="str">
        <f t="shared" si="6"/>
        <v>SEF3948</v>
      </c>
      <c r="E336" t="s">
        <v>3004</v>
      </c>
    </row>
    <row r="337" spans="1:5" x14ac:dyDescent="0.25">
      <c r="A337">
        <v>1191</v>
      </c>
      <c r="B337" t="s">
        <v>1754</v>
      </c>
      <c r="C337" t="s">
        <v>496</v>
      </c>
      <c r="D337" t="str">
        <f t="shared" si="6"/>
        <v>SEF3953</v>
      </c>
      <c r="E337" t="s">
        <v>3004</v>
      </c>
    </row>
    <row r="338" spans="1:5" x14ac:dyDescent="0.25">
      <c r="A338">
        <v>1191</v>
      </c>
      <c r="B338" t="s">
        <v>1754</v>
      </c>
      <c r="C338" t="s">
        <v>498</v>
      </c>
      <c r="D338" t="str">
        <f t="shared" si="6"/>
        <v>SEF3955</v>
      </c>
      <c r="E338" t="s">
        <v>2968</v>
      </c>
    </row>
    <row r="339" spans="1:5" x14ac:dyDescent="0.25">
      <c r="A339">
        <v>1191</v>
      </c>
      <c r="B339" t="s">
        <v>1754</v>
      </c>
      <c r="C339" t="s">
        <v>499</v>
      </c>
      <c r="D339" t="str">
        <f t="shared" si="6"/>
        <v>SEF3956</v>
      </c>
      <c r="E339" t="s">
        <v>2968</v>
      </c>
    </row>
    <row r="340" spans="1:5" x14ac:dyDescent="0.25">
      <c r="A340">
        <v>1191</v>
      </c>
      <c r="B340" t="s">
        <v>1754</v>
      </c>
      <c r="C340" t="s">
        <v>3025</v>
      </c>
      <c r="D340" t="str">
        <f t="shared" si="6"/>
        <v>SEF3959</v>
      </c>
      <c r="E340" t="s">
        <v>2968</v>
      </c>
    </row>
    <row r="341" spans="1:5" x14ac:dyDescent="0.25">
      <c r="A341">
        <v>1191</v>
      </c>
      <c r="B341" t="s">
        <v>1754</v>
      </c>
      <c r="C341" t="s">
        <v>3102</v>
      </c>
      <c r="D341" t="str">
        <f t="shared" si="6"/>
        <v>SEF3960</v>
      </c>
      <c r="E341" t="s">
        <v>2968</v>
      </c>
    </row>
    <row r="342" spans="1:5" x14ac:dyDescent="0.25">
      <c r="A342">
        <v>1191</v>
      </c>
      <c r="B342" t="s">
        <v>1754</v>
      </c>
      <c r="C342" t="s">
        <v>3027</v>
      </c>
      <c r="D342" t="str">
        <f t="shared" si="6"/>
        <v>SEF3961</v>
      </c>
      <c r="E342" t="s">
        <v>103</v>
      </c>
    </row>
    <row r="343" spans="1:5" x14ac:dyDescent="0.25">
      <c r="A343">
        <v>1191</v>
      </c>
      <c r="B343" t="s">
        <v>1754</v>
      </c>
      <c r="C343" t="s">
        <v>3103</v>
      </c>
      <c r="D343" t="str">
        <f t="shared" si="6"/>
        <v>SEF3962</v>
      </c>
      <c r="E343" t="s">
        <v>3033</v>
      </c>
    </row>
    <row r="344" spans="1:5" x14ac:dyDescent="0.25">
      <c r="A344">
        <v>1191</v>
      </c>
      <c r="B344" t="s">
        <v>1754</v>
      </c>
      <c r="C344" t="s">
        <v>1154</v>
      </c>
      <c r="D344" t="str">
        <f t="shared" si="6"/>
        <v>SEF3969</v>
      </c>
      <c r="E344" t="s">
        <v>2992</v>
      </c>
    </row>
    <row r="345" spans="1:5" x14ac:dyDescent="0.25">
      <c r="A345">
        <v>1191</v>
      </c>
      <c r="B345" t="s">
        <v>1754</v>
      </c>
      <c r="C345" t="s">
        <v>3031</v>
      </c>
      <c r="D345" t="str">
        <f t="shared" si="6"/>
        <v>SEF3970</v>
      </c>
      <c r="E345" t="s">
        <v>3009</v>
      </c>
    </row>
    <row r="346" spans="1:5" x14ac:dyDescent="0.25">
      <c r="A346">
        <v>1191</v>
      </c>
      <c r="B346" t="s">
        <v>1754</v>
      </c>
      <c r="C346" t="s">
        <v>513</v>
      </c>
      <c r="D346" t="str">
        <f t="shared" si="6"/>
        <v>SEF3971</v>
      </c>
      <c r="E346" t="s">
        <v>3033</v>
      </c>
    </row>
    <row r="347" spans="1:5" x14ac:dyDescent="0.25">
      <c r="A347">
        <v>1191</v>
      </c>
      <c r="B347" t="s">
        <v>1754</v>
      </c>
      <c r="C347" t="s">
        <v>516</v>
      </c>
      <c r="D347" t="str">
        <f t="shared" si="6"/>
        <v>SEF3974</v>
      </c>
      <c r="E347" t="s">
        <v>3131</v>
      </c>
    </row>
    <row r="348" spans="1:5" x14ac:dyDescent="0.25">
      <c r="A348">
        <v>1191</v>
      </c>
      <c r="B348" t="s">
        <v>1754</v>
      </c>
      <c r="C348" t="s">
        <v>521</v>
      </c>
      <c r="D348" t="str">
        <f t="shared" si="6"/>
        <v>SEF3981</v>
      </c>
      <c r="E348" t="s">
        <v>2968</v>
      </c>
    </row>
    <row r="349" spans="1:5" x14ac:dyDescent="0.25">
      <c r="A349">
        <v>1191</v>
      </c>
      <c r="B349" t="s">
        <v>1754</v>
      </c>
      <c r="C349" t="s">
        <v>3036</v>
      </c>
      <c r="D349" t="str">
        <f t="shared" si="6"/>
        <v>SEF3987</v>
      </c>
      <c r="E349" t="s">
        <v>2958</v>
      </c>
    </row>
    <row r="350" spans="1:5" x14ac:dyDescent="0.25">
      <c r="A350">
        <v>1191</v>
      </c>
      <c r="B350" t="s">
        <v>1754</v>
      </c>
      <c r="C350" t="s">
        <v>3203</v>
      </c>
      <c r="D350" t="str">
        <f t="shared" si="6"/>
        <v>SEF3995</v>
      </c>
      <c r="E350" t="s">
        <v>2968</v>
      </c>
    </row>
    <row r="351" spans="1:5" x14ac:dyDescent="0.25">
      <c r="A351">
        <v>1191</v>
      </c>
      <c r="B351" t="s">
        <v>1754</v>
      </c>
      <c r="C351" t="s">
        <v>3204</v>
      </c>
      <c r="D351" t="str">
        <f t="shared" si="6"/>
        <v>SEF3996</v>
      </c>
      <c r="E351" t="s">
        <v>2968</v>
      </c>
    </row>
    <row r="352" spans="1:5" x14ac:dyDescent="0.25">
      <c r="A352">
        <v>1191</v>
      </c>
      <c r="B352" t="s">
        <v>1754</v>
      </c>
      <c r="C352" t="s">
        <v>3040</v>
      </c>
      <c r="D352" t="str">
        <f t="shared" si="6"/>
        <v>SEF3999</v>
      </c>
      <c r="E352" t="s">
        <v>2968</v>
      </c>
    </row>
    <row r="353" spans="1:5" x14ac:dyDescent="0.25">
      <c r="A353">
        <v>1191</v>
      </c>
      <c r="B353" t="s">
        <v>1754</v>
      </c>
      <c r="C353" t="s">
        <v>3041</v>
      </c>
      <c r="D353" t="str">
        <f t="shared" si="6"/>
        <v>SEF4002</v>
      </c>
      <c r="E353" t="s">
        <v>3009</v>
      </c>
    </row>
    <row r="354" spans="1:5" x14ac:dyDescent="0.25">
      <c r="A354">
        <v>1191</v>
      </c>
      <c r="B354" t="s">
        <v>1754</v>
      </c>
      <c r="C354" t="s">
        <v>3043</v>
      </c>
      <c r="D354" t="str">
        <f t="shared" si="6"/>
        <v>SEF4003</v>
      </c>
      <c r="E354" t="s">
        <v>94</v>
      </c>
    </row>
    <row r="355" spans="1:5" x14ac:dyDescent="0.25">
      <c r="A355">
        <v>1191</v>
      </c>
      <c r="B355" t="s">
        <v>1754</v>
      </c>
      <c r="C355" t="s">
        <v>3045</v>
      </c>
      <c r="D355" t="str">
        <f t="shared" si="6"/>
        <v>SEF4004</v>
      </c>
      <c r="E355" t="s">
        <v>3009</v>
      </c>
    </row>
    <row r="356" spans="1:5" x14ac:dyDescent="0.25">
      <c r="A356">
        <v>1191</v>
      </c>
      <c r="B356" t="s">
        <v>1754</v>
      </c>
      <c r="C356" t="s">
        <v>3047</v>
      </c>
      <c r="D356" t="str">
        <f t="shared" si="6"/>
        <v>SEF4005</v>
      </c>
      <c r="E356" t="s">
        <v>3009</v>
      </c>
    </row>
    <row r="357" spans="1:5" x14ac:dyDescent="0.25">
      <c r="A357">
        <v>1191</v>
      </c>
      <c r="B357" t="s">
        <v>1754</v>
      </c>
      <c r="C357" t="s">
        <v>813</v>
      </c>
      <c r="D357" t="str">
        <f t="shared" si="6"/>
        <v>SEF4006</v>
      </c>
      <c r="E357" t="s">
        <v>3057</v>
      </c>
    </row>
    <row r="358" spans="1:5" x14ac:dyDescent="0.25">
      <c r="A358">
        <v>1191</v>
      </c>
      <c r="B358" t="s">
        <v>1754</v>
      </c>
      <c r="C358" t="s">
        <v>3138</v>
      </c>
      <c r="D358" t="str">
        <f t="shared" si="6"/>
        <v>SEF4007</v>
      </c>
      <c r="E358" t="s">
        <v>94</v>
      </c>
    </row>
    <row r="359" spans="1:5" x14ac:dyDescent="0.25">
      <c r="A359">
        <v>1191</v>
      </c>
      <c r="B359" t="s">
        <v>1754</v>
      </c>
      <c r="C359" t="s">
        <v>3048</v>
      </c>
      <c r="D359" t="str">
        <f t="shared" si="6"/>
        <v>SEF4701</v>
      </c>
      <c r="E359" t="s">
        <v>3049</v>
      </c>
    </row>
    <row r="360" spans="1:5" x14ac:dyDescent="0.25">
      <c r="A360">
        <v>1191</v>
      </c>
      <c r="B360" t="s">
        <v>1754</v>
      </c>
      <c r="C360" t="s">
        <v>265</v>
      </c>
      <c r="D360" t="str">
        <f t="shared" si="6"/>
        <v>SEF4703</v>
      </c>
      <c r="E360" t="s">
        <v>3049</v>
      </c>
    </row>
    <row r="361" spans="1:5" x14ac:dyDescent="0.25">
      <c r="A361">
        <v>1191</v>
      </c>
      <c r="B361" t="s">
        <v>1754</v>
      </c>
      <c r="C361" t="s">
        <v>328</v>
      </c>
      <c r="D361" t="str">
        <f t="shared" si="6"/>
        <v>SEF4707</v>
      </c>
      <c r="E361" t="s">
        <v>3049</v>
      </c>
    </row>
    <row r="362" spans="1:5" x14ac:dyDescent="0.25">
      <c r="A362">
        <v>1191</v>
      </c>
      <c r="B362" t="s">
        <v>1754</v>
      </c>
      <c r="C362" t="s">
        <v>364</v>
      </c>
      <c r="D362" t="str">
        <f t="shared" si="6"/>
        <v>SEF4799</v>
      </c>
      <c r="E362" t="s">
        <v>3049</v>
      </c>
    </row>
    <row r="363" spans="1:5" x14ac:dyDescent="0.25">
      <c r="A363">
        <v>1191</v>
      </c>
      <c r="B363" t="s">
        <v>1754</v>
      </c>
      <c r="C363" t="s">
        <v>3205</v>
      </c>
      <c r="D363" t="str">
        <f t="shared" si="6"/>
        <v>SEF4905</v>
      </c>
      <c r="E363" t="s">
        <v>65</v>
      </c>
    </row>
    <row r="364" spans="1:5" x14ac:dyDescent="0.25">
      <c r="A364">
        <v>1191</v>
      </c>
      <c r="B364" t="s">
        <v>1754</v>
      </c>
      <c r="C364" t="s">
        <v>3053</v>
      </c>
      <c r="D364" t="str">
        <f t="shared" si="6"/>
        <v>SEF5103</v>
      </c>
      <c r="E364" t="s">
        <v>3052</v>
      </c>
    </row>
    <row r="365" spans="1:5" x14ac:dyDescent="0.25">
      <c r="A365">
        <v>1191</v>
      </c>
      <c r="B365" t="s">
        <v>1754</v>
      </c>
      <c r="C365" t="s">
        <v>372</v>
      </c>
      <c r="D365" t="str">
        <f t="shared" si="6"/>
        <v>SEF5113</v>
      </c>
      <c r="E365" t="s">
        <v>3052</v>
      </c>
    </row>
    <row r="366" spans="1:5" x14ac:dyDescent="0.25">
      <c r="A366">
        <v>1191</v>
      </c>
      <c r="B366" t="s">
        <v>1754</v>
      </c>
      <c r="C366" t="s">
        <v>3054</v>
      </c>
      <c r="D366" t="str">
        <f t="shared" si="6"/>
        <v>SEF5204</v>
      </c>
      <c r="E366" t="s">
        <v>3055</v>
      </c>
    </row>
    <row r="367" spans="1:5" x14ac:dyDescent="0.25">
      <c r="A367">
        <v>1191</v>
      </c>
      <c r="B367" t="s">
        <v>1754</v>
      </c>
      <c r="C367" t="s">
        <v>329</v>
      </c>
      <c r="D367" t="str">
        <f t="shared" si="6"/>
        <v>SEF5206</v>
      </c>
      <c r="E367" t="s">
        <v>3057</v>
      </c>
    </row>
    <row r="368" spans="1:5" x14ac:dyDescent="0.25">
      <c r="A368">
        <v>1191</v>
      </c>
      <c r="B368" t="s">
        <v>1754</v>
      </c>
      <c r="C368" t="s">
        <v>3058</v>
      </c>
      <c r="D368" t="str">
        <f t="shared" si="6"/>
        <v>SEF5207</v>
      </c>
      <c r="E368" t="s">
        <v>3057</v>
      </c>
    </row>
    <row r="369" spans="1:5" x14ac:dyDescent="0.25">
      <c r="A369">
        <v>1191</v>
      </c>
      <c r="B369" t="s">
        <v>1754</v>
      </c>
      <c r="C369" t="s">
        <v>3060</v>
      </c>
      <c r="D369" t="str">
        <f t="shared" si="6"/>
        <v>SEF5208</v>
      </c>
      <c r="E369" t="s">
        <v>3057</v>
      </c>
    </row>
    <row r="370" spans="1:5" x14ac:dyDescent="0.25">
      <c r="A370">
        <v>1191</v>
      </c>
      <c r="B370" t="s">
        <v>1754</v>
      </c>
      <c r="C370" t="s">
        <v>3063</v>
      </c>
      <c r="D370" t="str">
        <f t="shared" si="6"/>
        <v>SEF5210</v>
      </c>
      <c r="E370" t="s">
        <v>3055</v>
      </c>
    </row>
    <row r="371" spans="1:5" x14ac:dyDescent="0.25">
      <c r="A371">
        <v>1191</v>
      </c>
      <c r="B371" t="s">
        <v>1754</v>
      </c>
      <c r="C371" t="s">
        <v>3155</v>
      </c>
      <c r="D371" t="str">
        <f t="shared" si="6"/>
        <v>SEF5211</v>
      </c>
      <c r="E371" t="s">
        <v>2944</v>
      </c>
    </row>
    <row r="372" spans="1:5" x14ac:dyDescent="0.25">
      <c r="A372">
        <v>1191</v>
      </c>
      <c r="B372" t="s">
        <v>1754</v>
      </c>
      <c r="C372" t="s">
        <v>3064</v>
      </c>
      <c r="D372" t="str">
        <f t="shared" si="6"/>
        <v>SEF5212</v>
      </c>
      <c r="E372" t="s">
        <v>3055</v>
      </c>
    </row>
    <row r="373" spans="1:5" x14ac:dyDescent="0.25">
      <c r="A373">
        <v>1191</v>
      </c>
      <c r="B373" t="s">
        <v>1754</v>
      </c>
      <c r="C373" t="s">
        <v>391</v>
      </c>
      <c r="D373" t="str">
        <f t="shared" si="6"/>
        <v>SEF5214</v>
      </c>
      <c r="E373" t="s">
        <v>3055</v>
      </c>
    </row>
    <row r="374" spans="1:5" x14ac:dyDescent="0.25">
      <c r="A374">
        <v>1191</v>
      </c>
      <c r="B374" t="s">
        <v>1754</v>
      </c>
      <c r="C374" t="s">
        <v>409</v>
      </c>
      <c r="D374" t="str">
        <f t="shared" si="6"/>
        <v>SEF5217</v>
      </c>
      <c r="E374" t="s">
        <v>3055</v>
      </c>
    </row>
    <row r="375" spans="1:5" x14ac:dyDescent="0.25">
      <c r="A375">
        <v>1191</v>
      </c>
      <c r="B375" t="s">
        <v>1754</v>
      </c>
      <c r="C375" t="s">
        <v>3068</v>
      </c>
      <c r="D375" t="str">
        <f t="shared" si="6"/>
        <v>SEF5220</v>
      </c>
      <c r="E375" t="s">
        <v>3057</v>
      </c>
    </row>
    <row r="376" spans="1:5" x14ac:dyDescent="0.25">
      <c r="A376">
        <v>1191</v>
      </c>
      <c r="B376" t="s">
        <v>1754</v>
      </c>
      <c r="C376" t="s">
        <v>449</v>
      </c>
      <c r="D376" t="str">
        <f t="shared" si="6"/>
        <v>SEF5225</v>
      </c>
      <c r="E376" t="s">
        <v>3055</v>
      </c>
    </row>
    <row r="377" spans="1:5" x14ac:dyDescent="0.25">
      <c r="A377">
        <v>1191</v>
      </c>
      <c r="B377" t="s">
        <v>1754</v>
      </c>
      <c r="C377" t="s">
        <v>459</v>
      </c>
      <c r="D377" t="str">
        <f t="shared" si="6"/>
        <v>SEF5299</v>
      </c>
      <c r="E377" t="s">
        <v>3055</v>
      </c>
    </row>
    <row r="378" spans="1:5" x14ac:dyDescent="0.25">
      <c r="A378">
        <v>1191</v>
      </c>
      <c r="B378" t="s">
        <v>1754</v>
      </c>
      <c r="C378" t="s">
        <v>3074</v>
      </c>
      <c r="D378" t="str">
        <f t="shared" si="6"/>
        <v>SEF9202</v>
      </c>
      <c r="E378" t="s">
        <v>3075</v>
      </c>
    </row>
    <row r="379" spans="1:5" x14ac:dyDescent="0.25">
      <c r="A379">
        <v>1191</v>
      </c>
      <c r="B379" t="s">
        <v>1754</v>
      </c>
      <c r="C379" t="s">
        <v>250</v>
      </c>
      <c r="D379" t="str">
        <f t="shared" si="6"/>
        <v>SEF9301</v>
      </c>
      <c r="E379" t="s">
        <v>2968</v>
      </c>
    </row>
    <row r="380" spans="1:5" x14ac:dyDescent="0.25">
      <c r="A380">
        <v>1191</v>
      </c>
      <c r="B380" t="s">
        <v>1754</v>
      </c>
      <c r="C380" t="s">
        <v>360</v>
      </c>
      <c r="D380" t="str">
        <f t="shared" si="6"/>
        <v>SEF9309</v>
      </c>
      <c r="E380" t="s">
        <v>2968</v>
      </c>
    </row>
    <row r="381" spans="1:5" x14ac:dyDescent="0.25">
      <c r="A381">
        <v>1191</v>
      </c>
      <c r="B381" t="s">
        <v>1754</v>
      </c>
      <c r="C381" t="s">
        <v>367</v>
      </c>
      <c r="D381" t="str">
        <f t="shared" si="6"/>
        <v>SEF9310</v>
      </c>
      <c r="E381" t="s">
        <v>2968</v>
      </c>
    </row>
    <row r="382" spans="1:5" x14ac:dyDescent="0.25">
      <c r="A382">
        <v>1191</v>
      </c>
      <c r="B382" t="s">
        <v>1754</v>
      </c>
      <c r="C382" t="s">
        <v>3079</v>
      </c>
      <c r="D382" t="str">
        <f t="shared" si="6"/>
        <v>SEF9399</v>
      </c>
      <c r="E382" t="s">
        <v>2968</v>
      </c>
    </row>
    <row r="383" spans="1:5" x14ac:dyDescent="0.25">
      <c r="A383">
        <v>1221</v>
      </c>
      <c r="B383" t="s">
        <v>1752</v>
      </c>
      <c r="C383" t="s">
        <v>332</v>
      </c>
      <c r="D383" t="str">
        <f>CONCATENATE(B383,LEFT(C383,4))</f>
        <v>SEDE1314</v>
      </c>
      <c r="E383" t="s">
        <v>3081</v>
      </c>
    </row>
    <row r="384" spans="1:5" x14ac:dyDescent="0.25">
      <c r="A384">
        <v>1221</v>
      </c>
      <c r="B384" t="s">
        <v>1752</v>
      </c>
      <c r="C384" t="s">
        <v>2942</v>
      </c>
      <c r="D384" t="str">
        <f>CONCATENATE(B384,LEFT(C384,4))</f>
        <v>SEDE1317</v>
      </c>
      <c r="E384" t="s">
        <v>3081</v>
      </c>
    </row>
    <row r="385" spans="1:5" x14ac:dyDescent="0.25">
      <c r="A385">
        <v>1221</v>
      </c>
      <c r="B385" t="s">
        <v>1752</v>
      </c>
      <c r="C385" t="s">
        <v>2928</v>
      </c>
      <c r="D385" t="str">
        <f>CONCATENATE(B385,LEFT(C385,4))</f>
        <v>SEDE1401</v>
      </c>
      <c r="E385" t="s">
        <v>44</v>
      </c>
    </row>
    <row r="386" spans="1:5" x14ac:dyDescent="0.25">
      <c r="A386">
        <v>1221</v>
      </c>
      <c r="B386" t="s">
        <v>1752</v>
      </c>
      <c r="C386" t="s">
        <v>2932</v>
      </c>
      <c r="D386" t="str">
        <f>CONCATENATE(B386,LEFT(C386,4))</f>
        <v>SEDE3001</v>
      </c>
      <c r="E386" t="s">
        <v>2933</v>
      </c>
    </row>
    <row r="387" spans="1:5" x14ac:dyDescent="0.25">
      <c r="A387">
        <v>1221</v>
      </c>
      <c r="B387" t="s">
        <v>1752</v>
      </c>
      <c r="C387" t="s">
        <v>979</v>
      </c>
      <c r="D387" t="str">
        <f>CONCATENATE(B387,LEFT(C387,4))</f>
        <v>SEDE3003</v>
      </c>
      <c r="E387" t="s">
        <v>2933</v>
      </c>
    </row>
    <row r="388" spans="1:5" x14ac:dyDescent="0.25">
      <c r="A388">
        <v>1221</v>
      </c>
      <c r="B388" t="s">
        <v>1752</v>
      </c>
      <c r="C388" t="s">
        <v>2937</v>
      </c>
      <c r="D388" t="str">
        <f t="shared" ref="D388:D451" si="7">CONCATENATE(B388,LEFT(C388,4))</f>
        <v>SEDE3004</v>
      </c>
      <c r="E388" t="s">
        <v>2933</v>
      </c>
    </row>
    <row r="389" spans="1:5" x14ac:dyDescent="0.25">
      <c r="A389">
        <v>1221</v>
      </c>
      <c r="B389" t="s">
        <v>1752</v>
      </c>
      <c r="C389" t="s">
        <v>2939</v>
      </c>
      <c r="D389" t="str">
        <f t="shared" si="7"/>
        <v>SEDE3005</v>
      </c>
      <c r="E389" t="s">
        <v>2933</v>
      </c>
    </row>
    <row r="390" spans="1:5" x14ac:dyDescent="0.25">
      <c r="A390">
        <v>1221</v>
      </c>
      <c r="B390" t="s">
        <v>1752</v>
      </c>
      <c r="C390" t="s">
        <v>323</v>
      </c>
      <c r="D390" t="str">
        <f t="shared" si="7"/>
        <v>SEDE3006</v>
      </c>
      <c r="E390" t="s">
        <v>2933</v>
      </c>
    </row>
    <row r="391" spans="1:5" x14ac:dyDescent="0.25">
      <c r="A391">
        <v>1221</v>
      </c>
      <c r="B391" t="s">
        <v>1752</v>
      </c>
      <c r="C391" t="s">
        <v>2943</v>
      </c>
      <c r="D391" t="str">
        <f t="shared" si="7"/>
        <v>SEDE3010</v>
      </c>
      <c r="E391" t="s">
        <v>2944</v>
      </c>
    </row>
    <row r="392" spans="1:5" x14ac:dyDescent="0.25">
      <c r="A392">
        <v>1221</v>
      </c>
      <c r="B392" t="s">
        <v>1752</v>
      </c>
      <c r="C392" t="s">
        <v>369</v>
      </c>
      <c r="D392" t="str">
        <f t="shared" si="7"/>
        <v>SEDE3011</v>
      </c>
      <c r="E392" t="s">
        <v>2933</v>
      </c>
    </row>
    <row r="393" spans="1:5" x14ac:dyDescent="0.25">
      <c r="A393">
        <v>1221</v>
      </c>
      <c r="B393" t="s">
        <v>1752</v>
      </c>
      <c r="C393" t="s">
        <v>138</v>
      </c>
      <c r="D393" t="str">
        <f t="shared" si="7"/>
        <v>SEDE3012</v>
      </c>
      <c r="E393" t="s">
        <v>2944</v>
      </c>
    </row>
    <row r="394" spans="1:5" x14ac:dyDescent="0.25">
      <c r="A394">
        <v>1221</v>
      </c>
      <c r="B394" t="s">
        <v>1752</v>
      </c>
      <c r="C394" t="s">
        <v>2946</v>
      </c>
      <c r="D394" t="str">
        <f t="shared" si="7"/>
        <v>SEDE3013</v>
      </c>
      <c r="E394" t="s">
        <v>2933</v>
      </c>
    </row>
    <row r="395" spans="1:5" x14ac:dyDescent="0.25">
      <c r="A395">
        <v>1221</v>
      </c>
      <c r="B395" t="s">
        <v>1752</v>
      </c>
      <c r="C395" t="s">
        <v>2948</v>
      </c>
      <c r="D395" t="str">
        <f t="shared" si="7"/>
        <v>SEDE3015</v>
      </c>
      <c r="E395" t="s">
        <v>2933</v>
      </c>
    </row>
    <row r="396" spans="1:5" x14ac:dyDescent="0.25">
      <c r="A396">
        <v>1221</v>
      </c>
      <c r="B396" t="s">
        <v>1752</v>
      </c>
      <c r="C396" t="s">
        <v>2950</v>
      </c>
      <c r="D396" t="str">
        <f t="shared" si="7"/>
        <v>SEDE3016</v>
      </c>
      <c r="E396" t="s">
        <v>2933</v>
      </c>
    </row>
    <row r="397" spans="1:5" x14ac:dyDescent="0.25">
      <c r="A397">
        <v>1221</v>
      </c>
      <c r="B397" t="s">
        <v>1752</v>
      </c>
      <c r="C397" t="s">
        <v>406</v>
      </c>
      <c r="D397" t="str">
        <f t="shared" si="7"/>
        <v>SEDE3017</v>
      </c>
      <c r="E397" t="s">
        <v>2933</v>
      </c>
    </row>
    <row r="398" spans="1:5" x14ac:dyDescent="0.25">
      <c r="A398">
        <v>1221</v>
      </c>
      <c r="B398" t="s">
        <v>1752</v>
      </c>
      <c r="C398" t="s">
        <v>2953</v>
      </c>
      <c r="D398" t="str">
        <f t="shared" si="7"/>
        <v>SEDE3019</v>
      </c>
      <c r="E398" t="s">
        <v>2954</v>
      </c>
    </row>
    <row r="399" spans="1:5" x14ac:dyDescent="0.25">
      <c r="A399">
        <v>1221</v>
      </c>
      <c r="B399" t="s">
        <v>1752</v>
      </c>
      <c r="C399" t="s">
        <v>2955</v>
      </c>
      <c r="D399" t="str">
        <f t="shared" si="7"/>
        <v>SEDE3020</v>
      </c>
      <c r="E399" t="s">
        <v>2933</v>
      </c>
    </row>
    <row r="400" spans="1:5" x14ac:dyDescent="0.25">
      <c r="A400">
        <v>1221</v>
      </c>
      <c r="B400" t="s">
        <v>1752</v>
      </c>
      <c r="C400" t="s">
        <v>431</v>
      </c>
      <c r="D400" t="str">
        <f t="shared" si="7"/>
        <v>SEDE3022</v>
      </c>
      <c r="E400" t="s">
        <v>2933</v>
      </c>
    </row>
    <row r="401" spans="1:5" x14ac:dyDescent="0.25">
      <c r="A401">
        <v>1221</v>
      </c>
      <c r="B401" t="s">
        <v>1752</v>
      </c>
      <c r="C401" t="s">
        <v>2957</v>
      </c>
      <c r="D401" t="str">
        <f t="shared" si="7"/>
        <v>SEDE3023</v>
      </c>
      <c r="E401" t="s">
        <v>2958</v>
      </c>
    </row>
    <row r="402" spans="1:5" x14ac:dyDescent="0.25">
      <c r="A402">
        <v>1221</v>
      </c>
      <c r="B402" t="s">
        <v>1752</v>
      </c>
      <c r="C402" t="s">
        <v>441</v>
      </c>
      <c r="D402" t="str">
        <f t="shared" si="7"/>
        <v>SEDE3024</v>
      </c>
      <c r="E402" t="s">
        <v>2933</v>
      </c>
    </row>
    <row r="403" spans="1:5" x14ac:dyDescent="0.25">
      <c r="A403">
        <v>1221</v>
      </c>
      <c r="B403" t="s">
        <v>1752</v>
      </c>
      <c r="C403" t="s">
        <v>2959</v>
      </c>
      <c r="D403" t="str">
        <f t="shared" si="7"/>
        <v>SEDE3025</v>
      </c>
      <c r="E403" t="s">
        <v>2933</v>
      </c>
    </row>
    <row r="404" spans="1:5" x14ac:dyDescent="0.25">
      <c r="A404">
        <v>1221</v>
      </c>
      <c r="B404" t="s">
        <v>1752</v>
      </c>
      <c r="C404" t="s">
        <v>2960</v>
      </c>
      <c r="D404" t="str">
        <f t="shared" si="7"/>
        <v>SEDE3026</v>
      </c>
      <c r="E404" t="s">
        <v>2958</v>
      </c>
    </row>
    <row r="405" spans="1:5" x14ac:dyDescent="0.25">
      <c r="A405">
        <v>1221</v>
      </c>
      <c r="B405" t="s">
        <v>1752</v>
      </c>
      <c r="C405" t="s">
        <v>467</v>
      </c>
      <c r="D405" t="str">
        <f t="shared" si="7"/>
        <v>SEDE3030</v>
      </c>
      <c r="E405" t="s">
        <v>2933</v>
      </c>
    </row>
    <row r="406" spans="1:5" x14ac:dyDescent="0.25">
      <c r="A406">
        <v>1221</v>
      </c>
      <c r="B406" t="s">
        <v>1752</v>
      </c>
      <c r="C406" t="s">
        <v>491</v>
      </c>
      <c r="D406" t="str">
        <f t="shared" si="7"/>
        <v>SEDE3099</v>
      </c>
      <c r="E406" t="s">
        <v>2933</v>
      </c>
    </row>
    <row r="407" spans="1:5" x14ac:dyDescent="0.25">
      <c r="A407">
        <v>1221</v>
      </c>
      <c r="B407" t="s">
        <v>1752</v>
      </c>
      <c r="C407" t="s">
        <v>54</v>
      </c>
      <c r="D407" t="str">
        <f t="shared" si="7"/>
        <v>SEDE3301</v>
      </c>
      <c r="E407" t="s">
        <v>44</v>
      </c>
    </row>
    <row r="408" spans="1:5" x14ac:dyDescent="0.25">
      <c r="A408">
        <v>1221</v>
      </c>
      <c r="B408" t="s">
        <v>1752</v>
      </c>
      <c r="C408" t="s">
        <v>2975</v>
      </c>
      <c r="D408" t="str">
        <f t="shared" si="7"/>
        <v>SEDE3302</v>
      </c>
      <c r="E408" t="s">
        <v>44</v>
      </c>
    </row>
    <row r="409" spans="1:5" x14ac:dyDescent="0.25">
      <c r="A409">
        <v>1221</v>
      </c>
      <c r="B409" t="s">
        <v>1752</v>
      </c>
      <c r="C409" t="s">
        <v>2977</v>
      </c>
      <c r="D409" t="str">
        <f t="shared" si="7"/>
        <v>SEDE3304</v>
      </c>
      <c r="E409" t="s">
        <v>44</v>
      </c>
    </row>
    <row r="410" spans="1:5" x14ac:dyDescent="0.25">
      <c r="A410">
        <v>1221</v>
      </c>
      <c r="B410" t="s">
        <v>1752</v>
      </c>
      <c r="C410" t="s">
        <v>309</v>
      </c>
      <c r="D410" t="str">
        <f t="shared" si="7"/>
        <v>SEDE3305</v>
      </c>
      <c r="E410" t="s">
        <v>44</v>
      </c>
    </row>
    <row r="411" spans="1:5" x14ac:dyDescent="0.25">
      <c r="A411">
        <v>1221</v>
      </c>
      <c r="B411" t="s">
        <v>1752</v>
      </c>
      <c r="C411" t="s">
        <v>3201</v>
      </c>
      <c r="D411" t="str">
        <f t="shared" si="7"/>
        <v>SEDE3502</v>
      </c>
      <c r="E411" t="s">
        <v>1660</v>
      </c>
    </row>
    <row r="412" spans="1:5" x14ac:dyDescent="0.25">
      <c r="A412">
        <v>1221</v>
      </c>
      <c r="B412" t="s">
        <v>1752</v>
      </c>
      <c r="C412" t="s">
        <v>297</v>
      </c>
      <c r="D412" t="str">
        <f t="shared" si="7"/>
        <v>SEDE3604</v>
      </c>
      <c r="E412" t="s">
        <v>44</v>
      </c>
    </row>
    <row r="413" spans="1:5" x14ac:dyDescent="0.25">
      <c r="A413">
        <v>1221</v>
      </c>
      <c r="B413" t="s">
        <v>1752</v>
      </c>
      <c r="C413" t="s">
        <v>355</v>
      </c>
      <c r="D413" t="str">
        <f t="shared" si="7"/>
        <v>SEDE3610</v>
      </c>
      <c r="E413" t="s">
        <v>2968</v>
      </c>
    </row>
    <row r="414" spans="1:5" x14ac:dyDescent="0.25">
      <c r="A414">
        <v>1221</v>
      </c>
      <c r="B414" t="s">
        <v>1752</v>
      </c>
      <c r="C414" t="s">
        <v>2979</v>
      </c>
      <c r="D414" t="str">
        <f t="shared" si="7"/>
        <v>SEDE3612</v>
      </c>
      <c r="E414" t="s">
        <v>2968</v>
      </c>
    </row>
    <row r="415" spans="1:5" x14ac:dyDescent="0.25">
      <c r="A415">
        <v>1221</v>
      </c>
      <c r="B415" t="s">
        <v>1752</v>
      </c>
      <c r="C415" t="s">
        <v>383</v>
      </c>
      <c r="D415" t="str">
        <f t="shared" si="7"/>
        <v>SEDE3614</v>
      </c>
      <c r="E415" t="s">
        <v>2968</v>
      </c>
    </row>
    <row r="416" spans="1:5" x14ac:dyDescent="0.25">
      <c r="A416">
        <v>1221</v>
      </c>
      <c r="B416" t="s">
        <v>1752</v>
      </c>
      <c r="C416" t="s">
        <v>3050</v>
      </c>
      <c r="D416" t="str">
        <f t="shared" si="7"/>
        <v>SEDE3702</v>
      </c>
      <c r="E416" t="s">
        <v>2981</v>
      </c>
    </row>
    <row r="417" spans="1:5" x14ac:dyDescent="0.25">
      <c r="A417">
        <v>1221</v>
      </c>
      <c r="B417" t="s">
        <v>1752</v>
      </c>
      <c r="C417" t="s">
        <v>2983</v>
      </c>
      <c r="D417" t="str">
        <f t="shared" si="7"/>
        <v>SEDE3703</v>
      </c>
      <c r="E417" t="s">
        <v>117</v>
      </c>
    </row>
    <row r="418" spans="1:5" x14ac:dyDescent="0.25">
      <c r="A418">
        <v>1221</v>
      </c>
      <c r="B418" t="s">
        <v>1752</v>
      </c>
      <c r="C418" t="s">
        <v>2985</v>
      </c>
      <c r="D418" t="str">
        <f t="shared" si="7"/>
        <v>SEDE3704</v>
      </c>
      <c r="E418" t="s">
        <v>117</v>
      </c>
    </row>
    <row r="419" spans="1:5" x14ac:dyDescent="0.25">
      <c r="A419">
        <v>1221</v>
      </c>
      <c r="B419" t="s">
        <v>1752</v>
      </c>
      <c r="C419" t="s">
        <v>2986</v>
      </c>
      <c r="D419" t="str">
        <f t="shared" si="7"/>
        <v>SEDE3705</v>
      </c>
      <c r="E419" t="s">
        <v>117</v>
      </c>
    </row>
    <row r="420" spans="1:5" x14ac:dyDescent="0.25">
      <c r="A420">
        <v>1221</v>
      </c>
      <c r="B420" t="s">
        <v>1752</v>
      </c>
      <c r="C420" t="s">
        <v>2988</v>
      </c>
      <c r="D420" t="str">
        <f t="shared" si="7"/>
        <v>SEDE3903</v>
      </c>
      <c r="E420" t="s">
        <v>2968</v>
      </c>
    </row>
    <row r="421" spans="1:5" x14ac:dyDescent="0.25">
      <c r="A421">
        <v>1221</v>
      </c>
      <c r="B421" t="s">
        <v>1752</v>
      </c>
      <c r="C421" t="s">
        <v>326</v>
      </c>
      <c r="D421" t="str">
        <f t="shared" si="7"/>
        <v>SEDE3906</v>
      </c>
      <c r="E421" t="s">
        <v>2968</v>
      </c>
    </row>
    <row r="422" spans="1:5" x14ac:dyDescent="0.25">
      <c r="A422">
        <v>1221</v>
      </c>
      <c r="B422" t="s">
        <v>1752</v>
      </c>
      <c r="C422" t="s">
        <v>336</v>
      </c>
      <c r="D422" t="str">
        <f t="shared" si="7"/>
        <v>SEDE3909</v>
      </c>
      <c r="E422" t="s">
        <v>2968</v>
      </c>
    </row>
    <row r="423" spans="1:5" x14ac:dyDescent="0.25">
      <c r="A423">
        <v>1221</v>
      </c>
      <c r="B423" t="s">
        <v>1752</v>
      </c>
      <c r="C423" t="s">
        <v>346</v>
      </c>
      <c r="D423" t="str">
        <f t="shared" si="7"/>
        <v>SEDE3910</v>
      </c>
      <c r="E423" t="s">
        <v>2968</v>
      </c>
    </row>
    <row r="424" spans="1:5" x14ac:dyDescent="0.25">
      <c r="A424">
        <v>1221</v>
      </c>
      <c r="B424" t="s">
        <v>1752</v>
      </c>
      <c r="C424" t="s">
        <v>356</v>
      </c>
      <c r="D424" t="str">
        <f t="shared" si="7"/>
        <v>SEDE3911</v>
      </c>
      <c r="E424" t="s">
        <v>2968</v>
      </c>
    </row>
    <row r="425" spans="1:5" x14ac:dyDescent="0.25">
      <c r="A425">
        <v>1221</v>
      </c>
      <c r="B425" t="s">
        <v>1752</v>
      </c>
      <c r="C425" t="s">
        <v>2991</v>
      </c>
      <c r="D425" t="str">
        <f t="shared" si="7"/>
        <v>SEDE3912</v>
      </c>
      <c r="E425" t="s">
        <v>2992</v>
      </c>
    </row>
    <row r="426" spans="1:5" x14ac:dyDescent="0.25">
      <c r="A426">
        <v>1221</v>
      </c>
      <c r="B426" t="s">
        <v>1752</v>
      </c>
      <c r="C426" t="s">
        <v>2994</v>
      </c>
      <c r="D426" t="str">
        <f t="shared" si="7"/>
        <v>SEDE3913</v>
      </c>
      <c r="E426" t="s">
        <v>2992</v>
      </c>
    </row>
    <row r="427" spans="1:5" x14ac:dyDescent="0.25">
      <c r="A427">
        <v>1221</v>
      </c>
      <c r="B427" t="s">
        <v>1752</v>
      </c>
      <c r="C427" t="s">
        <v>2996</v>
      </c>
      <c r="D427" t="str">
        <f t="shared" si="7"/>
        <v>SEDE3917</v>
      </c>
      <c r="E427" t="s">
        <v>2958</v>
      </c>
    </row>
    <row r="428" spans="1:5" x14ac:dyDescent="0.25">
      <c r="A428">
        <v>1221</v>
      </c>
      <c r="B428" t="s">
        <v>1752</v>
      </c>
      <c r="C428" t="s">
        <v>2998</v>
      </c>
      <c r="D428" t="str">
        <f t="shared" si="7"/>
        <v>SEDE3918</v>
      </c>
      <c r="E428" t="s">
        <v>2958</v>
      </c>
    </row>
    <row r="429" spans="1:5" x14ac:dyDescent="0.25">
      <c r="A429">
        <v>1221</v>
      </c>
      <c r="B429" t="s">
        <v>1752</v>
      </c>
      <c r="C429" t="s">
        <v>3000</v>
      </c>
      <c r="D429" t="str">
        <f t="shared" si="7"/>
        <v>SEDE3919</v>
      </c>
      <c r="E429" t="s">
        <v>3001</v>
      </c>
    </row>
    <row r="430" spans="1:5" x14ac:dyDescent="0.25">
      <c r="A430">
        <v>1221</v>
      </c>
      <c r="B430" t="s">
        <v>1752</v>
      </c>
      <c r="C430" t="s">
        <v>3002</v>
      </c>
      <c r="D430" t="str">
        <f t="shared" si="7"/>
        <v>SEDE3921</v>
      </c>
      <c r="E430" t="s">
        <v>3001</v>
      </c>
    </row>
    <row r="431" spans="1:5" x14ac:dyDescent="0.25">
      <c r="A431">
        <v>1221</v>
      </c>
      <c r="B431" t="s">
        <v>1752</v>
      </c>
      <c r="C431" t="s">
        <v>428</v>
      </c>
      <c r="D431" t="str">
        <f t="shared" si="7"/>
        <v>SEDE3923</v>
      </c>
      <c r="E431" t="s">
        <v>2968</v>
      </c>
    </row>
    <row r="432" spans="1:5" x14ac:dyDescent="0.25">
      <c r="A432">
        <v>1221</v>
      </c>
      <c r="B432" t="s">
        <v>1752</v>
      </c>
      <c r="C432" t="s">
        <v>566</v>
      </c>
      <c r="D432" t="str">
        <f t="shared" si="7"/>
        <v>SEDE3924</v>
      </c>
      <c r="E432" t="s">
        <v>3004</v>
      </c>
    </row>
    <row r="433" spans="1:5" x14ac:dyDescent="0.25">
      <c r="A433">
        <v>1221</v>
      </c>
      <c r="B433" t="s">
        <v>1752</v>
      </c>
      <c r="C433" t="s">
        <v>443</v>
      </c>
      <c r="D433" t="str">
        <f t="shared" si="7"/>
        <v>SEDE3926</v>
      </c>
      <c r="E433" t="s">
        <v>3006</v>
      </c>
    </row>
    <row r="434" spans="1:5" x14ac:dyDescent="0.25">
      <c r="A434">
        <v>1221</v>
      </c>
      <c r="B434" t="s">
        <v>1752</v>
      </c>
      <c r="C434" t="s">
        <v>458</v>
      </c>
      <c r="D434" t="str">
        <f t="shared" si="7"/>
        <v>SEDE3930</v>
      </c>
      <c r="E434" t="s">
        <v>3006</v>
      </c>
    </row>
    <row r="435" spans="1:5" x14ac:dyDescent="0.25">
      <c r="A435">
        <v>1221</v>
      </c>
      <c r="B435" t="s">
        <v>1752</v>
      </c>
      <c r="C435" t="s">
        <v>1481</v>
      </c>
      <c r="D435" t="str">
        <f t="shared" si="7"/>
        <v>SEDE3931</v>
      </c>
      <c r="E435" t="s">
        <v>2968</v>
      </c>
    </row>
    <row r="436" spans="1:5" x14ac:dyDescent="0.25">
      <c r="A436">
        <v>1221</v>
      </c>
      <c r="B436" t="s">
        <v>1752</v>
      </c>
      <c r="C436" t="s">
        <v>3017</v>
      </c>
      <c r="D436" t="str">
        <f t="shared" si="7"/>
        <v>SEDE3936</v>
      </c>
      <c r="E436" t="s">
        <v>94</v>
      </c>
    </row>
    <row r="437" spans="1:5" x14ac:dyDescent="0.25">
      <c r="A437">
        <v>1221</v>
      </c>
      <c r="B437" t="s">
        <v>1752</v>
      </c>
      <c r="C437" t="s">
        <v>3088</v>
      </c>
      <c r="D437" t="str">
        <f t="shared" si="7"/>
        <v>SEDE3937</v>
      </c>
      <c r="E437" t="s">
        <v>3107</v>
      </c>
    </row>
    <row r="438" spans="1:5" x14ac:dyDescent="0.25">
      <c r="A438">
        <v>1221</v>
      </c>
      <c r="B438" t="s">
        <v>1752</v>
      </c>
      <c r="C438" t="s">
        <v>3089</v>
      </c>
      <c r="D438" t="str">
        <f t="shared" si="7"/>
        <v>SEDE3939</v>
      </c>
      <c r="E438" t="s">
        <v>2968</v>
      </c>
    </row>
    <row r="439" spans="1:5" x14ac:dyDescent="0.25">
      <c r="A439">
        <v>1221</v>
      </c>
      <c r="B439" t="s">
        <v>1752</v>
      </c>
      <c r="C439" t="s">
        <v>3019</v>
      </c>
      <c r="D439" t="str">
        <f t="shared" si="7"/>
        <v>SEDE3940</v>
      </c>
      <c r="E439" t="s">
        <v>3009</v>
      </c>
    </row>
    <row r="440" spans="1:5" x14ac:dyDescent="0.25">
      <c r="A440">
        <v>1221</v>
      </c>
      <c r="B440" t="s">
        <v>1752</v>
      </c>
      <c r="C440" t="s">
        <v>480</v>
      </c>
      <c r="D440" t="str">
        <f t="shared" si="7"/>
        <v>SEDE3941</v>
      </c>
      <c r="E440" t="s">
        <v>2968</v>
      </c>
    </row>
    <row r="441" spans="1:5" x14ac:dyDescent="0.25">
      <c r="A441">
        <v>1221</v>
      </c>
      <c r="B441" t="s">
        <v>1752</v>
      </c>
      <c r="C441" t="s">
        <v>3020</v>
      </c>
      <c r="D441" t="str">
        <f t="shared" si="7"/>
        <v>SEDE3943</v>
      </c>
      <c r="E441" t="s">
        <v>2958</v>
      </c>
    </row>
    <row r="442" spans="1:5" x14ac:dyDescent="0.25">
      <c r="A442">
        <v>1221</v>
      </c>
      <c r="B442" t="s">
        <v>1752</v>
      </c>
      <c r="C442" t="s">
        <v>492</v>
      </c>
      <c r="D442" t="str">
        <f t="shared" si="7"/>
        <v>SEDE3948</v>
      </c>
      <c r="E442" t="s">
        <v>3004</v>
      </c>
    </row>
    <row r="443" spans="1:5" x14ac:dyDescent="0.25">
      <c r="A443">
        <v>1221</v>
      </c>
      <c r="B443" t="s">
        <v>1752</v>
      </c>
      <c r="C443" t="s">
        <v>3096</v>
      </c>
      <c r="D443" t="str">
        <f t="shared" si="7"/>
        <v>SEDE3949</v>
      </c>
      <c r="E443" t="s">
        <v>3004</v>
      </c>
    </row>
    <row r="444" spans="1:5" x14ac:dyDescent="0.25">
      <c r="A444">
        <v>1221</v>
      </c>
      <c r="B444" t="s">
        <v>1752</v>
      </c>
      <c r="C444" t="s">
        <v>3022</v>
      </c>
      <c r="D444" t="str">
        <f t="shared" si="7"/>
        <v>SEDE3950</v>
      </c>
      <c r="E444" t="s">
        <v>44</v>
      </c>
    </row>
    <row r="445" spans="1:5" x14ac:dyDescent="0.25">
      <c r="A445">
        <v>1221</v>
      </c>
      <c r="B445" t="s">
        <v>1752</v>
      </c>
      <c r="C445" t="s">
        <v>3098</v>
      </c>
      <c r="D445" t="str">
        <f t="shared" si="7"/>
        <v>SEDE3952</v>
      </c>
      <c r="E445" t="s">
        <v>65</v>
      </c>
    </row>
    <row r="446" spans="1:5" x14ac:dyDescent="0.25">
      <c r="A446">
        <v>1221</v>
      </c>
      <c r="B446" t="s">
        <v>1752</v>
      </c>
      <c r="C446" t="s">
        <v>498</v>
      </c>
      <c r="D446" t="str">
        <f t="shared" si="7"/>
        <v>SEDE3955</v>
      </c>
      <c r="E446" t="s">
        <v>2968</v>
      </c>
    </row>
    <row r="447" spans="1:5" x14ac:dyDescent="0.25">
      <c r="A447">
        <v>1221</v>
      </c>
      <c r="B447" t="s">
        <v>1752</v>
      </c>
      <c r="C447" t="s">
        <v>3206</v>
      </c>
      <c r="D447" t="str">
        <f t="shared" si="7"/>
        <v>SEDE3963</v>
      </c>
      <c r="E447" t="s">
        <v>3207</v>
      </c>
    </row>
    <row r="448" spans="1:5" x14ac:dyDescent="0.25">
      <c r="A448">
        <v>1221</v>
      </c>
      <c r="B448" t="s">
        <v>1752</v>
      </c>
      <c r="C448" t="s">
        <v>3104</v>
      </c>
      <c r="D448" t="str">
        <f t="shared" si="7"/>
        <v>SEDE3964</v>
      </c>
      <c r="E448" t="s">
        <v>2968</v>
      </c>
    </row>
    <row r="449" spans="1:5" x14ac:dyDescent="0.25">
      <c r="A449">
        <v>1221</v>
      </c>
      <c r="B449" t="s">
        <v>1752</v>
      </c>
      <c r="C449" t="s">
        <v>3031</v>
      </c>
      <c r="D449" t="str">
        <f t="shared" si="7"/>
        <v>SEDE3970</v>
      </c>
      <c r="E449" t="s">
        <v>3009</v>
      </c>
    </row>
    <row r="450" spans="1:5" x14ac:dyDescent="0.25">
      <c r="A450">
        <v>1221</v>
      </c>
      <c r="B450" t="s">
        <v>1752</v>
      </c>
      <c r="C450" t="s">
        <v>526</v>
      </c>
      <c r="D450" t="str">
        <f t="shared" si="7"/>
        <v>SEDE3986</v>
      </c>
      <c r="E450" t="s">
        <v>2968</v>
      </c>
    </row>
    <row r="451" spans="1:5" x14ac:dyDescent="0.25">
      <c r="A451">
        <v>1221</v>
      </c>
      <c r="B451" t="s">
        <v>1752</v>
      </c>
      <c r="C451" t="s">
        <v>3036</v>
      </c>
      <c r="D451" t="str">
        <f t="shared" si="7"/>
        <v>SEDE3987</v>
      </c>
      <c r="E451" t="s">
        <v>2958</v>
      </c>
    </row>
    <row r="452" spans="1:5" x14ac:dyDescent="0.25">
      <c r="A452">
        <v>1221</v>
      </c>
      <c r="B452" t="s">
        <v>1752</v>
      </c>
      <c r="C452" t="s">
        <v>3040</v>
      </c>
      <c r="D452" t="str">
        <f t="shared" ref="D452:D515" si="8">CONCATENATE(B452,LEFT(C452,4))</f>
        <v>SEDE3999</v>
      </c>
      <c r="E452" t="s">
        <v>2968</v>
      </c>
    </row>
    <row r="453" spans="1:5" x14ac:dyDescent="0.25">
      <c r="A453">
        <v>1221</v>
      </c>
      <c r="B453" t="s">
        <v>1752</v>
      </c>
      <c r="C453" t="s">
        <v>3041</v>
      </c>
      <c r="D453" t="str">
        <f t="shared" si="8"/>
        <v>SEDE4002</v>
      </c>
      <c r="E453" t="s">
        <v>3009</v>
      </c>
    </row>
    <row r="454" spans="1:5" x14ac:dyDescent="0.25">
      <c r="A454">
        <v>1221</v>
      </c>
      <c r="B454" t="s">
        <v>1752</v>
      </c>
      <c r="C454" t="s">
        <v>3043</v>
      </c>
      <c r="D454" t="str">
        <f t="shared" si="8"/>
        <v>SEDE4003</v>
      </c>
      <c r="E454" t="s">
        <v>94</v>
      </c>
    </row>
    <row r="455" spans="1:5" x14ac:dyDescent="0.25">
      <c r="A455">
        <v>1221</v>
      </c>
      <c r="B455" t="s">
        <v>1752</v>
      </c>
      <c r="C455" t="s">
        <v>3045</v>
      </c>
      <c r="D455" t="str">
        <f t="shared" si="8"/>
        <v>SEDE4004</v>
      </c>
      <c r="E455" t="s">
        <v>3009</v>
      </c>
    </row>
    <row r="456" spans="1:5" x14ac:dyDescent="0.25">
      <c r="A456">
        <v>1221</v>
      </c>
      <c r="B456" t="s">
        <v>1752</v>
      </c>
      <c r="C456" t="s">
        <v>813</v>
      </c>
      <c r="D456" t="str">
        <f t="shared" si="8"/>
        <v>SEDE4006</v>
      </c>
      <c r="E456" t="s">
        <v>3057</v>
      </c>
    </row>
    <row r="457" spans="1:5" x14ac:dyDescent="0.25">
      <c r="A457">
        <v>1221</v>
      </c>
      <c r="B457" t="s">
        <v>1752</v>
      </c>
      <c r="C457" t="s">
        <v>3123</v>
      </c>
      <c r="D457" t="str">
        <f t="shared" si="8"/>
        <v>SEDE4101</v>
      </c>
      <c r="E457" t="s">
        <v>3208</v>
      </c>
    </row>
    <row r="458" spans="1:5" x14ac:dyDescent="0.25">
      <c r="A458">
        <v>1221</v>
      </c>
      <c r="B458" t="s">
        <v>1752</v>
      </c>
      <c r="C458" t="s">
        <v>3048</v>
      </c>
      <c r="D458" t="str">
        <f t="shared" si="8"/>
        <v>SEDE4701</v>
      </c>
      <c r="E458" t="s">
        <v>3049</v>
      </c>
    </row>
    <row r="459" spans="1:5" x14ac:dyDescent="0.25">
      <c r="A459">
        <v>1221</v>
      </c>
      <c r="B459" t="s">
        <v>1752</v>
      </c>
      <c r="C459" t="s">
        <v>265</v>
      </c>
      <c r="D459" t="str">
        <f t="shared" si="8"/>
        <v>SEDE4703</v>
      </c>
      <c r="E459" t="s">
        <v>3049</v>
      </c>
    </row>
    <row r="460" spans="1:5" x14ac:dyDescent="0.25">
      <c r="A460">
        <v>1221</v>
      </c>
      <c r="B460" t="s">
        <v>1752</v>
      </c>
      <c r="C460" t="s">
        <v>316</v>
      </c>
      <c r="D460" t="str">
        <f t="shared" si="8"/>
        <v>SEDE4706</v>
      </c>
      <c r="E460" t="s">
        <v>3049</v>
      </c>
    </row>
    <row r="461" spans="1:5" x14ac:dyDescent="0.25">
      <c r="A461">
        <v>1221</v>
      </c>
      <c r="B461" t="s">
        <v>1752</v>
      </c>
      <c r="C461" t="s">
        <v>328</v>
      </c>
      <c r="D461" t="str">
        <f t="shared" si="8"/>
        <v>SEDE4707</v>
      </c>
      <c r="E461" t="s">
        <v>3049</v>
      </c>
    </row>
    <row r="462" spans="1:5" x14ac:dyDescent="0.25">
      <c r="A462">
        <v>1221</v>
      </c>
      <c r="B462" t="s">
        <v>1752</v>
      </c>
      <c r="C462" t="s">
        <v>338</v>
      </c>
      <c r="D462" t="str">
        <f t="shared" si="8"/>
        <v>SEDE4708</v>
      </c>
      <c r="E462" t="s">
        <v>3049</v>
      </c>
    </row>
    <row r="463" spans="1:5" x14ac:dyDescent="0.25">
      <c r="A463">
        <v>1221</v>
      </c>
      <c r="B463" t="s">
        <v>1752</v>
      </c>
      <c r="C463" t="s">
        <v>357</v>
      </c>
      <c r="D463" t="str">
        <f t="shared" si="8"/>
        <v>SEDE4710</v>
      </c>
      <c r="E463" t="s">
        <v>3049</v>
      </c>
    </row>
    <row r="464" spans="1:5" x14ac:dyDescent="0.25">
      <c r="A464">
        <v>1221</v>
      </c>
      <c r="B464" t="s">
        <v>1752</v>
      </c>
      <c r="C464" t="s">
        <v>364</v>
      </c>
      <c r="D464" t="str">
        <f t="shared" si="8"/>
        <v>SEDE4799</v>
      </c>
      <c r="E464" t="s">
        <v>3049</v>
      </c>
    </row>
    <row r="465" spans="1:5" x14ac:dyDescent="0.25">
      <c r="A465">
        <v>1221</v>
      </c>
      <c r="B465" t="s">
        <v>1752</v>
      </c>
      <c r="C465" t="s">
        <v>240</v>
      </c>
      <c r="D465" t="str">
        <f t="shared" si="8"/>
        <v>SEDE4801</v>
      </c>
      <c r="E465" t="s">
        <v>2968</v>
      </c>
    </row>
    <row r="466" spans="1:5" x14ac:dyDescent="0.25">
      <c r="A466">
        <v>1221</v>
      </c>
      <c r="B466" t="s">
        <v>1752</v>
      </c>
      <c r="C466" t="s">
        <v>286</v>
      </c>
      <c r="D466" t="str">
        <f t="shared" si="8"/>
        <v>SEDE4803</v>
      </c>
      <c r="E466" t="s">
        <v>3004</v>
      </c>
    </row>
    <row r="467" spans="1:5" x14ac:dyDescent="0.25">
      <c r="A467">
        <v>1221</v>
      </c>
      <c r="B467" t="s">
        <v>1752</v>
      </c>
      <c r="C467" t="s">
        <v>3209</v>
      </c>
      <c r="D467" t="str">
        <f t="shared" si="8"/>
        <v>SEDE5114</v>
      </c>
      <c r="E467" t="s">
        <v>3210</v>
      </c>
    </row>
    <row r="468" spans="1:5" x14ac:dyDescent="0.25">
      <c r="A468">
        <v>1221</v>
      </c>
      <c r="B468" t="s">
        <v>1752</v>
      </c>
      <c r="C468" t="s">
        <v>3058</v>
      </c>
      <c r="D468" t="str">
        <f t="shared" si="8"/>
        <v>SEDE5207</v>
      </c>
      <c r="E468" t="s">
        <v>3057</v>
      </c>
    </row>
    <row r="469" spans="1:5" x14ac:dyDescent="0.25">
      <c r="A469">
        <v>1221</v>
      </c>
      <c r="B469" t="s">
        <v>1752</v>
      </c>
      <c r="C469" t="s">
        <v>3060</v>
      </c>
      <c r="D469" t="str">
        <f t="shared" si="8"/>
        <v>SEDE5208</v>
      </c>
      <c r="E469" t="s">
        <v>3057</v>
      </c>
    </row>
    <row r="470" spans="1:5" x14ac:dyDescent="0.25">
      <c r="A470">
        <v>1221</v>
      </c>
      <c r="B470" t="s">
        <v>1752</v>
      </c>
      <c r="C470" t="s">
        <v>3211</v>
      </c>
      <c r="D470" t="str">
        <f t="shared" si="8"/>
        <v>SEDE9108</v>
      </c>
      <c r="E470" t="s">
        <v>3212</v>
      </c>
    </row>
    <row r="471" spans="1:5" x14ac:dyDescent="0.25">
      <c r="A471">
        <v>1221</v>
      </c>
      <c r="B471" t="s">
        <v>1752</v>
      </c>
      <c r="C471" t="s">
        <v>3074</v>
      </c>
      <c r="D471" t="str">
        <f t="shared" si="8"/>
        <v>SEDE9202</v>
      </c>
      <c r="E471" t="s">
        <v>3075</v>
      </c>
    </row>
    <row r="472" spans="1:5" x14ac:dyDescent="0.25">
      <c r="A472">
        <v>1221</v>
      </c>
      <c r="B472" t="s">
        <v>1752</v>
      </c>
      <c r="C472" t="s">
        <v>331</v>
      </c>
      <c r="D472" t="str">
        <f t="shared" si="8"/>
        <v>SEDE9306</v>
      </c>
      <c r="E472" t="s">
        <v>3076</v>
      </c>
    </row>
    <row r="473" spans="1:5" x14ac:dyDescent="0.25">
      <c r="A473">
        <v>1221</v>
      </c>
      <c r="B473" t="s">
        <v>1752</v>
      </c>
      <c r="C473" t="s">
        <v>440</v>
      </c>
      <c r="D473" t="str">
        <f t="shared" si="8"/>
        <v>SEDE9326</v>
      </c>
      <c r="E473" t="s">
        <v>2968</v>
      </c>
    </row>
    <row r="474" spans="1:5" x14ac:dyDescent="0.25">
      <c r="A474">
        <v>1221</v>
      </c>
      <c r="B474" t="s">
        <v>1752</v>
      </c>
      <c r="C474" t="s">
        <v>3079</v>
      </c>
      <c r="D474" t="str">
        <f t="shared" si="8"/>
        <v>SEDE9399</v>
      </c>
      <c r="E474" t="s">
        <v>2968</v>
      </c>
    </row>
    <row r="475" spans="1:5" x14ac:dyDescent="0.25">
      <c r="A475">
        <v>1231</v>
      </c>
      <c r="B475" t="s">
        <v>1748</v>
      </c>
      <c r="C475" t="s">
        <v>2925</v>
      </c>
      <c r="D475" t="str">
        <f t="shared" si="8"/>
        <v>SEAPA0810</v>
      </c>
      <c r="E475" t="s">
        <v>2926</v>
      </c>
    </row>
    <row r="476" spans="1:5" x14ac:dyDescent="0.25">
      <c r="A476">
        <v>1231</v>
      </c>
      <c r="B476" t="s">
        <v>1748</v>
      </c>
      <c r="C476" t="s">
        <v>332</v>
      </c>
      <c r="D476" t="str">
        <f t="shared" si="8"/>
        <v>SEAPA1314</v>
      </c>
      <c r="E476" t="s">
        <v>3081</v>
      </c>
    </row>
    <row r="477" spans="1:5" x14ac:dyDescent="0.25">
      <c r="A477">
        <v>1231</v>
      </c>
      <c r="B477" t="s">
        <v>1748</v>
      </c>
      <c r="C477" t="s">
        <v>2928</v>
      </c>
      <c r="D477" t="str">
        <f t="shared" si="8"/>
        <v>SEAPA1401</v>
      </c>
      <c r="E477" t="s">
        <v>44</v>
      </c>
    </row>
    <row r="478" spans="1:5" x14ac:dyDescent="0.25">
      <c r="A478">
        <v>1231</v>
      </c>
      <c r="B478" t="s">
        <v>1748</v>
      </c>
      <c r="C478" t="s">
        <v>2930</v>
      </c>
      <c r="D478" t="str">
        <f t="shared" si="8"/>
        <v>SEAPA1501</v>
      </c>
      <c r="E478" t="s">
        <v>44</v>
      </c>
    </row>
    <row r="479" spans="1:5" x14ac:dyDescent="0.25">
      <c r="A479">
        <v>1231</v>
      </c>
      <c r="B479" t="s">
        <v>1748</v>
      </c>
      <c r="C479" t="s">
        <v>2932</v>
      </c>
      <c r="D479" t="str">
        <f t="shared" si="8"/>
        <v>SEAPA3001</v>
      </c>
      <c r="E479" t="s">
        <v>2933</v>
      </c>
    </row>
    <row r="480" spans="1:5" x14ac:dyDescent="0.25">
      <c r="A480">
        <v>1231</v>
      </c>
      <c r="B480" t="s">
        <v>1748</v>
      </c>
      <c r="C480" t="s">
        <v>979</v>
      </c>
      <c r="D480" t="str">
        <f t="shared" si="8"/>
        <v>SEAPA3003</v>
      </c>
      <c r="E480" t="s">
        <v>2933</v>
      </c>
    </row>
    <row r="481" spans="1:5" x14ac:dyDescent="0.25">
      <c r="A481">
        <v>1231</v>
      </c>
      <c r="B481" t="s">
        <v>1748</v>
      </c>
      <c r="C481" t="s">
        <v>2937</v>
      </c>
      <c r="D481" t="str">
        <f t="shared" si="8"/>
        <v>SEAPA3004</v>
      </c>
      <c r="E481" t="s">
        <v>2933</v>
      </c>
    </row>
    <row r="482" spans="1:5" x14ac:dyDescent="0.25">
      <c r="A482">
        <v>1231</v>
      </c>
      <c r="B482" t="s">
        <v>1748</v>
      </c>
      <c r="C482" t="s">
        <v>2939</v>
      </c>
      <c r="D482" t="str">
        <f t="shared" si="8"/>
        <v>SEAPA3005</v>
      </c>
      <c r="E482" t="s">
        <v>2933</v>
      </c>
    </row>
    <row r="483" spans="1:5" x14ac:dyDescent="0.25">
      <c r="A483">
        <v>1231</v>
      </c>
      <c r="B483" t="s">
        <v>1748</v>
      </c>
      <c r="C483" t="s">
        <v>2943</v>
      </c>
      <c r="D483" t="str">
        <f t="shared" si="8"/>
        <v>SEAPA3010</v>
      </c>
      <c r="E483" t="s">
        <v>2944</v>
      </c>
    </row>
    <row r="484" spans="1:5" x14ac:dyDescent="0.25">
      <c r="A484">
        <v>1231</v>
      </c>
      <c r="B484" t="s">
        <v>1748</v>
      </c>
      <c r="C484" t="s">
        <v>2946</v>
      </c>
      <c r="D484" t="str">
        <f t="shared" si="8"/>
        <v>SEAPA3013</v>
      </c>
      <c r="E484" t="s">
        <v>2933</v>
      </c>
    </row>
    <row r="485" spans="1:5" x14ac:dyDescent="0.25">
      <c r="A485">
        <v>1231</v>
      </c>
      <c r="B485" t="s">
        <v>1748</v>
      </c>
      <c r="C485" t="s">
        <v>2950</v>
      </c>
      <c r="D485" t="str">
        <f t="shared" si="8"/>
        <v>SEAPA3016</v>
      </c>
      <c r="E485" t="s">
        <v>2933</v>
      </c>
    </row>
    <row r="486" spans="1:5" x14ac:dyDescent="0.25">
      <c r="A486">
        <v>1231</v>
      </c>
      <c r="B486" t="s">
        <v>1748</v>
      </c>
      <c r="C486" t="s">
        <v>406</v>
      </c>
      <c r="D486" t="str">
        <f t="shared" si="8"/>
        <v>SEAPA3017</v>
      </c>
      <c r="E486" t="s">
        <v>2933</v>
      </c>
    </row>
    <row r="487" spans="1:5" x14ac:dyDescent="0.25">
      <c r="A487">
        <v>1231</v>
      </c>
      <c r="B487" t="s">
        <v>1748</v>
      </c>
      <c r="C487" t="s">
        <v>411</v>
      </c>
      <c r="D487" t="str">
        <f t="shared" si="8"/>
        <v>SEAPA3018</v>
      </c>
      <c r="E487" t="s">
        <v>2933</v>
      </c>
    </row>
    <row r="488" spans="1:5" x14ac:dyDescent="0.25">
      <c r="A488">
        <v>1231</v>
      </c>
      <c r="B488" t="s">
        <v>1748</v>
      </c>
      <c r="C488" t="s">
        <v>2953</v>
      </c>
      <c r="D488" t="str">
        <f t="shared" si="8"/>
        <v>SEAPA3019</v>
      </c>
      <c r="E488" t="s">
        <v>2954</v>
      </c>
    </row>
    <row r="489" spans="1:5" x14ac:dyDescent="0.25">
      <c r="A489">
        <v>1231</v>
      </c>
      <c r="B489" t="s">
        <v>1748</v>
      </c>
      <c r="C489" t="s">
        <v>2956</v>
      </c>
      <c r="D489" t="str">
        <f t="shared" si="8"/>
        <v>SEAPA3021</v>
      </c>
      <c r="E489" t="s">
        <v>2933</v>
      </c>
    </row>
    <row r="490" spans="1:5" x14ac:dyDescent="0.25">
      <c r="A490">
        <v>1231</v>
      </c>
      <c r="B490" t="s">
        <v>1748</v>
      </c>
      <c r="C490" t="s">
        <v>431</v>
      </c>
      <c r="D490" t="str">
        <f t="shared" si="8"/>
        <v>SEAPA3022</v>
      </c>
      <c r="E490" t="s">
        <v>2933</v>
      </c>
    </row>
    <row r="491" spans="1:5" x14ac:dyDescent="0.25">
      <c r="A491">
        <v>1231</v>
      </c>
      <c r="B491" t="s">
        <v>1748</v>
      </c>
      <c r="C491" t="s">
        <v>2957</v>
      </c>
      <c r="D491" t="str">
        <f t="shared" si="8"/>
        <v>SEAPA3023</v>
      </c>
      <c r="E491" t="s">
        <v>2958</v>
      </c>
    </row>
    <row r="492" spans="1:5" x14ac:dyDescent="0.25">
      <c r="A492">
        <v>1231</v>
      </c>
      <c r="B492" t="s">
        <v>1748</v>
      </c>
      <c r="C492" t="s">
        <v>441</v>
      </c>
      <c r="D492" t="str">
        <f t="shared" si="8"/>
        <v>SEAPA3024</v>
      </c>
      <c r="E492" t="s">
        <v>2933</v>
      </c>
    </row>
    <row r="493" spans="1:5" x14ac:dyDescent="0.25">
      <c r="A493">
        <v>1231</v>
      </c>
      <c r="B493" t="s">
        <v>1748</v>
      </c>
      <c r="C493" t="s">
        <v>2959</v>
      </c>
      <c r="D493" t="str">
        <f t="shared" si="8"/>
        <v>SEAPA3025</v>
      </c>
      <c r="E493" t="s">
        <v>2933</v>
      </c>
    </row>
    <row r="494" spans="1:5" x14ac:dyDescent="0.25">
      <c r="A494">
        <v>1231</v>
      </c>
      <c r="B494" t="s">
        <v>1748</v>
      </c>
      <c r="C494" t="s">
        <v>2960</v>
      </c>
      <c r="D494" t="str">
        <f t="shared" si="8"/>
        <v>SEAPA3026</v>
      </c>
      <c r="E494" t="s">
        <v>2958</v>
      </c>
    </row>
    <row r="495" spans="1:5" x14ac:dyDescent="0.25">
      <c r="A495">
        <v>1231</v>
      </c>
      <c r="B495" t="s">
        <v>1748</v>
      </c>
      <c r="C495" t="s">
        <v>470</v>
      </c>
      <c r="D495" t="str">
        <f t="shared" si="8"/>
        <v>SEAPA3031</v>
      </c>
      <c r="E495" t="s">
        <v>2933</v>
      </c>
    </row>
    <row r="496" spans="1:5" x14ac:dyDescent="0.25">
      <c r="A496">
        <v>1231</v>
      </c>
      <c r="B496" t="s">
        <v>1748</v>
      </c>
      <c r="C496" t="s">
        <v>2964</v>
      </c>
      <c r="D496" t="str">
        <f t="shared" si="8"/>
        <v>SEAPA3033</v>
      </c>
      <c r="E496" t="s">
        <v>2965</v>
      </c>
    </row>
    <row r="497" spans="1:5" x14ac:dyDescent="0.25">
      <c r="A497">
        <v>1231</v>
      </c>
      <c r="B497" t="s">
        <v>1748</v>
      </c>
      <c r="C497" t="s">
        <v>2993</v>
      </c>
      <c r="D497" t="str">
        <f t="shared" si="8"/>
        <v>SEAPA3041</v>
      </c>
      <c r="E497" t="s">
        <v>2968</v>
      </c>
    </row>
    <row r="498" spans="1:5" x14ac:dyDescent="0.25">
      <c r="A498">
        <v>1231</v>
      </c>
      <c r="B498" t="s">
        <v>1748</v>
      </c>
      <c r="C498" t="s">
        <v>491</v>
      </c>
      <c r="D498" t="str">
        <f t="shared" si="8"/>
        <v>SEAPA3099</v>
      </c>
      <c r="E498" t="s">
        <v>2933</v>
      </c>
    </row>
    <row r="499" spans="1:5" x14ac:dyDescent="0.25">
      <c r="A499">
        <v>1231</v>
      </c>
      <c r="B499" t="s">
        <v>1748</v>
      </c>
      <c r="C499" t="s">
        <v>227</v>
      </c>
      <c r="D499" t="str">
        <f t="shared" si="8"/>
        <v>SEAPA3201</v>
      </c>
      <c r="E499" t="s">
        <v>3213</v>
      </c>
    </row>
    <row r="500" spans="1:5" x14ac:dyDescent="0.25">
      <c r="A500">
        <v>1231</v>
      </c>
      <c r="B500" t="s">
        <v>1748</v>
      </c>
      <c r="C500" t="s">
        <v>54</v>
      </c>
      <c r="D500" t="str">
        <f t="shared" si="8"/>
        <v>SEAPA3301</v>
      </c>
      <c r="E500" t="s">
        <v>44</v>
      </c>
    </row>
    <row r="501" spans="1:5" x14ac:dyDescent="0.25">
      <c r="A501">
        <v>1231</v>
      </c>
      <c r="B501" t="s">
        <v>1748</v>
      </c>
      <c r="C501" t="s">
        <v>2975</v>
      </c>
      <c r="D501" t="str">
        <f t="shared" si="8"/>
        <v>SEAPA3302</v>
      </c>
      <c r="E501" t="s">
        <v>44</v>
      </c>
    </row>
    <row r="502" spans="1:5" x14ac:dyDescent="0.25">
      <c r="A502">
        <v>1231</v>
      </c>
      <c r="B502" t="s">
        <v>1748</v>
      </c>
      <c r="C502" t="s">
        <v>2977</v>
      </c>
      <c r="D502" t="str">
        <f t="shared" si="8"/>
        <v>SEAPA3304</v>
      </c>
      <c r="E502" t="s">
        <v>44</v>
      </c>
    </row>
    <row r="503" spans="1:5" x14ac:dyDescent="0.25">
      <c r="A503">
        <v>1231</v>
      </c>
      <c r="B503" t="s">
        <v>1748</v>
      </c>
      <c r="C503" t="s">
        <v>3201</v>
      </c>
      <c r="D503" t="str">
        <f t="shared" si="8"/>
        <v>SEAPA3502</v>
      </c>
      <c r="E503" t="s">
        <v>1660</v>
      </c>
    </row>
    <row r="504" spans="1:5" x14ac:dyDescent="0.25">
      <c r="A504">
        <v>1231</v>
      </c>
      <c r="B504" t="s">
        <v>1748</v>
      </c>
      <c r="C504" t="s">
        <v>3012</v>
      </c>
      <c r="D504" t="str">
        <f t="shared" si="8"/>
        <v>SEAPA3601</v>
      </c>
      <c r="E504" t="s">
        <v>65</v>
      </c>
    </row>
    <row r="505" spans="1:5" x14ac:dyDescent="0.25">
      <c r="A505">
        <v>1231</v>
      </c>
      <c r="B505" t="s">
        <v>1748</v>
      </c>
      <c r="C505" t="s">
        <v>297</v>
      </c>
      <c r="D505" t="str">
        <f t="shared" si="8"/>
        <v>SEAPA3604</v>
      </c>
      <c r="E505" t="s">
        <v>44</v>
      </c>
    </row>
    <row r="506" spans="1:5" x14ac:dyDescent="0.25">
      <c r="A506">
        <v>1231</v>
      </c>
      <c r="B506" t="s">
        <v>1748</v>
      </c>
      <c r="C506" t="s">
        <v>355</v>
      </c>
      <c r="D506" t="str">
        <f t="shared" si="8"/>
        <v>SEAPA3610</v>
      </c>
      <c r="E506" t="s">
        <v>2968</v>
      </c>
    </row>
    <row r="507" spans="1:5" x14ac:dyDescent="0.25">
      <c r="A507">
        <v>1231</v>
      </c>
      <c r="B507" t="s">
        <v>1748</v>
      </c>
      <c r="C507" t="s">
        <v>2979</v>
      </c>
      <c r="D507" t="str">
        <f t="shared" si="8"/>
        <v>SEAPA3612</v>
      </c>
      <c r="E507" t="s">
        <v>2968</v>
      </c>
    </row>
    <row r="508" spans="1:5" x14ac:dyDescent="0.25">
      <c r="A508">
        <v>1231</v>
      </c>
      <c r="B508" t="s">
        <v>1748</v>
      </c>
      <c r="C508" t="s">
        <v>457</v>
      </c>
      <c r="D508" t="str">
        <f t="shared" si="8"/>
        <v>SEAPA3628</v>
      </c>
      <c r="E508" t="s">
        <v>2968</v>
      </c>
    </row>
    <row r="509" spans="1:5" x14ac:dyDescent="0.25">
      <c r="A509">
        <v>1231</v>
      </c>
      <c r="B509" t="s">
        <v>1748</v>
      </c>
      <c r="C509" t="s">
        <v>2983</v>
      </c>
      <c r="D509" t="str">
        <f t="shared" si="8"/>
        <v>SEAPA3703</v>
      </c>
      <c r="E509" t="s">
        <v>117</v>
      </c>
    </row>
    <row r="510" spans="1:5" x14ac:dyDescent="0.25">
      <c r="A510">
        <v>1231</v>
      </c>
      <c r="B510" t="s">
        <v>1748</v>
      </c>
      <c r="C510" t="s">
        <v>2985</v>
      </c>
      <c r="D510" t="str">
        <f t="shared" si="8"/>
        <v>SEAPA3704</v>
      </c>
      <c r="E510" t="s">
        <v>117</v>
      </c>
    </row>
    <row r="511" spans="1:5" x14ac:dyDescent="0.25">
      <c r="A511">
        <v>1231</v>
      </c>
      <c r="B511" t="s">
        <v>1748</v>
      </c>
      <c r="C511" t="s">
        <v>2986</v>
      </c>
      <c r="D511" t="str">
        <f t="shared" si="8"/>
        <v>SEAPA3705</v>
      </c>
      <c r="E511" t="s">
        <v>117</v>
      </c>
    </row>
    <row r="512" spans="1:5" x14ac:dyDescent="0.25">
      <c r="A512">
        <v>1231</v>
      </c>
      <c r="B512" t="s">
        <v>1748</v>
      </c>
      <c r="C512" t="s">
        <v>2988</v>
      </c>
      <c r="D512" t="str">
        <f t="shared" si="8"/>
        <v>SEAPA3903</v>
      </c>
      <c r="E512" t="s">
        <v>2968</v>
      </c>
    </row>
    <row r="513" spans="1:5" x14ac:dyDescent="0.25">
      <c r="A513">
        <v>1231</v>
      </c>
      <c r="B513" t="s">
        <v>1748</v>
      </c>
      <c r="C513" t="s">
        <v>2989</v>
      </c>
      <c r="D513" t="str">
        <f t="shared" si="8"/>
        <v>SEAPA3908</v>
      </c>
      <c r="E513" t="s">
        <v>2968</v>
      </c>
    </row>
    <row r="514" spans="1:5" x14ac:dyDescent="0.25">
      <c r="A514">
        <v>1231</v>
      </c>
      <c r="B514" t="s">
        <v>1748</v>
      </c>
      <c r="C514" t="s">
        <v>346</v>
      </c>
      <c r="D514" t="str">
        <f t="shared" si="8"/>
        <v>SEAPA3910</v>
      </c>
      <c r="E514" t="s">
        <v>2968</v>
      </c>
    </row>
    <row r="515" spans="1:5" x14ac:dyDescent="0.25">
      <c r="A515">
        <v>1231</v>
      </c>
      <c r="B515" t="s">
        <v>1748</v>
      </c>
      <c r="C515" t="s">
        <v>356</v>
      </c>
      <c r="D515" t="str">
        <f t="shared" si="8"/>
        <v>SEAPA3911</v>
      </c>
      <c r="E515" t="s">
        <v>2968</v>
      </c>
    </row>
    <row r="516" spans="1:5" x14ac:dyDescent="0.25">
      <c r="A516">
        <v>1231</v>
      </c>
      <c r="B516" t="s">
        <v>1748</v>
      </c>
      <c r="C516" t="s">
        <v>2991</v>
      </c>
      <c r="D516" t="str">
        <f t="shared" ref="D516:D579" si="9">CONCATENATE(B516,LEFT(C516,4))</f>
        <v>SEAPA3912</v>
      </c>
      <c r="E516" t="s">
        <v>2992</v>
      </c>
    </row>
    <row r="517" spans="1:5" x14ac:dyDescent="0.25">
      <c r="A517">
        <v>1231</v>
      </c>
      <c r="B517" t="s">
        <v>1748</v>
      </c>
      <c r="C517" t="s">
        <v>2994</v>
      </c>
      <c r="D517" t="str">
        <f t="shared" si="9"/>
        <v>SEAPA3913</v>
      </c>
      <c r="E517" t="s">
        <v>2992</v>
      </c>
    </row>
    <row r="518" spans="1:5" x14ac:dyDescent="0.25">
      <c r="A518">
        <v>1231</v>
      </c>
      <c r="B518" t="s">
        <v>1748</v>
      </c>
      <c r="C518" t="s">
        <v>377</v>
      </c>
      <c r="D518" t="str">
        <f t="shared" si="9"/>
        <v>SEAPA3914</v>
      </c>
      <c r="E518" t="s">
        <v>3009</v>
      </c>
    </row>
    <row r="519" spans="1:5" x14ac:dyDescent="0.25">
      <c r="A519">
        <v>1231</v>
      </c>
      <c r="B519" t="s">
        <v>1748</v>
      </c>
      <c r="C519" t="s">
        <v>2996</v>
      </c>
      <c r="D519" t="str">
        <f t="shared" si="9"/>
        <v>SEAPA3917</v>
      </c>
      <c r="E519" t="s">
        <v>2958</v>
      </c>
    </row>
    <row r="520" spans="1:5" x14ac:dyDescent="0.25">
      <c r="A520">
        <v>1231</v>
      </c>
      <c r="B520" t="s">
        <v>1748</v>
      </c>
      <c r="C520" t="s">
        <v>2998</v>
      </c>
      <c r="D520" t="str">
        <f t="shared" si="9"/>
        <v>SEAPA3918</v>
      </c>
      <c r="E520" t="s">
        <v>2958</v>
      </c>
    </row>
    <row r="521" spans="1:5" x14ac:dyDescent="0.25">
      <c r="A521">
        <v>1231</v>
      </c>
      <c r="B521" t="s">
        <v>1748</v>
      </c>
      <c r="C521" t="s">
        <v>3077</v>
      </c>
      <c r="D521" t="str">
        <f t="shared" si="9"/>
        <v>SEAPA3920</v>
      </c>
      <c r="E521" t="s">
        <v>3107</v>
      </c>
    </row>
    <row r="522" spans="1:5" x14ac:dyDescent="0.25">
      <c r="A522">
        <v>1231</v>
      </c>
      <c r="B522" t="s">
        <v>1748</v>
      </c>
      <c r="C522" t="s">
        <v>3002</v>
      </c>
      <c r="D522" t="str">
        <f t="shared" si="9"/>
        <v>SEAPA3921</v>
      </c>
      <c r="E522" t="s">
        <v>3001</v>
      </c>
    </row>
    <row r="523" spans="1:5" x14ac:dyDescent="0.25">
      <c r="A523">
        <v>1231</v>
      </c>
      <c r="B523" t="s">
        <v>1748</v>
      </c>
      <c r="C523" t="s">
        <v>3003</v>
      </c>
      <c r="D523" t="str">
        <f t="shared" si="9"/>
        <v>SEAPA3922</v>
      </c>
      <c r="E523" t="s">
        <v>2954</v>
      </c>
    </row>
    <row r="524" spans="1:5" x14ac:dyDescent="0.25">
      <c r="A524">
        <v>1231</v>
      </c>
      <c r="B524" t="s">
        <v>1748</v>
      </c>
      <c r="C524" t="s">
        <v>566</v>
      </c>
      <c r="D524" t="str">
        <f t="shared" si="9"/>
        <v>SEAPA3924</v>
      </c>
      <c r="E524" t="s">
        <v>3004</v>
      </c>
    </row>
    <row r="525" spans="1:5" x14ac:dyDescent="0.25">
      <c r="A525">
        <v>1231</v>
      </c>
      <c r="B525" t="s">
        <v>1748</v>
      </c>
      <c r="C525" t="s">
        <v>438</v>
      </c>
      <c r="D525" t="str">
        <f t="shared" si="9"/>
        <v>SEAPA3925</v>
      </c>
      <c r="E525" t="s">
        <v>3006</v>
      </c>
    </row>
    <row r="526" spans="1:5" x14ac:dyDescent="0.25">
      <c r="A526">
        <v>1231</v>
      </c>
      <c r="B526" t="s">
        <v>1748</v>
      </c>
      <c r="C526" t="s">
        <v>443</v>
      </c>
      <c r="D526" t="str">
        <f t="shared" si="9"/>
        <v>SEAPA3926</v>
      </c>
      <c r="E526" t="s">
        <v>3006</v>
      </c>
    </row>
    <row r="527" spans="1:5" x14ac:dyDescent="0.25">
      <c r="A527">
        <v>1231</v>
      </c>
      <c r="B527" t="s">
        <v>1748</v>
      </c>
      <c r="C527" t="s">
        <v>3008</v>
      </c>
      <c r="D527" t="str">
        <f t="shared" si="9"/>
        <v>SEAPA3927</v>
      </c>
      <c r="E527" t="s">
        <v>3009</v>
      </c>
    </row>
    <row r="528" spans="1:5" x14ac:dyDescent="0.25">
      <c r="A528">
        <v>1231</v>
      </c>
      <c r="B528" t="s">
        <v>1748</v>
      </c>
      <c r="C528" t="s">
        <v>458</v>
      </c>
      <c r="D528" t="str">
        <f t="shared" si="9"/>
        <v>SEAPA3930</v>
      </c>
      <c r="E528" t="s">
        <v>3006</v>
      </c>
    </row>
    <row r="529" spans="1:5" x14ac:dyDescent="0.25">
      <c r="A529">
        <v>1231</v>
      </c>
      <c r="B529" t="s">
        <v>1748</v>
      </c>
      <c r="C529" t="s">
        <v>1481</v>
      </c>
      <c r="D529" t="str">
        <f t="shared" si="9"/>
        <v>SEAPA3931</v>
      </c>
      <c r="E529" t="s">
        <v>2968</v>
      </c>
    </row>
    <row r="530" spans="1:5" x14ac:dyDescent="0.25">
      <c r="A530">
        <v>1231</v>
      </c>
      <c r="B530" t="s">
        <v>1748</v>
      </c>
      <c r="C530" t="s">
        <v>469</v>
      </c>
      <c r="D530" t="str">
        <f t="shared" si="9"/>
        <v>SEAPA3934</v>
      </c>
      <c r="E530" t="s">
        <v>2965</v>
      </c>
    </row>
    <row r="531" spans="1:5" x14ac:dyDescent="0.25">
      <c r="A531">
        <v>1231</v>
      </c>
      <c r="B531" t="s">
        <v>1748</v>
      </c>
      <c r="C531" t="s">
        <v>3015</v>
      </c>
      <c r="D531" t="str">
        <f t="shared" si="9"/>
        <v>SEAPA3935</v>
      </c>
      <c r="E531" t="s">
        <v>2965</v>
      </c>
    </row>
    <row r="532" spans="1:5" x14ac:dyDescent="0.25">
      <c r="A532">
        <v>1231</v>
      </c>
      <c r="B532" t="s">
        <v>1748</v>
      </c>
      <c r="C532" t="s">
        <v>3017</v>
      </c>
      <c r="D532" t="str">
        <f t="shared" si="9"/>
        <v>SEAPA3936</v>
      </c>
      <c r="E532" t="s">
        <v>94</v>
      </c>
    </row>
    <row r="533" spans="1:5" x14ac:dyDescent="0.25">
      <c r="A533">
        <v>1231</v>
      </c>
      <c r="B533" t="s">
        <v>1748</v>
      </c>
      <c r="C533" t="s">
        <v>3202</v>
      </c>
      <c r="D533" t="str">
        <f t="shared" si="9"/>
        <v>SEAPA3938</v>
      </c>
      <c r="E533" t="s">
        <v>2968</v>
      </c>
    </row>
    <row r="534" spans="1:5" x14ac:dyDescent="0.25">
      <c r="A534">
        <v>1231</v>
      </c>
      <c r="B534" t="s">
        <v>1748</v>
      </c>
      <c r="C534" t="s">
        <v>3019</v>
      </c>
      <c r="D534" t="str">
        <f t="shared" si="9"/>
        <v>SEAPA3940</v>
      </c>
      <c r="E534" t="s">
        <v>3009</v>
      </c>
    </row>
    <row r="535" spans="1:5" x14ac:dyDescent="0.25">
      <c r="A535">
        <v>1231</v>
      </c>
      <c r="B535" t="s">
        <v>1748</v>
      </c>
      <c r="C535" t="s">
        <v>480</v>
      </c>
      <c r="D535" t="str">
        <f t="shared" si="9"/>
        <v>SEAPA3941</v>
      </c>
      <c r="E535" t="s">
        <v>2968</v>
      </c>
    </row>
    <row r="536" spans="1:5" x14ac:dyDescent="0.25">
      <c r="A536">
        <v>1231</v>
      </c>
      <c r="B536" t="s">
        <v>1748</v>
      </c>
      <c r="C536" t="s">
        <v>3020</v>
      </c>
      <c r="D536" t="str">
        <f t="shared" si="9"/>
        <v>SEAPA3943</v>
      </c>
      <c r="E536" t="s">
        <v>2958</v>
      </c>
    </row>
    <row r="537" spans="1:5" x14ac:dyDescent="0.25">
      <c r="A537">
        <v>1231</v>
      </c>
      <c r="B537" t="s">
        <v>1748</v>
      </c>
      <c r="C537" t="s">
        <v>492</v>
      </c>
      <c r="D537" t="str">
        <f t="shared" si="9"/>
        <v>SEAPA3948</v>
      </c>
      <c r="E537" t="s">
        <v>3004</v>
      </c>
    </row>
    <row r="538" spans="1:5" x14ac:dyDescent="0.25">
      <c r="A538">
        <v>1231</v>
      </c>
      <c r="B538" t="s">
        <v>1748</v>
      </c>
      <c r="C538" t="s">
        <v>3096</v>
      </c>
      <c r="D538" t="str">
        <f t="shared" si="9"/>
        <v>SEAPA3949</v>
      </c>
      <c r="E538" t="s">
        <v>3004</v>
      </c>
    </row>
    <row r="539" spans="1:5" x14ac:dyDescent="0.25">
      <c r="A539">
        <v>1231</v>
      </c>
      <c r="B539" t="s">
        <v>1748</v>
      </c>
      <c r="C539" t="s">
        <v>498</v>
      </c>
      <c r="D539" t="str">
        <f t="shared" si="9"/>
        <v>SEAPA3955</v>
      </c>
      <c r="E539" t="s">
        <v>2968</v>
      </c>
    </row>
    <row r="540" spans="1:5" x14ac:dyDescent="0.25">
      <c r="A540">
        <v>1231</v>
      </c>
      <c r="B540" t="s">
        <v>1748</v>
      </c>
      <c r="C540" t="s">
        <v>499</v>
      </c>
      <c r="D540" t="str">
        <f t="shared" si="9"/>
        <v>SEAPA3956</v>
      </c>
      <c r="E540" t="s">
        <v>2968</v>
      </c>
    </row>
    <row r="541" spans="1:5" x14ac:dyDescent="0.25">
      <c r="A541">
        <v>1231</v>
      </c>
      <c r="B541" t="s">
        <v>1748</v>
      </c>
      <c r="C541" t="s">
        <v>3206</v>
      </c>
      <c r="D541" t="str">
        <f t="shared" si="9"/>
        <v>SEAPA3963</v>
      </c>
      <c r="E541" t="s">
        <v>2968</v>
      </c>
    </row>
    <row r="542" spans="1:5" x14ac:dyDescent="0.25">
      <c r="A542">
        <v>1231</v>
      </c>
      <c r="B542" t="s">
        <v>1748</v>
      </c>
      <c r="C542" t="s">
        <v>3104</v>
      </c>
      <c r="D542" t="str">
        <f t="shared" si="9"/>
        <v>SEAPA3964</v>
      </c>
      <c r="E542" t="s">
        <v>3214</v>
      </c>
    </row>
    <row r="543" spans="1:5" x14ac:dyDescent="0.25">
      <c r="A543">
        <v>1231</v>
      </c>
      <c r="B543" t="s">
        <v>1748</v>
      </c>
      <c r="C543" t="s">
        <v>3029</v>
      </c>
      <c r="D543" t="str">
        <f t="shared" si="9"/>
        <v>SEAPA3966</v>
      </c>
      <c r="E543" t="s">
        <v>2992</v>
      </c>
    </row>
    <row r="544" spans="1:5" x14ac:dyDescent="0.25">
      <c r="A544">
        <v>1231</v>
      </c>
      <c r="B544" t="s">
        <v>1748</v>
      </c>
      <c r="C544" t="s">
        <v>3111</v>
      </c>
      <c r="D544" t="str">
        <f t="shared" si="9"/>
        <v>SEAPA3973</v>
      </c>
      <c r="E544" t="s">
        <v>3215</v>
      </c>
    </row>
    <row r="545" spans="1:5" x14ac:dyDescent="0.25">
      <c r="A545">
        <v>1231</v>
      </c>
      <c r="B545" t="s">
        <v>1748</v>
      </c>
      <c r="C545" t="s">
        <v>3216</v>
      </c>
      <c r="D545" t="str">
        <f t="shared" si="9"/>
        <v>SEAPA3980</v>
      </c>
      <c r="E545" t="s">
        <v>3081</v>
      </c>
    </row>
    <row r="546" spans="1:5" x14ac:dyDescent="0.25">
      <c r="A546">
        <v>1231</v>
      </c>
      <c r="B546" t="s">
        <v>1748</v>
      </c>
      <c r="C546" t="s">
        <v>3036</v>
      </c>
      <c r="D546" t="str">
        <f t="shared" si="9"/>
        <v>SEAPA3987</v>
      </c>
      <c r="E546" t="s">
        <v>2958</v>
      </c>
    </row>
    <row r="547" spans="1:5" x14ac:dyDescent="0.25">
      <c r="A547">
        <v>1231</v>
      </c>
      <c r="B547" t="s">
        <v>1748</v>
      </c>
      <c r="C547" t="s">
        <v>3217</v>
      </c>
      <c r="D547" t="str">
        <f t="shared" si="9"/>
        <v>SEAPA3989</v>
      </c>
      <c r="E547" t="s">
        <v>2965</v>
      </c>
    </row>
    <row r="548" spans="1:5" x14ac:dyDescent="0.25">
      <c r="A548">
        <v>1231</v>
      </c>
      <c r="B548" t="s">
        <v>1748</v>
      </c>
      <c r="C548" t="s">
        <v>3040</v>
      </c>
      <c r="D548" t="str">
        <f t="shared" si="9"/>
        <v>SEAPA3999</v>
      </c>
      <c r="E548" t="s">
        <v>2968</v>
      </c>
    </row>
    <row r="549" spans="1:5" x14ac:dyDescent="0.25">
      <c r="A549">
        <v>1231</v>
      </c>
      <c r="B549" t="s">
        <v>1748</v>
      </c>
      <c r="C549" t="s">
        <v>3041</v>
      </c>
      <c r="D549" t="str">
        <f t="shared" si="9"/>
        <v>SEAPA4002</v>
      </c>
      <c r="E549" t="s">
        <v>3009</v>
      </c>
    </row>
    <row r="550" spans="1:5" x14ac:dyDescent="0.25">
      <c r="A550">
        <v>1231</v>
      </c>
      <c r="B550" t="s">
        <v>1748</v>
      </c>
      <c r="C550" t="s">
        <v>3043</v>
      </c>
      <c r="D550" t="str">
        <f t="shared" si="9"/>
        <v>SEAPA4003</v>
      </c>
      <c r="E550" t="s">
        <v>94</v>
      </c>
    </row>
    <row r="551" spans="1:5" x14ac:dyDescent="0.25">
      <c r="A551">
        <v>1231</v>
      </c>
      <c r="B551" t="s">
        <v>1748</v>
      </c>
      <c r="C551" t="s">
        <v>3045</v>
      </c>
      <c r="D551" t="str">
        <f t="shared" si="9"/>
        <v>SEAPA4004</v>
      </c>
      <c r="E551" t="s">
        <v>3009</v>
      </c>
    </row>
    <row r="552" spans="1:5" x14ac:dyDescent="0.25">
      <c r="A552">
        <v>1231</v>
      </c>
      <c r="B552" t="s">
        <v>1748</v>
      </c>
      <c r="C552" t="s">
        <v>813</v>
      </c>
      <c r="D552" t="str">
        <f t="shared" si="9"/>
        <v>SEAPA4006</v>
      </c>
      <c r="E552" t="s">
        <v>3057</v>
      </c>
    </row>
    <row r="553" spans="1:5" x14ac:dyDescent="0.25">
      <c r="A553">
        <v>1231</v>
      </c>
      <c r="B553" t="s">
        <v>1748</v>
      </c>
      <c r="C553" t="s">
        <v>3123</v>
      </c>
      <c r="D553" t="str">
        <f t="shared" si="9"/>
        <v>SEAPA4101</v>
      </c>
      <c r="E553" t="s">
        <v>3218</v>
      </c>
    </row>
    <row r="554" spans="1:5" x14ac:dyDescent="0.25">
      <c r="A554">
        <v>1231</v>
      </c>
      <c r="B554" t="s">
        <v>1748</v>
      </c>
      <c r="C554" t="s">
        <v>328</v>
      </c>
      <c r="D554" t="str">
        <f t="shared" si="9"/>
        <v>SEAPA4707</v>
      </c>
      <c r="E554" t="s">
        <v>3049</v>
      </c>
    </row>
    <row r="555" spans="1:5" x14ac:dyDescent="0.25">
      <c r="A555">
        <v>1231</v>
      </c>
      <c r="B555" t="s">
        <v>1748</v>
      </c>
      <c r="C555" t="s">
        <v>348</v>
      </c>
      <c r="D555" t="str">
        <f t="shared" si="9"/>
        <v>SEAPA4709</v>
      </c>
      <c r="E555" t="s">
        <v>3049</v>
      </c>
    </row>
    <row r="556" spans="1:5" x14ac:dyDescent="0.25">
      <c r="A556">
        <v>1231</v>
      </c>
      <c r="B556" t="s">
        <v>1748</v>
      </c>
      <c r="C556" t="s">
        <v>364</v>
      </c>
      <c r="D556" t="str">
        <f t="shared" si="9"/>
        <v>SEAPA4799</v>
      </c>
      <c r="E556" t="s">
        <v>3049</v>
      </c>
    </row>
    <row r="557" spans="1:5" x14ac:dyDescent="0.25">
      <c r="A557">
        <v>1231</v>
      </c>
      <c r="B557" t="s">
        <v>1748</v>
      </c>
      <c r="C557" t="s">
        <v>3205</v>
      </c>
      <c r="D557" t="str">
        <f t="shared" si="9"/>
        <v>SEAPA4905</v>
      </c>
      <c r="E557" t="s">
        <v>65</v>
      </c>
    </row>
    <row r="558" spans="1:5" x14ac:dyDescent="0.25">
      <c r="A558">
        <v>1231</v>
      </c>
      <c r="B558" t="s">
        <v>1748</v>
      </c>
      <c r="C558" t="s">
        <v>173</v>
      </c>
      <c r="D558" t="str">
        <f t="shared" si="9"/>
        <v>SEAPA5107</v>
      </c>
      <c r="E558" t="s">
        <v>3052</v>
      </c>
    </row>
    <row r="559" spans="1:5" x14ac:dyDescent="0.25">
      <c r="A559">
        <v>1231</v>
      </c>
      <c r="B559" t="s">
        <v>1748</v>
      </c>
      <c r="C559" t="s">
        <v>3054</v>
      </c>
      <c r="D559" t="str">
        <f t="shared" si="9"/>
        <v>SEAPA5204</v>
      </c>
      <c r="E559" t="s">
        <v>3055</v>
      </c>
    </row>
    <row r="560" spans="1:5" x14ac:dyDescent="0.25">
      <c r="A560">
        <v>1231</v>
      </c>
      <c r="B560" t="s">
        <v>1748</v>
      </c>
      <c r="C560" t="s">
        <v>329</v>
      </c>
      <c r="D560" t="str">
        <f t="shared" si="9"/>
        <v>SEAPA5206</v>
      </c>
      <c r="E560" t="s">
        <v>3057</v>
      </c>
    </row>
    <row r="561" spans="1:5" x14ac:dyDescent="0.25">
      <c r="A561">
        <v>1231</v>
      </c>
      <c r="B561" t="s">
        <v>1748</v>
      </c>
      <c r="C561" t="s">
        <v>3058</v>
      </c>
      <c r="D561" t="str">
        <f t="shared" si="9"/>
        <v>SEAPA5207</v>
      </c>
      <c r="E561" t="s">
        <v>3057</v>
      </c>
    </row>
    <row r="562" spans="1:5" x14ac:dyDescent="0.25">
      <c r="A562">
        <v>1231</v>
      </c>
      <c r="B562" t="s">
        <v>1748</v>
      </c>
      <c r="C562" t="s">
        <v>3060</v>
      </c>
      <c r="D562" t="str">
        <f t="shared" si="9"/>
        <v>SEAPA5208</v>
      </c>
      <c r="E562" t="s">
        <v>3057</v>
      </c>
    </row>
    <row r="563" spans="1:5" x14ac:dyDescent="0.25">
      <c r="A563">
        <v>1231</v>
      </c>
      <c r="B563" t="s">
        <v>1748</v>
      </c>
      <c r="C563" t="s">
        <v>359</v>
      </c>
      <c r="D563" t="str">
        <f t="shared" si="9"/>
        <v>SEAPA5209</v>
      </c>
      <c r="E563" t="s">
        <v>3055</v>
      </c>
    </row>
    <row r="564" spans="1:5" x14ac:dyDescent="0.25">
      <c r="A564">
        <v>1231</v>
      </c>
      <c r="B564" t="s">
        <v>1748</v>
      </c>
      <c r="C564" t="s">
        <v>3063</v>
      </c>
      <c r="D564" t="str">
        <f t="shared" si="9"/>
        <v>SEAPA5210</v>
      </c>
      <c r="E564" t="s">
        <v>3055</v>
      </c>
    </row>
    <row r="565" spans="1:5" x14ac:dyDescent="0.25">
      <c r="A565">
        <v>1231</v>
      </c>
      <c r="B565" t="s">
        <v>1748</v>
      </c>
      <c r="C565" t="s">
        <v>3064</v>
      </c>
      <c r="D565" t="str">
        <f t="shared" si="9"/>
        <v>SEAPA5212</v>
      </c>
      <c r="E565" t="s">
        <v>3055</v>
      </c>
    </row>
    <row r="566" spans="1:5" x14ac:dyDescent="0.25">
      <c r="A566">
        <v>1231</v>
      </c>
      <c r="B566" t="s">
        <v>1748</v>
      </c>
      <c r="C566" t="s">
        <v>403</v>
      </c>
      <c r="D566" t="str">
        <f t="shared" si="9"/>
        <v>SEAPA5216</v>
      </c>
      <c r="E566" t="s">
        <v>3055</v>
      </c>
    </row>
    <row r="567" spans="1:5" x14ac:dyDescent="0.25">
      <c r="A567">
        <v>1231</v>
      </c>
      <c r="B567" t="s">
        <v>1748</v>
      </c>
      <c r="C567" t="s">
        <v>409</v>
      </c>
      <c r="D567" t="str">
        <f t="shared" si="9"/>
        <v>SEAPA5217</v>
      </c>
      <c r="E567" t="s">
        <v>3067</v>
      </c>
    </row>
    <row r="568" spans="1:5" x14ac:dyDescent="0.25">
      <c r="A568">
        <v>1231</v>
      </c>
      <c r="B568" t="s">
        <v>1748</v>
      </c>
      <c r="C568" t="s">
        <v>434</v>
      </c>
      <c r="D568" t="str">
        <f t="shared" si="9"/>
        <v>SEAPA5222</v>
      </c>
      <c r="E568" t="s">
        <v>3055</v>
      </c>
    </row>
    <row r="569" spans="1:5" x14ac:dyDescent="0.25">
      <c r="A569">
        <v>1231</v>
      </c>
      <c r="B569" t="s">
        <v>1748</v>
      </c>
      <c r="C569" t="s">
        <v>3070</v>
      </c>
      <c r="D569" t="str">
        <f t="shared" si="9"/>
        <v>SEAPA5226</v>
      </c>
      <c r="E569" t="s">
        <v>3055</v>
      </c>
    </row>
    <row r="570" spans="1:5" x14ac:dyDescent="0.25">
      <c r="A570">
        <v>1231</v>
      </c>
      <c r="B570" t="s">
        <v>1748</v>
      </c>
      <c r="C570" t="s">
        <v>341</v>
      </c>
      <c r="D570" t="str">
        <f t="shared" si="9"/>
        <v>SEAPA6107</v>
      </c>
      <c r="E570" t="s">
        <v>3219</v>
      </c>
    </row>
    <row r="571" spans="1:5" x14ac:dyDescent="0.25">
      <c r="A571">
        <v>1231</v>
      </c>
      <c r="B571" t="s">
        <v>1748</v>
      </c>
      <c r="C571" t="s">
        <v>3220</v>
      </c>
      <c r="D571" t="str">
        <f t="shared" si="9"/>
        <v>SEAPA9201</v>
      </c>
      <c r="E571" t="s">
        <v>3075</v>
      </c>
    </row>
    <row r="572" spans="1:5" x14ac:dyDescent="0.25">
      <c r="A572">
        <v>1231</v>
      </c>
      <c r="B572" t="s">
        <v>1748</v>
      </c>
      <c r="C572" t="s">
        <v>3074</v>
      </c>
      <c r="D572" t="str">
        <f t="shared" si="9"/>
        <v>SEAPA9202</v>
      </c>
      <c r="E572" t="s">
        <v>3075</v>
      </c>
    </row>
    <row r="573" spans="1:5" x14ac:dyDescent="0.25">
      <c r="A573">
        <v>1231</v>
      </c>
      <c r="B573" t="s">
        <v>1748</v>
      </c>
      <c r="C573" t="s">
        <v>331</v>
      </c>
      <c r="D573" t="str">
        <f t="shared" si="9"/>
        <v>SEAPA9306</v>
      </c>
      <c r="E573" t="s">
        <v>3076</v>
      </c>
    </row>
    <row r="574" spans="1:5" x14ac:dyDescent="0.25">
      <c r="A574">
        <v>1231</v>
      </c>
      <c r="B574" t="s">
        <v>1748</v>
      </c>
      <c r="C574" t="s">
        <v>3079</v>
      </c>
      <c r="D574" t="str">
        <f t="shared" si="9"/>
        <v>SEAPA9399</v>
      </c>
      <c r="E574" t="s">
        <v>2968</v>
      </c>
    </row>
    <row r="575" spans="1:5" x14ac:dyDescent="0.25">
      <c r="A575">
        <v>1251</v>
      </c>
      <c r="B575" t="s">
        <v>1746</v>
      </c>
      <c r="C575" t="s">
        <v>3221</v>
      </c>
      <c r="D575" t="str">
        <f t="shared" si="9"/>
        <v>PMMG0899</v>
      </c>
      <c r="E575" t="s">
        <v>2926</v>
      </c>
    </row>
    <row r="576" spans="1:5" x14ac:dyDescent="0.25">
      <c r="A576">
        <v>1251</v>
      </c>
      <c r="B576" t="s">
        <v>1746</v>
      </c>
      <c r="C576" t="s">
        <v>3222</v>
      </c>
      <c r="D576" t="str">
        <f t="shared" si="9"/>
        <v>PMMG1313</v>
      </c>
      <c r="E576" t="s">
        <v>2944</v>
      </c>
    </row>
    <row r="577" spans="1:5" x14ac:dyDescent="0.25">
      <c r="A577">
        <v>1251</v>
      </c>
      <c r="B577" t="s">
        <v>1746</v>
      </c>
      <c r="C577" t="s">
        <v>332</v>
      </c>
      <c r="D577" t="str">
        <f t="shared" si="9"/>
        <v>PMMG1314</v>
      </c>
      <c r="E577" t="s">
        <v>3081</v>
      </c>
    </row>
    <row r="578" spans="1:5" x14ac:dyDescent="0.25">
      <c r="A578">
        <v>1251</v>
      </c>
      <c r="B578" t="s">
        <v>1746</v>
      </c>
      <c r="C578" t="s">
        <v>2942</v>
      </c>
      <c r="D578" t="str">
        <f t="shared" si="9"/>
        <v>PMMG1317</v>
      </c>
      <c r="E578" t="s">
        <v>3081</v>
      </c>
    </row>
    <row r="579" spans="1:5" x14ac:dyDescent="0.25">
      <c r="A579">
        <v>1251</v>
      </c>
      <c r="B579" t="s">
        <v>1746</v>
      </c>
      <c r="C579" t="s">
        <v>2928</v>
      </c>
      <c r="D579" t="str">
        <f t="shared" si="9"/>
        <v>PMMG1401</v>
      </c>
      <c r="E579" t="s">
        <v>44</v>
      </c>
    </row>
    <row r="580" spans="1:5" x14ac:dyDescent="0.25">
      <c r="A580">
        <v>1251</v>
      </c>
      <c r="B580" t="s">
        <v>1746</v>
      </c>
      <c r="C580" t="s">
        <v>2930</v>
      </c>
      <c r="D580" t="str">
        <f t="shared" ref="D580:D643" si="10">CONCATENATE(B580,LEFT(C580,4))</f>
        <v>PMMG1501</v>
      </c>
      <c r="E580" t="s">
        <v>44</v>
      </c>
    </row>
    <row r="581" spans="1:5" x14ac:dyDescent="0.25">
      <c r="A581">
        <v>1251</v>
      </c>
      <c r="B581" t="s">
        <v>1746</v>
      </c>
      <c r="C581" t="s">
        <v>3223</v>
      </c>
      <c r="D581" t="str">
        <f t="shared" si="10"/>
        <v>PMMG1502</v>
      </c>
      <c r="E581" t="s">
        <v>44</v>
      </c>
    </row>
    <row r="582" spans="1:5" x14ac:dyDescent="0.25">
      <c r="A582">
        <v>1251</v>
      </c>
      <c r="B582" t="s">
        <v>1746</v>
      </c>
      <c r="C582" t="s">
        <v>2932</v>
      </c>
      <c r="D582" t="str">
        <f t="shared" si="10"/>
        <v>PMMG3001</v>
      </c>
      <c r="E582" t="s">
        <v>2933</v>
      </c>
    </row>
    <row r="583" spans="1:5" x14ac:dyDescent="0.25">
      <c r="A583">
        <v>1251</v>
      </c>
      <c r="B583" t="s">
        <v>1746</v>
      </c>
      <c r="C583" t="s">
        <v>256</v>
      </c>
      <c r="D583" t="str">
        <f t="shared" si="10"/>
        <v>PMMG3002</v>
      </c>
      <c r="E583" t="s">
        <v>2933</v>
      </c>
    </row>
    <row r="584" spans="1:5" x14ac:dyDescent="0.25">
      <c r="A584">
        <v>1251</v>
      </c>
      <c r="B584" t="s">
        <v>1746</v>
      </c>
      <c r="C584" t="s">
        <v>979</v>
      </c>
      <c r="D584" t="str">
        <f t="shared" si="10"/>
        <v>PMMG3003</v>
      </c>
      <c r="E584" t="s">
        <v>2933</v>
      </c>
    </row>
    <row r="585" spans="1:5" x14ac:dyDescent="0.25">
      <c r="A585">
        <v>1251</v>
      </c>
      <c r="B585" t="s">
        <v>1746</v>
      </c>
      <c r="C585" t="s">
        <v>2937</v>
      </c>
      <c r="D585" t="str">
        <f t="shared" si="10"/>
        <v>PMMG3004</v>
      </c>
      <c r="E585" t="s">
        <v>2933</v>
      </c>
    </row>
    <row r="586" spans="1:5" x14ac:dyDescent="0.25">
      <c r="A586">
        <v>1251</v>
      </c>
      <c r="B586" t="s">
        <v>1746</v>
      </c>
      <c r="C586" t="s">
        <v>2939</v>
      </c>
      <c r="D586" t="str">
        <f t="shared" si="10"/>
        <v>PMMG3005</v>
      </c>
      <c r="E586" t="s">
        <v>2933</v>
      </c>
    </row>
    <row r="587" spans="1:5" x14ac:dyDescent="0.25">
      <c r="A587">
        <v>1251</v>
      </c>
      <c r="B587" t="s">
        <v>1746</v>
      </c>
      <c r="C587" t="s">
        <v>323</v>
      </c>
      <c r="D587" t="str">
        <f t="shared" si="10"/>
        <v>PMMG3006</v>
      </c>
      <c r="E587" t="s">
        <v>2933</v>
      </c>
    </row>
    <row r="588" spans="1:5" x14ac:dyDescent="0.25">
      <c r="A588">
        <v>1251</v>
      </c>
      <c r="B588" t="s">
        <v>1746</v>
      </c>
      <c r="C588" t="s">
        <v>333</v>
      </c>
      <c r="D588" t="str">
        <f t="shared" si="10"/>
        <v>PMMG3007</v>
      </c>
      <c r="E588" t="s">
        <v>2933</v>
      </c>
    </row>
    <row r="589" spans="1:5" x14ac:dyDescent="0.25">
      <c r="A589">
        <v>1251</v>
      </c>
      <c r="B589" t="s">
        <v>1746</v>
      </c>
      <c r="C589" t="s">
        <v>2941</v>
      </c>
      <c r="D589" t="str">
        <f t="shared" si="10"/>
        <v>PMMG3008</v>
      </c>
      <c r="E589" t="s">
        <v>2933</v>
      </c>
    </row>
    <row r="590" spans="1:5" x14ac:dyDescent="0.25">
      <c r="A590">
        <v>1251</v>
      </c>
      <c r="B590" t="s">
        <v>1746</v>
      </c>
      <c r="C590" t="s">
        <v>354</v>
      </c>
      <c r="D590" t="str">
        <f t="shared" si="10"/>
        <v>PMMG3009</v>
      </c>
      <c r="E590" t="s">
        <v>2933</v>
      </c>
    </row>
    <row r="591" spans="1:5" x14ac:dyDescent="0.25">
      <c r="A591">
        <v>1251</v>
      </c>
      <c r="B591" t="s">
        <v>1746</v>
      </c>
      <c r="C591" t="s">
        <v>2943</v>
      </c>
      <c r="D591" t="str">
        <f t="shared" si="10"/>
        <v>PMMG3010</v>
      </c>
      <c r="E591" t="s">
        <v>2944</v>
      </c>
    </row>
    <row r="592" spans="1:5" x14ac:dyDescent="0.25">
      <c r="A592">
        <v>1251</v>
      </c>
      <c r="B592" t="s">
        <v>1746</v>
      </c>
      <c r="C592" t="s">
        <v>369</v>
      </c>
      <c r="D592" t="str">
        <f t="shared" si="10"/>
        <v>PMMG3011</v>
      </c>
      <c r="E592" t="s">
        <v>2933</v>
      </c>
    </row>
    <row r="593" spans="1:5" x14ac:dyDescent="0.25">
      <c r="A593">
        <v>1251</v>
      </c>
      <c r="B593" t="s">
        <v>1746</v>
      </c>
      <c r="C593" t="s">
        <v>138</v>
      </c>
      <c r="D593" t="str">
        <f t="shared" si="10"/>
        <v>PMMG3012</v>
      </c>
      <c r="E593" t="s">
        <v>2944</v>
      </c>
    </row>
    <row r="594" spans="1:5" x14ac:dyDescent="0.25">
      <c r="A594">
        <v>1251</v>
      </c>
      <c r="B594" t="s">
        <v>1746</v>
      </c>
      <c r="C594" t="s">
        <v>2946</v>
      </c>
      <c r="D594" t="str">
        <f t="shared" si="10"/>
        <v>PMMG3013</v>
      </c>
      <c r="E594" t="s">
        <v>2933</v>
      </c>
    </row>
    <row r="595" spans="1:5" x14ac:dyDescent="0.25">
      <c r="A595">
        <v>1251</v>
      </c>
      <c r="B595" t="s">
        <v>1746</v>
      </c>
      <c r="C595" t="s">
        <v>388</v>
      </c>
      <c r="D595" t="str">
        <f t="shared" si="10"/>
        <v>PMMG3014</v>
      </c>
      <c r="E595" t="s">
        <v>2933</v>
      </c>
    </row>
    <row r="596" spans="1:5" x14ac:dyDescent="0.25">
      <c r="A596">
        <v>1251</v>
      </c>
      <c r="B596" t="s">
        <v>1746</v>
      </c>
      <c r="C596" t="s">
        <v>2948</v>
      </c>
      <c r="D596" t="str">
        <f t="shared" si="10"/>
        <v>PMMG3015</v>
      </c>
      <c r="E596" t="s">
        <v>2933</v>
      </c>
    </row>
    <row r="597" spans="1:5" x14ac:dyDescent="0.25">
      <c r="A597">
        <v>1251</v>
      </c>
      <c r="B597" t="s">
        <v>1746</v>
      </c>
      <c r="C597" t="s">
        <v>2950</v>
      </c>
      <c r="D597" t="str">
        <f t="shared" si="10"/>
        <v>PMMG3016</v>
      </c>
      <c r="E597" t="s">
        <v>2933</v>
      </c>
    </row>
    <row r="598" spans="1:5" x14ac:dyDescent="0.25">
      <c r="A598">
        <v>1251</v>
      </c>
      <c r="B598" t="s">
        <v>1746</v>
      </c>
      <c r="C598" t="s">
        <v>406</v>
      </c>
      <c r="D598" t="str">
        <f t="shared" si="10"/>
        <v>PMMG3017</v>
      </c>
      <c r="E598" t="s">
        <v>2933</v>
      </c>
    </row>
    <row r="599" spans="1:5" x14ac:dyDescent="0.25">
      <c r="A599">
        <v>1251</v>
      </c>
      <c r="B599" t="s">
        <v>1746</v>
      </c>
      <c r="C599" t="s">
        <v>411</v>
      </c>
      <c r="D599" t="str">
        <f t="shared" si="10"/>
        <v>PMMG3018</v>
      </c>
      <c r="E599" t="s">
        <v>2933</v>
      </c>
    </row>
    <row r="600" spans="1:5" x14ac:dyDescent="0.25">
      <c r="A600">
        <v>1251</v>
      </c>
      <c r="B600" t="s">
        <v>1746</v>
      </c>
      <c r="C600" t="s">
        <v>2953</v>
      </c>
      <c r="D600" t="str">
        <f t="shared" si="10"/>
        <v>PMMG3019</v>
      </c>
      <c r="E600" t="s">
        <v>2954</v>
      </c>
    </row>
    <row r="601" spans="1:5" x14ac:dyDescent="0.25">
      <c r="A601">
        <v>1251</v>
      </c>
      <c r="B601" t="s">
        <v>1746</v>
      </c>
      <c r="C601" t="s">
        <v>2955</v>
      </c>
      <c r="D601" t="str">
        <f t="shared" si="10"/>
        <v>PMMG3020</v>
      </c>
      <c r="E601" t="s">
        <v>2933</v>
      </c>
    </row>
    <row r="602" spans="1:5" x14ac:dyDescent="0.25">
      <c r="A602">
        <v>1251</v>
      </c>
      <c r="B602" t="s">
        <v>1746</v>
      </c>
      <c r="C602" t="s">
        <v>2956</v>
      </c>
      <c r="D602" t="str">
        <f t="shared" si="10"/>
        <v>PMMG3021</v>
      </c>
      <c r="E602" t="s">
        <v>2933</v>
      </c>
    </row>
    <row r="603" spans="1:5" x14ac:dyDescent="0.25">
      <c r="A603">
        <v>1251</v>
      </c>
      <c r="B603" t="s">
        <v>1746</v>
      </c>
      <c r="C603" t="s">
        <v>431</v>
      </c>
      <c r="D603" t="str">
        <f t="shared" si="10"/>
        <v>PMMG3022</v>
      </c>
      <c r="E603" t="s">
        <v>2933</v>
      </c>
    </row>
    <row r="604" spans="1:5" x14ac:dyDescent="0.25">
      <c r="A604">
        <v>1251</v>
      </c>
      <c r="B604" t="s">
        <v>1746</v>
      </c>
      <c r="C604" t="s">
        <v>2957</v>
      </c>
      <c r="D604" t="str">
        <f t="shared" si="10"/>
        <v>PMMG3023</v>
      </c>
      <c r="E604" t="s">
        <v>2958</v>
      </c>
    </row>
    <row r="605" spans="1:5" x14ac:dyDescent="0.25">
      <c r="A605">
        <v>1251</v>
      </c>
      <c r="B605" t="s">
        <v>1746</v>
      </c>
      <c r="C605" t="s">
        <v>441</v>
      </c>
      <c r="D605" t="str">
        <f t="shared" si="10"/>
        <v>PMMG3024</v>
      </c>
      <c r="E605" t="s">
        <v>2933</v>
      </c>
    </row>
    <row r="606" spans="1:5" x14ac:dyDescent="0.25">
      <c r="A606">
        <v>1251</v>
      </c>
      <c r="B606" t="s">
        <v>1746</v>
      </c>
      <c r="C606" t="s">
        <v>2959</v>
      </c>
      <c r="D606" t="str">
        <f t="shared" si="10"/>
        <v>PMMG3025</v>
      </c>
      <c r="E606" t="s">
        <v>2933</v>
      </c>
    </row>
    <row r="607" spans="1:5" x14ac:dyDescent="0.25">
      <c r="A607">
        <v>1251</v>
      </c>
      <c r="B607" t="s">
        <v>1746</v>
      </c>
      <c r="C607" t="s">
        <v>2960</v>
      </c>
      <c r="D607" t="str">
        <f t="shared" si="10"/>
        <v>PMMG3026</v>
      </c>
      <c r="E607" t="s">
        <v>2958</v>
      </c>
    </row>
    <row r="608" spans="1:5" x14ac:dyDescent="0.25">
      <c r="A608">
        <v>1251</v>
      </c>
      <c r="B608" t="s">
        <v>1746</v>
      </c>
      <c r="C608" t="s">
        <v>2961</v>
      </c>
      <c r="D608" t="str">
        <f t="shared" si="10"/>
        <v>PMMG3027</v>
      </c>
      <c r="E608" t="s">
        <v>2933</v>
      </c>
    </row>
    <row r="609" spans="1:5" x14ac:dyDescent="0.25">
      <c r="A609">
        <v>1251</v>
      </c>
      <c r="B609" t="s">
        <v>1746</v>
      </c>
      <c r="C609" t="s">
        <v>2984</v>
      </c>
      <c r="D609" t="str">
        <f t="shared" si="10"/>
        <v>PMMG3029</v>
      </c>
      <c r="E609" t="s">
        <v>2933</v>
      </c>
    </row>
    <row r="610" spans="1:5" x14ac:dyDescent="0.25">
      <c r="A610">
        <v>1251</v>
      </c>
      <c r="B610" t="s">
        <v>1746</v>
      </c>
      <c r="C610" t="s">
        <v>467</v>
      </c>
      <c r="D610" t="str">
        <f t="shared" si="10"/>
        <v>PMMG3030</v>
      </c>
      <c r="E610" t="s">
        <v>2933</v>
      </c>
    </row>
    <row r="611" spans="1:5" x14ac:dyDescent="0.25">
      <c r="A611">
        <v>1251</v>
      </c>
      <c r="B611" t="s">
        <v>1746</v>
      </c>
      <c r="C611" t="s">
        <v>470</v>
      </c>
      <c r="D611" t="str">
        <f t="shared" si="10"/>
        <v>PMMG3031</v>
      </c>
      <c r="E611" t="s">
        <v>2933</v>
      </c>
    </row>
    <row r="612" spans="1:5" x14ac:dyDescent="0.25">
      <c r="A612">
        <v>1251</v>
      </c>
      <c r="B612" t="s">
        <v>1746</v>
      </c>
      <c r="C612" t="s">
        <v>2963</v>
      </c>
      <c r="D612" t="str">
        <f t="shared" si="10"/>
        <v>PMMG3032</v>
      </c>
      <c r="E612" t="s">
        <v>2933</v>
      </c>
    </row>
    <row r="613" spans="1:5" x14ac:dyDescent="0.25">
      <c r="A613">
        <v>1251</v>
      </c>
      <c r="B613" t="s">
        <v>1746</v>
      </c>
      <c r="C613" t="s">
        <v>2964</v>
      </c>
      <c r="D613" t="str">
        <f t="shared" si="10"/>
        <v>PMMG3033</v>
      </c>
      <c r="E613" t="s">
        <v>2965</v>
      </c>
    </row>
    <row r="614" spans="1:5" x14ac:dyDescent="0.25">
      <c r="A614">
        <v>1251</v>
      </c>
      <c r="B614" t="s">
        <v>1746</v>
      </c>
      <c r="C614" t="s">
        <v>477</v>
      </c>
      <c r="D614" t="str">
        <f t="shared" si="10"/>
        <v>PMMG3034</v>
      </c>
      <c r="E614" t="s">
        <v>2965</v>
      </c>
    </row>
    <row r="615" spans="1:5" x14ac:dyDescent="0.25">
      <c r="A615">
        <v>1251</v>
      </c>
      <c r="B615" t="s">
        <v>1746</v>
      </c>
      <c r="C615" t="s">
        <v>487</v>
      </c>
      <c r="D615" t="str">
        <f t="shared" si="10"/>
        <v>PMMG3040</v>
      </c>
      <c r="E615" t="s">
        <v>2933</v>
      </c>
    </row>
    <row r="616" spans="1:5" x14ac:dyDescent="0.25">
      <c r="A616">
        <v>1251</v>
      </c>
      <c r="B616" t="s">
        <v>1746</v>
      </c>
      <c r="C616" t="s">
        <v>2993</v>
      </c>
      <c r="D616" t="str">
        <f t="shared" si="10"/>
        <v>PMMG3041</v>
      </c>
      <c r="E616" t="s">
        <v>2968</v>
      </c>
    </row>
    <row r="617" spans="1:5" x14ac:dyDescent="0.25">
      <c r="A617">
        <v>1251</v>
      </c>
      <c r="B617" t="s">
        <v>1746</v>
      </c>
      <c r="C617" t="s">
        <v>491</v>
      </c>
      <c r="D617" t="str">
        <f t="shared" si="10"/>
        <v>PMMG3099</v>
      </c>
      <c r="E617" t="s">
        <v>2933</v>
      </c>
    </row>
    <row r="618" spans="1:5" x14ac:dyDescent="0.25">
      <c r="A618">
        <v>1251</v>
      </c>
      <c r="B618" t="s">
        <v>1746</v>
      </c>
      <c r="C618" t="s">
        <v>2967</v>
      </c>
      <c r="D618" t="str">
        <f t="shared" si="10"/>
        <v>PMMG3101</v>
      </c>
      <c r="E618" t="s">
        <v>2968</v>
      </c>
    </row>
    <row r="619" spans="1:5" x14ac:dyDescent="0.25">
      <c r="A619">
        <v>1251</v>
      </c>
      <c r="B619" t="s">
        <v>1746</v>
      </c>
      <c r="C619" t="s">
        <v>227</v>
      </c>
      <c r="D619" t="str">
        <f t="shared" si="10"/>
        <v>PMMG3201</v>
      </c>
      <c r="E619" t="s">
        <v>2968</v>
      </c>
    </row>
    <row r="620" spans="1:5" x14ac:dyDescent="0.25">
      <c r="A620">
        <v>1251</v>
      </c>
      <c r="B620" t="s">
        <v>1746</v>
      </c>
      <c r="C620" t="s">
        <v>54</v>
      </c>
      <c r="D620" t="str">
        <f t="shared" si="10"/>
        <v>PMMG3301</v>
      </c>
      <c r="E620" t="s">
        <v>44</v>
      </c>
    </row>
    <row r="621" spans="1:5" x14ac:dyDescent="0.25">
      <c r="A621">
        <v>1251</v>
      </c>
      <c r="B621" t="s">
        <v>1746</v>
      </c>
      <c r="C621" t="s">
        <v>2975</v>
      </c>
      <c r="D621" t="str">
        <f t="shared" si="10"/>
        <v>PMMG3302</v>
      </c>
      <c r="E621" t="s">
        <v>44</v>
      </c>
    </row>
    <row r="622" spans="1:5" x14ac:dyDescent="0.25">
      <c r="A622">
        <v>1251</v>
      </c>
      <c r="B622" t="s">
        <v>1746</v>
      </c>
      <c r="C622" t="s">
        <v>3200</v>
      </c>
      <c r="D622" t="str">
        <f t="shared" si="10"/>
        <v>PMMG3303</v>
      </c>
      <c r="E622" t="s">
        <v>2968</v>
      </c>
    </row>
    <row r="623" spans="1:5" x14ac:dyDescent="0.25">
      <c r="A623">
        <v>1251</v>
      </c>
      <c r="B623" t="s">
        <v>1746</v>
      </c>
      <c r="C623" t="s">
        <v>2977</v>
      </c>
      <c r="D623" t="str">
        <f t="shared" si="10"/>
        <v>PMMG3304</v>
      </c>
      <c r="E623" t="s">
        <v>44</v>
      </c>
    </row>
    <row r="624" spans="1:5" x14ac:dyDescent="0.25">
      <c r="A624">
        <v>1251</v>
      </c>
      <c r="B624" t="s">
        <v>1746</v>
      </c>
      <c r="C624" t="s">
        <v>309</v>
      </c>
      <c r="D624" t="str">
        <f t="shared" si="10"/>
        <v>PMMG3305</v>
      </c>
      <c r="E624" t="s">
        <v>2968</v>
      </c>
    </row>
    <row r="625" spans="1:5" x14ac:dyDescent="0.25">
      <c r="A625">
        <v>1251</v>
      </c>
      <c r="B625" t="s">
        <v>1746</v>
      </c>
      <c r="C625" t="s">
        <v>3201</v>
      </c>
      <c r="D625" t="str">
        <f t="shared" si="10"/>
        <v>PMMG3502</v>
      </c>
      <c r="E625" t="s">
        <v>2968</v>
      </c>
    </row>
    <row r="626" spans="1:5" x14ac:dyDescent="0.25">
      <c r="A626">
        <v>1251</v>
      </c>
      <c r="B626" t="s">
        <v>1746</v>
      </c>
      <c r="C626" t="s">
        <v>3012</v>
      </c>
      <c r="D626" t="str">
        <f t="shared" si="10"/>
        <v>PMMG3601</v>
      </c>
      <c r="E626" t="s">
        <v>65</v>
      </c>
    </row>
    <row r="627" spans="1:5" x14ac:dyDescent="0.25">
      <c r="A627">
        <v>1251</v>
      </c>
      <c r="B627" t="s">
        <v>1746</v>
      </c>
      <c r="C627" t="s">
        <v>261</v>
      </c>
      <c r="D627" t="str">
        <f t="shared" si="10"/>
        <v>PMMG3602</v>
      </c>
      <c r="E627" t="s">
        <v>2944</v>
      </c>
    </row>
    <row r="628" spans="1:5" x14ac:dyDescent="0.25">
      <c r="A628">
        <v>1251</v>
      </c>
      <c r="B628" t="s">
        <v>1746</v>
      </c>
      <c r="C628" t="s">
        <v>297</v>
      </c>
      <c r="D628" t="str">
        <f t="shared" si="10"/>
        <v>PMMG3604</v>
      </c>
      <c r="E628" t="s">
        <v>44</v>
      </c>
    </row>
    <row r="629" spans="1:5" x14ac:dyDescent="0.25">
      <c r="A629">
        <v>1251</v>
      </c>
      <c r="B629" t="s">
        <v>1746</v>
      </c>
      <c r="C629" t="s">
        <v>355</v>
      </c>
      <c r="D629" t="str">
        <f t="shared" si="10"/>
        <v>PMMG3610</v>
      </c>
      <c r="E629" t="s">
        <v>2968</v>
      </c>
    </row>
    <row r="630" spans="1:5" x14ac:dyDescent="0.25">
      <c r="A630">
        <v>1251</v>
      </c>
      <c r="B630" t="s">
        <v>1746</v>
      </c>
      <c r="C630" t="s">
        <v>3021</v>
      </c>
      <c r="D630" t="str">
        <f t="shared" si="10"/>
        <v>PMMG3611</v>
      </c>
      <c r="E630" t="s">
        <v>3107</v>
      </c>
    </row>
    <row r="631" spans="1:5" x14ac:dyDescent="0.25">
      <c r="A631">
        <v>1251</v>
      </c>
      <c r="B631" t="s">
        <v>1746</v>
      </c>
      <c r="C631" t="s">
        <v>2979</v>
      </c>
      <c r="D631" t="str">
        <f t="shared" si="10"/>
        <v>PMMG3612</v>
      </c>
      <c r="E631" t="s">
        <v>2968</v>
      </c>
    </row>
    <row r="632" spans="1:5" x14ac:dyDescent="0.25">
      <c r="A632">
        <v>1251</v>
      </c>
      <c r="B632" t="s">
        <v>1746</v>
      </c>
      <c r="C632" t="s">
        <v>383</v>
      </c>
      <c r="D632" t="str">
        <f t="shared" si="10"/>
        <v>PMMG3614</v>
      </c>
      <c r="E632" t="s">
        <v>2968</v>
      </c>
    </row>
    <row r="633" spans="1:5" x14ac:dyDescent="0.25">
      <c r="A633">
        <v>1251</v>
      </c>
      <c r="B633" t="s">
        <v>1746</v>
      </c>
      <c r="C633" t="s">
        <v>407</v>
      </c>
      <c r="D633" t="str">
        <f t="shared" si="10"/>
        <v>PMMG3618</v>
      </c>
      <c r="E633" t="s">
        <v>2954</v>
      </c>
    </row>
    <row r="634" spans="1:5" x14ac:dyDescent="0.25">
      <c r="A634">
        <v>1251</v>
      </c>
      <c r="B634" t="s">
        <v>1746</v>
      </c>
      <c r="C634" t="s">
        <v>471</v>
      </c>
      <c r="D634" t="str">
        <f t="shared" si="10"/>
        <v>PMMG3699</v>
      </c>
      <c r="E634" t="s">
        <v>2968</v>
      </c>
    </row>
    <row r="635" spans="1:5" x14ac:dyDescent="0.25">
      <c r="A635">
        <v>1251</v>
      </c>
      <c r="B635" t="s">
        <v>1746</v>
      </c>
      <c r="C635" t="s">
        <v>2980</v>
      </c>
      <c r="D635" t="str">
        <f t="shared" si="10"/>
        <v>PMMG3701</v>
      </c>
      <c r="E635" t="s">
        <v>2981</v>
      </c>
    </row>
    <row r="636" spans="1:5" x14ac:dyDescent="0.25">
      <c r="A636">
        <v>1251</v>
      </c>
      <c r="B636" t="s">
        <v>1746</v>
      </c>
      <c r="C636" t="s">
        <v>3050</v>
      </c>
      <c r="D636" t="str">
        <f t="shared" si="10"/>
        <v>PMMG3702</v>
      </c>
      <c r="E636" t="s">
        <v>2981</v>
      </c>
    </row>
    <row r="637" spans="1:5" x14ac:dyDescent="0.25">
      <c r="A637">
        <v>1251</v>
      </c>
      <c r="B637" t="s">
        <v>1746</v>
      </c>
      <c r="C637" t="s">
        <v>2983</v>
      </c>
      <c r="D637" t="str">
        <f t="shared" si="10"/>
        <v>PMMG3703</v>
      </c>
      <c r="E637" t="s">
        <v>117</v>
      </c>
    </row>
    <row r="638" spans="1:5" x14ac:dyDescent="0.25">
      <c r="A638">
        <v>1251</v>
      </c>
      <c r="B638" t="s">
        <v>1746</v>
      </c>
      <c r="C638" t="s">
        <v>2985</v>
      </c>
      <c r="D638" t="str">
        <f t="shared" si="10"/>
        <v>PMMG3704</v>
      </c>
      <c r="E638" t="s">
        <v>117</v>
      </c>
    </row>
    <row r="639" spans="1:5" x14ac:dyDescent="0.25">
      <c r="A639">
        <v>1251</v>
      </c>
      <c r="B639" t="s">
        <v>1746</v>
      </c>
      <c r="C639" t="s">
        <v>2986</v>
      </c>
      <c r="D639" t="str">
        <f t="shared" si="10"/>
        <v>PMMG3705</v>
      </c>
      <c r="E639" t="s">
        <v>117</v>
      </c>
    </row>
    <row r="640" spans="1:5" x14ac:dyDescent="0.25">
      <c r="A640">
        <v>1251</v>
      </c>
      <c r="B640" t="s">
        <v>1746</v>
      </c>
      <c r="C640" t="s">
        <v>2988</v>
      </c>
      <c r="D640" t="str">
        <f t="shared" si="10"/>
        <v>PMMG3903</v>
      </c>
      <c r="E640" t="s">
        <v>87</v>
      </c>
    </row>
    <row r="641" spans="1:5" x14ac:dyDescent="0.25">
      <c r="A641">
        <v>1251</v>
      </c>
      <c r="B641" t="s">
        <v>1746</v>
      </c>
      <c r="C641" t="s">
        <v>299</v>
      </c>
      <c r="D641" t="str">
        <f t="shared" si="10"/>
        <v>PMMG3904</v>
      </c>
      <c r="E641" t="s">
        <v>2968</v>
      </c>
    </row>
    <row r="642" spans="1:5" x14ac:dyDescent="0.25">
      <c r="A642">
        <v>1251</v>
      </c>
      <c r="B642" t="s">
        <v>1746</v>
      </c>
      <c r="C642" t="s">
        <v>326</v>
      </c>
      <c r="D642" t="str">
        <f t="shared" si="10"/>
        <v>PMMG3906</v>
      </c>
      <c r="E642" t="s">
        <v>2968</v>
      </c>
    </row>
    <row r="643" spans="1:5" x14ac:dyDescent="0.25">
      <c r="A643">
        <v>1251</v>
      </c>
      <c r="B643" t="s">
        <v>1746</v>
      </c>
      <c r="C643" t="s">
        <v>2989</v>
      </c>
      <c r="D643" t="str">
        <f t="shared" si="10"/>
        <v>PMMG3908</v>
      </c>
      <c r="E643" t="s">
        <v>2968</v>
      </c>
    </row>
    <row r="644" spans="1:5" x14ac:dyDescent="0.25">
      <c r="A644">
        <v>1251</v>
      </c>
      <c r="B644" t="s">
        <v>1746</v>
      </c>
      <c r="C644" t="s">
        <v>336</v>
      </c>
      <c r="D644" t="str">
        <f t="shared" ref="D644:D707" si="11">CONCATENATE(B644,LEFT(C644,4))</f>
        <v>PMMG3909</v>
      </c>
      <c r="E644" t="s">
        <v>2968</v>
      </c>
    </row>
    <row r="645" spans="1:5" x14ac:dyDescent="0.25">
      <c r="A645">
        <v>1251</v>
      </c>
      <c r="B645" t="s">
        <v>1746</v>
      </c>
      <c r="C645" t="s">
        <v>346</v>
      </c>
      <c r="D645" t="str">
        <f t="shared" si="11"/>
        <v>PMMG3910</v>
      </c>
      <c r="E645" t="s">
        <v>2968</v>
      </c>
    </row>
    <row r="646" spans="1:5" x14ac:dyDescent="0.25">
      <c r="A646">
        <v>1251</v>
      </c>
      <c r="B646" t="s">
        <v>1746</v>
      </c>
      <c r="C646" t="s">
        <v>356</v>
      </c>
      <c r="D646" t="str">
        <f t="shared" si="11"/>
        <v>PMMG3911</v>
      </c>
      <c r="E646" t="s">
        <v>2968</v>
      </c>
    </row>
    <row r="647" spans="1:5" x14ac:dyDescent="0.25">
      <c r="A647">
        <v>1251</v>
      </c>
      <c r="B647" t="s">
        <v>1746</v>
      </c>
      <c r="C647" t="s">
        <v>2991</v>
      </c>
      <c r="D647" t="str">
        <f t="shared" si="11"/>
        <v>PMMG3912</v>
      </c>
      <c r="E647" t="s">
        <v>2992</v>
      </c>
    </row>
    <row r="648" spans="1:5" x14ac:dyDescent="0.25">
      <c r="A648">
        <v>1251</v>
      </c>
      <c r="B648" t="s">
        <v>1746</v>
      </c>
      <c r="C648" t="s">
        <v>2994</v>
      </c>
      <c r="D648" t="str">
        <f t="shared" si="11"/>
        <v>PMMG3913</v>
      </c>
      <c r="E648" t="s">
        <v>2992</v>
      </c>
    </row>
    <row r="649" spans="1:5" x14ac:dyDescent="0.25">
      <c r="A649">
        <v>1251</v>
      </c>
      <c r="B649" t="s">
        <v>1746</v>
      </c>
      <c r="C649" t="s">
        <v>377</v>
      </c>
      <c r="D649" t="str">
        <f t="shared" si="11"/>
        <v>PMMG3914</v>
      </c>
      <c r="E649" t="s">
        <v>3009</v>
      </c>
    </row>
    <row r="650" spans="1:5" x14ac:dyDescent="0.25">
      <c r="A650">
        <v>1251</v>
      </c>
      <c r="B650" t="s">
        <v>1746</v>
      </c>
      <c r="C650" t="s">
        <v>384</v>
      </c>
      <c r="D650" t="str">
        <f t="shared" si="11"/>
        <v>PMMG3915</v>
      </c>
      <c r="E650" t="s">
        <v>2992</v>
      </c>
    </row>
    <row r="651" spans="1:5" x14ac:dyDescent="0.25">
      <c r="A651">
        <v>1251</v>
      </c>
      <c r="B651" t="s">
        <v>1746</v>
      </c>
      <c r="C651" t="s">
        <v>390</v>
      </c>
      <c r="D651" t="str">
        <f t="shared" si="11"/>
        <v>PMMG3916</v>
      </c>
      <c r="E651" t="s">
        <v>2968</v>
      </c>
    </row>
    <row r="652" spans="1:5" x14ac:dyDescent="0.25">
      <c r="A652">
        <v>1251</v>
      </c>
      <c r="B652" t="s">
        <v>1746</v>
      </c>
      <c r="C652" t="s">
        <v>2996</v>
      </c>
      <c r="D652" t="str">
        <f t="shared" si="11"/>
        <v>PMMG3917</v>
      </c>
      <c r="E652" t="s">
        <v>2958</v>
      </c>
    </row>
    <row r="653" spans="1:5" x14ac:dyDescent="0.25">
      <c r="A653">
        <v>1251</v>
      </c>
      <c r="B653" t="s">
        <v>1746</v>
      </c>
      <c r="C653" t="s">
        <v>2998</v>
      </c>
      <c r="D653" t="str">
        <f t="shared" si="11"/>
        <v>PMMG3918</v>
      </c>
      <c r="E653" t="s">
        <v>2958</v>
      </c>
    </row>
    <row r="654" spans="1:5" x14ac:dyDescent="0.25">
      <c r="A654">
        <v>1251</v>
      </c>
      <c r="B654" t="s">
        <v>1746</v>
      </c>
      <c r="C654" t="s">
        <v>3000</v>
      </c>
      <c r="D654" t="str">
        <f t="shared" si="11"/>
        <v>PMMG3919</v>
      </c>
      <c r="E654" t="s">
        <v>3001</v>
      </c>
    </row>
    <row r="655" spans="1:5" x14ac:dyDescent="0.25">
      <c r="A655">
        <v>1251</v>
      </c>
      <c r="B655" t="s">
        <v>1746</v>
      </c>
      <c r="C655" t="s">
        <v>3077</v>
      </c>
      <c r="D655" t="str">
        <f t="shared" si="11"/>
        <v>PMMG3920</v>
      </c>
      <c r="E655" t="s">
        <v>3107</v>
      </c>
    </row>
    <row r="656" spans="1:5" x14ac:dyDescent="0.25">
      <c r="A656">
        <v>1251</v>
      </c>
      <c r="B656" t="s">
        <v>1746</v>
      </c>
      <c r="C656" t="s">
        <v>3002</v>
      </c>
      <c r="D656" t="str">
        <f t="shared" si="11"/>
        <v>PMMG3921</v>
      </c>
      <c r="E656" t="s">
        <v>3001</v>
      </c>
    </row>
    <row r="657" spans="1:5" x14ac:dyDescent="0.25">
      <c r="A657">
        <v>1251</v>
      </c>
      <c r="B657" t="s">
        <v>1746</v>
      </c>
      <c r="C657" t="s">
        <v>3003</v>
      </c>
      <c r="D657" t="str">
        <f t="shared" si="11"/>
        <v>PMMG3922</v>
      </c>
      <c r="E657" t="s">
        <v>2954</v>
      </c>
    </row>
    <row r="658" spans="1:5" x14ac:dyDescent="0.25">
      <c r="A658">
        <v>1251</v>
      </c>
      <c r="B658" t="s">
        <v>1746</v>
      </c>
      <c r="C658" t="s">
        <v>428</v>
      </c>
      <c r="D658" t="str">
        <f t="shared" si="11"/>
        <v>PMMG3923</v>
      </c>
      <c r="E658" t="s">
        <v>2968</v>
      </c>
    </row>
    <row r="659" spans="1:5" x14ac:dyDescent="0.25">
      <c r="A659">
        <v>1251</v>
      </c>
      <c r="B659" t="s">
        <v>1746</v>
      </c>
      <c r="C659" t="s">
        <v>566</v>
      </c>
      <c r="D659" t="str">
        <f t="shared" si="11"/>
        <v>PMMG3924</v>
      </c>
      <c r="E659" t="s">
        <v>3004</v>
      </c>
    </row>
    <row r="660" spans="1:5" x14ac:dyDescent="0.25">
      <c r="A660">
        <v>1251</v>
      </c>
      <c r="B660" t="s">
        <v>1746</v>
      </c>
      <c r="C660" t="s">
        <v>438</v>
      </c>
      <c r="D660" t="str">
        <f t="shared" si="11"/>
        <v>PMMG3925</v>
      </c>
      <c r="E660" t="s">
        <v>3006</v>
      </c>
    </row>
    <row r="661" spans="1:5" x14ac:dyDescent="0.25">
      <c r="A661">
        <v>1251</v>
      </c>
      <c r="B661" t="s">
        <v>1746</v>
      </c>
      <c r="C661" t="s">
        <v>443</v>
      </c>
      <c r="D661" t="str">
        <f t="shared" si="11"/>
        <v>PMMG3926</v>
      </c>
      <c r="E661" t="s">
        <v>3006</v>
      </c>
    </row>
    <row r="662" spans="1:5" x14ac:dyDescent="0.25">
      <c r="A662">
        <v>1251</v>
      </c>
      <c r="B662" t="s">
        <v>1746</v>
      </c>
      <c r="C662" t="s">
        <v>3008</v>
      </c>
      <c r="D662" t="str">
        <f t="shared" si="11"/>
        <v>PMMG3927</v>
      </c>
      <c r="E662" t="s">
        <v>3009</v>
      </c>
    </row>
    <row r="663" spans="1:5" x14ac:dyDescent="0.25">
      <c r="A663">
        <v>1251</v>
      </c>
      <c r="B663" t="s">
        <v>1746</v>
      </c>
      <c r="C663" t="s">
        <v>458</v>
      </c>
      <c r="D663" t="str">
        <f t="shared" si="11"/>
        <v>PMMG3930</v>
      </c>
      <c r="E663" t="s">
        <v>3006</v>
      </c>
    </row>
    <row r="664" spans="1:5" x14ac:dyDescent="0.25">
      <c r="A664">
        <v>1251</v>
      </c>
      <c r="B664" t="s">
        <v>1746</v>
      </c>
      <c r="C664" t="s">
        <v>1481</v>
      </c>
      <c r="D664" t="str">
        <f t="shared" si="11"/>
        <v>PMMG3931</v>
      </c>
      <c r="E664" t="s">
        <v>2968</v>
      </c>
    </row>
    <row r="665" spans="1:5" x14ac:dyDescent="0.25">
      <c r="A665">
        <v>1251</v>
      </c>
      <c r="B665" t="s">
        <v>1746</v>
      </c>
      <c r="C665" t="s">
        <v>3224</v>
      </c>
      <c r="D665" t="str">
        <f t="shared" si="11"/>
        <v>PMMG3932</v>
      </c>
      <c r="E665" t="s">
        <v>2968</v>
      </c>
    </row>
    <row r="666" spans="1:5" x14ac:dyDescent="0.25">
      <c r="A666">
        <v>1251</v>
      </c>
      <c r="B666" t="s">
        <v>1746</v>
      </c>
      <c r="C666" t="s">
        <v>466</v>
      </c>
      <c r="D666" t="str">
        <f t="shared" si="11"/>
        <v>PMMG3933</v>
      </c>
      <c r="E666" t="s">
        <v>2968</v>
      </c>
    </row>
    <row r="667" spans="1:5" x14ac:dyDescent="0.25">
      <c r="A667">
        <v>1251</v>
      </c>
      <c r="B667" t="s">
        <v>1746</v>
      </c>
      <c r="C667" t="s">
        <v>469</v>
      </c>
      <c r="D667" t="str">
        <f t="shared" si="11"/>
        <v>PMMG3934</v>
      </c>
      <c r="E667" t="s">
        <v>2965</v>
      </c>
    </row>
    <row r="668" spans="1:5" x14ac:dyDescent="0.25">
      <c r="A668">
        <v>1251</v>
      </c>
      <c r="B668" t="s">
        <v>1746</v>
      </c>
      <c r="C668" t="s">
        <v>3015</v>
      </c>
      <c r="D668" t="str">
        <f t="shared" si="11"/>
        <v>PMMG3935</v>
      </c>
      <c r="E668" t="s">
        <v>2965</v>
      </c>
    </row>
    <row r="669" spans="1:5" x14ac:dyDescent="0.25">
      <c r="A669">
        <v>1251</v>
      </c>
      <c r="B669" t="s">
        <v>1746</v>
      </c>
      <c r="C669" t="s">
        <v>3017</v>
      </c>
      <c r="D669" t="str">
        <f t="shared" si="11"/>
        <v>PMMG3936</v>
      </c>
      <c r="E669" t="s">
        <v>94</v>
      </c>
    </row>
    <row r="670" spans="1:5" x14ac:dyDescent="0.25">
      <c r="A670">
        <v>1251</v>
      </c>
      <c r="B670" t="s">
        <v>1746</v>
      </c>
      <c r="C670" t="s">
        <v>3088</v>
      </c>
      <c r="D670" t="str">
        <f t="shared" si="11"/>
        <v>PMMG3937</v>
      </c>
      <c r="E670" t="s">
        <v>3107</v>
      </c>
    </row>
    <row r="671" spans="1:5" x14ac:dyDescent="0.25">
      <c r="A671">
        <v>1251</v>
      </c>
      <c r="B671" t="s">
        <v>1746</v>
      </c>
      <c r="C671" t="s">
        <v>3089</v>
      </c>
      <c r="D671" t="str">
        <f t="shared" si="11"/>
        <v>PMMG3939</v>
      </c>
      <c r="E671" t="s">
        <v>2968</v>
      </c>
    </row>
    <row r="672" spans="1:5" x14ac:dyDescent="0.25">
      <c r="A672">
        <v>1251</v>
      </c>
      <c r="B672" t="s">
        <v>1746</v>
      </c>
      <c r="C672" t="s">
        <v>3019</v>
      </c>
      <c r="D672" t="str">
        <f t="shared" si="11"/>
        <v>PMMG3940</v>
      </c>
      <c r="E672" t="s">
        <v>3009</v>
      </c>
    </row>
    <row r="673" spans="1:5" x14ac:dyDescent="0.25">
      <c r="A673">
        <v>1251</v>
      </c>
      <c r="B673" t="s">
        <v>1746</v>
      </c>
      <c r="C673" t="s">
        <v>480</v>
      </c>
      <c r="D673" t="str">
        <f t="shared" si="11"/>
        <v>PMMG3941</v>
      </c>
      <c r="E673" t="s">
        <v>2968</v>
      </c>
    </row>
    <row r="674" spans="1:5" x14ac:dyDescent="0.25">
      <c r="A674">
        <v>1251</v>
      </c>
      <c r="B674" t="s">
        <v>1746</v>
      </c>
      <c r="C674" t="s">
        <v>482</v>
      </c>
      <c r="D674" t="str">
        <f t="shared" si="11"/>
        <v>PMMG3942</v>
      </c>
      <c r="E674" t="s">
        <v>2968</v>
      </c>
    </row>
    <row r="675" spans="1:5" x14ac:dyDescent="0.25">
      <c r="A675">
        <v>1251</v>
      </c>
      <c r="B675" t="s">
        <v>1746</v>
      </c>
      <c r="C675" t="s">
        <v>3020</v>
      </c>
      <c r="D675" t="str">
        <f t="shared" si="11"/>
        <v>PMMG3943</v>
      </c>
      <c r="E675" t="s">
        <v>2958</v>
      </c>
    </row>
    <row r="676" spans="1:5" x14ac:dyDescent="0.25">
      <c r="A676">
        <v>1251</v>
      </c>
      <c r="B676" t="s">
        <v>1746</v>
      </c>
      <c r="C676" t="s">
        <v>492</v>
      </c>
      <c r="D676" t="str">
        <f t="shared" si="11"/>
        <v>PMMG3948</v>
      </c>
      <c r="E676" t="s">
        <v>3004</v>
      </c>
    </row>
    <row r="677" spans="1:5" x14ac:dyDescent="0.25">
      <c r="A677">
        <v>1251</v>
      </c>
      <c r="B677" t="s">
        <v>1746</v>
      </c>
      <c r="C677" t="s">
        <v>495</v>
      </c>
      <c r="D677" t="str">
        <f t="shared" si="11"/>
        <v>PMMG3951</v>
      </c>
      <c r="E677" t="s">
        <v>3052</v>
      </c>
    </row>
    <row r="678" spans="1:5" x14ac:dyDescent="0.25">
      <c r="A678">
        <v>1251</v>
      </c>
      <c r="B678" t="s">
        <v>1746</v>
      </c>
      <c r="C678" t="s">
        <v>3098</v>
      </c>
      <c r="D678" t="str">
        <f t="shared" si="11"/>
        <v>PMMG3952</v>
      </c>
      <c r="E678" t="s">
        <v>65</v>
      </c>
    </row>
    <row r="679" spans="1:5" x14ac:dyDescent="0.25">
      <c r="A679">
        <v>1251</v>
      </c>
      <c r="B679" t="s">
        <v>1746</v>
      </c>
      <c r="C679" t="s">
        <v>496</v>
      </c>
      <c r="D679" t="str">
        <f t="shared" si="11"/>
        <v>PMMG3953</v>
      </c>
      <c r="E679" t="s">
        <v>3004</v>
      </c>
    </row>
    <row r="680" spans="1:5" x14ac:dyDescent="0.25">
      <c r="A680">
        <v>1251</v>
      </c>
      <c r="B680" t="s">
        <v>1746</v>
      </c>
      <c r="C680" t="s">
        <v>498</v>
      </c>
      <c r="D680" t="str">
        <f t="shared" si="11"/>
        <v>PMMG3955</v>
      </c>
      <c r="E680" t="s">
        <v>2968</v>
      </c>
    </row>
    <row r="681" spans="1:5" x14ac:dyDescent="0.25">
      <c r="A681">
        <v>1251</v>
      </c>
      <c r="B681" t="s">
        <v>1746</v>
      </c>
      <c r="C681" t="s">
        <v>499</v>
      </c>
      <c r="D681" t="str">
        <f t="shared" si="11"/>
        <v>PMMG3956</v>
      </c>
      <c r="E681" t="s">
        <v>2968</v>
      </c>
    </row>
    <row r="682" spans="1:5" x14ac:dyDescent="0.25">
      <c r="A682">
        <v>1251</v>
      </c>
      <c r="B682" t="s">
        <v>1746</v>
      </c>
      <c r="C682" t="s">
        <v>3025</v>
      </c>
      <c r="D682" t="str">
        <f t="shared" si="11"/>
        <v>PMMG3959</v>
      </c>
      <c r="E682" t="s">
        <v>2968</v>
      </c>
    </row>
    <row r="683" spans="1:5" x14ac:dyDescent="0.25">
      <c r="A683">
        <v>1251</v>
      </c>
      <c r="B683" t="s">
        <v>1746</v>
      </c>
      <c r="C683" t="s">
        <v>3027</v>
      </c>
      <c r="D683" t="str">
        <f t="shared" si="11"/>
        <v>PMMG3961</v>
      </c>
      <c r="E683" t="s">
        <v>2981</v>
      </c>
    </row>
    <row r="684" spans="1:5" x14ac:dyDescent="0.25">
      <c r="A684">
        <v>1251</v>
      </c>
      <c r="B684" t="s">
        <v>1746</v>
      </c>
      <c r="C684" t="s">
        <v>3103</v>
      </c>
      <c r="D684" t="str">
        <f t="shared" si="11"/>
        <v>PMMG3962</v>
      </c>
      <c r="E684" t="s">
        <v>3033</v>
      </c>
    </row>
    <row r="685" spans="1:5" x14ac:dyDescent="0.25">
      <c r="A685">
        <v>1251</v>
      </c>
      <c r="B685" t="s">
        <v>1746</v>
      </c>
      <c r="C685" t="s">
        <v>3104</v>
      </c>
      <c r="D685" t="str">
        <f t="shared" si="11"/>
        <v>PMMG3964</v>
      </c>
      <c r="E685" t="s">
        <v>2968</v>
      </c>
    </row>
    <row r="686" spans="1:5" x14ac:dyDescent="0.25">
      <c r="A686">
        <v>1251</v>
      </c>
      <c r="B686" t="s">
        <v>1746</v>
      </c>
      <c r="C686" t="s">
        <v>1154</v>
      </c>
      <c r="D686" t="str">
        <f t="shared" si="11"/>
        <v>PMMG3969</v>
      </c>
      <c r="E686" t="s">
        <v>2992</v>
      </c>
    </row>
    <row r="687" spans="1:5" x14ac:dyDescent="0.25">
      <c r="A687">
        <v>1251</v>
      </c>
      <c r="B687" t="s">
        <v>1746</v>
      </c>
      <c r="C687" t="s">
        <v>3031</v>
      </c>
      <c r="D687" t="str">
        <f t="shared" si="11"/>
        <v>PMMG3970</v>
      </c>
      <c r="E687" t="s">
        <v>3009</v>
      </c>
    </row>
    <row r="688" spans="1:5" x14ac:dyDescent="0.25">
      <c r="A688">
        <v>1251</v>
      </c>
      <c r="B688" t="s">
        <v>1746</v>
      </c>
      <c r="C688" t="s">
        <v>513</v>
      </c>
      <c r="D688" t="str">
        <f t="shared" si="11"/>
        <v>PMMG3971</v>
      </c>
      <c r="E688" t="s">
        <v>3033</v>
      </c>
    </row>
    <row r="689" spans="1:5" x14ac:dyDescent="0.25">
      <c r="A689">
        <v>1251</v>
      </c>
      <c r="B689" t="s">
        <v>1746</v>
      </c>
      <c r="C689" t="s">
        <v>520</v>
      </c>
      <c r="D689" t="str">
        <f t="shared" si="11"/>
        <v>PMMG3978</v>
      </c>
      <c r="E689" t="s">
        <v>103</v>
      </c>
    </row>
    <row r="690" spans="1:5" x14ac:dyDescent="0.25">
      <c r="A690">
        <v>1251</v>
      </c>
      <c r="B690" t="s">
        <v>1746</v>
      </c>
      <c r="C690" t="s">
        <v>521</v>
      </c>
      <c r="D690" t="str">
        <f t="shared" si="11"/>
        <v>PMMG3981</v>
      </c>
      <c r="E690" t="s">
        <v>2968</v>
      </c>
    </row>
    <row r="691" spans="1:5" x14ac:dyDescent="0.25">
      <c r="A691">
        <v>1251</v>
      </c>
      <c r="B691" t="s">
        <v>1746</v>
      </c>
      <c r="C691" t="s">
        <v>3036</v>
      </c>
      <c r="D691" t="str">
        <f t="shared" si="11"/>
        <v>PMMG3987</v>
      </c>
      <c r="E691" t="s">
        <v>2958</v>
      </c>
    </row>
    <row r="692" spans="1:5" x14ac:dyDescent="0.25">
      <c r="A692">
        <v>1251</v>
      </c>
      <c r="B692" t="s">
        <v>1746</v>
      </c>
      <c r="C692" t="s">
        <v>528</v>
      </c>
      <c r="D692" t="str">
        <f t="shared" si="11"/>
        <v>PMMG3988</v>
      </c>
      <c r="E692" t="s">
        <v>2968</v>
      </c>
    </row>
    <row r="693" spans="1:5" x14ac:dyDescent="0.25">
      <c r="A693">
        <v>1251</v>
      </c>
      <c r="B693" t="s">
        <v>1746</v>
      </c>
      <c r="C693" t="s">
        <v>3225</v>
      </c>
      <c r="D693" t="str">
        <f t="shared" si="11"/>
        <v>PMMG3990</v>
      </c>
      <c r="E693" t="s">
        <v>3226</v>
      </c>
    </row>
    <row r="694" spans="1:5" x14ac:dyDescent="0.25">
      <c r="A694">
        <v>1251</v>
      </c>
      <c r="B694" t="s">
        <v>1746</v>
      </c>
      <c r="C694" t="s">
        <v>3038</v>
      </c>
      <c r="D694" t="str">
        <f t="shared" si="11"/>
        <v>PMMG3994</v>
      </c>
      <c r="E694" t="s">
        <v>2965</v>
      </c>
    </row>
    <row r="695" spans="1:5" x14ac:dyDescent="0.25">
      <c r="A695">
        <v>1251</v>
      </c>
      <c r="B695" t="s">
        <v>1746</v>
      </c>
      <c r="C695" t="s">
        <v>3203</v>
      </c>
      <c r="D695" t="str">
        <f t="shared" si="11"/>
        <v>PMMG3995</v>
      </c>
      <c r="E695" t="s">
        <v>2968</v>
      </c>
    </row>
    <row r="696" spans="1:5" x14ac:dyDescent="0.25">
      <c r="A696">
        <v>1251</v>
      </c>
      <c r="B696" t="s">
        <v>1746</v>
      </c>
      <c r="C696" t="s">
        <v>3227</v>
      </c>
      <c r="D696" t="str">
        <f t="shared" si="11"/>
        <v>PMMG3998</v>
      </c>
      <c r="E696" t="s">
        <v>2944</v>
      </c>
    </row>
    <row r="697" spans="1:5" x14ac:dyDescent="0.25">
      <c r="A697">
        <v>1251</v>
      </c>
      <c r="B697" t="s">
        <v>1746</v>
      </c>
      <c r="C697" t="s">
        <v>3040</v>
      </c>
      <c r="D697" t="str">
        <f t="shared" si="11"/>
        <v>PMMG3999</v>
      </c>
      <c r="E697" t="s">
        <v>2968</v>
      </c>
    </row>
    <row r="698" spans="1:5" x14ac:dyDescent="0.25">
      <c r="A698">
        <v>1251</v>
      </c>
      <c r="B698" t="s">
        <v>1746</v>
      </c>
      <c r="C698" t="s">
        <v>3041</v>
      </c>
      <c r="D698" t="str">
        <f t="shared" si="11"/>
        <v>PMMG4002</v>
      </c>
      <c r="E698" t="s">
        <v>3009</v>
      </c>
    </row>
    <row r="699" spans="1:5" x14ac:dyDescent="0.25">
      <c r="A699">
        <v>1251</v>
      </c>
      <c r="B699" t="s">
        <v>1746</v>
      </c>
      <c r="C699" t="s">
        <v>3043</v>
      </c>
      <c r="D699" t="str">
        <f t="shared" si="11"/>
        <v>PMMG4003</v>
      </c>
      <c r="E699" t="s">
        <v>94</v>
      </c>
    </row>
    <row r="700" spans="1:5" x14ac:dyDescent="0.25">
      <c r="A700">
        <v>1251</v>
      </c>
      <c r="B700" t="s">
        <v>1746</v>
      </c>
      <c r="C700" t="s">
        <v>3045</v>
      </c>
      <c r="D700" t="str">
        <f t="shared" si="11"/>
        <v>PMMG4004</v>
      </c>
      <c r="E700" t="s">
        <v>3009</v>
      </c>
    </row>
    <row r="701" spans="1:5" x14ac:dyDescent="0.25">
      <c r="A701">
        <v>1251</v>
      </c>
      <c r="B701" t="s">
        <v>1746</v>
      </c>
      <c r="C701" t="s">
        <v>3047</v>
      </c>
      <c r="D701" t="str">
        <f t="shared" si="11"/>
        <v>PMMG4005</v>
      </c>
      <c r="E701" t="s">
        <v>3009</v>
      </c>
    </row>
    <row r="702" spans="1:5" x14ac:dyDescent="0.25">
      <c r="A702">
        <v>1251</v>
      </c>
      <c r="B702" t="s">
        <v>1746</v>
      </c>
      <c r="C702" t="s">
        <v>813</v>
      </c>
      <c r="D702" t="str">
        <f t="shared" si="11"/>
        <v>PMMG4006</v>
      </c>
      <c r="E702" t="s">
        <v>3057</v>
      </c>
    </row>
    <row r="703" spans="1:5" x14ac:dyDescent="0.25">
      <c r="A703">
        <v>1251</v>
      </c>
      <c r="B703" t="s">
        <v>1746</v>
      </c>
      <c r="C703" t="s">
        <v>3138</v>
      </c>
      <c r="D703" t="str">
        <f t="shared" si="11"/>
        <v>PMMG4007</v>
      </c>
      <c r="E703" t="s">
        <v>94</v>
      </c>
    </row>
    <row r="704" spans="1:5" x14ac:dyDescent="0.25">
      <c r="A704">
        <v>1251</v>
      </c>
      <c r="B704" t="s">
        <v>1746</v>
      </c>
      <c r="C704" t="s">
        <v>3048</v>
      </c>
      <c r="D704" t="str">
        <f t="shared" si="11"/>
        <v>PMMG4701</v>
      </c>
      <c r="E704" t="s">
        <v>3049</v>
      </c>
    </row>
    <row r="705" spans="1:5" x14ac:dyDescent="0.25">
      <c r="A705">
        <v>1251</v>
      </c>
      <c r="B705" t="s">
        <v>1746</v>
      </c>
      <c r="C705" t="s">
        <v>265</v>
      </c>
      <c r="D705" t="str">
        <f t="shared" si="11"/>
        <v>PMMG4703</v>
      </c>
      <c r="E705" t="s">
        <v>3049</v>
      </c>
    </row>
    <row r="706" spans="1:5" x14ac:dyDescent="0.25">
      <c r="A706">
        <v>1251</v>
      </c>
      <c r="B706" t="s">
        <v>1746</v>
      </c>
      <c r="C706" t="s">
        <v>328</v>
      </c>
      <c r="D706" t="str">
        <f t="shared" si="11"/>
        <v>PMMG4707</v>
      </c>
      <c r="E706" t="s">
        <v>3049</v>
      </c>
    </row>
    <row r="707" spans="1:5" x14ac:dyDescent="0.25">
      <c r="A707">
        <v>1251</v>
      </c>
      <c r="B707" t="s">
        <v>1746</v>
      </c>
      <c r="C707" t="s">
        <v>338</v>
      </c>
      <c r="D707" t="str">
        <f t="shared" si="11"/>
        <v>PMMG4708</v>
      </c>
      <c r="E707" t="s">
        <v>3049</v>
      </c>
    </row>
    <row r="708" spans="1:5" x14ac:dyDescent="0.25">
      <c r="A708">
        <v>1251</v>
      </c>
      <c r="B708" t="s">
        <v>1746</v>
      </c>
      <c r="C708" t="s">
        <v>348</v>
      </c>
      <c r="D708" t="str">
        <f t="shared" ref="D708:D771" si="12">CONCATENATE(B708,LEFT(C708,4))</f>
        <v>PMMG4709</v>
      </c>
      <c r="E708" t="s">
        <v>3049</v>
      </c>
    </row>
    <row r="709" spans="1:5" x14ac:dyDescent="0.25">
      <c r="A709">
        <v>1251</v>
      </c>
      <c r="B709" t="s">
        <v>1746</v>
      </c>
      <c r="C709" t="s">
        <v>357</v>
      </c>
      <c r="D709" t="str">
        <f t="shared" si="12"/>
        <v>PMMG4710</v>
      </c>
      <c r="E709" t="s">
        <v>3049</v>
      </c>
    </row>
    <row r="710" spans="1:5" x14ac:dyDescent="0.25">
      <c r="A710">
        <v>1251</v>
      </c>
      <c r="B710" t="s">
        <v>1746</v>
      </c>
      <c r="C710" t="s">
        <v>364</v>
      </c>
      <c r="D710" t="str">
        <f t="shared" si="12"/>
        <v>PMMG4799</v>
      </c>
      <c r="E710" t="s">
        <v>3049</v>
      </c>
    </row>
    <row r="711" spans="1:5" x14ac:dyDescent="0.25">
      <c r="A711">
        <v>1251</v>
      </c>
      <c r="B711" t="s">
        <v>1746</v>
      </c>
      <c r="C711" t="s">
        <v>3205</v>
      </c>
      <c r="D711" t="str">
        <f t="shared" si="12"/>
        <v>PMMG4905</v>
      </c>
      <c r="E711" t="s">
        <v>65</v>
      </c>
    </row>
    <row r="712" spans="1:5" x14ac:dyDescent="0.25">
      <c r="A712">
        <v>1251</v>
      </c>
      <c r="B712" t="s">
        <v>1746</v>
      </c>
      <c r="C712" t="s">
        <v>3051</v>
      </c>
      <c r="D712" t="str">
        <f t="shared" si="12"/>
        <v>PMMG5101</v>
      </c>
      <c r="E712" t="s">
        <v>3052</v>
      </c>
    </row>
    <row r="713" spans="1:5" x14ac:dyDescent="0.25">
      <c r="A713">
        <v>1251</v>
      </c>
      <c r="B713" t="s">
        <v>1746</v>
      </c>
      <c r="C713" t="s">
        <v>3053</v>
      </c>
      <c r="D713" t="str">
        <f t="shared" si="12"/>
        <v>PMMG5103</v>
      </c>
      <c r="E713" t="s">
        <v>3052</v>
      </c>
    </row>
    <row r="714" spans="1:5" x14ac:dyDescent="0.25">
      <c r="A714">
        <v>1251</v>
      </c>
      <c r="B714" t="s">
        <v>1746</v>
      </c>
      <c r="C714" t="s">
        <v>303</v>
      </c>
      <c r="D714" t="str">
        <f t="shared" si="12"/>
        <v>PMMG5104</v>
      </c>
      <c r="E714" t="s">
        <v>3052</v>
      </c>
    </row>
    <row r="715" spans="1:5" x14ac:dyDescent="0.25">
      <c r="A715">
        <v>1251</v>
      </c>
      <c r="B715" t="s">
        <v>1746</v>
      </c>
      <c r="C715" t="s">
        <v>317</v>
      </c>
      <c r="D715" t="str">
        <f t="shared" si="12"/>
        <v>PMMG5106</v>
      </c>
      <c r="E715" t="s">
        <v>3052</v>
      </c>
    </row>
    <row r="716" spans="1:5" x14ac:dyDescent="0.25">
      <c r="A716">
        <v>1251</v>
      </c>
      <c r="B716" t="s">
        <v>1746</v>
      </c>
      <c r="C716" t="s">
        <v>173</v>
      </c>
      <c r="D716" t="str">
        <f t="shared" si="12"/>
        <v>PMMG5107</v>
      </c>
      <c r="E716" t="s">
        <v>3052</v>
      </c>
    </row>
    <row r="717" spans="1:5" x14ac:dyDescent="0.25">
      <c r="A717">
        <v>1251</v>
      </c>
      <c r="B717" t="s">
        <v>1746</v>
      </c>
      <c r="C717" t="s">
        <v>372</v>
      </c>
      <c r="D717" t="str">
        <f t="shared" si="12"/>
        <v>PMMG5113</v>
      </c>
      <c r="E717" t="s">
        <v>3052</v>
      </c>
    </row>
    <row r="718" spans="1:5" x14ac:dyDescent="0.25">
      <c r="A718">
        <v>1251</v>
      </c>
      <c r="B718" t="s">
        <v>1746</v>
      </c>
      <c r="C718" t="s">
        <v>242</v>
      </c>
      <c r="D718" t="str">
        <f t="shared" si="12"/>
        <v>PMMG5201</v>
      </c>
      <c r="E718" t="s">
        <v>2965</v>
      </c>
    </row>
    <row r="719" spans="1:5" x14ac:dyDescent="0.25">
      <c r="A719">
        <v>1251</v>
      </c>
      <c r="B719" t="s">
        <v>1746</v>
      </c>
      <c r="C719" t="s">
        <v>288</v>
      </c>
      <c r="D719" t="str">
        <f t="shared" si="12"/>
        <v>PMMG5203</v>
      </c>
      <c r="E719" t="s">
        <v>3055</v>
      </c>
    </row>
    <row r="720" spans="1:5" x14ac:dyDescent="0.25">
      <c r="A720">
        <v>1251</v>
      </c>
      <c r="B720" t="s">
        <v>1746</v>
      </c>
      <c r="C720" t="s">
        <v>3054</v>
      </c>
      <c r="D720" t="str">
        <f t="shared" si="12"/>
        <v>PMMG5204</v>
      </c>
      <c r="E720" t="s">
        <v>3055</v>
      </c>
    </row>
    <row r="721" spans="1:5" x14ac:dyDescent="0.25">
      <c r="A721">
        <v>1251</v>
      </c>
      <c r="B721" t="s">
        <v>1746</v>
      </c>
      <c r="C721" t="s">
        <v>318</v>
      </c>
      <c r="D721" t="str">
        <f t="shared" si="12"/>
        <v>PMMG5205</v>
      </c>
      <c r="E721" t="s">
        <v>3055</v>
      </c>
    </row>
    <row r="722" spans="1:5" x14ac:dyDescent="0.25">
      <c r="A722">
        <v>1251</v>
      </c>
      <c r="B722" t="s">
        <v>1746</v>
      </c>
      <c r="C722" t="s">
        <v>329</v>
      </c>
      <c r="D722" t="str">
        <f t="shared" si="12"/>
        <v>PMMG5206</v>
      </c>
      <c r="E722" t="s">
        <v>3057</v>
      </c>
    </row>
    <row r="723" spans="1:5" x14ac:dyDescent="0.25">
      <c r="A723">
        <v>1251</v>
      </c>
      <c r="B723" t="s">
        <v>1746</v>
      </c>
      <c r="C723" t="s">
        <v>3058</v>
      </c>
      <c r="D723" t="str">
        <f t="shared" si="12"/>
        <v>PMMG5207</v>
      </c>
      <c r="E723" t="s">
        <v>3057</v>
      </c>
    </row>
    <row r="724" spans="1:5" x14ac:dyDescent="0.25">
      <c r="A724">
        <v>1251</v>
      </c>
      <c r="B724" t="s">
        <v>1746</v>
      </c>
      <c r="C724" t="s">
        <v>3060</v>
      </c>
      <c r="D724" t="str">
        <f t="shared" si="12"/>
        <v>PMMG5208</v>
      </c>
      <c r="E724" t="s">
        <v>3057</v>
      </c>
    </row>
    <row r="725" spans="1:5" x14ac:dyDescent="0.25">
      <c r="A725">
        <v>1251</v>
      </c>
      <c r="B725" t="s">
        <v>1746</v>
      </c>
      <c r="C725" t="s">
        <v>359</v>
      </c>
      <c r="D725" t="str">
        <f t="shared" si="12"/>
        <v>PMMG5209</v>
      </c>
      <c r="E725" t="s">
        <v>3055</v>
      </c>
    </row>
    <row r="726" spans="1:5" x14ac:dyDescent="0.25">
      <c r="A726">
        <v>1251</v>
      </c>
      <c r="B726" t="s">
        <v>1746</v>
      </c>
      <c r="C726" t="s">
        <v>3063</v>
      </c>
      <c r="D726" t="str">
        <f t="shared" si="12"/>
        <v>PMMG5210</v>
      </c>
      <c r="E726" t="s">
        <v>3055</v>
      </c>
    </row>
    <row r="727" spans="1:5" x14ac:dyDescent="0.25">
      <c r="A727">
        <v>1251</v>
      </c>
      <c r="B727" t="s">
        <v>1746</v>
      </c>
      <c r="C727" t="s">
        <v>3155</v>
      </c>
      <c r="D727" t="str">
        <f t="shared" si="12"/>
        <v>PMMG5211</v>
      </c>
      <c r="E727" t="s">
        <v>2944</v>
      </c>
    </row>
    <row r="728" spans="1:5" x14ac:dyDescent="0.25">
      <c r="A728">
        <v>1251</v>
      </c>
      <c r="B728" t="s">
        <v>1746</v>
      </c>
      <c r="C728" t="s">
        <v>3064</v>
      </c>
      <c r="D728" t="str">
        <f t="shared" si="12"/>
        <v>PMMG5212</v>
      </c>
      <c r="E728" t="s">
        <v>3055</v>
      </c>
    </row>
    <row r="729" spans="1:5" x14ac:dyDescent="0.25">
      <c r="A729">
        <v>1251</v>
      </c>
      <c r="B729" t="s">
        <v>1746</v>
      </c>
      <c r="C729" t="s">
        <v>385</v>
      </c>
      <c r="D729" t="str">
        <f t="shared" si="12"/>
        <v>PMMG5213</v>
      </c>
      <c r="E729" t="s">
        <v>3055</v>
      </c>
    </row>
    <row r="730" spans="1:5" x14ac:dyDescent="0.25">
      <c r="A730">
        <v>1251</v>
      </c>
      <c r="B730" t="s">
        <v>1746</v>
      </c>
      <c r="C730" t="s">
        <v>391</v>
      </c>
      <c r="D730" t="str">
        <f t="shared" si="12"/>
        <v>PMMG5214</v>
      </c>
      <c r="E730" t="s">
        <v>3055</v>
      </c>
    </row>
    <row r="731" spans="1:5" x14ac:dyDescent="0.25">
      <c r="A731">
        <v>1251</v>
      </c>
      <c r="B731" t="s">
        <v>1746</v>
      </c>
      <c r="C731" t="s">
        <v>403</v>
      </c>
      <c r="D731" t="str">
        <f t="shared" si="12"/>
        <v>PMMG5216</v>
      </c>
      <c r="E731" t="s">
        <v>3067</v>
      </c>
    </row>
    <row r="732" spans="1:5" x14ac:dyDescent="0.25">
      <c r="A732">
        <v>1251</v>
      </c>
      <c r="B732" t="s">
        <v>1746</v>
      </c>
      <c r="C732" t="s">
        <v>409</v>
      </c>
      <c r="D732" t="str">
        <f t="shared" si="12"/>
        <v>PMMG5217</v>
      </c>
      <c r="E732" t="s">
        <v>3055</v>
      </c>
    </row>
    <row r="733" spans="1:5" x14ac:dyDescent="0.25">
      <c r="A733">
        <v>1251</v>
      </c>
      <c r="B733" t="s">
        <v>1746</v>
      </c>
      <c r="C733" t="s">
        <v>419</v>
      </c>
      <c r="D733" t="str">
        <f t="shared" si="12"/>
        <v>PMMG5219</v>
      </c>
      <c r="E733" t="s">
        <v>3055</v>
      </c>
    </row>
    <row r="734" spans="1:5" x14ac:dyDescent="0.25">
      <c r="A734">
        <v>1251</v>
      </c>
      <c r="B734" t="s">
        <v>1746</v>
      </c>
      <c r="C734" t="s">
        <v>3068</v>
      </c>
      <c r="D734" t="str">
        <f t="shared" si="12"/>
        <v>PMMG5220</v>
      </c>
      <c r="E734" t="s">
        <v>3057</v>
      </c>
    </row>
    <row r="735" spans="1:5" x14ac:dyDescent="0.25">
      <c r="A735">
        <v>1251</v>
      </c>
      <c r="B735" t="s">
        <v>1746</v>
      </c>
      <c r="C735" t="s">
        <v>429</v>
      </c>
      <c r="D735" t="str">
        <f t="shared" si="12"/>
        <v>PMMG5221</v>
      </c>
      <c r="E735" t="s">
        <v>3055</v>
      </c>
    </row>
    <row r="736" spans="1:5" x14ac:dyDescent="0.25">
      <c r="A736">
        <v>1251</v>
      </c>
      <c r="B736" t="s">
        <v>1746</v>
      </c>
      <c r="C736" t="s">
        <v>434</v>
      </c>
      <c r="D736" t="str">
        <f t="shared" si="12"/>
        <v>PMMG5222</v>
      </c>
      <c r="E736" t="s">
        <v>3055</v>
      </c>
    </row>
    <row r="737" spans="1:5" x14ac:dyDescent="0.25">
      <c r="A737">
        <v>1251</v>
      </c>
      <c r="B737" t="s">
        <v>1746</v>
      </c>
      <c r="C737" t="s">
        <v>449</v>
      </c>
      <c r="D737" t="str">
        <f t="shared" si="12"/>
        <v>PMMG5225</v>
      </c>
      <c r="E737" t="s">
        <v>3055</v>
      </c>
    </row>
    <row r="738" spans="1:5" x14ac:dyDescent="0.25">
      <c r="A738">
        <v>1251</v>
      </c>
      <c r="B738" t="s">
        <v>1746</v>
      </c>
      <c r="C738" t="s">
        <v>3070</v>
      </c>
      <c r="D738" t="str">
        <f t="shared" si="12"/>
        <v>PMMG5226</v>
      </c>
      <c r="E738" t="s">
        <v>3055</v>
      </c>
    </row>
    <row r="739" spans="1:5" x14ac:dyDescent="0.25">
      <c r="A739">
        <v>1251</v>
      </c>
      <c r="B739" t="s">
        <v>1746</v>
      </c>
      <c r="C739" t="s">
        <v>3072</v>
      </c>
      <c r="D739" t="str">
        <f t="shared" si="12"/>
        <v>PMMG5227</v>
      </c>
      <c r="E739" t="s">
        <v>3055</v>
      </c>
    </row>
    <row r="740" spans="1:5" x14ac:dyDescent="0.25">
      <c r="A740">
        <v>1251</v>
      </c>
      <c r="B740" t="s">
        <v>1746</v>
      </c>
      <c r="C740" t="s">
        <v>3150</v>
      </c>
      <c r="D740" t="str">
        <f t="shared" si="12"/>
        <v>PMMG5230</v>
      </c>
      <c r="E740" t="s">
        <v>3055</v>
      </c>
    </row>
    <row r="741" spans="1:5" x14ac:dyDescent="0.25">
      <c r="A741">
        <v>1251</v>
      </c>
      <c r="B741" t="s">
        <v>1746</v>
      </c>
      <c r="C741" t="s">
        <v>459</v>
      </c>
      <c r="D741" t="str">
        <f t="shared" si="12"/>
        <v>PMMG5299</v>
      </c>
      <c r="E741" t="s">
        <v>3055</v>
      </c>
    </row>
    <row r="742" spans="1:5" x14ac:dyDescent="0.25">
      <c r="A742">
        <v>1251</v>
      </c>
      <c r="B742" t="s">
        <v>1746</v>
      </c>
      <c r="C742" t="s">
        <v>3211</v>
      </c>
      <c r="D742" t="str">
        <f t="shared" si="12"/>
        <v>PMMG9108</v>
      </c>
      <c r="E742" t="s">
        <v>3212</v>
      </c>
    </row>
    <row r="743" spans="1:5" x14ac:dyDescent="0.25">
      <c r="A743">
        <v>1251</v>
      </c>
      <c r="B743" t="s">
        <v>1746</v>
      </c>
      <c r="C743" t="s">
        <v>3220</v>
      </c>
      <c r="D743" t="str">
        <f t="shared" si="12"/>
        <v>PMMG9201</v>
      </c>
      <c r="E743" t="s">
        <v>3075</v>
      </c>
    </row>
    <row r="744" spans="1:5" x14ac:dyDescent="0.25">
      <c r="A744">
        <v>1251</v>
      </c>
      <c r="B744" t="s">
        <v>1746</v>
      </c>
      <c r="C744" t="s">
        <v>3074</v>
      </c>
      <c r="D744" t="str">
        <f t="shared" si="12"/>
        <v>PMMG9202</v>
      </c>
      <c r="E744" t="s">
        <v>3075</v>
      </c>
    </row>
    <row r="745" spans="1:5" x14ac:dyDescent="0.25">
      <c r="A745">
        <v>1251</v>
      </c>
      <c r="B745" t="s">
        <v>1746</v>
      </c>
      <c r="C745" t="s">
        <v>250</v>
      </c>
      <c r="D745" t="str">
        <f t="shared" si="12"/>
        <v>PMMG9301</v>
      </c>
      <c r="E745" t="s">
        <v>3228</v>
      </c>
    </row>
    <row r="746" spans="1:5" x14ac:dyDescent="0.25">
      <c r="A746">
        <v>1251</v>
      </c>
      <c r="B746" t="s">
        <v>1746</v>
      </c>
      <c r="C746" t="s">
        <v>272</v>
      </c>
      <c r="D746" t="str">
        <f t="shared" si="12"/>
        <v>PMMG9302</v>
      </c>
      <c r="E746" t="s">
        <v>2968</v>
      </c>
    </row>
    <row r="747" spans="1:5" x14ac:dyDescent="0.25">
      <c r="A747">
        <v>1251</v>
      </c>
      <c r="B747" t="s">
        <v>1746</v>
      </c>
      <c r="C747" t="s">
        <v>320</v>
      </c>
      <c r="D747" t="str">
        <f t="shared" si="12"/>
        <v>PMMG9305</v>
      </c>
      <c r="E747" t="s">
        <v>2968</v>
      </c>
    </row>
    <row r="748" spans="1:5" x14ac:dyDescent="0.25">
      <c r="A748">
        <v>1251</v>
      </c>
      <c r="B748" t="s">
        <v>1746</v>
      </c>
      <c r="C748" t="s">
        <v>331</v>
      </c>
      <c r="D748" t="str">
        <f t="shared" si="12"/>
        <v>PMMG9306</v>
      </c>
      <c r="E748" t="s">
        <v>3076</v>
      </c>
    </row>
    <row r="749" spans="1:5" x14ac:dyDescent="0.25">
      <c r="A749">
        <v>1251</v>
      </c>
      <c r="B749" t="s">
        <v>1746</v>
      </c>
      <c r="C749" t="s">
        <v>367</v>
      </c>
      <c r="D749" t="str">
        <f t="shared" si="12"/>
        <v>PMMG9310</v>
      </c>
      <c r="E749" t="s">
        <v>2968</v>
      </c>
    </row>
    <row r="750" spans="1:5" x14ac:dyDescent="0.25">
      <c r="A750">
        <v>1251</v>
      </c>
      <c r="B750" t="s">
        <v>1746</v>
      </c>
      <c r="C750" t="s">
        <v>440</v>
      </c>
      <c r="D750" t="str">
        <f t="shared" si="12"/>
        <v>PMMG9326</v>
      </c>
      <c r="E750" t="s">
        <v>2968</v>
      </c>
    </row>
    <row r="751" spans="1:5" x14ac:dyDescent="0.25">
      <c r="A751">
        <v>1251</v>
      </c>
      <c r="B751" t="s">
        <v>1746</v>
      </c>
      <c r="C751" t="s">
        <v>3079</v>
      </c>
      <c r="D751" t="str">
        <f t="shared" si="12"/>
        <v>PMMG9399</v>
      </c>
      <c r="E751" t="s">
        <v>2968</v>
      </c>
    </row>
    <row r="752" spans="1:5" x14ac:dyDescent="0.25">
      <c r="A752">
        <v>1261</v>
      </c>
      <c r="B752" t="s">
        <v>562</v>
      </c>
      <c r="C752" t="s">
        <v>2925</v>
      </c>
      <c r="D752" t="str">
        <f t="shared" si="12"/>
        <v>SEE0810</v>
      </c>
      <c r="E752" t="s">
        <v>2926</v>
      </c>
    </row>
    <row r="753" spans="1:5" x14ac:dyDescent="0.25">
      <c r="A753">
        <v>1261</v>
      </c>
      <c r="B753" t="s">
        <v>562</v>
      </c>
      <c r="C753" t="s">
        <v>3229</v>
      </c>
      <c r="D753" t="str">
        <f t="shared" si="12"/>
        <v>SEE1307</v>
      </c>
      <c r="E753" t="s">
        <v>3081</v>
      </c>
    </row>
    <row r="754" spans="1:5" x14ac:dyDescent="0.25">
      <c r="A754">
        <v>1261</v>
      </c>
      <c r="B754" t="s">
        <v>562</v>
      </c>
      <c r="C754" t="s">
        <v>332</v>
      </c>
      <c r="D754" t="str">
        <f t="shared" si="12"/>
        <v>SEE1314</v>
      </c>
      <c r="E754" t="s">
        <v>3081</v>
      </c>
    </row>
    <row r="755" spans="1:5" x14ac:dyDescent="0.25">
      <c r="A755">
        <v>1261</v>
      </c>
      <c r="B755" t="s">
        <v>562</v>
      </c>
      <c r="C755" t="s">
        <v>2942</v>
      </c>
      <c r="D755" t="str">
        <f t="shared" si="12"/>
        <v>SEE1317</v>
      </c>
      <c r="E755" t="s">
        <v>3081</v>
      </c>
    </row>
    <row r="756" spans="1:5" x14ac:dyDescent="0.25">
      <c r="A756">
        <v>1261</v>
      </c>
      <c r="B756" t="s">
        <v>562</v>
      </c>
      <c r="C756" t="s">
        <v>2928</v>
      </c>
      <c r="D756" t="str">
        <f t="shared" si="12"/>
        <v>SEE1401</v>
      </c>
      <c r="E756" t="s">
        <v>44</v>
      </c>
    </row>
    <row r="757" spans="1:5" x14ac:dyDescent="0.25">
      <c r="A757">
        <v>1261</v>
      </c>
      <c r="B757" t="s">
        <v>562</v>
      </c>
      <c r="C757" t="s">
        <v>2930</v>
      </c>
      <c r="D757" t="str">
        <f t="shared" si="12"/>
        <v>SEE1501</v>
      </c>
      <c r="E757" t="s">
        <v>44</v>
      </c>
    </row>
    <row r="758" spans="1:5" x14ac:dyDescent="0.25">
      <c r="A758">
        <v>1261</v>
      </c>
      <c r="B758" t="s">
        <v>562</v>
      </c>
      <c r="C758" t="s">
        <v>222</v>
      </c>
      <c r="D758" t="str">
        <f t="shared" si="12"/>
        <v>SEE1801</v>
      </c>
      <c r="E758" t="s">
        <v>3230</v>
      </c>
    </row>
    <row r="759" spans="1:5" x14ac:dyDescent="0.25">
      <c r="A759">
        <v>1261</v>
      </c>
      <c r="B759" t="s">
        <v>562</v>
      </c>
      <c r="C759" t="s">
        <v>2932</v>
      </c>
      <c r="D759" t="str">
        <f t="shared" si="12"/>
        <v>SEE3001</v>
      </c>
      <c r="E759" t="s">
        <v>2933</v>
      </c>
    </row>
    <row r="760" spans="1:5" x14ac:dyDescent="0.25">
      <c r="A760">
        <v>1261</v>
      </c>
      <c r="B760" t="s">
        <v>562</v>
      </c>
      <c r="C760" t="s">
        <v>256</v>
      </c>
      <c r="D760" t="str">
        <f t="shared" si="12"/>
        <v>SEE3002</v>
      </c>
      <c r="E760" t="s">
        <v>2933</v>
      </c>
    </row>
    <row r="761" spans="1:5" x14ac:dyDescent="0.25">
      <c r="A761">
        <v>1261</v>
      </c>
      <c r="B761" t="s">
        <v>562</v>
      </c>
      <c r="C761" t="s">
        <v>979</v>
      </c>
      <c r="D761" t="str">
        <f t="shared" si="12"/>
        <v>SEE3003</v>
      </c>
      <c r="E761" t="s">
        <v>2933</v>
      </c>
    </row>
    <row r="762" spans="1:5" x14ac:dyDescent="0.25">
      <c r="A762">
        <v>1261</v>
      </c>
      <c r="B762" t="s">
        <v>562</v>
      </c>
      <c r="C762" t="s">
        <v>2937</v>
      </c>
      <c r="D762" t="str">
        <f t="shared" si="12"/>
        <v>SEE3004</v>
      </c>
      <c r="E762" t="s">
        <v>2933</v>
      </c>
    </row>
    <row r="763" spans="1:5" x14ac:dyDescent="0.25">
      <c r="A763">
        <v>1261</v>
      </c>
      <c r="B763" t="s">
        <v>562</v>
      </c>
      <c r="C763" t="s">
        <v>2939</v>
      </c>
      <c r="D763" t="str">
        <f t="shared" si="12"/>
        <v>SEE3005</v>
      </c>
      <c r="E763" t="s">
        <v>2933</v>
      </c>
    </row>
    <row r="764" spans="1:5" x14ac:dyDescent="0.25">
      <c r="A764">
        <v>1261</v>
      </c>
      <c r="B764" t="s">
        <v>562</v>
      </c>
      <c r="C764" t="s">
        <v>323</v>
      </c>
      <c r="D764" t="str">
        <f t="shared" si="12"/>
        <v>SEE3006</v>
      </c>
      <c r="E764" t="s">
        <v>2933</v>
      </c>
    </row>
    <row r="765" spans="1:5" x14ac:dyDescent="0.25">
      <c r="A765">
        <v>1261</v>
      </c>
      <c r="B765" t="s">
        <v>562</v>
      </c>
      <c r="C765" t="s">
        <v>333</v>
      </c>
      <c r="D765" t="str">
        <f t="shared" si="12"/>
        <v>SEE3007</v>
      </c>
      <c r="E765" t="s">
        <v>2933</v>
      </c>
    </row>
    <row r="766" spans="1:5" x14ac:dyDescent="0.25">
      <c r="A766">
        <v>1261</v>
      </c>
      <c r="B766" t="s">
        <v>562</v>
      </c>
      <c r="C766" t="s">
        <v>2941</v>
      </c>
      <c r="D766" t="str">
        <f t="shared" si="12"/>
        <v>SEE3008</v>
      </c>
      <c r="E766" t="s">
        <v>2933</v>
      </c>
    </row>
    <row r="767" spans="1:5" x14ac:dyDescent="0.25">
      <c r="A767">
        <v>1261</v>
      </c>
      <c r="B767" t="s">
        <v>562</v>
      </c>
      <c r="C767" t="s">
        <v>2943</v>
      </c>
      <c r="D767" t="str">
        <f t="shared" si="12"/>
        <v>SEE3010</v>
      </c>
      <c r="E767" t="s">
        <v>2944</v>
      </c>
    </row>
    <row r="768" spans="1:5" x14ac:dyDescent="0.25">
      <c r="A768">
        <v>1261</v>
      </c>
      <c r="B768" t="s">
        <v>562</v>
      </c>
      <c r="C768" t="s">
        <v>369</v>
      </c>
      <c r="D768" t="str">
        <f t="shared" si="12"/>
        <v>SEE3011</v>
      </c>
      <c r="E768" t="s">
        <v>2933</v>
      </c>
    </row>
    <row r="769" spans="1:5" x14ac:dyDescent="0.25">
      <c r="A769">
        <v>1261</v>
      </c>
      <c r="B769" t="s">
        <v>562</v>
      </c>
      <c r="C769" t="s">
        <v>138</v>
      </c>
      <c r="D769" t="str">
        <f t="shared" si="12"/>
        <v>SEE3012</v>
      </c>
      <c r="E769" t="s">
        <v>2944</v>
      </c>
    </row>
    <row r="770" spans="1:5" x14ac:dyDescent="0.25">
      <c r="A770">
        <v>1261</v>
      </c>
      <c r="B770" t="s">
        <v>562</v>
      </c>
      <c r="C770" t="s">
        <v>2946</v>
      </c>
      <c r="D770" t="str">
        <f t="shared" si="12"/>
        <v>SEE3013</v>
      </c>
      <c r="E770" t="s">
        <v>2933</v>
      </c>
    </row>
    <row r="771" spans="1:5" x14ac:dyDescent="0.25">
      <c r="A771">
        <v>1261</v>
      </c>
      <c r="B771" t="s">
        <v>562</v>
      </c>
      <c r="C771" t="s">
        <v>2948</v>
      </c>
      <c r="D771" t="str">
        <f t="shared" si="12"/>
        <v>SEE3015</v>
      </c>
      <c r="E771" t="s">
        <v>2933</v>
      </c>
    </row>
    <row r="772" spans="1:5" x14ac:dyDescent="0.25">
      <c r="A772">
        <v>1261</v>
      </c>
      <c r="B772" t="s">
        <v>562</v>
      </c>
      <c r="C772" t="s">
        <v>2950</v>
      </c>
      <c r="D772" t="str">
        <f t="shared" ref="D772:D835" si="13">CONCATENATE(B772,LEFT(C772,4))</f>
        <v>SEE3016</v>
      </c>
      <c r="E772" t="s">
        <v>2933</v>
      </c>
    </row>
    <row r="773" spans="1:5" x14ac:dyDescent="0.25">
      <c r="A773">
        <v>1261</v>
      </c>
      <c r="B773" t="s">
        <v>562</v>
      </c>
      <c r="C773" t="s">
        <v>406</v>
      </c>
      <c r="D773" t="str">
        <f t="shared" si="13"/>
        <v>SEE3017</v>
      </c>
      <c r="E773" t="s">
        <v>2933</v>
      </c>
    </row>
    <row r="774" spans="1:5" x14ac:dyDescent="0.25">
      <c r="A774">
        <v>1261</v>
      </c>
      <c r="B774" t="s">
        <v>562</v>
      </c>
      <c r="C774" t="s">
        <v>2953</v>
      </c>
      <c r="D774" t="str">
        <f t="shared" si="13"/>
        <v>SEE3019</v>
      </c>
      <c r="E774" t="s">
        <v>2954</v>
      </c>
    </row>
    <row r="775" spans="1:5" x14ac:dyDescent="0.25">
      <c r="A775">
        <v>1261</v>
      </c>
      <c r="B775" t="s">
        <v>562</v>
      </c>
      <c r="C775" t="s">
        <v>2955</v>
      </c>
      <c r="D775" t="str">
        <f t="shared" si="13"/>
        <v>SEE3020</v>
      </c>
      <c r="E775" t="s">
        <v>2933</v>
      </c>
    </row>
    <row r="776" spans="1:5" x14ac:dyDescent="0.25">
      <c r="A776">
        <v>1261</v>
      </c>
      <c r="B776" t="s">
        <v>562</v>
      </c>
      <c r="C776" t="s">
        <v>2956</v>
      </c>
      <c r="D776" t="str">
        <f t="shared" si="13"/>
        <v>SEE3021</v>
      </c>
      <c r="E776" t="s">
        <v>2933</v>
      </c>
    </row>
    <row r="777" spans="1:5" x14ac:dyDescent="0.25">
      <c r="A777">
        <v>1261</v>
      </c>
      <c r="B777" t="s">
        <v>562</v>
      </c>
      <c r="C777" t="s">
        <v>431</v>
      </c>
      <c r="D777" t="str">
        <f t="shared" si="13"/>
        <v>SEE3022</v>
      </c>
      <c r="E777" t="s">
        <v>2933</v>
      </c>
    </row>
    <row r="778" spans="1:5" x14ac:dyDescent="0.25">
      <c r="A778">
        <v>1261</v>
      </c>
      <c r="B778" t="s">
        <v>562</v>
      </c>
      <c r="C778" t="s">
        <v>2957</v>
      </c>
      <c r="D778" t="str">
        <f t="shared" si="13"/>
        <v>SEE3023</v>
      </c>
      <c r="E778" t="s">
        <v>2958</v>
      </c>
    </row>
    <row r="779" spans="1:5" x14ac:dyDescent="0.25">
      <c r="A779">
        <v>1261</v>
      </c>
      <c r="B779" t="s">
        <v>562</v>
      </c>
      <c r="C779" t="s">
        <v>441</v>
      </c>
      <c r="D779" t="str">
        <f t="shared" si="13"/>
        <v>SEE3024</v>
      </c>
      <c r="E779" t="s">
        <v>2933</v>
      </c>
    </row>
    <row r="780" spans="1:5" x14ac:dyDescent="0.25">
      <c r="A780">
        <v>1261</v>
      </c>
      <c r="B780" t="s">
        <v>562</v>
      </c>
      <c r="C780" t="s">
        <v>2959</v>
      </c>
      <c r="D780" t="str">
        <f t="shared" si="13"/>
        <v>SEE3025</v>
      </c>
      <c r="E780" t="s">
        <v>2933</v>
      </c>
    </row>
    <row r="781" spans="1:5" x14ac:dyDescent="0.25">
      <c r="A781">
        <v>1261</v>
      </c>
      <c r="B781" t="s">
        <v>562</v>
      </c>
      <c r="C781" t="s">
        <v>2960</v>
      </c>
      <c r="D781" t="str">
        <f t="shared" si="13"/>
        <v>SEE3026</v>
      </c>
      <c r="E781" t="s">
        <v>2958</v>
      </c>
    </row>
    <row r="782" spans="1:5" x14ac:dyDescent="0.25">
      <c r="A782">
        <v>1261</v>
      </c>
      <c r="B782" t="s">
        <v>562</v>
      </c>
      <c r="C782" t="s">
        <v>2961</v>
      </c>
      <c r="D782" t="str">
        <f t="shared" si="13"/>
        <v>SEE3027</v>
      </c>
      <c r="E782" t="s">
        <v>2933</v>
      </c>
    </row>
    <row r="783" spans="1:5" x14ac:dyDescent="0.25">
      <c r="A783">
        <v>1261</v>
      </c>
      <c r="B783" t="s">
        <v>562</v>
      </c>
      <c r="C783" t="s">
        <v>2984</v>
      </c>
      <c r="D783" t="str">
        <f t="shared" si="13"/>
        <v>SEE3029</v>
      </c>
      <c r="E783" t="s">
        <v>2933</v>
      </c>
    </row>
    <row r="784" spans="1:5" x14ac:dyDescent="0.25">
      <c r="A784">
        <v>1261</v>
      </c>
      <c r="B784" t="s">
        <v>562</v>
      </c>
      <c r="C784" t="s">
        <v>467</v>
      </c>
      <c r="D784" t="str">
        <f t="shared" si="13"/>
        <v>SEE3030</v>
      </c>
      <c r="E784" t="s">
        <v>2933</v>
      </c>
    </row>
    <row r="785" spans="1:5" x14ac:dyDescent="0.25">
      <c r="A785">
        <v>1261</v>
      </c>
      <c r="B785" t="s">
        <v>562</v>
      </c>
      <c r="C785" t="s">
        <v>470</v>
      </c>
      <c r="D785" t="str">
        <f t="shared" si="13"/>
        <v>SEE3031</v>
      </c>
      <c r="E785" t="s">
        <v>2933</v>
      </c>
    </row>
    <row r="786" spans="1:5" x14ac:dyDescent="0.25">
      <c r="A786">
        <v>1261</v>
      </c>
      <c r="B786" t="s">
        <v>562</v>
      </c>
      <c r="C786" t="s">
        <v>2963</v>
      </c>
      <c r="D786" t="str">
        <f t="shared" si="13"/>
        <v>SEE3032</v>
      </c>
      <c r="E786" t="s">
        <v>2933</v>
      </c>
    </row>
    <row r="787" spans="1:5" x14ac:dyDescent="0.25">
      <c r="A787">
        <v>1261</v>
      </c>
      <c r="B787" t="s">
        <v>562</v>
      </c>
      <c r="C787" t="s">
        <v>487</v>
      </c>
      <c r="D787" t="str">
        <f t="shared" si="13"/>
        <v>SEE3040</v>
      </c>
      <c r="E787" t="s">
        <v>2933</v>
      </c>
    </row>
    <row r="788" spans="1:5" x14ac:dyDescent="0.25">
      <c r="A788">
        <v>1261</v>
      </c>
      <c r="B788" t="s">
        <v>562</v>
      </c>
      <c r="C788" t="s">
        <v>2993</v>
      </c>
      <c r="D788" t="str">
        <f t="shared" si="13"/>
        <v>SEE3041</v>
      </c>
      <c r="E788" t="s">
        <v>2933</v>
      </c>
    </row>
    <row r="789" spans="1:5" x14ac:dyDescent="0.25">
      <c r="A789">
        <v>1261</v>
      </c>
      <c r="B789" t="s">
        <v>562</v>
      </c>
      <c r="C789" t="s">
        <v>491</v>
      </c>
      <c r="D789" t="str">
        <f t="shared" si="13"/>
        <v>SEE3099</v>
      </c>
      <c r="E789" t="s">
        <v>2933</v>
      </c>
    </row>
    <row r="790" spans="1:5" x14ac:dyDescent="0.25">
      <c r="A790">
        <v>1261</v>
      </c>
      <c r="B790" t="s">
        <v>562</v>
      </c>
      <c r="C790" t="s">
        <v>2967</v>
      </c>
      <c r="D790" t="str">
        <f t="shared" si="13"/>
        <v>SEE3101</v>
      </c>
      <c r="E790" t="s">
        <v>2968</v>
      </c>
    </row>
    <row r="791" spans="1:5" x14ac:dyDescent="0.25">
      <c r="A791">
        <v>1261</v>
      </c>
      <c r="B791" t="s">
        <v>562</v>
      </c>
      <c r="C791" t="s">
        <v>257</v>
      </c>
      <c r="D791" t="str">
        <f t="shared" si="13"/>
        <v>SEE3102</v>
      </c>
      <c r="E791" t="s">
        <v>2968</v>
      </c>
    </row>
    <row r="792" spans="1:5" x14ac:dyDescent="0.25">
      <c r="A792">
        <v>1261</v>
      </c>
      <c r="B792" t="s">
        <v>562</v>
      </c>
      <c r="C792" t="s">
        <v>278</v>
      </c>
      <c r="D792" t="str">
        <f t="shared" si="13"/>
        <v>SEE3103</v>
      </c>
      <c r="E792" t="s">
        <v>2968</v>
      </c>
    </row>
    <row r="793" spans="1:5" x14ac:dyDescent="0.25">
      <c r="A793">
        <v>1261</v>
      </c>
      <c r="B793" t="s">
        <v>562</v>
      </c>
      <c r="C793" t="s">
        <v>294</v>
      </c>
      <c r="D793" t="str">
        <f t="shared" si="13"/>
        <v>SEE3104</v>
      </c>
      <c r="E793" t="s">
        <v>2968</v>
      </c>
    </row>
    <row r="794" spans="1:5" x14ac:dyDescent="0.25">
      <c r="A794">
        <v>1261</v>
      </c>
      <c r="B794" t="s">
        <v>562</v>
      </c>
      <c r="C794" t="s">
        <v>227</v>
      </c>
      <c r="D794" t="str">
        <f t="shared" si="13"/>
        <v>SEE3201</v>
      </c>
      <c r="E794" t="s">
        <v>2968</v>
      </c>
    </row>
    <row r="795" spans="1:5" x14ac:dyDescent="0.25">
      <c r="A795">
        <v>1261</v>
      </c>
      <c r="B795" t="s">
        <v>562</v>
      </c>
      <c r="C795" t="s">
        <v>54</v>
      </c>
      <c r="D795" t="str">
        <f t="shared" si="13"/>
        <v>SEE3301</v>
      </c>
      <c r="E795" t="s">
        <v>44</v>
      </c>
    </row>
    <row r="796" spans="1:5" x14ac:dyDescent="0.25">
      <c r="A796">
        <v>1261</v>
      </c>
      <c r="B796" t="s">
        <v>562</v>
      </c>
      <c r="C796" t="s">
        <v>2975</v>
      </c>
      <c r="D796" t="str">
        <f t="shared" si="13"/>
        <v>SEE3302</v>
      </c>
      <c r="E796" t="s">
        <v>44</v>
      </c>
    </row>
    <row r="797" spans="1:5" x14ac:dyDescent="0.25">
      <c r="A797">
        <v>1261</v>
      </c>
      <c r="B797" t="s">
        <v>562</v>
      </c>
      <c r="C797" t="s">
        <v>3200</v>
      </c>
      <c r="D797" t="str">
        <f t="shared" si="13"/>
        <v>SEE3303</v>
      </c>
      <c r="E797" t="s">
        <v>44</v>
      </c>
    </row>
    <row r="798" spans="1:5" x14ac:dyDescent="0.25">
      <c r="A798">
        <v>1261</v>
      </c>
      <c r="B798" t="s">
        <v>562</v>
      </c>
      <c r="C798" t="s">
        <v>2977</v>
      </c>
      <c r="D798" t="str">
        <f t="shared" si="13"/>
        <v>SEE3304</v>
      </c>
      <c r="E798" t="s">
        <v>44</v>
      </c>
    </row>
    <row r="799" spans="1:5" x14ac:dyDescent="0.25">
      <c r="A799">
        <v>1261</v>
      </c>
      <c r="B799" t="s">
        <v>562</v>
      </c>
      <c r="C799" t="s">
        <v>309</v>
      </c>
      <c r="D799" t="str">
        <f t="shared" si="13"/>
        <v>SEE3305</v>
      </c>
      <c r="E799" t="s">
        <v>2968</v>
      </c>
    </row>
    <row r="800" spans="1:5" x14ac:dyDescent="0.25">
      <c r="A800">
        <v>1261</v>
      </c>
      <c r="B800" t="s">
        <v>562</v>
      </c>
      <c r="C800" t="s">
        <v>228</v>
      </c>
      <c r="D800" t="str">
        <f t="shared" si="13"/>
        <v>SEE3401</v>
      </c>
      <c r="E800" t="s">
        <v>3231</v>
      </c>
    </row>
    <row r="801" spans="1:5" x14ac:dyDescent="0.25">
      <c r="A801">
        <v>1261</v>
      </c>
      <c r="B801" t="s">
        <v>562</v>
      </c>
      <c r="C801" t="s">
        <v>280</v>
      </c>
      <c r="D801" t="str">
        <f t="shared" si="13"/>
        <v>SEE3403</v>
      </c>
      <c r="E801" t="s">
        <v>3081</v>
      </c>
    </row>
    <row r="802" spans="1:5" x14ac:dyDescent="0.25">
      <c r="A802">
        <v>1261</v>
      </c>
      <c r="B802" t="s">
        <v>562</v>
      </c>
      <c r="C802" t="s">
        <v>296</v>
      </c>
      <c r="D802" t="str">
        <f t="shared" si="13"/>
        <v>SEE3404</v>
      </c>
      <c r="E802" t="s">
        <v>3081</v>
      </c>
    </row>
    <row r="803" spans="1:5" x14ac:dyDescent="0.25">
      <c r="A803">
        <v>1261</v>
      </c>
      <c r="B803" t="s">
        <v>562</v>
      </c>
      <c r="C803" t="s">
        <v>3232</v>
      </c>
      <c r="D803" t="str">
        <f t="shared" si="13"/>
        <v>SEE3405</v>
      </c>
      <c r="E803" t="s">
        <v>2926</v>
      </c>
    </row>
    <row r="804" spans="1:5" x14ac:dyDescent="0.25">
      <c r="A804">
        <v>1261</v>
      </c>
      <c r="B804" t="s">
        <v>562</v>
      </c>
      <c r="C804" t="s">
        <v>3233</v>
      </c>
      <c r="D804" t="str">
        <f t="shared" si="13"/>
        <v>SEE3501</v>
      </c>
      <c r="E804" t="s">
        <v>2968</v>
      </c>
    </row>
    <row r="805" spans="1:5" x14ac:dyDescent="0.25">
      <c r="A805">
        <v>1261</v>
      </c>
      <c r="B805" t="s">
        <v>562</v>
      </c>
      <c r="C805" t="s">
        <v>3201</v>
      </c>
      <c r="D805" t="str">
        <f t="shared" si="13"/>
        <v>SEE3502</v>
      </c>
      <c r="E805" t="s">
        <v>1660</v>
      </c>
    </row>
    <row r="806" spans="1:5" x14ac:dyDescent="0.25">
      <c r="A806">
        <v>1261</v>
      </c>
      <c r="B806" t="s">
        <v>562</v>
      </c>
      <c r="C806" t="s">
        <v>281</v>
      </c>
      <c r="D806" t="str">
        <f t="shared" si="13"/>
        <v>SEE3503</v>
      </c>
      <c r="E806" t="s">
        <v>2968</v>
      </c>
    </row>
    <row r="807" spans="1:5" x14ac:dyDescent="0.25">
      <c r="A807">
        <v>1261</v>
      </c>
      <c r="B807" t="s">
        <v>562</v>
      </c>
      <c r="C807" t="s">
        <v>3012</v>
      </c>
      <c r="D807" t="str">
        <f t="shared" si="13"/>
        <v>SEE3601</v>
      </c>
      <c r="E807" t="s">
        <v>65</v>
      </c>
    </row>
    <row r="808" spans="1:5" x14ac:dyDescent="0.25">
      <c r="A808">
        <v>1261</v>
      </c>
      <c r="B808" t="s">
        <v>562</v>
      </c>
      <c r="C808" t="s">
        <v>297</v>
      </c>
      <c r="D808" t="str">
        <f t="shared" si="13"/>
        <v>SEE3604</v>
      </c>
      <c r="E808" t="s">
        <v>44</v>
      </c>
    </row>
    <row r="809" spans="1:5" x14ac:dyDescent="0.25">
      <c r="A809">
        <v>1261</v>
      </c>
      <c r="B809" t="s">
        <v>562</v>
      </c>
      <c r="C809" t="s">
        <v>3234</v>
      </c>
      <c r="D809" t="str">
        <f t="shared" si="13"/>
        <v>SEE3605</v>
      </c>
      <c r="E809" t="s">
        <v>2968</v>
      </c>
    </row>
    <row r="810" spans="1:5" x14ac:dyDescent="0.25">
      <c r="A810">
        <v>1261</v>
      </c>
      <c r="B810" t="s">
        <v>562</v>
      </c>
      <c r="C810" t="s">
        <v>355</v>
      </c>
      <c r="D810" t="str">
        <f t="shared" si="13"/>
        <v>SEE3610</v>
      </c>
      <c r="E810" t="s">
        <v>2968</v>
      </c>
    </row>
    <row r="811" spans="1:5" x14ac:dyDescent="0.25">
      <c r="A811">
        <v>1261</v>
      </c>
      <c r="B811" t="s">
        <v>562</v>
      </c>
      <c r="C811" t="s">
        <v>3021</v>
      </c>
      <c r="D811" t="str">
        <f t="shared" si="13"/>
        <v>SEE3611</v>
      </c>
      <c r="E811" t="s">
        <v>3107</v>
      </c>
    </row>
    <row r="812" spans="1:5" x14ac:dyDescent="0.25">
      <c r="A812">
        <v>1261</v>
      </c>
      <c r="B812" t="s">
        <v>562</v>
      </c>
      <c r="C812" t="s">
        <v>2979</v>
      </c>
      <c r="D812" t="str">
        <f t="shared" si="13"/>
        <v>SEE3612</v>
      </c>
      <c r="E812" t="s">
        <v>2968</v>
      </c>
    </row>
    <row r="813" spans="1:5" x14ac:dyDescent="0.25">
      <c r="A813">
        <v>1261</v>
      </c>
      <c r="B813" t="s">
        <v>562</v>
      </c>
      <c r="C813" t="s">
        <v>383</v>
      </c>
      <c r="D813" t="str">
        <f t="shared" si="13"/>
        <v>SEE3614</v>
      </c>
      <c r="E813" t="s">
        <v>2968</v>
      </c>
    </row>
    <row r="814" spans="1:5" x14ac:dyDescent="0.25">
      <c r="A814">
        <v>1261</v>
      </c>
      <c r="B814" t="s">
        <v>562</v>
      </c>
      <c r="C814" t="s">
        <v>389</v>
      </c>
      <c r="D814" t="str">
        <f t="shared" si="13"/>
        <v>SEE3615</v>
      </c>
      <c r="E814" t="s">
        <v>3006</v>
      </c>
    </row>
    <row r="815" spans="1:5" x14ac:dyDescent="0.25">
      <c r="A815">
        <v>1261</v>
      </c>
      <c r="B815" t="s">
        <v>562</v>
      </c>
      <c r="C815" t="s">
        <v>3023</v>
      </c>
      <c r="D815" t="str">
        <f t="shared" si="13"/>
        <v>SEE3616</v>
      </c>
      <c r="E815" t="s">
        <v>2958</v>
      </c>
    </row>
    <row r="816" spans="1:5" x14ac:dyDescent="0.25">
      <c r="A816">
        <v>1261</v>
      </c>
      <c r="B816" t="s">
        <v>562</v>
      </c>
      <c r="C816" t="s">
        <v>401</v>
      </c>
      <c r="D816" t="str">
        <f t="shared" si="13"/>
        <v>SEE3617</v>
      </c>
      <c r="E816" t="s">
        <v>2968</v>
      </c>
    </row>
    <row r="817" spans="1:5" x14ac:dyDescent="0.25">
      <c r="A817">
        <v>1261</v>
      </c>
      <c r="B817" t="s">
        <v>562</v>
      </c>
      <c r="C817" t="s">
        <v>412</v>
      </c>
      <c r="D817" t="str">
        <f t="shared" si="13"/>
        <v>SEE3619</v>
      </c>
      <c r="E817" t="s">
        <v>2968</v>
      </c>
    </row>
    <row r="818" spans="1:5" x14ac:dyDescent="0.25">
      <c r="A818">
        <v>1261</v>
      </c>
      <c r="B818" t="s">
        <v>562</v>
      </c>
      <c r="C818" t="s">
        <v>427</v>
      </c>
      <c r="D818" t="str">
        <f t="shared" si="13"/>
        <v>SEE3622</v>
      </c>
      <c r="E818" t="s">
        <v>3107</v>
      </c>
    </row>
    <row r="819" spans="1:5" x14ac:dyDescent="0.25">
      <c r="A819">
        <v>1261</v>
      </c>
      <c r="B819" t="s">
        <v>562</v>
      </c>
      <c r="C819" t="s">
        <v>442</v>
      </c>
      <c r="D819" t="str">
        <f t="shared" si="13"/>
        <v>SEE3625</v>
      </c>
      <c r="E819" t="s">
        <v>2968</v>
      </c>
    </row>
    <row r="820" spans="1:5" x14ac:dyDescent="0.25">
      <c r="A820">
        <v>1261</v>
      </c>
      <c r="B820" t="s">
        <v>562</v>
      </c>
      <c r="C820" t="s">
        <v>447</v>
      </c>
      <c r="D820" t="str">
        <f t="shared" si="13"/>
        <v>SEE3626</v>
      </c>
      <c r="E820" t="s">
        <v>2933</v>
      </c>
    </row>
    <row r="821" spans="1:5" x14ac:dyDescent="0.25">
      <c r="A821">
        <v>1261</v>
      </c>
      <c r="B821" t="s">
        <v>562</v>
      </c>
      <c r="C821" t="s">
        <v>468</v>
      </c>
      <c r="D821" t="str">
        <f t="shared" si="13"/>
        <v>SEE3631</v>
      </c>
      <c r="E821" t="s">
        <v>3004</v>
      </c>
    </row>
    <row r="822" spans="1:5" x14ac:dyDescent="0.25">
      <c r="A822">
        <v>1261</v>
      </c>
      <c r="B822" t="s">
        <v>562</v>
      </c>
      <c r="C822" t="s">
        <v>471</v>
      </c>
      <c r="D822" t="str">
        <f t="shared" si="13"/>
        <v>SEE3699</v>
      </c>
      <c r="E822" t="s">
        <v>2968</v>
      </c>
    </row>
    <row r="823" spans="1:5" x14ac:dyDescent="0.25">
      <c r="A823">
        <v>1261</v>
      </c>
      <c r="B823" t="s">
        <v>562</v>
      </c>
      <c r="C823" t="s">
        <v>3050</v>
      </c>
      <c r="D823" t="str">
        <f t="shared" si="13"/>
        <v>SEE3702</v>
      </c>
      <c r="E823" t="s">
        <v>2981</v>
      </c>
    </row>
    <row r="824" spans="1:5" x14ac:dyDescent="0.25">
      <c r="A824">
        <v>1261</v>
      </c>
      <c r="B824" t="s">
        <v>562</v>
      </c>
      <c r="C824" t="s">
        <v>2983</v>
      </c>
      <c r="D824" t="str">
        <f t="shared" si="13"/>
        <v>SEE3703</v>
      </c>
      <c r="E824" t="s">
        <v>117</v>
      </c>
    </row>
    <row r="825" spans="1:5" x14ac:dyDescent="0.25">
      <c r="A825">
        <v>1261</v>
      </c>
      <c r="B825" t="s">
        <v>562</v>
      </c>
      <c r="C825" t="s">
        <v>2985</v>
      </c>
      <c r="D825" t="str">
        <f t="shared" si="13"/>
        <v>SEE3704</v>
      </c>
      <c r="E825" t="s">
        <v>117</v>
      </c>
    </row>
    <row r="826" spans="1:5" x14ac:dyDescent="0.25">
      <c r="A826">
        <v>1261</v>
      </c>
      <c r="B826" t="s">
        <v>562</v>
      </c>
      <c r="C826" t="s">
        <v>2986</v>
      </c>
      <c r="D826" t="str">
        <f t="shared" si="13"/>
        <v>SEE3705</v>
      </c>
      <c r="E826" t="s">
        <v>117</v>
      </c>
    </row>
    <row r="827" spans="1:5" x14ac:dyDescent="0.25">
      <c r="A827">
        <v>1261</v>
      </c>
      <c r="B827" t="s">
        <v>562</v>
      </c>
      <c r="C827" t="s">
        <v>233</v>
      </c>
      <c r="D827" t="str">
        <f t="shared" si="13"/>
        <v>SEE3901</v>
      </c>
      <c r="E827" t="s">
        <v>2926</v>
      </c>
    </row>
    <row r="828" spans="1:5" x14ac:dyDescent="0.25">
      <c r="A828">
        <v>1261</v>
      </c>
      <c r="B828" t="s">
        <v>562</v>
      </c>
      <c r="C828" t="s">
        <v>2988</v>
      </c>
      <c r="D828" t="str">
        <f t="shared" si="13"/>
        <v>SEE3903</v>
      </c>
      <c r="E828" t="s">
        <v>87</v>
      </c>
    </row>
    <row r="829" spans="1:5" x14ac:dyDescent="0.25">
      <c r="A829">
        <v>1261</v>
      </c>
      <c r="B829" t="s">
        <v>562</v>
      </c>
      <c r="C829" t="s">
        <v>299</v>
      </c>
      <c r="D829" t="str">
        <f t="shared" si="13"/>
        <v>SEE3904</v>
      </c>
      <c r="E829" t="s">
        <v>2968</v>
      </c>
    </row>
    <row r="830" spans="1:5" x14ac:dyDescent="0.25">
      <c r="A830">
        <v>1261</v>
      </c>
      <c r="B830" t="s">
        <v>562</v>
      </c>
      <c r="C830" t="s">
        <v>326</v>
      </c>
      <c r="D830" t="str">
        <f t="shared" si="13"/>
        <v>SEE3906</v>
      </c>
      <c r="E830" t="s">
        <v>2968</v>
      </c>
    </row>
    <row r="831" spans="1:5" x14ac:dyDescent="0.25">
      <c r="A831">
        <v>1261</v>
      </c>
      <c r="B831" t="s">
        <v>562</v>
      </c>
      <c r="C831" t="s">
        <v>2989</v>
      </c>
      <c r="D831" t="str">
        <f t="shared" si="13"/>
        <v>SEE3908</v>
      </c>
      <c r="E831" t="s">
        <v>2968</v>
      </c>
    </row>
    <row r="832" spans="1:5" x14ac:dyDescent="0.25">
      <c r="A832">
        <v>1261</v>
      </c>
      <c r="B832" t="s">
        <v>562</v>
      </c>
      <c r="C832" t="s">
        <v>336</v>
      </c>
      <c r="D832" t="str">
        <f t="shared" si="13"/>
        <v>SEE3909</v>
      </c>
      <c r="E832" t="s">
        <v>2968</v>
      </c>
    </row>
    <row r="833" spans="1:5" x14ac:dyDescent="0.25">
      <c r="A833">
        <v>1261</v>
      </c>
      <c r="B833" t="s">
        <v>562</v>
      </c>
      <c r="C833" t="s">
        <v>346</v>
      </c>
      <c r="D833" t="str">
        <f t="shared" si="13"/>
        <v>SEE3910</v>
      </c>
      <c r="E833" t="s">
        <v>2968</v>
      </c>
    </row>
    <row r="834" spans="1:5" x14ac:dyDescent="0.25">
      <c r="A834">
        <v>1261</v>
      </c>
      <c r="B834" t="s">
        <v>562</v>
      </c>
      <c r="C834" t="s">
        <v>356</v>
      </c>
      <c r="D834" t="str">
        <f t="shared" si="13"/>
        <v>SEE3911</v>
      </c>
      <c r="E834" t="s">
        <v>2968</v>
      </c>
    </row>
    <row r="835" spans="1:5" x14ac:dyDescent="0.25">
      <c r="A835">
        <v>1261</v>
      </c>
      <c r="B835" t="s">
        <v>562</v>
      </c>
      <c r="C835" t="s">
        <v>2991</v>
      </c>
      <c r="D835" t="str">
        <f t="shared" si="13"/>
        <v>SEE3912</v>
      </c>
      <c r="E835" t="s">
        <v>2992</v>
      </c>
    </row>
    <row r="836" spans="1:5" x14ac:dyDescent="0.25">
      <c r="A836">
        <v>1261</v>
      </c>
      <c r="B836" t="s">
        <v>562</v>
      </c>
      <c r="C836" t="s">
        <v>2994</v>
      </c>
      <c r="D836" t="str">
        <f t="shared" ref="D836:D899" si="14">CONCATENATE(B836,LEFT(C836,4))</f>
        <v>SEE3913</v>
      </c>
      <c r="E836" t="s">
        <v>2992</v>
      </c>
    </row>
    <row r="837" spans="1:5" x14ac:dyDescent="0.25">
      <c r="A837">
        <v>1261</v>
      </c>
      <c r="B837" t="s">
        <v>562</v>
      </c>
      <c r="C837" t="s">
        <v>377</v>
      </c>
      <c r="D837" t="str">
        <f t="shared" si="14"/>
        <v>SEE3914</v>
      </c>
      <c r="E837" t="s">
        <v>3009</v>
      </c>
    </row>
    <row r="838" spans="1:5" x14ac:dyDescent="0.25">
      <c r="A838">
        <v>1261</v>
      </c>
      <c r="B838" t="s">
        <v>562</v>
      </c>
      <c r="C838" t="s">
        <v>384</v>
      </c>
      <c r="D838" t="str">
        <f t="shared" si="14"/>
        <v>SEE3915</v>
      </c>
      <c r="E838" t="s">
        <v>2992</v>
      </c>
    </row>
    <row r="839" spans="1:5" x14ac:dyDescent="0.25">
      <c r="A839">
        <v>1261</v>
      </c>
      <c r="B839" t="s">
        <v>562</v>
      </c>
      <c r="C839" t="s">
        <v>2996</v>
      </c>
      <c r="D839" t="str">
        <f t="shared" si="14"/>
        <v>SEE3917</v>
      </c>
      <c r="E839" t="s">
        <v>2958</v>
      </c>
    </row>
    <row r="840" spans="1:5" x14ac:dyDescent="0.25">
      <c r="A840">
        <v>1261</v>
      </c>
      <c r="B840" t="s">
        <v>562</v>
      </c>
      <c r="C840" t="s">
        <v>2998</v>
      </c>
      <c r="D840" t="str">
        <f t="shared" si="14"/>
        <v>SEE3918</v>
      </c>
      <c r="E840" t="s">
        <v>2958</v>
      </c>
    </row>
    <row r="841" spans="1:5" x14ac:dyDescent="0.25">
      <c r="A841">
        <v>1261</v>
      </c>
      <c r="B841" t="s">
        <v>562</v>
      </c>
      <c r="C841" t="s">
        <v>3000</v>
      </c>
      <c r="D841" t="str">
        <f t="shared" si="14"/>
        <v>SEE3919</v>
      </c>
      <c r="E841" t="s">
        <v>3001</v>
      </c>
    </row>
    <row r="842" spans="1:5" x14ac:dyDescent="0.25">
      <c r="A842">
        <v>1261</v>
      </c>
      <c r="B842" t="s">
        <v>562</v>
      </c>
      <c r="C842" t="s">
        <v>3077</v>
      </c>
      <c r="D842" t="str">
        <f t="shared" si="14"/>
        <v>SEE3920</v>
      </c>
      <c r="E842" t="s">
        <v>3107</v>
      </c>
    </row>
    <row r="843" spans="1:5" x14ac:dyDescent="0.25">
      <c r="A843">
        <v>1261</v>
      </c>
      <c r="B843" t="s">
        <v>562</v>
      </c>
      <c r="C843" t="s">
        <v>3002</v>
      </c>
      <c r="D843" t="str">
        <f t="shared" si="14"/>
        <v>SEE3921</v>
      </c>
      <c r="E843" t="s">
        <v>3001</v>
      </c>
    </row>
    <row r="844" spans="1:5" x14ac:dyDescent="0.25">
      <c r="A844">
        <v>1261</v>
      </c>
      <c r="B844" t="s">
        <v>562</v>
      </c>
      <c r="C844" t="s">
        <v>3003</v>
      </c>
      <c r="D844" t="str">
        <f t="shared" si="14"/>
        <v>SEE3922</v>
      </c>
      <c r="E844" t="s">
        <v>2954</v>
      </c>
    </row>
    <row r="845" spans="1:5" x14ac:dyDescent="0.25">
      <c r="A845">
        <v>1261</v>
      </c>
      <c r="B845" t="s">
        <v>562</v>
      </c>
      <c r="C845" t="s">
        <v>566</v>
      </c>
      <c r="D845" t="str">
        <f t="shared" si="14"/>
        <v>SEE3924</v>
      </c>
      <c r="E845" t="s">
        <v>3004</v>
      </c>
    </row>
    <row r="846" spans="1:5" x14ac:dyDescent="0.25">
      <c r="A846">
        <v>1261</v>
      </c>
      <c r="B846" t="s">
        <v>562</v>
      </c>
      <c r="C846" t="s">
        <v>438</v>
      </c>
      <c r="D846" t="str">
        <f t="shared" si="14"/>
        <v>SEE3925</v>
      </c>
      <c r="E846" t="s">
        <v>3006</v>
      </c>
    </row>
    <row r="847" spans="1:5" x14ac:dyDescent="0.25">
      <c r="A847">
        <v>1261</v>
      </c>
      <c r="B847" t="s">
        <v>562</v>
      </c>
      <c r="C847" t="s">
        <v>443</v>
      </c>
      <c r="D847" t="str">
        <f t="shared" si="14"/>
        <v>SEE3926</v>
      </c>
      <c r="E847" t="s">
        <v>3006</v>
      </c>
    </row>
    <row r="848" spans="1:5" x14ac:dyDescent="0.25">
      <c r="A848">
        <v>1261</v>
      </c>
      <c r="B848" t="s">
        <v>562</v>
      </c>
      <c r="C848" t="s">
        <v>3008</v>
      </c>
      <c r="D848" t="str">
        <f t="shared" si="14"/>
        <v>SEE3927</v>
      </c>
      <c r="E848" t="s">
        <v>3009</v>
      </c>
    </row>
    <row r="849" spans="1:5" x14ac:dyDescent="0.25">
      <c r="A849">
        <v>1261</v>
      </c>
      <c r="B849" t="s">
        <v>562</v>
      </c>
      <c r="C849" t="s">
        <v>458</v>
      </c>
      <c r="D849" t="str">
        <f t="shared" si="14"/>
        <v>SEE3930</v>
      </c>
      <c r="E849" t="s">
        <v>2968</v>
      </c>
    </row>
    <row r="850" spans="1:5" x14ac:dyDescent="0.25">
      <c r="A850">
        <v>1261</v>
      </c>
      <c r="B850" t="s">
        <v>562</v>
      </c>
      <c r="C850" t="s">
        <v>1481</v>
      </c>
      <c r="D850" t="str">
        <f t="shared" si="14"/>
        <v>SEE3931</v>
      </c>
      <c r="E850" t="s">
        <v>2968</v>
      </c>
    </row>
    <row r="851" spans="1:5" x14ac:dyDescent="0.25">
      <c r="A851">
        <v>1261</v>
      </c>
      <c r="B851" t="s">
        <v>562</v>
      </c>
      <c r="C851" t="s">
        <v>3017</v>
      </c>
      <c r="D851" t="str">
        <f t="shared" si="14"/>
        <v>SEE3936</v>
      </c>
      <c r="E851" t="s">
        <v>94</v>
      </c>
    </row>
    <row r="852" spans="1:5" x14ac:dyDescent="0.25">
      <c r="A852">
        <v>1261</v>
      </c>
      <c r="B852" t="s">
        <v>562</v>
      </c>
      <c r="C852" t="s">
        <v>3088</v>
      </c>
      <c r="D852" t="str">
        <f t="shared" si="14"/>
        <v>SEE3937</v>
      </c>
      <c r="E852" t="s">
        <v>3107</v>
      </c>
    </row>
    <row r="853" spans="1:5" x14ac:dyDescent="0.25">
      <c r="A853">
        <v>1261</v>
      </c>
      <c r="B853" t="s">
        <v>562</v>
      </c>
      <c r="C853" t="s">
        <v>3202</v>
      </c>
      <c r="D853" t="str">
        <f t="shared" si="14"/>
        <v>SEE3938</v>
      </c>
      <c r="E853" t="s">
        <v>2968</v>
      </c>
    </row>
    <row r="854" spans="1:5" x14ac:dyDescent="0.25">
      <c r="A854">
        <v>1261</v>
      </c>
      <c r="B854" t="s">
        <v>562</v>
      </c>
      <c r="C854" t="s">
        <v>3089</v>
      </c>
      <c r="D854" t="str">
        <f t="shared" si="14"/>
        <v>SEE3939</v>
      </c>
      <c r="E854" t="s">
        <v>2968</v>
      </c>
    </row>
    <row r="855" spans="1:5" x14ac:dyDescent="0.25">
      <c r="A855">
        <v>1261</v>
      </c>
      <c r="B855" t="s">
        <v>562</v>
      </c>
      <c r="C855" t="s">
        <v>3019</v>
      </c>
      <c r="D855" t="str">
        <f t="shared" si="14"/>
        <v>SEE3940</v>
      </c>
      <c r="E855" t="s">
        <v>3009</v>
      </c>
    </row>
    <row r="856" spans="1:5" x14ac:dyDescent="0.25">
      <c r="A856">
        <v>1261</v>
      </c>
      <c r="B856" t="s">
        <v>562</v>
      </c>
      <c r="C856" t="s">
        <v>480</v>
      </c>
      <c r="D856" t="str">
        <f t="shared" si="14"/>
        <v>SEE3941</v>
      </c>
      <c r="E856" t="s">
        <v>2968</v>
      </c>
    </row>
    <row r="857" spans="1:5" x14ac:dyDescent="0.25">
      <c r="A857">
        <v>1261</v>
      </c>
      <c r="B857" t="s">
        <v>562</v>
      </c>
      <c r="C857" t="s">
        <v>482</v>
      </c>
      <c r="D857" t="str">
        <f t="shared" si="14"/>
        <v>SEE3942</v>
      </c>
      <c r="E857" t="s">
        <v>2968</v>
      </c>
    </row>
    <row r="858" spans="1:5" x14ac:dyDescent="0.25">
      <c r="A858">
        <v>1261</v>
      </c>
      <c r="B858" t="s">
        <v>562</v>
      </c>
      <c r="C858" t="s">
        <v>3020</v>
      </c>
      <c r="D858" t="str">
        <f t="shared" si="14"/>
        <v>SEE3943</v>
      </c>
      <c r="E858" t="s">
        <v>2958</v>
      </c>
    </row>
    <row r="859" spans="1:5" x14ac:dyDescent="0.25">
      <c r="A859">
        <v>1261</v>
      </c>
      <c r="B859" t="s">
        <v>562</v>
      </c>
      <c r="C859" t="s">
        <v>488</v>
      </c>
      <c r="D859" t="str">
        <f t="shared" si="14"/>
        <v>SEE3946</v>
      </c>
      <c r="E859" t="s">
        <v>3235</v>
      </c>
    </row>
    <row r="860" spans="1:5" x14ac:dyDescent="0.25">
      <c r="A860">
        <v>1261</v>
      </c>
      <c r="B860" t="s">
        <v>562</v>
      </c>
      <c r="C860" t="s">
        <v>490</v>
      </c>
      <c r="D860" t="str">
        <f t="shared" si="14"/>
        <v>SEE3947</v>
      </c>
      <c r="E860" t="s">
        <v>3049</v>
      </c>
    </row>
    <row r="861" spans="1:5" x14ac:dyDescent="0.25">
      <c r="A861">
        <v>1261</v>
      </c>
      <c r="B861" t="s">
        <v>562</v>
      </c>
      <c r="C861" t="s">
        <v>492</v>
      </c>
      <c r="D861" t="str">
        <f t="shared" si="14"/>
        <v>SEE3948</v>
      </c>
      <c r="E861" t="s">
        <v>3004</v>
      </c>
    </row>
    <row r="862" spans="1:5" x14ac:dyDescent="0.25">
      <c r="A862">
        <v>1261</v>
      </c>
      <c r="B862" t="s">
        <v>562</v>
      </c>
      <c r="C862" t="s">
        <v>3096</v>
      </c>
      <c r="D862" t="str">
        <f t="shared" si="14"/>
        <v>SEE3949</v>
      </c>
      <c r="E862" t="s">
        <v>3004</v>
      </c>
    </row>
    <row r="863" spans="1:5" x14ac:dyDescent="0.25">
      <c r="A863">
        <v>1261</v>
      </c>
      <c r="B863" t="s">
        <v>562</v>
      </c>
      <c r="C863" t="s">
        <v>3022</v>
      </c>
      <c r="D863" t="str">
        <f t="shared" si="14"/>
        <v>SEE3950</v>
      </c>
      <c r="E863" t="s">
        <v>44</v>
      </c>
    </row>
    <row r="864" spans="1:5" x14ac:dyDescent="0.25">
      <c r="A864">
        <v>1261</v>
      </c>
      <c r="B864" t="s">
        <v>562</v>
      </c>
      <c r="C864" t="s">
        <v>495</v>
      </c>
      <c r="D864" t="str">
        <f t="shared" si="14"/>
        <v>SEE3951</v>
      </c>
      <c r="E864" t="s">
        <v>3052</v>
      </c>
    </row>
    <row r="865" spans="1:5" x14ac:dyDescent="0.25">
      <c r="A865">
        <v>1261</v>
      </c>
      <c r="B865" t="s">
        <v>562</v>
      </c>
      <c r="C865" t="s">
        <v>3098</v>
      </c>
      <c r="D865" t="str">
        <f t="shared" si="14"/>
        <v>SEE3952</v>
      </c>
      <c r="E865" t="s">
        <v>65</v>
      </c>
    </row>
    <row r="866" spans="1:5" x14ac:dyDescent="0.25">
      <c r="A866">
        <v>1261</v>
      </c>
      <c r="B866" t="s">
        <v>562</v>
      </c>
      <c r="C866" t="s">
        <v>496</v>
      </c>
      <c r="D866" t="str">
        <f t="shared" si="14"/>
        <v>SEE3953</v>
      </c>
      <c r="E866" t="s">
        <v>3004</v>
      </c>
    </row>
    <row r="867" spans="1:5" x14ac:dyDescent="0.25">
      <c r="A867">
        <v>1261</v>
      </c>
      <c r="B867" t="s">
        <v>562</v>
      </c>
      <c r="C867" t="s">
        <v>498</v>
      </c>
      <c r="D867" t="str">
        <f t="shared" si="14"/>
        <v>SEE3955</v>
      </c>
      <c r="E867" t="s">
        <v>2968</v>
      </c>
    </row>
    <row r="868" spans="1:5" x14ac:dyDescent="0.25">
      <c r="A868">
        <v>1261</v>
      </c>
      <c r="B868" t="s">
        <v>562</v>
      </c>
      <c r="C868" t="s">
        <v>499</v>
      </c>
      <c r="D868" t="str">
        <f t="shared" si="14"/>
        <v>SEE3956</v>
      </c>
      <c r="E868" t="s">
        <v>2968</v>
      </c>
    </row>
    <row r="869" spans="1:5" x14ac:dyDescent="0.25">
      <c r="A869">
        <v>1261</v>
      </c>
      <c r="B869" t="s">
        <v>562</v>
      </c>
      <c r="C869" t="s">
        <v>3025</v>
      </c>
      <c r="D869" t="str">
        <f t="shared" si="14"/>
        <v>SEE3959</v>
      </c>
      <c r="E869" t="s">
        <v>2968</v>
      </c>
    </row>
    <row r="870" spans="1:5" x14ac:dyDescent="0.25">
      <c r="A870">
        <v>1261</v>
      </c>
      <c r="B870" t="s">
        <v>562</v>
      </c>
      <c r="C870" t="s">
        <v>3027</v>
      </c>
      <c r="D870" t="str">
        <f t="shared" si="14"/>
        <v>SEE3961</v>
      </c>
      <c r="E870" t="s">
        <v>2981</v>
      </c>
    </row>
    <row r="871" spans="1:5" x14ac:dyDescent="0.25">
      <c r="A871">
        <v>1261</v>
      </c>
      <c r="B871" t="s">
        <v>562</v>
      </c>
      <c r="C871" t="s">
        <v>3103</v>
      </c>
      <c r="D871" t="str">
        <f t="shared" si="14"/>
        <v>SEE3962</v>
      </c>
      <c r="E871" t="s">
        <v>3033</v>
      </c>
    </row>
    <row r="872" spans="1:5" x14ac:dyDescent="0.25">
      <c r="A872">
        <v>1261</v>
      </c>
      <c r="B872" t="s">
        <v>562</v>
      </c>
      <c r="C872" t="s">
        <v>3104</v>
      </c>
      <c r="D872" t="str">
        <f t="shared" si="14"/>
        <v>SEE3964</v>
      </c>
      <c r="E872" t="s">
        <v>2968</v>
      </c>
    </row>
    <row r="873" spans="1:5" x14ac:dyDescent="0.25">
      <c r="A873">
        <v>1261</v>
      </c>
      <c r="B873" t="s">
        <v>562</v>
      </c>
      <c r="C873" t="s">
        <v>511</v>
      </c>
      <c r="D873" t="str">
        <f t="shared" si="14"/>
        <v>SEE3968</v>
      </c>
      <c r="E873" t="s">
        <v>2968</v>
      </c>
    </row>
    <row r="874" spans="1:5" x14ac:dyDescent="0.25">
      <c r="A874">
        <v>1261</v>
      </c>
      <c r="B874" t="s">
        <v>562</v>
      </c>
      <c r="C874" t="s">
        <v>1154</v>
      </c>
      <c r="D874" t="str">
        <f t="shared" si="14"/>
        <v>SEE3969</v>
      </c>
      <c r="E874" t="s">
        <v>2992</v>
      </c>
    </row>
    <row r="875" spans="1:5" x14ac:dyDescent="0.25">
      <c r="A875">
        <v>1261</v>
      </c>
      <c r="B875" t="s">
        <v>562</v>
      </c>
      <c r="C875" t="s">
        <v>3031</v>
      </c>
      <c r="D875" t="str">
        <f t="shared" si="14"/>
        <v>SEE3970</v>
      </c>
      <c r="E875" t="s">
        <v>3009</v>
      </c>
    </row>
    <row r="876" spans="1:5" x14ac:dyDescent="0.25">
      <c r="A876">
        <v>1261</v>
      </c>
      <c r="B876" t="s">
        <v>562</v>
      </c>
      <c r="C876" t="s">
        <v>513</v>
      </c>
      <c r="D876" t="str">
        <f t="shared" si="14"/>
        <v>SEE3971</v>
      </c>
      <c r="E876" t="s">
        <v>3033</v>
      </c>
    </row>
    <row r="877" spans="1:5" x14ac:dyDescent="0.25">
      <c r="A877">
        <v>1261</v>
      </c>
      <c r="B877" t="s">
        <v>562</v>
      </c>
      <c r="C877" t="s">
        <v>516</v>
      </c>
      <c r="D877" t="str">
        <f t="shared" si="14"/>
        <v>SEE3974</v>
      </c>
      <c r="E877" t="s">
        <v>3131</v>
      </c>
    </row>
    <row r="878" spans="1:5" x14ac:dyDescent="0.25">
      <c r="A878">
        <v>1261</v>
      </c>
      <c r="B878" t="s">
        <v>562</v>
      </c>
      <c r="C878" t="s">
        <v>520</v>
      </c>
      <c r="D878" t="str">
        <f t="shared" si="14"/>
        <v>SEE3978</v>
      </c>
      <c r="E878" t="s">
        <v>2981</v>
      </c>
    </row>
    <row r="879" spans="1:5" x14ac:dyDescent="0.25">
      <c r="A879">
        <v>1261</v>
      </c>
      <c r="B879" t="s">
        <v>562</v>
      </c>
      <c r="C879" t="s">
        <v>521</v>
      </c>
      <c r="D879" t="str">
        <f t="shared" si="14"/>
        <v>SEE3981</v>
      </c>
      <c r="E879" t="s">
        <v>2968</v>
      </c>
    </row>
    <row r="880" spans="1:5" x14ac:dyDescent="0.25">
      <c r="A880">
        <v>1261</v>
      </c>
      <c r="B880" t="s">
        <v>562</v>
      </c>
      <c r="C880" t="s">
        <v>643</v>
      </c>
      <c r="D880" t="str">
        <f t="shared" si="14"/>
        <v>SEE3983</v>
      </c>
      <c r="E880" t="s">
        <v>2968</v>
      </c>
    </row>
    <row r="881" spans="1:5" x14ac:dyDescent="0.25">
      <c r="A881">
        <v>1261</v>
      </c>
      <c r="B881" t="s">
        <v>562</v>
      </c>
      <c r="C881" t="s">
        <v>3036</v>
      </c>
      <c r="D881" t="str">
        <f t="shared" si="14"/>
        <v>SEE3987</v>
      </c>
      <c r="E881" t="s">
        <v>2958</v>
      </c>
    </row>
    <row r="882" spans="1:5" x14ac:dyDescent="0.25">
      <c r="A882">
        <v>1261</v>
      </c>
      <c r="B882" t="s">
        <v>562</v>
      </c>
      <c r="C882" t="s">
        <v>3236</v>
      </c>
      <c r="D882" t="str">
        <f t="shared" si="14"/>
        <v>SEE3992</v>
      </c>
      <c r="E882" t="s">
        <v>3235</v>
      </c>
    </row>
    <row r="883" spans="1:5" x14ac:dyDescent="0.25">
      <c r="A883">
        <v>1261</v>
      </c>
      <c r="B883" t="s">
        <v>562</v>
      </c>
      <c r="C883" t="s">
        <v>3204</v>
      </c>
      <c r="D883" t="str">
        <f t="shared" si="14"/>
        <v>SEE3996</v>
      </c>
      <c r="E883" t="s">
        <v>2968</v>
      </c>
    </row>
    <row r="884" spans="1:5" x14ac:dyDescent="0.25">
      <c r="A884">
        <v>1261</v>
      </c>
      <c r="B884" t="s">
        <v>562</v>
      </c>
      <c r="C884" t="s">
        <v>3040</v>
      </c>
      <c r="D884" t="str">
        <f t="shared" si="14"/>
        <v>SEE3999</v>
      </c>
      <c r="E884" t="s">
        <v>2968</v>
      </c>
    </row>
    <row r="885" spans="1:5" x14ac:dyDescent="0.25">
      <c r="A885">
        <v>1261</v>
      </c>
      <c r="B885" t="s">
        <v>562</v>
      </c>
      <c r="C885" t="s">
        <v>3041</v>
      </c>
      <c r="D885" t="str">
        <f t="shared" si="14"/>
        <v>SEE4002</v>
      </c>
      <c r="E885" t="s">
        <v>3009</v>
      </c>
    </row>
    <row r="886" spans="1:5" x14ac:dyDescent="0.25">
      <c r="A886">
        <v>1261</v>
      </c>
      <c r="B886" t="s">
        <v>562</v>
      </c>
      <c r="C886" t="s">
        <v>3043</v>
      </c>
      <c r="D886" t="str">
        <f t="shared" si="14"/>
        <v>SEE4003</v>
      </c>
      <c r="E886" t="s">
        <v>94</v>
      </c>
    </row>
    <row r="887" spans="1:5" x14ac:dyDescent="0.25">
      <c r="A887">
        <v>1261</v>
      </c>
      <c r="B887" t="s">
        <v>562</v>
      </c>
      <c r="C887" t="s">
        <v>3045</v>
      </c>
      <c r="D887" t="str">
        <f t="shared" si="14"/>
        <v>SEE4004</v>
      </c>
      <c r="E887" t="s">
        <v>3009</v>
      </c>
    </row>
    <row r="888" spans="1:5" x14ac:dyDescent="0.25">
      <c r="A888">
        <v>1261</v>
      </c>
      <c r="B888" t="s">
        <v>562</v>
      </c>
      <c r="C888" t="s">
        <v>3047</v>
      </c>
      <c r="D888" t="str">
        <f t="shared" si="14"/>
        <v>SEE4005</v>
      </c>
      <c r="E888" t="s">
        <v>3009</v>
      </c>
    </row>
    <row r="889" spans="1:5" x14ac:dyDescent="0.25">
      <c r="A889">
        <v>1261</v>
      </c>
      <c r="B889" t="s">
        <v>562</v>
      </c>
      <c r="C889" t="s">
        <v>813</v>
      </c>
      <c r="D889" t="str">
        <f t="shared" si="14"/>
        <v>SEE4006</v>
      </c>
      <c r="E889" t="s">
        <v>3057</v>
      </c>
    </row>
    <row r="890" spans="1:5" x14ac:dyDescent="0.25">
      <c r="A890">
        <v>1261</v>
      </c>
      <c r="B890" t="s">
        <v>562</v>
      </c>
      <c r="C890" t="s">
        <v>3138</v>
      </c>
      <c r="D890" t="str">
        <f t="shared" si="14"/>
        <v>SEE4007</v>
      </c>
      <c r="E890" t="s">
        <v>94</v>
      </c>
    </row>
    <row r="891" spans="1:5" x14ac:dyDescent="0.25">
      <c r="A891">
        <v>1261</v>
      </c>
      <c r="B891" t="s">
        <v>562</v>
      </c>
      <c r="C891" t="s">
        <v>3123</v>
      </c>
      <c r="D891" t="str">
        <f t="shared" si="14"/>
        <v>SEE4101</v>
      </c>
      <c r="E891" t="s">
        <v>2968</v>
      </c>
    </row>
    <row r="892" spans="1:5" x14ac:dyDescent="0.25">
      <c r="A892">
        <v>1261</v>
      </c>
      <c r="B892" t="s">
        <v>562</v>
      </c>
      <c r="C892" t="s">
        <v>3237</v>
      </c>
      <c r="D892" t="str">
        <f t="shared" si="14"/>
        <v>SEE4106</v>
      </c>
      <c r="E892" t="s">
        <v>3238</v>
      </c>
    </row>
    <row r="893" spans="1:5" x14ac:dyDescent="0.25">
      <c r="A893">
        <v>1261</v>
      </c>
      <c r="B893" t="s">
        <v>562</v>
      </c>
      <c r="C893" t="s">
        <v>3127</v>
      </c>
      <c r="D893" t="str">
        <f t="shared" si="14"/>
        <v>SEE4201</v>
      </c>
      <c r="E893" t="s">
        <v>3218</v>
      </c>
    </row>
    <row r="894" spans="1:5" x14ac:dyDescent="0.25">
      <c r="A894">
        <v>1261</v>
      </c>
      <c r="B894" t="s">
        <v>562</v>
      </c>
      <c r="C894" t="s">
        <v>3128</v>
      </c>
      <c r="D894" t="str">
        <f t="shared" si="14"/>
        <v>SEE4301</v>
      </c>
      <c r="E894" t="s">
        <v>3239</v>
      </c>
    </row>
    <row r="895" spans="1:5" x14ac:dyDescent="0.25">
      <c r="A895">
        <v>1261</v>
      </c>
      <c r="B895" t="s">
        <v>562</v>
      </c>
      <c r="C895" t="s">
        <v>3048</v>
      </c>
      <c r="D895" t="str">
        <f t="shared" si="14"/>
        <v>SEE4701</v>
      </c>
      <c r="E895" t="s">
        <v>3049</v>
      </c>
    </row>
    <row r="896" spans="1:5" x14ac:dyDescent="0.25">
      <c r="A896">
        <v>1261</v>
      </c>
      <c r="B896" t="s">
        <v>562</v>
      </c>
      <c r="C896" t="s">
        <v>239</v>
      </c>
      <c r="D896" t="str">
        <f t="shared" si="14"/>
        <v>SEE4702</v>
      </c>
      <c r="E896" t="s">
        <v>3049</v>
      </c>
    </row>
    <row r="897" spans="1:5" x14ac:dyDescent="0.25">
      <c r="A897">
        <v>1261</v>
      </c>
      <c r="B897" t="s">
        <v>562</v>
      </c>
      <c r="C897" t="s">
        <v>265</v>
      </c>
      <c r="D897" t="str">
        <f t="shared" si="14"/>
        <v>SEE4703</v>
      </c>
      <c r="E897" t="s">
        <v>3049</v>
      </c>
    </row>
    <row r="898" spans="1:5" x14ac:dyDescent="0.25">
      <c r="A898">
        <v>1261</v>
      </c>
      <c r="B898" t="s">
        <v>562</v>
      </c>
      <c r="C898" t="s">
        <v>316</v>
      </c>
      <c r="D898" t="str">
        <f t="shared" si="14"/>
        <v>SEE4706</v>
      </c>
      <c r="E898" t="s">
        <v>3049</v>
      </c>
    </row>
    <row r="899" spans="1:5" x14ac:dyDescent="0.25">
      <c r="A899">
        <v>1261</v>
      </c>
      <c r="B899" t="s">
        <v>562</v>
      </c>
      <c r="C899" t="s">
        <v>328</v>
      </c>
      <c r="D899" t="str">
        <f t="shared" si="14"/>
        <v>SEE4707</v>
      </c>
      <c r="E899" t="s">
        <v>3049</v>
      </c>
    </row>
    <row r="900" spans="1:5" x14ac:dyDescent="0.25">
      <c r="A900">
        <v>1261</v>
      </c>
      <c r="B900" t="s">
        <v>562</v>
      </c>
      <c r="C900" t="s">
        <v>348</v>
      </c>
      <c r="D900" t="str">
        <f t="shared" ref="D900:D963" si="15">CONCATENATE(B900,LEFT(C900,4))</f>
        <v>SEE4709</v>
      </c>
      <c r="E900" t="s">
        <v>3049</v>
      </c>
    </row>
    <row r="901" spans="1:5" x14ac:dyDescent="0.25">
      <c r="A901">
        <v>1261</v>
      </c>
      <c r="B901" t="s">
        <v>562</v>
      </c>
      <c r="C901" t="s">
        <v>357</v>
      </c>
      <c r="D901" t="str">
        <f t="shared" si="15"/>
        <v>SEE4710</v>
      </c>
      <c r="E901" t="s">
        <v>3049</v>
      </c>
    </row>
    <row r="902" spans="1:5" x14ac:dyDescent="0.25">
      <c r="A902">
        <v>1261</v>
      </c>
      <c r="B902" t="s">
        <v>562</v>
      </c>
      <c r="C902" t="s">
        <v>364</v>
      </c>
      <c r="D902" t="str">
        <f t="shared" si="15"/>
        <v>SEE4799</v>
      </c>
      <c r="E902" t="s">
        <v>3049</v>
      </c>
    </row>
    <row r="903" spans="1:5" x14ac:dyDescent="0.25">
      <c r="A903">
        <v>1261</v>
      </c>
      <c r="B903" t="s">
        <v>562</v>
      </c>
      <c r="C903" t="s">
        <v>240</v>
      </c>
      <c r="D903" t="str">
        <f t="shared" si="15"/>
        <v>SEE4801</v>
      </c>
      <c r="E903" t="s">
        <v>2968</v>
      </c>
    </row>
    <row r="904" spans="1:5" x14ac:dyDescent="0.25">
      <c r="A904">
        <v>1261</v>
      </c>
      <c r="B904" t="s">
        <v>562</v>
      </c>
      <c r="C904" t="s">
        <v>266</v>
      </c>
      <c r="D904" t="str">
        <f t="shared" si="15"/>
        <v>SEE4802</v>
      </c>
      <c r="E904" t="s">
        <v>3228</v>
      </c>
    </row>
    <row r="905" spans="1:5" x14ac:dyDescent="0.25">
      <c r="A905">
        <v>1261</v>
      </c>
      <c r="B905" t="s">
        <v>562</v>
      </c>
      <c r="C905" t="s">
        <v>286</v>
      </c>
      <c r="D905" t="str">
        <f t="shared" si="15"/>
        <v>SEE4803</v>
      </c>
      <c r="E905" t="s">
        <v>3004</v>
      </c>
    </row>
    <row r="906" spans="1:5" x14ac:dyDescent="0.25">
      <c r="A906">
        <v>1261</v>
      </c>
      <c r="B906" t="s">
        <v>562</v>
      </c>
      <c r="C906" t="s">
        <v>3240</v>
      </c>
      <c r="D906" t="str">
        <f t="shared" si="15"/>
        <v>SEE4904</v>
      </c>
      <c r="E906" t="s">
        <v>2926</v>
      </c>
    </row>
    <row r="907" spans="1:5" x14ac:dyDescent="0.25">
      <c r="A907">
        <v>1261</v>
      </c>
      <c r="B907" t="s">
        <v>562</v>
      </c>
      <c r="C907" t="s">
        <v>3051</v>
      </c>
      <c r="D907" t="str">
        <f t="shared" si="15"/>
        <v>SEE5101</v>
      </c>
      <c r="E907" t="s">
        <v>3052</v>
      </c>
    </row>
    <row r="908" spans="1:5" x14ac:dyDescent="0.25">
      <c r="A908">
        <v>1261</v>
      </c>
      <c r="B908" t="s">
        <v>562</v>
      </c>
      <c r="C908" t="s">
        <v>3053</v>
      </c>
      <c r="D908" t="str">
        <f t="shared" si="15"/>
        <v>SEE5103</v>
      </c>
      <c r="E908" t="s">
        <v>3052</v>
      </c>
    </row>
    <row r="909" spans="1:5" x14ac:dyDescent="0.25">
      <c r="A909">
        <v>1261</v>
      </c>
      <c r="B909" t="s">
        <v>562</v>
      </c>
      <c r="C909" t="s">
        <v>317</v>
      </c>
      <c r="D909" t="str">
        <f t="shared" si="15"/>
        <v>SEE5106</v>
      </c>
      <c r="E909" t="s">
        <v>3052</v>
      </c>
    </row>
    <row r="910" spans="1:5" x14ac:dyDescent="0.25">
      <c r="A910">
        <v>1261</v>
      </c>
      <c r="B910" t="s">
        <v>562</v>
      </c>
      <c r="C910" t="s">
        <v>173</v>
      </c>
      <c r="D910" t="str">
        <f t="shared" si="15"/>
        <v>SEE5107</v>
      </c>
      <c r="E910" t="s">
        <v>3052</v>
      </c>
    </row>
    <row r="911" spans="1:5" x14ac:dyDescent="0.25">
      <c r="A911">
        <v>1261</v>
      </c>
      <c r="B911" t="s">
        <v>562</v>
      </c>
      <c r="C911" t="s">
        <v>372</v>
      </c>
      <c r="D911" t="str">
        <f t="shared" si="15"/>
        <v>SEE5113</v>
      </c>
      <c r="E911" t="s">
        <v>3052</v>
      </c>
    </row>
    <row r="912" spans="1:5" x14ac:dyDescent="0.25">
      <c r="A912">
        <v>1261</v>
      </c>
      <c r="B912" t="s">
        <v>562</v>
      </c>
      <c r="C912" t="s">
        <v>242</v>
      </c>
      <c r="D912" t="str">
        <f t="shared" si="15"/>
        <v>SEE5201</v>
      </c>
      <c r="E912" t="s">
        <v>2965</v>
      </c>
    </row>
    <row r="913" spans="1:5" x14ac:dyDescent="0.25">
      <c r="A913">
        <v>1261</v>
      </c>
      <c r="B913" t="s">
        <v>562</v>
      </c>
      <c r="C913" t="s">
        <v>288</v>
      </c>
      <c r="D913" t="str">
        <f t="shared" si="15"/>
        <v>SEE5203</v>
      </c>
      <c r="E913" t="s">
        <v>3055</v>
      </c>
    </row>
    <row r="914" spans="1:5" x14ac:dyDescent="0.25">
      <c r="A914">
        <v>1261</v>
      </c>
      <c r="B914" t="s">
        <v>562</v>
      </c>
      <c r="C914" t="s">
        <v>3054</v>
      </c>
      <c r="D914" t="str">
        <f t="shared" si="15"/>
        <v>SEE5204</v>
      </c>
      <c r="E914" t="s">
        <v>3055</v>
      </c>
    </row>
    <row r="915" spans="1:5" x14ac:dyDescent="0.25">
      <c r="A915">
        <v>1261</v>
      </c>
      <c r="B915" t="s">
        <v>562</v>
      </c>
      <c r="C915" t="s">
        <v>329</v>
      </c>
      <c r="D915" t="str">
        <f t="shared" si="15"/>
        <v>SEE5206</v>
      </c>
      <c r="E915" t="s">
        <v>3057</v>
      </c>
    </row>
    <row r="916" spans="1:5" x14ac:dyDescent="0.25">
      <c r="A916">
        <v>1261</v>
      </c>
      <c r="B916" t="s">
        <v>562</v>
      </c>
      <c r="C916" t="s">
        <v>3058</v>
      </c>
      <c r="D916" t="str">
        <f t="shared" si="15"/>
        <v>SEE5207</v>
      </c>
      <c r="E916" t="s">
        <v>3057</v>
      </c>
    </row>
    <row r="917" spans="1:5" x14ac:dyDescent="0.25">
      <c r="A917">
        <v>1261</v>
      </c>
      <c r="B917" t="s">
        <v>562</v>
      </c>
      <c r="C917" t="s">
        <v>3060</v>
      </c>
      <c r="D917" t="str">
        <f t="shared" si="15"/>
        <v>SEE5208</v>
      </c>
      <c r="E917" t="s">
        <v>3057</v>
      </c>
    </row>
    <row r="918" spans="1:5" x14ac:dyDescent="0.25">
      <c r="A918">
        <v>1261</v>
      </c>
      <c r="B918" t="s">
        <v>562</v>
      </c>
      <c r="C918" t="s">
        <v>359</v>
      </c>
      <c r="D918" t="str">
        <f t="shared" si="15"/>
        <v>SEE5209</v>
      </c>
      <c r="E918" t="s">
        <v>3055</v>
      </c>
    </row>
    <row r="919" spans="1:5" x14ac:dyDescent="0.25">
      <c r="A919">
        <v>1261</v>
      </c>
      <c r="B919" t="s">
        <v>562</v>
      </c>
      <c r="C919" t="s">
        <v>3063</v>
      </c>
      <c r="D919" t="str">
        <f t="shared" si="15"/>
        <v>SEE5210</v>
      </c>
      <c r="E919" t="s">
        <v>3055</v>
      </c>
    </row>
    <row r="920" spans="1:5" x14ac:dyDescent="0.25">
      <c r="A920">
        <v>1261</v>
      </c>
      <c r="B920" t="s">
        <v>562</v>
      </c>
      <c r="C920" t="s">
        <v>3155</v>
      </c>
      <c r="D920" t="str">
        <f t="shared" si="15"/>
        <v>SEE5211</v>
      </c>
      <c r="E920" t="s">
        <v>2944</v>
      </c>
    </row>
    <row r="921" spans="1:5" x14ac:dyDescent="0.25">
      <c r="A921">
        <v>1261</v>
      </c>
      <c r="B921" t="s">
        <v>562</v>
      </c>
      <c r="C921" t="s">
        <v>3064</v>
      </c>
      <c r="D921" t="str">
        <f t="shared" si="15"/>
        <v>SEE5212</v>
      </c>
      <c r="E921" t="s">
        <v>3055</v>
      </c>
    </row>
    <row r="922" spans="1:5" x14ac:dyDescent="0.25">
      <c r="A922">
        <v>1261</v>
      </c>
      <c r="B922" t="s">
        <v>562</v>
      </c>
      <c r="C922" t="s">
        <v>385</v>
      </c>
      <c r="D922" t="str">
        <f t="shared" si="15"/>
        <v>SEE5213</v>
      </c>
      <c r="E922" t="s">
        <v>3055</v>
      </c>
    </row>
    <row r="923" spans="1:5" x14ac:dyDescent="0.25">
      <c r="A923">
        <v>1261</v>
      </c>
      <c r="B923" t="s">
        <v>562</v>
      </c>
      <c r="C923" t="s">
        <v>391</v>
      </c>
      <c r="D923" t="str">
        <f t="shared" si="15"/>
        <v>SEE5214</v>
      </c>
      <c r="E923" t="s">
        <v>3055</v>
      </c>
    </row>
    <row r="924" spans="1:5" x14ac:dyDescent="0.25">
      <c r="A924">
        <v>1261</v>
      </c>
      <c r="B924" t="s">
        <v>562</v>
      </c>
      <c r="C924" t="s">
        <v>409</v>
      </c>
      <c r="D924" t="str">
        <f t="shared" si="15"/>
        <v>SEE5217</v>
      </c>
      <c r="E924" t="s">
        <v>3055</v>
      </c>
    </row>
    <row r="925" spans="1:5" x14ac:dyDescent="0.25">
      <c r="A925">
        <v>1261</v>
      </c>
      <c r="B925" t="s">
        <v>562</v>
      </c>
      <c r="C925" t="s">
        <v>3241</v>
      </c>
      <c r="D925" t="str">
        <f t="shared" si="15"/>
        <v>SEE5218</v>
      </c>
      <c r="E925" t="s">
        <v>3055</v>
      </c>
    </row>
    <row r="926" spans="1:5" x14ac:dyDescent="0.25">
      <c r="A926">
        <v>1261</v>
      </c>
      <c r="B926" t="s">
        <v>562</v>
      </c>
      <c r="C926" t="s">
        <v>419</v>
      </c>
      <c r="D926" t="str">
        <f t="shared" si="15"/>
        <v>SEE5219</v>
      </c>
      <c r="E926" t="s">
        <v>3055</v>
      </c>
    </row>
    <row r="927" spans="1:5" x14ac:dyDescent="0.25">
      <c r="A927">
        <v>1261</v>
      </c>
      <c r="B927" t="s">
        <v>562</v>
      </c>
      <c r="C927" t="s">
        <v>3068</v>
      </c>
      <c r="D927" t="str">
        <f t="shared" si="15"/>
        <v>SEE5220</v>
      </c>
      <c r="E927" t="s">
        <v>3057</v>
      </c>
    </row>
    <row r="928" spans="1:5" x14ac:dyDescent="0.25">
      <c r="A928">
        <v>1261</v>
      </c>
      <c r="B928" t="s">
        <v>562</v>
      </c>
      <c r="C928" t="s">
        <v>429</v>
      </c>
      <c r="D928" t="str">
        <f t="shared" si="15"/>
        <v>SEE5221</v>
      </c>
      <c r="E928" t="s">
        <v>3055</v>
      </c>
    </row>
    <row r="929" spans="1:5" x14ac:dyDescent="0.25">
      <c r="A929">
        <v>1261</v>
      </c>
      <c r="B929" t="s">
        <v>562</v>
      </c>
      <c r="C929" t="s">
        <v>434</v>
      </c>
      <c r="D929" t="str">
        <f t="shared" si="15"/>
        <v>SEE5222</v>
      </c>
      <c r="E929" t="s">
        <v>3055</v>
      </c>
    </row>
    <row r="930" spans="1:5" x14ac:dyDescent="0.25">
      <c r="A930">
        <v>1261</v>
      </c>
      <c r="B930" t="s">
        <v>562</v>
      </c>
      <c r="C930" t="s">
        <v>449</v>
      </c>
      <c r="D930" t="str">
        <f t="shared" si="15"/>
        <v>SEE5225</v>
      </c>
      <c r="E930" t="s">
        <v>3055</v>
      </c>
    </row>
    <row r="931" spans="1:5" x14ac:dyDescent="0.25">
      <c r="A931">
        <v>1261</v>
      </c>
      <c r="B931" t="s">
        <v>562</v>
      </c>
      <c r="C931" t="s">
        <v>3070</v>
      </c>
      <c r="D931" t="str">
        <f t="shared" si="15"/>
        <v>SEE5226</v>
      </c>
      <c r="E931" t="s">
        <v>3055</v>
      </c>
    </row>
    <row r="932" spans="1:5" x14ac:dyDescent="0.25">
      <c r="A932">
        <v>1261</v>
      </c>
      <c r="B932" t="s">
        <v>562</v>
      </c>
      <c r="C932" t="s">
        <v>3072</v>
      </c>
      <c r="D932" t="str">
        <f t="shared" si="15"/>
        <v>SEE5227</v>
      </c>
      <c r="E932" t="s">
        <v>3055</v>
      </c>
    </row>
    <row r="933" spans="1:5" x14ac:dyDescent="0.25">
      <c r="A933">
        <v>1261</v>
      </c>
      <c r="B933" t="s">
        <v>562</v>
      </c>
      <c r="C933" t="s">
        <v>3150</v>
      </c>
      <c r="D933" t="str">
        <f t="shared" si="15"/>
        <v>SEE5230</v>
      </c>
      <c r="E933" t="s">
        <v>3055</v>
      </c>
    </row>
    <row r="934" spans="1:5" x14ac:dyDescent="0.25">
      <c r="A934">
        <v>1261</v>
      </c>
      <c r="B934" t="s">
        <v>562</v>
      </c>
      <c r="C934" t="s">
        <v>459</v>
      </c>
      <c r="D934" t="str">
        <f t="shared" si="15"/>
        <v>SEE5299</v>
      </c>
      <c r="E934" t="s">
        <v>3055</v>
      </c>
    </row>
    <row r="935" spans="1:5" x14ac:dyDescent="0.25">
      <c r="A935">
        <v>1261</v>
      </c>
      <c r="B935" t="s">
        <v>562</v>
      </c>
      <c r="C935" t="s">
        <v>243</v>
      </c>
      <c r="D935" t="str">
        <f t="shared" si="15"/>
        <v>SEE6101</v>
      </c>
      <c r="E935" t="s">
        <v>3219</v>
      </c>
    </row>
    <row r="936" spans="1:5" x14ac:dyDescent="0.25">
      <c r="A936">
        <v>1261</v>
      </c>
      <c r="B936" t="s">
        <v>562</v>
      </c>
      <c r="C936" t="s">
        <v>3165</v>
      </c>
      <c r="D936" t="str">
        <f t="shared" si="15"/>
        <v>SEE6102</v>
      </c>
      <c r="E936" t="s">
        <v>3219</v>
      </c>
    </row>
    <row r="937" spans="1:5" x14ac:dyDescent="0.25">
      <c r="A937">
        <v>1261</v>
      </c>
      <c r="B937" t="s">
        <v>562</v>
      </c>
      <c r="C937" t="s">
        <v>305</v>
      </c>
      <c r="D937" t="str">
        <f t="shared" si="15"/>
        <v>SEE6104</v>
      </c>
      <c r="E937" t="s">
        <v>3219</v>
      </c>
    </row>
    <row r="938" spans="1:5" x14ac:dyDescent="0.25">
      <c r="A938">
        <v>1261</v>
      </c>
      <c r="B938" t="s">
        <v>562</v>
      </c>
      <c r="C938" t="s">
        <v>3211</v>
      </c>
      <c r="D938" t="str">
        <f t="shared" si="15"/>
        <v>SEE9108</v>
      </c>
      <c r="E938" t="s">
        <v>3212</v>
      </c>
    </row>
    <row r="939" spans="1:5" x14ac:dyDescent="0.25">
      <c r="A939">
        <v>1261</v>
      </c>
      <c r="B939" t="s">
        <v>562</v>
      </c>
      <c r="C939" t="s">
        <v>3074</v>
      </c>
      <c r="D939" t="str">
        <f t="shared" si="15"/>
        <v>SEE9202</v>
      </c>
      <c r="E939" t="s">
        <v>3075</v>
      </c>
    </row>
    <row r="940" spans="1:5" x14ac:dyDescent="0.25">
      <c r="A940">
        <v>1261</v>
      </c>
      <c r="B940" t="s">
        <v>562</v>
      </c>
      <c r="C940" t="s">
        <v>250</v>
      </c>
      <c r="D940" t="str">
        <f t="shared" si="15"/>
        <v>SEE9301</v>
      </c>
      <c r="E940" t="s">
        <v>2968</v>
      </c>
    </row>
    <row r="941" spans="1:5" x14ac:dyDescent="0.25">
      <c r="A941">
        <v>1261</v>
      </c>
      <c r="B941" t="s">
        <v>562</v>
      </c>
      <c r="C941" t="s">
        <v>320</v>
      </c>
      <c r="D941" t="str">
        <f t="shared" si="15"/>
        <v>SEE9305</v>
      </c>
      <c r="E941" t="s">
        <v>2968</v>
      </c>
    </row>
    <row r="942" spans="1:5" x14ac:dyDescent="0.25">
      <c r="A942">
        <v>1261</v>
      </c>
      <c r="B942" t="s">
        <v>562</v>
      </c>
      <c r="C942" t="s">
        <v>331</v>
      </c>
      <c r="D942" t="str">
        <f t="shared" si="15"/>
        <v>SEE9306</v>
      </c>
      <c r="E942" t="s">
        <v>3076</v>
      </c>
    </row>
    <row r="943" spans="1:5" x14ac:dyDescent="0.25">
      <c r="A943">
        <v>1261</v>
      </c>
      <c r="B943" t="s">
        <v>562</v>
      </c>
      <c r="C943" t="s">
        <v>360</v>
      </c>
      <c r="D943" t="str">
        <f t="shared" si="15"/>
        <v>SEE9309</v>
      </c>
      <c r="E943" t="s">
        <v>2968</v>
      </c>
    </row>
    <row r="944" spans="1:5" x14ac:dyDescent="0.25">
      <c r="A944">
        <v>1261</v>
      </c>
      <c r="B944" t="s">
        <v>562</v>
      </c>
      <c r="C944" t="s">
        <v>367</v>
      </c>
      <c r="D944" t="str">
        <f t="shared" si="15"/>
        <v>SEE9310</v>
      </c>
      <c r="E944" t="s">
        <v>2968</v>
      </c>
    </row>
    <row r="945" spans="1:5" x14ac:dyDescent="0.25">
      <c r="A945">
        <v>1261</v>
      </c>
      <c r="B945" t="s">
        <v>562</v>
      </c>
      <c r="C945" t="s">
        <v>380</v>
      </c>
      <c r="D945" t="str">
        <f t="shared" si="15"/>
        <v>SEE9312</v>
      </c>
      <c r="E945" t="s">
        <v>2968</v>
      </c>
    </row>
    <row r="946" spans="1:5" x14ac:dyDescent="0.25">
      <c r="A946">
        <v>1261</v>
      </c>
      <c r="B946" t="s">
        <v>562</v>
      </c>
      <c r="C946" t="s">
        <v>386</v>
      </c>
      <c r="D946" t="str">
        <f t="shared" si="15"/>
        <v>SEE9313</v>
      </c>
      <c r="E946" t="s">
        <v>2944</v>
      </c>
    </row>
    <row r="947" spans="1:5" x14ac:dyDescent="0.25">
      <c r="A947">
        <v>1261</v>
      </c>
      <c r="B947" t="s">
        <v>562</v>
      </c>
      <c r="C947" t="s">
        <v>440</v>
      </c>
      <c r="D947" t="str">
        <f t="shared" si="15"/>
        <v>SEE9326</v>
      </c>
      <c r="E947" t="s">
        <v>2968</v>
      </c>
    </row>
    <row r="948" spans="1:5" x14ac:dyDescent="0.25">
      <c r="A948">
        <v>1261</v>
      </c>
      <c r="B948" t="s">
        <v>562</v>
      </c>
      <c r="C948" t="s">
        <v>3079</v>
      </c>
      <c r="D948" t="str">
        <f t="shared" si="15"/>
        <v>SEE9399</v>
      </c>
      <c r="E948" t="s">
        <v>2968</v>
      </c>
    </row>
    <row r="949" spans="1:5" x14ac:dyDescent="0.25">
      <c r="A949">
        <v>1271</v>
      </c>
      <c r="B949" t="s">
        <v>1751</v>
      </c>
      <c r="C949" t="s">
        <v>332</v>
      </c>
      <c r="D949" t="str">
        <f t="shared" si="15"/>
        <v>SECULT1314</v>
      </c>
      <c r="E949" t="s">
        <v>3081</v>
      </c>
    </row>
    <row r="950" spans="1:5" x14ac:dyDescent="0.25">
      <c r="A950">
        <v>1271</v>
      </c>
      <c r="B950" t="s">
        <v>1751</v>
      </c>
      <c r="C950" t="s">
        <v>2942</v>
      </c>
      <c r="D950" t="str">
        <f t="shared" si="15"/>
        <v>SECULT1317</v>
      </c>
      <c r="E950" t="s">
        <v>3081</v>
      </c>
    </row>
    <row r="951" spans="1:5" x14ac:dyDescent="0.25">
      <c r="A951">
        <v>1271</v>
      </c>
      <c r="B951" t="s">
        <v>1751</v>
      </c>
      <c r="C951" t="s">
        <v>2928</v>
      </c>
      <c r="D951" t="str">
        <f t="shared" si="15"/>
        <v>SECULT1401</v>
      </c>
      <c r="E951" t="s">
        <v>44</v>
      </c>
    </row>
    <row r="952" spans="1:5" x14ac:dyDescent="0.25">
      <c r="A952">
        <v>1271</v>
      </c>
      <c r="B952" t="s">
        <v>1751</v>
      </c>
      <c r="C952" t="s">
        <v>2932</v>
      </c>
      <c r="D952" t="str">
        <f t="shared" si="15"/>
        <v>SECULT3001</v>
      </c>
      <c r="E952" t="s">
        <v>2933</v>
      </c>
    </row>
    <row r="953" spans="1:5" x14ac:dyDescent="0.25">
      <c r="A953">
        <v>1271</v>
      </c>
      <c r="B953" t="s">
        <v>1751</v>
      </c>
      <c r="C953" t="s">
        <v>979</v>
      </c>
      <c r="D953" t="str">
        <f t="shared" si="15"/>
        <v>SECULT3003</v>
      </c>
      <c r="E953" t="s">
        <v>2933</v>
      </c>
    </row>
    <row r="954" spans="1:5" x14ac:dyDescent="0.25">
      <c r="A954">
        <v>1271</v>
      </c>
      <c r="B954" t="s">
        <v>1751</v>
      </c>
      <c r="C954" t="s">
        <v>2937</v>
      </c>
      <c r="D954" t="str">
        <f t="shared" si="15"/>
        <v>SECULT3004</v>
      </c>
      <c r="E954" t="s">
        <v>2933</v>
      </c>
    </row>
    <row r="955" spans="1:5" x14ac:dyDescent="0.25">
      <c r="A955">
        <v>1271</v>
      </c>
      <c r="B955" t="s">
        <v>1751</v>
      </c>
      <c r="C955" t="s">
        <v>2939</v>
      </c>
      <c r="D955" t="str">
        <f t="shared" si="15"/>
        <v>SECULT3005</v>
      </c>
      <c r="E955" t="s">
        <v>2933</v>
      </c>
    </row>
    <row r="956" spans="1:5" x14ac:dyDescent="0.25">
      <c r="A956">
        <v>1271</v>
      </c>
      <c r="B956" t="s">
        <v>1751</v>
      </c>
      <c r="C956" t="s">
        <v>323</v>
      </c>
      <c r="D956" t="str">
        <f t="shared" si="15"/>
        <v>SECULT3006</v>
      </c>
      <c r="E956" t="s">
        <v>2933</v>
      </c>
    </row>
    <row r="957" spans="1:5" x14ac:dyDescent="0.25">
      <c r="A957">
        <v>1271</v>
      </c>
      <c r="B957" t="s">
        <v>1751</v>
      </c>
      <c r="C957" t="s">
        <v>2941</v>
      </c>
      <c r="D957" t="str">
        <f t="shared" si="15"/>
        <v>SECULT3008</v>
      </c>
      <c r="E957" t="s">
        <v>2933</v>
      </c>
    </row>
    <row r="958" spans="1:5" x14ac:dyDescent="0.25">
      <c r="A958">
        <v>1271</v>
      </c>
      <c r="B958" t="s">
        <v>1751</v>
      </c>
      <c r="C958" t="s">
        <v>2943</v>
      </c>
      <c r="D958" t="str">
        <f t="shared" si="15"/>
        <v>SECULT3010</v>
      </c>
      <c r="E958" t="s">
        <v>2944</v>
      </c>
    </row>
    <row r="959" spans="1:5" x14ac:dyDescent="0.25">
      <c r="A959">
        <v>1271</v>
      </c>
      <c r="B959" t="s">
        <v>1751</v>
      </c>
      <c r="C959" t="s">
        <v>369</v>
      </c>
      <c r="D959" t="str">
        <f t="shared" si="15"/>
        <v>SECULT3011</v>
      </c>
      <c r="E959" t="s">
        <v>2933</v>
      </c>
    </row>
    <row r="960" spans="1:5" x14ac:dyDescent="0.25">
      <c r="A960">
        <v>1271</v>
      </c>
      <c r="B960" t="s">
        <v>1751</v>
      </c>
      <c r="C960" t="s">
        <v>2946</v>
      </c>
      <c r="D960" t="str">
        <f t="shared" si="15"/>
        <v>SECULT3013</v>
      </c>
      <c r="E960" t="s">
        <v>2933</v>
      </c>
    </row>
    <row r="961" spans="1:5" x14ac:dyDescent="0.25">
      <c r="A961">
        <v>1271</v>
      </c>
      <c r="B961" t="s">
        <v>1751</v>
      </c>
      <c r="C961" t="s">
        <v>2948</v>
      </c>
      <c r="D961" t="str">
        <f t="shared" si="15"/>
        <v>SECULT3015</v>
      </c>
      <c r="E961" t="s">
        <v>2933</v>
      </c>
    </row>
    <row r="962" spans="1:5" x14ac:dyDescent="0.25">
      <c r="A962">
        <v>1271</v>
      </c>
      <c r="B962" t="s">
        <v>1751</v>
      </c>
      <c r="C962" t="s">
        <v>2950</v>
      </c>
      <c r="D962" t="str">
        <f t="shared" si="15"/>
        <v>SECULT3016</v>
      </c>
      <c r="E962" t="s">
        <v>2933</v>
      </c>
    </row>
    <row r="963" spans="1:5" x14ac:dyDescent="0.25">
      <c r="A963">
        <v>1271</v>
      </c>
      <c r="B963" t="s">
        <v>1751</v>
      </c>
      <c r="C963" t="s">
        <v>406</v>
      </c>
      <c r="D963" t="str">
        <f t="shared" si="15"/>
        <v>SECULT3017</v>
      </c>
      <c r="E963" t="s">
        <v>2933</v>
      </c>
    </row>
    <row r="964" spans="1:5" x14ac:dyDescent="0.25">
      <c r="A964">
        <v>1271</v>
      </c>
      <c r="B964" t="s">
        <v>1751</v>
      </c>
      <c r="C964" t="s">
        <v>2953</v>
      </c>
      <c r="D964" t="str">
        <f t="shared" ref="D964:D1027" si="16">CONCATENATE(B964,LEFT(C964,4))</f>
        <v>SECULT3019</v>
      </c>
      <c r="E964" t="s">
        <v>2954</v>
      </c>
    </row>
    <row r="965" spans="1:5" x14ac:dyDescent="0.25">
      <c r="A965">
        <v>1271</v>
      </c>
      <c r="B965" t="s">
        <v>1751</v>
      </c>
      <c r="C965" t="s">
        <v>2955</v>
      </c>
      <c r="D965" t="str">
        <f t="shared" si="16"/>
        <v>SECULT3020</v>
      </c>
      <c r="E965" t="s">
        <v>2933</v>
      </c>
    </row>
    <row r="966" spans="1:5" x14ac:dyDescent="0.25">
      <c r="A966">
        <v>1271</v>
      </c>
      <c r="B966" t="s">
        <v>1751</v>
      </c>
      <c r="C966" t="s">
        <v>2956</v>
      </c>
      <c r="D966" t="str">
        <f t="shared" si="16"/>
        <v>SECULT3021</v>
      </c>
      <c r="E966" t="s">
        <v>2933</v>
      </c>
    </row>
    <row r="967" spans="1:5" x14ac:dyDescent="0.25">
      <c r="A967">
        <v>1271</v>
      </c>
      <c r="B967" t="s">
        <v>1751</v>
      </c>
      <c r="C967" t="s">
        <v>431</v>
      </c>
      <c r="D967" t="str">
        <f t="shared" si="16"/>
        <v>SECULT3022</v>
      </c>
      <c r="E967" t="s">
        <v>2933</v>
      </c>
    </row>
    <row r="968" spans="1:5" x14ac:dyDescent="0.25">
      <c r="A968">
        <v>1271</v>
      </c>
      <c r="B968" t="s">
        <v>1751</v>
      </c>
      <c r="C968" t="s">
        <v>2957</v>
      </c>
      <c r="D968" t="str">
        <f t="shared" si="16"/>
        <v>SECULT3023</v>
      </c>
      <c r="E968" t="s">
        <v>2958</v>
      </c>
    </row>
    <row r="969" spans="1:5" x14ac:dyDescent="0.25">
      <c r="A969">
        <v>1271</v>
      </c>
      <c r="B969" t="s">
        <v>1751</v>
      </c>
      <c r="C969" t="s">
        <v>441</v>
      </c>
      <c r="D969" t="str">
        <f t="shared" si="16"/>
        <v>SECULT3024</v>
      </c>
      <c r="E969" t="s">
        <v>2933</v>
      </c>
    </row>
    <row r="970" spans="1:5" x14ac:dyDescent="0.25">
      <c r="A970">
        <v>1271</v>
      </c>
      <c r="B970" t="s">
        <v>1751</v>
      </c>
      <c r="C970" t="s">
        <v>2959</v>
      </c>
      <c r="D970" t="str">
        <f t="shared" si="16"/>
        <v>SECULT3025</v>
      </c>
      <c r="E970" t="s">
        <v>2933</v>
      </c>
    </row>
    <row r="971" spans="1:5" x14ac:dyDescent="0.25">
      <c r="A971">
        <v>1271</v>
      </c>
      <c r="B971" t="s">
        <v>1751</v>
      </c>
      <c r="C971" t="s">
        <v>2960</v>
      </c>
      <c r="D971" t="str">
        <f t="shared" si="16"/>
        <v>SECULT3026</v>
      </c>
      <c r="E971" t="s">
        <v>2958</v>
      </c>
    </row>
    <row r="972" spans="1:5" x14ac:dyDescent="0.25">
      <c r="A972">
        <v>1271</v>
      </c>
      <c r="B972" t="s">
        <v>1751</v>
      </c>
      <c r="C972" t="s">
        <v>2961</v>
      </c>
      <c r="D972" t="str">
        <f t="shared" si="16"/>
        <v>SECULT3027</v>
      </c>
      <c r="E972" t="s">
        <v>2933</v>
      </c>
    </row>
    <row r="973" spans="1:5" x14ac:dyDescent="0.25">
      <c r="A973">
        <v>1271</v>
      </c>
      <c r="B973" t="s">
        <v>1751</v>
      </c>
      <c r="C973" t="s">
        <v>467</v>
      </c>
      <c r="D973" t="str">
        <f t="shared" si="16"/>
        <v>SECULT3030</v>
      </c>
      <c r="E973" t="s">
        <v>2933</v>
      </c>
    </row>
    <row r="974" spans="1:5" x14ac:dyDescent="0.25">
      <c r="A974">
        <v>1271</v>
      </c>
      <c r="B974" t="s">
        <v>1751</v>
      </c>
      <c r="C974" t="s">
        <v>2963</v>
      </c>
      <c r="D974" t="str">
        <f t="shared" si="16"/>
        <v>SECULT3032</v>
      </c>
      <c r="E974" t="s">
        <v>2933</v>
      </c>
    </row>
    <row r="975" spans="1:5" x14ac:dyDescent="0.25">
      <c r="A975">
        <v>1271</v>
      </c>
      <c r="B975" t="s">
        <v>1751</v>
      </c>
      <c r="C975" t="s">
        <v>3242</v>
      </c>
      <c r="D975" t="str">
        <f t="shared" si="16"/>
        <v>SECULT3036</v>
      </c>
      <c r="E975" t="s">
        <v>2933</v>
      </c>
    </row>
    <row r="976" spans="1:5" x14ac:dyDescent="0.25">
      <c r="A976">
        <v>1271</v>
      </c>
      <c r="B976" t="s">
        <v>1751</v>
      </c>
      <c r="C976" t="s">
        <v>491</v>
      </c>
      <c r="D976" t="str">
        <f t="shared" si="16"/>
        <v>SECULT3099</v>
      </c>
      <c r="E976" t="s">
        <v>2933</v>
      </c>
    </row>
    <row r="977" spans="1:5" x14ac:dyDescent="0.25">
      <c r="A977">
        <v>1271</v>
      </c>
      <c r="B977" t="s">
        <v>1751</v>
      </c>
      <c r="C977" t="s">
        <v>2967</v>
      </c>
      <c r="D977" t="str">
        <f t="shared" si="16"/>
        <v>SECULT3101</v>
      </c>
      <c r="E977" t="s">
        <v>2968</v>
      </c>
    </row>
    <row r="978" spans="1:5" x14ac:dyDescent="0.25">
      <c r="A978">
        <v>1271</v>
      </c>
      <c r="B978" t="s">
        <v>1751</v>
      </c>
      <c r="C978" t="s">
        <v>294</v>
      </c>
      <c r="D978" t="str">
        <f t="shared" si="16"/>
        <v>SECULT3104</v>
      </c>
      <c r="E978" t="s">
        <v>2968</v>
      </c>
    </row>
    <row r="979" spans="1:5" x14ac:dyDescent="0.25">
      <c r="A979">
        <v>1271</v>
      </c>
      <c r="B979" t="s">
        <v>1751</v>
      </c>
      <c r="C979" t="s">
        <v>54</v>
      </c>
      <c r="D979" t="str">
        <f t="shared" si="16"/>
        <v>SECULT3301</v>
      </c>
      <c r="E979" t="s">
        <v>44</v>
      </c>
    </row>
    <row r="980" spans="1:5" x14ac:dyDescent="0.25">
      <c r="A980">
        <v>1271</v>
      </c>
      <c r="B980" t="s">
        <v>1751</v>
      </c>
      <c r="C980" t="s">
        <v>2975</v>
      </c>
      <c r="D980" t="str">
        <f t="shared" si="16"/>
        <v>SECULT3302</v>
      </c>
      <c r="E980" t="s">
        <v>44</v>
      </c>
    </row>
    <row r="981" spans="1:5" x14ac:dyDescent="0.25">
      <c r="A981">
        <v>1271</v>
      </c>
      <c r="B981" t="s">
        <v>1751</v>
      </c>
      <c r="C981" t="s">
        <v>2977</v>
      </c>
      <c r="D981" t="str">
        <f t="shared" si="16"/>
        <v>SECULT3304</v>
      </c>
      <c r="E981" t="s">
        <v>44</v>
      </c>
    </row>
    <row r="982" spans="1:5" x14ac:dyDescent="0.25">
      <c r="A982">
        <v>1271</v>
      </c>
      <c r="B982" t="s">
        <v>1751</v>
      </c>
      <c r="C982" t="s">
        <v>309</v>
      </c>
      <c r="D982" t="str">
        <f t="shared" si="16"/>
        <v>SECULT3305</v>
      </c>
      <c r="E982" t="s">
        <v>44</v>
      </c>
    </row>
    <row r="983" spans="1:5" x14ac:dyDescent="0.25">
      <c r="A983">
        <v>1271</v>
      </c>
      <c r="B983" t="s">
        <v>1751</v>
      </c>
      <c r="C983" t="s">
        <v>3201</v>
      </c>
      <c r="D983" t="str">
        <f t="shared" si="16"/>
        <v>SECULT3502</v>
      </c>
      <c r="E983" t="s">
        <v>1660</v>
      </c>
    </row>
    <row r="984" spans="1:5" x14ac:dyDescent="0.25">
      <c r="A984">
        <v>1271</v>
      </c>
      <c r="B984" t="s">
        <v>1751</v>
      </c>
      <c r="C984" t="s">
        <v>297</v>
      </c>
      <c r="D984" t="str">
        <f t="shared" si="16"/>
        <v>SECULT3604</v>
      </c>
      <c r="E984" t="s">
        <v>44</v>
      </c>
    </row>
    <row r="985" spans="1:5" x14ac:dyDescent="0.25">
      <c r="A985">
        <v>1271</v>
      </c>
      <c r="B985" t="s">
        <v>1751</v>
      </c>
      <c r="C985" t="s">
        <v>3234</v>
      </c>
      <c r="D985" t="str">
        <f t="shared" si="16"/>
        <v>SECULT3605</v>
      </c>
      <c r="E985" t="s">
        <v>2968</v>
      </c>
    </row>
    <row r="986" spans="1:5" x14ac:dyDescent="0.25">
      <c r="A986">
        <v>1271</v>
      </c>
      <c r="B986" t="s">
        <v>1751</v>
      </c>
      <c r="C986" t="s">
        <v>355</v>
      </c>
      <c r="D986" t="str">
        <f t="shared" si="16"/>
        <v>SECULT3610</v>
      </c>
      <c r="E986" t="s">
        <v>2968</v>
      </c>
    </row>
    <row r="987" spans="1:5" x14ac:dyDescent="0.25">
      <c r="A987">
        <v>1271</v>
      </c>
      <c r="B987" t="s">
        <v>1751</v>
      </c>
      <c r="C987" t="s">
        <v>2979</v>
      </c>
      <c r="D987" t="str">
        <f t="shared" si="16"/>
        <v>SECULT3612</v>
      </c>
      <c r="E987" t="s">
        <v>2968</v>
      </c>
    </row>
    <row r="988" spans="1:5" x14ac:dyDescent="0.25">
      <c r="A988">
        <v>1271</v>
      </c>
      <c r="B988" t="s">
        <v>1751</v>
      </c>
      <c r="C988" t="s">
        <v>442</v>
      </c>
      <c r="D988" t="str">
        <f t="shared" si="16"/>
        <v>SECULT3625</v>
      </c>
      <c r="E988" t="s">
        <v>2968</v>
      </c>
    </row>
    <row r="989" spans="1:5" x14ac:dyDescent="0.25">
      <c r="A989">
        <v>1271</v>
      </c>
      <c r="B989" t="s">
        <v>1751</v>
      </c>
      <c r="C989" t="s">
        <v>471</v>
      </c>
      <c r="D989" t="str">
        <f t="shared" si="16"/>
        <v>SECULT3699</v>
      </c>
      <c r="E989" t="s">
        <v>2968</v>
      </c>
    </row>
    <row r="990" spans="1:5" x14ac:dyDescent="0.25">
      <c r="A990">
        <v>1271</v>
      </c>
      <c r="B990" t="s">
        <v>1751</v>
      </c>
      <c r="C990" t="s">
        <v>3050</v>
      </c>
      <c r="D990" t="str">
        <f t="shared" si="16"/>
        <v>SECULT3702</v>
      </c>
      <c r="E990" t="s">
        <v>2981</v>
      </c>
    </row>
    <row r="991" spans="1:5" x14ac:dyDescent="0.25">
      <c r="A991">
        <v>1271</v>
      </c>
      <c r="B991" t="s">
        <v>1751</v>
      </c>
      <c r="C991" t="s">
        <v>2983</v>
      </c>
      <c r="D991" t="str">
        <f t="shared" si="16"/>
        <v>SECULT3703</v>
      </c>
      <c r="E991" t="s">
        <v>117</v>
      </c>
    </row>
    <row r="992" spans="1:5" x14ac:dyDescent="0.25">
      <c r="A992">
        <v>1271</v>
      </c>
      <c r="B992" t="s">
        <v>1751</v>
      </c>
      <c r="C992" t="s">
        <v>2985</v>
      </c>
      <c r="D992" t="str">
        <f t="shared" si="16"/>
        <v>SECULT3704</v>
      </c>
      <c r="E992" t="s">
        <v>117</v>
      </c>
    </row>
    <row r="993" spans="1:5" x14ac:dyDescent="0.25">
      <c r="A993">
        <v>1271</v>
      </c>
      <c r="B993" t="s">
        <v>1751</v>
      </c>
      <c r="C993" t="s">
        <v>2986</v>
      </c>
      <c r="D993" t="str">
        <f t="shared" si="16"/>
        <v>SECULT3705</v>
      </c>
      <c r="E993" t="s">
        <v>117</v>
      </c>
    </row>
    <row r="994" spans="1:5" x14ac:dyDescent="0.25">
      <c r="A994">
        <v>1271</v>
      </c>
      <c r="B994" t="s">
        <v>1751</v>
      </c>
      <c r="C994" t="s">
        <v>233</v>
      </c>
      <c r="D994" t="str">
        <f t="shared" si="16"/>
        <v>SECULT3901</v>
      </c>
      <c r="E994" t="s">
        <v>2926</v>
      </c>
    </row>
    <row r="995" spans="1:5" x14ac:dyDescent="0.25">
      <c r="A995">
        <v>1271</v>
      </c>
      <c r="B995" t="s">
        <v>1751</v>
      </c>
      <c r="C995" t="s">
        <v>2988</v>
      </c>
      <c r="D995" t="str">
        <f t="shared" si="16"/>
        <v>SECULT3903</v>
      </c>
      <c r="E995" t="s">
        <v>2968</v>
      </c>
    </row>
    <row r="996" spans="1:5" x14ac:dyDescent="0.25">
      <c r="A996">
        <v>1271</v>
      </c>
      <c r="B996" t="s">
        <v>1751</v>
      </c>
      <c r="C996" t="s">
        <v>299</v>
      </c>
      <c r="D996" t="str">
        <f t="shared" si="16"/>
        <v>SECULT3904</v>
      </c>
      <c r="E996" t="s">
        <v>2968</v>
      </c>
    </row>
    <row r="997" spans="1:5" x14ac:dyDescent="0.25">
      <c r="A997">
        <v>1271</v>
      </c>
      <c r="B997" t="s">
        <v>1751</v>
      </c>
      <c r="C997" t="s">
        <v>326</v>
      </c>
      <c r="D997" t="str">
        <f t="shared" si="16"/>
        <v>SECULT3906</v>
      </c>
      <c r="E997" t="s">
        <v>2968</v>
      </c>
    </row>
    <row r="998" spans="1:5" x14ac:dyDescent="0.25">
      <c r="A998">
        <v>1271</v>
      </c>
      <c r="B998" t="s">
        <v>1751</v>
      </c>
      <c r="C998" t="s">
        <v>336</v>
      </c>
      <c r="D998" t="str">
        <f t="shared" si="16"/>
        <v>SECULT3909</v>
      </c>
      <c r="E998" t="s">
        <v>2968</v>
      </c>
    </row>
    <row r="999" spans="1:5" x14ac:dyDescent="0.25">
      <c r="A999">
        <v>1271</v>
      </c>
      <c r="B999" t="s">
        <v>1751</v>
      </c>
      <c r="C999" t="s">
        <v>346</v>
      </c>
      <c r="D999" t="str">
        <f t="shared" si="16"/>
        <v>SECULT3910</v>
      </c>
      <c r="E999" t="s">
        <v>2968</v>
      </c>
    </row>
    <row r="1000" spans="1:5" x14ac:dyDescent="0.25">
      <c r="A1000">
        <v>1271</v>
      </c>
      <c r="B1000" t="s">
        <v>1751</v>
      </c>
      <c r="C1000" t="s">
        <v>356</v>
      </c>
      <c r="D1000" t="str">
        <f t="shared" si="16"/>
        <v>SECULT3911</v>
      </c>
      <c r="E1000" t="s">
        <v>2968</v>
      </c>
    </row>
    <row r="1001" spans="1:5" x14ac:dyDescent="0.25">
      <c r="A1001">
        <v>1271</v>
      </c>
      <c r="B1001" t="s">
        <v>1751</v>
      </c>
      <c r="C1001" t="s">
        <v>2991</v>
      </c>
      <c r="D1001" t="str">
        <f t="shared" si="16"/>
        <v>SECULT3912</v>
      </c>
      <c r="E1001" t="s">
        <v>2992</v>
      </c>
    </row>
    <row r="1002" spans="1:5" x14ac:dyDescent="0.25">
      <c r="A1002">
        <v>1271</v>
      </c>
      <c r="B1002" t="s">
        <v>1751</v>
      </c>
      <c r="C1002" t="s">
        <v>2994</v>
      </c>
      <c r="D1002" t="str">
        <f t="shared" si="16"/>
        <v>SECULT3913</v>
      </c>
      <c r="E1002" t="s">
        <v>2992</v>
      </c>
    </row>
    <row r="1003" spans="1:5" x14ac:dyDescent="0.25">
      <c r="A1003">
        <v>1271</v>
      </c>
      <c r="B1003" t="s">
        <v>1751</v>
      </c>
      <c r="C1003" t="s">
        <v>2996</v>
      </c>
      <c r="D1003" t="str">
        <f t="shared" si="16"/>
        <v>SECULT3917</v>
      </c>
      <c r="E1003" t="s">
        <v>2958</v>
      </c>
    </row>
    <row r="1004" spans="1:5" x14ac:dyDescent="0.25">
      <c r="A1004">
        <v>1271</v>
      </c>
      <c r="B1004" t="s">
        <v>1751</v>
      </c>
      <c r="C1004" t="s">
        <v>2998</v>
      </c>
      <c r="D1004" t="str">
        <f t="shared" si="16"/>
        <v>SECULT3918</v>
      </c>
      <c r="E1004" t="s">
        <v>2958</v>
      </c>
    </row>
    <row r="1005" spans="1:5" x14ac:dyDescent="0.25">
      <c r="A1005">
        <v>1271</v>
      </c>
      <c r="B1005" t="s">
        <v>1751</v>
      </c>
      <c r="C1005" t="s">
        <v>3000</v>
      </c>
      <c r="D1005" t="str">
        <f t="shared" si="16"/>
        <v>SECULT3919</v>
      </c>
      <c r="E1005" t="s">
        <v>3001</v>
      </c>
    </row>
    <row r="1006" spans="1:5" x14ac:dyDescent="0.25">
      <c r="A1006">
        <v>1271</v>
      </c>
      <c r="B1006" t="s">
        <v>1751</v>
      </c>
      <c r="C1006" t="s">
        <v>3002</v>
      </c>
      <c r="D1006" t="str">
        <f t="shared" si="16"/>
        <v>SECULT3921</v>
      </c>
      <c r="E1006" t="s">
        <v>3001</v>
      </c>
    </row>
    <row r="1007" spans="1:5" x14ac:dyDescent="0.25">
      <c r="A1007">
        <v>1271</v>
      </c>
      <c r="B1007" t="s">
        <v>1751</v>
      </c>
      <c r="C1007" t="s">
        <v>3003</v>
      </c>
      <c r="D1007" t="str">
        <f t="shared" si="16"/>
        <v>SECULT3922</v>
      </c>
      <c r="E1007" t="s">
        <v>2954</v>
      </c>
    </row>
    <row r="1008" spans="1:5" x14ac:dyDescent="0.25">
      <c r="A1008">
        <v>1271</v>
      </c>
      <c r="B1008" t="s">
        <v>1751</v>
      </c>
      <c r="C1008" t="s">
        <v>428</v>
      </c>
      <c r="D1008" t="str">
        <f t="shared" si="16"/>
        <v>SECULT3923</v>
      </c>
      <c r="E1008" t="s">
        <v>2968</v>
      </c>
    </row>
    <row r="1009" spans="1:5" x14ac:dyDescent="0.25">
      <c r="A1009">
        <v>1271</v>
      </c>
      <c r="B1009" t="s">
        <v>1751</v>
      </c>
      <c r="C1009" t="s">
        <v>443</v>
      </c>
      <c r="D1009" t="str">
        <f t="shared" si="16"/>
        <v>SECULT3926</v>
      </c>
      <c r="E1009" t="s">
        <v>3006</v>
      </c>
    </row>
    <row r="1010" spans="1:5" x14ac:dyDescent="0.25">
      <c r="A1010">
        <v>1271</v>
      </c>
      <c r="B1010" t="s">
        <v>1751</v>
      </c>
      <c r="C1010" t="s">
        <v>3008</v>
      </c>
      <c r="D1010" t="str">
        <f t="shared" si="16"/>
        <v>SECULT3927</v>
      </c>
      <c r="E1010" t="s">
        <v>3009</v>
      </c>
    </row>
    <row r="1011" spans="1:5" x14ac:dyDescent="0.25">
      <c r="A1011">
        <v>1271</v>
      </c>
      <c r="B1011" t="s">
        <v>1751</v>
      </c>
      <c r="C1011" t="s">
        <v>458</v>
      </c>
      <c r="D1011" t="str">
        <f t="shared" si="16"/>
        <v>SECULT3930</v>
      </c>
      <c r="E1011" t="s">
        <v>3006</v>
      </c>
    </row>
    <row r="1012" spans="1:5" x14ac:dyDescent="0.25">
      <c r="A1012">
        <v>1271</v>
      </c>
      <c r="B1012" t="s">
        <v>1751</v>
      </c>
      <c r="C1012" t="s">
        <v>1481</v>
      </c>
      <c r="D1012" t="str">
        <f t="shared" si="16"/>
        <v>SECULT3931</v>
      </c>
      <c r="E1012" t="s">
        <v>2968</v>
      </c>
    </row>
    <row r="1013" spans="1:5" x14ac:dyDescent="0.25">
      <c r="A1013">
        <v>1271</v>
      </c>
      <c r="B1013" t="s">
        <v>1751</v>
      </c>
      <c r="C1013" t="s">
        <v>3017</v>
      </c>
      <c r="D1013" t="str">
        <f t="shared" si="16"/>
        <v>SECULT3936</v>
      </c>
      <c r="E1013" t="s">
        <v>94</v>
      </c>
    </row>
    <row r="1014" spans="1:5" x14ac:dyDescent="0.25">
      <c r="A1014">
        <v>1271</v>
      </c>
      <c r="B1014" t="s">
        <v>1751</v>
      </c>
      <c r="C1014" t="s">
        <v>3202</v>
      </c>
      <c r="D1014" t="str">
        <f t="shared" si="16"/>
        <v>SECULT3938</v>
      </c>
      <c r="E1014" t="s">
        <v>2968</v>
      </c>
    </row>
    <row r="1015" spans="1:5" x14ac:dyDescent="0.25">
      <c r="A1015">
        <v>1271</v>
      </c>
      <c r="B1015" t="s">
        <v>1751</v>
      </c>
      <c r="C1015" t="s">
        <v>3089</v>
      </c>
      <c r="D1015" t="str">
        <f t="shared" si="16"/>
        <v>SECULT3939</v>
      </c>
      <c r="E1015" t="s">
        <v>2968</v>
      </c>
    </row>
    <row r="1016" spans="1:5" x14ac:dyDescent="0.25">
      <c r="A1016">
        <v>1271</v>
      </c>
      <c r="B1016" t="s">
        <v>1751</v>
      </c>
      <c r="C1016" t="s">
        <v>3019</v>
      </c>
      <c r="D1016" t="str">
        <f t="shared" si="16"/>
        <v>SECULT3940</v>
      </c>
      <c r="E1016" t="s">
        <v>3009</v>
      </c>
    </row>
    <row r="1017" spans="1:5" x14ac:dyDescent="0.25">
      <c r="A1017">
        <v>1271</v>
      </c>
      <c r="B1017" t="s">
        <v>1751</v>
      </c>
      <c r="C1017" t="s">
        <v>3020</v>
      </c>
      <c r="D1017" t="str">
        <f t="shared" si="16"/>
        <v>SECULT3943</v>
      </c>
      <c r="E1017" t="s">
        <v>2958</v>
      </c>
    </row>
    <row r="1018" spans="1:5" x14ac:dyDescent="0.25">
      <c r="A1018">
        <v>1271</v>
      </c>
      <c r="B1018" t="s">
        <v>1751</v>
      </c>
      <c r="C1018" t="s">
        <v>488</v>
      </c>
      <c r="D1018" t="str">
        <f t="shared" si="16"/>
        <v>SECULT3946</v>
      </c>
      <c r="E1018" t="s">
        <v>3235</v>
      </c>
    </row>
    <row r="1019" spans="1:5" x14ac:dyDescent="0.25">
      <c r="A1019">
        <v>1271</v>
      </c>
      <c r="B1019" t="s">
        <v>1751</v>
      </c>
      <c r="C1019" t="s">
        <v>3096</v>
      </c>
      <c r="D1019" t="str">
        <f t="shared" si="16"/>
        <v>SECULT3949</v>
      </c>
      <c r="E1019" t="s">
        <v>3004</v>
      </c>
    </row>
    <row r="1020" spans="1:5" x14ac:dyDescent="0.25">
      <c r="A1020">
        <v>1271</v>
      </c>
      <c r="B1020" t="s">
        <v>1751</v>
      </c>
      <c r="C1020" t="s">
        <v>3098</v>
      </c>
      <c r="D1020" t="str">
        <f t="shared" si="16"/>
        <v>SECULT3952</v>
      </c>
      <c r="E1020" t="s">
        <v>65</v>
      </c>
    </row>
    <row r="1021" spans="1:5" x14ac:dyDescent="0.25">
      <c r="A1021">
        <v>1271</v>
      </c>
      <c r="B1021" t="s">
        <v>1751</v>
      </c>
      <c r="C1021" t="s">
        <v>498</v>
      </c>
      <c r="D1021" t="str">
        <f t="shared" si="16"/>
        <v>SECULT3955</v>
      </c>
      <c r="E1021" t="s">
        <v>2968</v>
      </c>
    </row>
    <row r="1022" spans="1:5" x14ac:dyDescent="0.25">
      <c r="A1022">
        <v>1271</v>
      </c>
      <c r="B1022" t="s">
        <v>1751</v>
      </c>
      <c r="C1022" t="s">
        <v>499</v>
      </c>
      <c r="D1022" t="str">
        <f t="shared" si="16"/>
        <v>SECULT3956</v>
      </c>
      <c r="E1022" t="s">
        <v>2968</v>
      </c>
    </row>
    <row r="1023" spans="1:5" x14ac:dyDescent="0.25">
      <c r="A1023">
        <v>1271</v>
      </c>
      <c r="B1023" t="s">
        <v>1751</v>
      </c>
      <c r="C1023" t="s">
        <v>3025</v>
      </c>
      <c r="D1023" t="str">
        <f t="shared" si="16"/>
        <v>SECULT3959</v>
      </c>
      <c r="E1023" t="s">
        <v>2968</v>
      </c>
    </row>
    <row r="1024" spans="1:5" x14ac:dyDescent="0.25">
      <c r="A1024">
        <v>1271</v>
      </c>
      <c r="B1024" t="s">
        <v>1751</v>
      </c>
      <c r="C1024" t="s">
        <v>3027</v>
      </c>
      <c r="D1024" t="str">
        <f t="shared" si="16"/>
        <v>SECULT3961</v>
      </c>
      <c r="E1024" t="s">
        <v>2981</v>
      </c>
    </row>
    <row r="1025" spans="1:5" x14ac:dyDescent="0.25">
      <c r="A1025">
        <v>1271</v>
      </c>
      <c r="B1025" t="s">
        <v>1751</v>
      </c>
      <c r="C1025" t="s">
        <v>3103</v>
      </c>
      <c r="D1025" t="str">
        <f t="shared" si="16"/>
        <v>SECULT3962</v>
      </c>
      <c r="E1025" t="s">
        <v>3033</v>
      </c>
    </row>
    <row r="1026" spans="1:5" x14ac:dyDescent="0.25">
      <c r="A1026">
        <v>1271</v>
      </c>
      <c r="B1026" t="s">
        <v>1751</v>
      </c>
      <c r="C1026" t="s">
        <v>3031</v>
      </c>
      <c r="D1026" t="str">
        <f t="shared" si="16"/>
        <v>SECULT3970</v>
      </c>
      <c r="E1026" t="s">
        <v>3009</v>
      </c>
    </row>
    <row r="1027" spans="1:5" x14ac:dyDescent="0.25">
      <c r="A1027">
        <v>1271</v>
      </c>
      <c r="B1027" t="s">
        <v>1751</v>
      </c>
      <c r="C1027" t="s">
        <v>3036</v>
      </c>
      <c r="D1027" t="str">
        <f t="shared" si="16"/>
        <v>SECULT3987</v>
      </c>
      <c r="E1027" t="s">
        <v>2958</v>
      </c>
    </row>
    <row r="1028" spans="1:5" x14ac:dyDescent="0.25">
      <c r="A1028">
        <v>1271</v>
      </c>
      <c r="B1028" t="s">
        <v>1751</v>
      </c>
      <c r="C1028" t="s">
        <v>531</v>
      </c>
      <c r="D1028" t="str">
        <f t="shared" ref="D1028:D1091" si="17">CONCATENATE(B1028,LEFT(C1028,4))</f>
        <v>SECULT3991</v>
      </c>
      <c r="E1028" t="s">
        <v>2968</v>
      </c>
    </row>
    <row r="1029" spans="1:5" x14ac:dyDescent="0.25">
      <c r="A1029">
        <v>1271</v>
      </c>
      <c r="B1029" t="s">
        <v>1751</v>
      </c>
      <c r="C1029" t="s">
        <v>3236</v>
      </c>
      <c r="D1029" t="str">
        <f t="shared" si="17"/>
        <v>SECULT3992</v>
      </c>
      <c r="E1029" t="s">
        <v>3235</v>
      </c>
    </row>
    <row r="1030" spans="1:5" x14ac:dyDescent="0.25">
      <c r="A1030">
        <v>1271</v>
      </c>
      <c r="B1030" t="s">
        <v>1751</v>
      </c>
      <c r="C1030" t="s">
        <v>3040</v>
      </c>
      <c r="D1030" t="str">
        <f t="shared" si="17"/>
        <v>SECULT3999</v>
      </c>
      <c r="E1030" t="s">
        <v>2968</v>
      </c>
    </row>
    <row r="1031" spans="1:5" x14ac:dyDescent="0.25">
      <c r="A1031">
        <v>1271</v>
      </c>
      <c r="B1031" t="s">
        <v>1751</v>
      </c>
      <c r="C1031" t="s">
        <v>3041</v>
      </c>
      <c r="D1031" t="str">
        <f t="shared" si="17"/>
        <v>SECULT4002</v>
      </c>
      <c r="E1031" t="s">
        <v>3009</v>
      </c>
    </row>
    <row r="1032" spans="1:5" x14ac:dyDescent="0.25">
      <c r="A1032">
        <v>1271</v>
      </c>
      <c r="B1032" t="s">
        <v>1751</v>
      </c>
      <c r="C1032" t="s">
        <v>3043</v>
      </c>
      <c r="D1032" t="str">
        <f t="shared" si="17"/>
        <v>SECULT4003</v>
      </c>
      <c r="E1032" t="s">
        <v>94</v>
      </c>
    </row>
    <row r="1033" spans="1:5" x14ac:dyDescent="0.25">
      <c r="A1033">
        <v>1271</v>
      </c>
      <c r="B1033" t="s">
        <v>1751</v>
      </c>
      <c r="C1033" t="s">
        <v>3045</v>
      </c>
      <c r="D1033" t="str">
        <f t="shared" si="17"/>
        <v>SECULT4004</v>
      </c>
      <c r="E1033" t="s">
        <v>3009</v>
      </c>
    </row>
    <row r="1034" spans="1:5" x14ac:dyDescent="0.25">
      <c r="A1034">
        <v>1271</v>
      </c>
      <c r="B1034" t="s">
        <v>1751</v>
      </c>
      <c r="C1034" t="s">
        <v>3047</v>
      </c>
      <c r="D1034" t="str">
        <f t="shared" si="17"/>
        <v>SECULT4005</v>
      </c>
      <c r="E1034" t="s">
        <v>3009</v>
      </c>
    </row>
    <row r="1035" spans="1:5" x14ac:dyDescent="0.25">
      <c r="A1035">
        <v>1271</v>
      </c>
      <c r="B1035" t="s">
        <v>1751</v>
      </c>
      <c r="C1035" t="s">
        <v>813</v>
      </c>
      <c r="D1035" t="str">
        <f t="shared" si="17"/>
        <v>SECULT4006</v>
      </c>
      <c r="E1035" t="s">
        <v>3057</v>
      </c>
    </row>
    <row r="1036" spans="1:5" x14ac:dyDescent="0.25">
      <c r="A1036">
        <v>1271</v>
      </c>
      <c r="B1036" t="s">
        <v>1751</v>
      </c>
      <c r="C1036" t="s">
        <v>3123</v>
      </c>
      <c r="D1036" t="str">
        <f t="shared" si="17"/>
        <v>SECULT4101</v>
      </c>
      <c r="E1036" t="s">
        <v>3218</v>
      </c>
    </row>
    <row r="1037" spans="1:5" x14ac:dyDescent="0.25">
      <c r="A1037">
        <v>1271</v>
      </c>
      <c r="B1037" t="s">
        <v>1751</v>
      </c>
      <c r="C1037" t="s">
        <v>3127</v>
      </c>
      <c r="D1037" t="str">
        <f t="shared" si="17"/>
        <v>SECULT4201</v>
      </c>
      <c r="E1037" t="s">
        <v>3218</v>
      </c>
    </row>
    <row r="1038" spans="1:5" x14ac:dyDescent="0.25">
      <c r="A1038">
        <v>1271</v>
      </c>
      <c r="B1038" t="s">
        <v>1751</v>
      </c>
      <c r="C1038" t="s">
        <v>3128</v>
      </c>
      <c r="D1038" t="str">
        <f t="shared" si="17"/>
        <v>SECULT4301</v>
      </c>
      <c r="E1038" t="s">
        <v>3239</v>
      </c>
    </row>
    <row r="1039" spans="1:5" x14ac:dyDescent="0.25">
      <c r="A1039">
        <v>1271</v>
      </c>
      <c r="B1039" t="s">
        <v>1751</v>
      </c>
      <c r="C1039" t="s">
        <v>238</v>
      </c>
      <c r="D1039" t="str">
        <f t="shared" si="17"/>
        <v>SECULT4501</v>
      </c>
      <c r="E1039" t="s">
        <v>3243</v>
      </c>
    </row>
    <row r="1040" spans="1:5" x14ac:dyDescent="0.25">
      <c r="A1040">
        <v>1271</v>
      </c>
      <c r="B1040" t="s">
        <v>1751</v>
      </c>
      <c r="C1040" t="s">
        <v>3048</v>
      </c>
      <c r="D1040" t="str">
        <f t="shared" si="17"/>
        <v>SECULT4701</v>
      </c>
      <c r="E1040" t="s">
        <v>3049</v>
      </c>
    </row>
    <row r="1041" spans="1:5" x14ac:dyDescent="0.25">
      <c r="A1041">
        <v>1271</v>
      </c>
      <c r="B1041" t="s">
        <v>1751</v>
      </c>
      <c r="C1041" t="s">
        <v>265</v>
      </c>
      <c r="D1041" t="str">
        <f t="shared" si="17"/>
        <v>SECULT4703</v>
      </c>
      <c r="E1041" t="s">
        <v>3049</v>
      </c>
    </row>
    <row r="1042" spans="1:5" x14ac:dyDescent="0.25">
      <c r="A1042">
        <v>1271</v>
      </c>
      <c r="B1042" t="s">
        <v>1751</v>
      </c>
      <c r="C1042" t="s">
        <v>364</v>
      </c>
      <c r="D1042" t="str">
        <f t="shared" si="17"/>
        <v>SECULT4799</v>
      </c>
      <c r="E1042" t="s">
        <v>3049</v>
      </c>
    </row>
    <row r="1043" spans="1:5" x14ac:dyDescent="0.25">
      <c r="A1043">
        <v>1271</v>
      </c>
      <c r="B1043" t="s">
        <v>1751</v>
      </c>
      <c r="C1043" t="s">
        <v>240</v>
      </c>
      <c r="D1043" t="str">
        <f t="shared" si="17"/>
        <v>SECULT4801</v>
      </c>
      <c r="E1043" t="s">
        <v>2968</v>
      </c>
    </row>
    <row r="1044" spans="1:5" x14ac:dyDescent="0.25">
      <c r="A1044">
        <v>1271</v>
      </c>
      <c r="B1044" t="s">
        <v>1751</v>
      </c>
      <c r="C1044" t="s">
        <v>286</v>
      </c>
      <c r="D1044" t="str">
        <f t="shared" si="17"/>
        <v>SECULT4803</v>
      </c>
      <c r="E1044" t="s">
        <v>3004</v>
      </c>
    </row>
    <row r="1045" spans="1:5" x14ac:dyDescent="0.25">
      <c r="A1045">
        <v>1271</v>
      </c>
      <c r="B1045" t="s">
        <v>1751</v>
      </c>
      <c r="C1045" t="s">
        <v>3053</v>
      </c>
      <c r="D1045" t="str">
        <f t="shared" si="17"/>
        <v>SECULT5103</v>
      </c>
      <c r="E1045" t="s">
        <v>3052</v>
      </c>
    </row>
    <row r="1046" spans="1:5" x14ac:dyDescent="0.25">
      <c r="A1046">
        <v>1271</v>
      </c>
      <c r="B1046" t="s">
        <v>1751</v>
      </c>
      <c r="C1046" t="s">
        <v>242</v>
      </c>
      <c r="D1046" t="str">
        <f t="shared" si="17"/>
        <v>SECULT5201</v>
      </c>
      <c r="E1046" t="s">
        <v>2965</v>
      </c>
    </row>
    <row r="1047" spans="1:5" x14ac:dyDescent="0.25">
      <c r="A1047">
        <v>1271</v>
      </c>
      <c r="B1047" t="s">
        <v>1751</v>
      </c>
      <c r="C1047" t="s">
        <v>329</v>
      </c>
      <c r="D1047" t="str">
        <f t="shared" si="17"/>
        <v>SECULT5206</v>
      </c>
      <c r="E1047" t="s">
        <v>3057</v>
      </c>
    </row>
    <row r="1048" spans="1:5" x14ac:dyDescent="0.25">
      <c r="A1048">
        <v>1271</v>
      </c>
      <c r="B1048" t="s">
        <v>1751</v>
      </c>
      <c r="C1048" t="s">
        <v>3058</v>
      </c>
      <c r="D1048" t="str">
        <f t="shared" si="17"/>
        <v>SECULT5207</v>
      </c>
      <c r="E1048" t="s">
        <v>3057</v>
      </c>
    </row>
    <row r="1049" spans="1:5" x14ac:dyDescent="0.25">
      <c r="A1049">
        <v>1271</v>
      </c>
      <c r="B1049" t="s">
        <v>1751</v>
      </c>
      <c r="C1049" t="s">
        <v>3060</v>
      </c>
      <c r="D1049" t="str">
        <f t="shared" si="17"/>
        <v>SECULT5208</v>
      </c>
      <c r="E1049" t="s">
        <v>3057</v>
      </c>
    </row>
    <row r="1050" spans="1:5" x14ac:dyDescent="0.25">
      <c r="A1050">
        <v>1271</v>
      </c>
      <c r="B1050" t="s">
        <v>1751</v>
      </c>
      <c r="C1050" t="s">
        <v>3063</v>
      </c>
      <c r="D1050" t="str">
        <f t="shared" si="17"/>
        <v>SECULT5210</v>
      </c>
      <c r="E1050" t="s">
        <v>3055</v>
      </c>
    </row>
    <row r="1051" spans="1:5" x14ac:dyDescent="0.25">
      <c r="A1051">
        <v>1271</v>
      </c>
      <c r="B1051" t="s">
        <v>1751</v>
      </c>
      <c r="C1051" t="s">
        <v>3064</v>
      </c>
      <c r="D1051" t="str">
        <f t="shared" si="17"/>
        <v>SECULT5212</v>
      </c>
      <c r="E1051" t="s">
        <v>3055</v>
      </c>
    </row>
    <row r="1052" spans="1:5" x14ac:dyDescent="0.25">
      <c r="A1052">
        <v>1271</v>
      </c>
      <c r="B1052" t="s">
        <v>1751</v>
      </c>
      <c r="C1052" t="s">
        <v>391</v>
      </c>
      <c r="D1052" t="str">
        <f t="shared" si="17"/>
        <v>SECULT5214</v>
      </c>
      <c r="E1052" t="s">
        <v>3055</v>
      </c>
    </row>
    <row r="1053" spans="1:5" x14ac:dyDescent="0.25">
      <c r="A1053">
        <v>1271</v>
      </c>
      <c r="B1053" t="s">
        <v>1751</v>
      </c>
      <c r="C1053" t="s">
        <v>409</v>
      </c>
      <c r="D1053" t="str">
        <f t="shared" si="17"/>
        <v>SECULT5217</v>
      </c>
      <c r="E1053" t="s">
        <v>3067</v>
      </c>
    </row>
    <row r="1054" spans="1:5" x14ac:dyDescent="0.25">
      <c r="A1054">
        <v>1271</v>
      </c>
      <c r="B1054" t="s">
        <v>1751</v>
      </c>
      <c r="C1054" t="s">
        <v>419</v>
      </c>
      <c r="D1054" t="str">
        <f t="shared" si="17"/>
        <v>SECULT5219</v>
      </c>
      <c r="E1054" t="s">
        <v>3055</v>
      </c>
    </row>
    <row r="1055" spans="1:5" x14ac:dyDescent="0.25">
      <c r="A1055">
        <v>1271</v>
      </c>
      <c r="B1055" t="s">
        <v>1751</v>
      </c>
      <c r="C1055" t="s">
        <v>3068</v>
      </c>
      <c r="D1055" t="str">
        <f t="shared" si="17"/>
        <v>SECULT5220</v>
      </c>
      <c r="E1055" t="s">
        <v>3057</v>
      </c>
    </row>
    <row r="1056" spans="1:5" x14ac:dyDescent="0.25">
      <c r="A1056">
        <v>1271</v>
      </c>
      <c r="B1056" t="s">
        <v>1751</v>
      </c>
      <c r="C1056" t="s">
        <v>449</v>
      </c>
      <c r="D1056" t="str">
        <f t="shared" si="17"/>
        <v>SECULT5225</v>
      </c>
      <c r="E1056" t="s">
        <v>3055</v>
      </c>
    </row>
    <row r="1057" spans="1:5" x14ac:dyDescent="0.25">
      <c r="A1057">
        <v>1271</v>
      </c>
      <c r="B1057" t="s">
        <v>1751</v>
      </c>
      <c r="C1057" t="s">
        <v>3070</v>
      </c>
      <c r="D1057" t="str">
        <f t="shared" si="17"/>
        <v>SECULT5226</v>
      </c>
      <c r="E1057" t="s">
        <v>3055</v>
      </c>
    </row>
    <row r="1058" spans="1:5" x14ac:dyDescent="0.25">
      <c r="A1058">
        <v>1271</v>
      </c>
      <c r="B1058" t="s">
        <v>1751</v>
      </c>
      <c r="C1058" t="s">
        <v>3244</v>
      </c>
      <c r="D1058" t="str">
        <f t="shared" si="17"/>
        <v>SECULT8501</v>
      </c>
      <c r="E1058" t="s">
        <v>3235</v>
      </c>
    </row>
    <row r="1059" spans="1:5" x14ac:dyDescent="0.25">
      <c r="A1059">
        <v>1271</v>
      </c>
      <c r="B1059" t="s">
        <v>1751</v>
      </c>
      <c r="C1059" t="s">
        <v>3211</v>
      </c>
      <c r="D1059" t="str">
        <f t="shared" si="17"/>
        <v>SECULT9108</v>
      </c>
      <c r="E1059" t="s">
        <v>3212</v>
      </c>
    </row>
    <row r="1060" spans="1:5" x14ac:dyDescent="0.25">
      <c r="A1060">
        <v>1271</v>
      </c>
      <c r="B1060" t="s">
        <v>1751</v>
      </c>
      <c r="C1060" t="s">
        <v>3074</v>
      </c>
      <c r="D1060" t="str">
        <f t="shared" si="17"/>
        <v>SECULT9202</v>
      </c>
      <c r="E1060" t="s">
        <v>3075</v>
      </c>
    </row>
    <row r="1061" spans="1:5" x14ac:dyDescent="0.25">
      <c r="A1061">
        <v>1271</v>
      </c>
      <c r="B1061" t="s">
        <v>1751</v>
      </c>
      <c r="C1061" t="s">
        <v>331</v>
      </c>
      <c r="D1061" t="str">
        <f t="shared" si="17"/>
        <v>SECULT9306</v>
      </c>
      <c r="E1061" t="s">
        <v>3076</v>
      </c>
    </row>
    <row r="1062" spans="1:5" x14ac:dyDescent="0.25">
      <c r="A1062">
        <v>1271</v>
      </c>
      <c r="B1062" t="s">
        <v>1751</v>
      </c>
      <c r="C1062" t="s">
        <v>367</v>
      </c>
      <c r="D1062" t="str">
        <f t="shared" si="17"/>
        <v>SECULT9310</v>
      </c>
      <c r="E1062" t="s">
        <v>2968</v>
      </c>
    </row>
    <row r="1063" spans="1:5" x14ac:dyDescent="0.25">
      <c r="A1063">
        <v>1271</v>
      </c>
      <c r="B1063" t="s">
        <v>1751</v>
      </c>
      <c r="C1063" t="s">
        <v>3079</v>
      </c>
      <c r="D1063" t="str">
        <f t="shared" si="17"/>
        <v>SECULT9399</v>
      </c>
      <c r="E1063" t="s">
        <v>2968</v>
      </c>
    </row>
    <row r="1064" spans="1:5" x14ac:dyDescent="0.25">
      <c r="A1064">
        <v>1271</v>
      </c>
      <c r="B1064" t="s">
        <v>1751</v>
      </c>
      <c r="C1064" t="s">
        <v>492</v>
      </c>
      <c r="D1064" t="str">
        <f t="shared" si="17"/>
        <v>SECULT3948</v>
      </c>
      <c r="E1064" t="s">
        <v>3004</v>
      </c>
    </row>
    <row r="1065" spans="1:5" x14ac:dyDescent="0.25">
      <c r="A1065">
        <v>1271</v>
      </c>
      <c r="B1065" t="s">
        <v>1751</v>
      </c>
      <c r="C1065" t="s">
        <v>440</v>
      </c>
      <c r="D1065" t="str">
        <f t="shared" si="17"/>
        <v>SECULT9326</v>
      </c>
      <c r="E1065" t="s">
        <v>2968</v>
      </c>
    </row>
    <row r="1066" spans="1:5" x14ac:dyDescent="0.25">
      <c r="A1066">
        <v>1301</v>
      </c>
      <c r="B1066" t="s">
        <v>1756</v>
      </c>
      <c r="C1066" t="s">
        <v>3221</v>
      </c>
      <c r="D1066" t="str">
        <f t="shared" si="17"/>
        <v>SEINFRA0899</v>
      </c>
      <c r="E1066" t="s">
        <v>2926</v>
      </c>
    </row>
    <row r="1067" spans="1:5" x14ac:dyDescent="0.25">
      <c r="A1067">
        <v>1301</v>
      </c>
      <c r="B1067" t="s">
        <v>1756</v>
      </c>
      <c r="C1067" t="s">
        <v>332</v>
      </c>
      <c r="D1067" t="str">
        <f t="shared" si="17"/>
        <v>SEINFRA1314</v>
      </c>
      <c r="E1067" t="s">
        <v>3081</v>
      </c>
    </row>
    <row r="1068" spans="1:5" x14ac:dyDescent="0.25">
      <c r="A1068">
        <v>1301</v>
      </c>
      <c r="B1068" t="s">
        <v>1756</v>
      </c>
      <c r="C1068" t="s">
        <v>2942</v>
      </c>
      <c r="D1068" t="str">
        <f t="shared" si="17"/>
        <v>SEINFRA1317</v>
      </c>
      <c r="E1068" t="s">
        <v>3081</v>
      </c>
    </row>
    <row r="1069" spans="1:5" x14ac:dyDescent="0.25">
      <c r="A1069">
        <v>1301</v>
      </c>
      <c r="B1069" t="s">
        <v>1756</v>
      </c>
      <c r="C1069" t="s">
        <v>2928</v>
      </c>
      <c r="D1069" t="str">
        <f t="shared" si="17"/>
        <v>SEINFRA1401</v>
      </c>
      <c r="E1069" t="s">
        <v>44</v>
      </c>
    </row>
    <row r="1070" spans="1:5" x14ac:dyDescent="0.25">
      <c r="A1070">
        <v>1301</v>
      </c>
      <c r="B1070" t="s">
        <v>1756</v>
      </c>
      <c r="C1070" t="s">
        <v>2952</v>
      </c>
      <c r="D1070" t="str">
        <f t="shared" si="17"/>
        <v>SEINFRA2701</v>
      </c>
      <c r="E1070" t="s">
        <v>3245</v>
      </c>
    </row>
    <row r="1071" spans="1:5" x14ac:dyDescent="0.25">
      <c r="A1071">
        <v>1301</v>
      </c>
      <c r="B1071" t="s">
        <v>1756</v>
      </c>
      <c r="C1071" t="s">
        <v>979</v>
      </c>
      <c r="D1071" t="str">
        <f t="shared" si="17"/>
        <v>SEINFRA3003</v>
      </c>
      <c r="E1071" t="s">
        <v>2933</v>
      </c>
    </row>
    <row r="1072" spans="1:5" x14ac:dyDescent="0.25">
      <c r="A1072">
        <v>1301</v>
      </c>
      <c r="B1072" t="s">
        <v>1756</v>
      </c>
      <c r="C1072" t="s">
        <v>2939</v>
      </c>
      <c r="D1072" t="str">
        <f t="shared" si="17"/>
        <v>SEINFRA3005</v>
      </c>
      <c r="E1072" t="s">
        <v>2933</v>
      </c>
    </row>
    <row r="1073" spans="1:5" x14ac:dyDescent="0.25">
      <c r="A1073">
        <v>1301</v>
      </c>
      <c r="B1073" t="s">
        <v>1756</v>
      </c>
      <c r="C1073" t="s">
        <v>2943</v>
      </c>
      <c r="D1073" t="str">
        <f t="shared" si="17"/>
        <v>SEINFRA3010</v>
      </c>
      <c r="E1073" t="s">
        <v>2944</v>
      </c>
    </row>
    <row r="1074" spans="1:5" x14ac:dyDescent="0.25">
      <c r="A1074">
        <v>1301</v>
      </c>
      <c r="B1074" t="s">
        <v>1756</v>
      </c>
      <c r="C1074" t="s">
        <v>2946</v>
      </c>
      <c r="D1074" t="str">
        <f t="shared" si="17"/>
        <v>SEINFRA3013</v>
      </c>
      <c r="E1074" t="s">
        <v>2933</v>
      </c>
    </row>
    <row r="1075" spans="1:5" x14ac:dyDescent="0.25">
      <c r="A1075">
        <v>1301</v>
      </c>
      <c r="B1075" t="s">
        <v>1756</v>
      </c>
      <c r="C1075" t="s">
        <v>2948</v>
      </c>
      <c r="D1075" t="str">
        <f t="shared" si="17"/>
        <v>SEINFRA3015</v>
      </c>
      <c r="E1075" t="s">
        <v>2933</v>
      </c>
    </row>
    <row r="1076" spans="1:5" x14ac:dyDescent="0.25">
      <c r="A1076">
        <v>1301</v>
      </c>
      <c r="B1076" t="s">
        <v>1756</v>
      </c>
      <c r="C1076" t="s">
        <v>2950</v>
      </c>
      <c r="D1076" t="str">
        <f t="shared" si="17"/>
        <v>SEINFRA3016</v>
      </c>
      <c r="E1076" t="s">
        <v>2933</v>
      </c>
    </row>
    <row r="1077" spans="1:5" x14ac:dyDescent="0.25">
      <c r="A1077">
        <v>1301</v>
      </c>
      <c r="B1077" t="s">
        <v>1756</v>
      </c>
      <c r="C1077" t="s">
        <v>406</v>
      </c>
      <c r="D1077" t="str">
        <f t="shared" si="17"/>
        <v>SEINFRA3017</v>
      </c>
      <c r="E1077" t="s">
        <v>2933</v>
      </c>
    </row>
    <row r="1078" spans="1:5" x14ac:dyDescent="0.25">
      <c r="A1078">
        <v>1301</v>
      </c>
      <c r="B1078" t="s">
        <v>1756</v>
      </c>
      <c r="C1078" t="s">
        <v>2957</v>
      </c>
      <c r="D1078" t="str">
        <f t="shared" si="17"/>
        <v>SEINFRA3023</v>
      </c>
      <c r="E1078" t="s">
        <v>2958</v>
      </c>
    </row>
    <row r="1079" spans="1:5" x14ac:dyDescent="0.25">
      <c r="A1079">
        <v>1301</v>
      </c>
      <c r="B1079" t="s">
        <v>1756</v>
      </c>
      <c r="C1079" t="s">
        <v>2959</v>
      </c>
      <c r="D1079" t="str">
        <f t="shared" si="17"/>
        <v>SEINFRA3025</v>
      </c>
      <c r="E1079" t="s">
        <v>2933</v>
      </c>
    </row>
    <row r="1080" spans="1:5" x14ac:dyDescent="0.25">
      <c r="A1080">
        <v>1301</v>
      </c>
      <c r="B1080" t="s">
        <v>1756</v>
      </c>
      <c r="C1080" t="s">
        <v>2960</v>
      </c>
      <c r="D1080" t="str">
        <f t="shared" si="17"/>
        <v>SEINFRA3026</v>
      </c>
      <c r="E1080" t="s">
        <v>2958</v>
      </c>
    </row>
    <row r="1081" spans="1:5" x14ac:dyDescent="0.25">
      <c r="A1081">
        <v>1301</v>
      </c>
      <c r="B1081" t="s">
        <v>1756</v>
      </c>
      <c r="C1081" t="s">
        <v>467</v>
      </c>
      <c r="D1081" t="str">
        <f t="shared" si="17"/>
        <v>SEINFRA3030</v>
      </c>
      <c r="E1081" t="s">
        <v>2933</v>
      </c>
    </row>
    <row r="1082" spans="1:5" x14ac:dyDescent="0.25">
      <c r="A1082">
        <v>1301</v>
      </c>
      <c r="B1082" t="s">
        <v>1756</v>
      </c>
      <c r="C1082" t="s">
        <v>470</v>
      </c>
      <c r="D1082" t="str">
        <f t="shared" si="17"/>
        <v>SEINFRA3031</v>
      </c>
      <c r="E1082" t="s">
        <v>2933</v>
      </c>
    </row>
    <row r="1083" spans="1:5" x14ac:dyDescent="0.25">
      <c r="A1083">
        <v>1301</v>
      </c>
      <c r="B1083" t="s">
        <v>1756</v>
      </c>
      <c r="C1083" t="s">
        <v>491</v>
      </c>
      <c r="D1083" t="str">
        <f t="shared" si="17"/>
        <v>SEINFRA3099</v>
      </c>
      <c r="E1083" t="s">
        <v>2933</v>
      </c>
    </row>
    <row r="1084" spans="1:5" x14ac:dyDescent="0.25">
      <c r="A1084">
        <v>1301</v>
      </c>
      <c r="B1084" t="s">
        <v>1756</v>
      </c>
      <c r="C1084" t="s">
        <v>54</v>
      </c>
      <c r="D1084" t="str">
        <f t="shared" si="17"/>
        <v>SEINFRA3301</v>
      </c>
      <c r="E1084" t="s">
        <v>44</v>
      </c>
    </row>
    <row r="1085" spans="1:5" x14ac:dyDescent="0.25">
      <c r="A1085">
        <v>1301</v>
      </c>
      <c r="B1085" t="s">
        <v>1756</v>
      </c>
      <c r="C1085" t="s">
        <v>2975</v>
      </c>
      <c r="D1085" t="str">
        <f t="shared" si="17"/>
        <v>SEINFRA3302</v>
      </c>
      <c r="E1085" t="s">
        <v>44</v>
      </c>
    </row>
    <row r="1086" spans="1:5" x14ac:dyDescent="0.25">
      <c r="A1086">
        <v>1301</v>
      </c>
      <c r="B1086" t="s">
        <v>1756</v>
      </c>
      <c r="C1086" t="s">
        <v>2977</v>
      </c>
      <c r="D1086" t="str">
        <f t="shared" si="17"/>
        <v>SEINFRA3304</v>
      </c>
      <c r="E1086" t="s">
        <v>44</v>
      </c>
    </row>
    <row r="1087" spans="1:5" x14ac:dyDescent="0.25">
      <c r="A1087">
        <v>1301</v>
      </c>
      <c r="B1087" t="s">
        <v>1756</v>
      </c>
      <c r="C1087" t="s">
        <v>3201</v>
      </c>
      <c r="D1087" t="str">
        <f t="shared" si="17"/>
        <v>SEINFRA3502</v>
      </c>
      <c r="E1087" t="s">
        <v>1660</v>
      </c>
    </row>
    <row r="1088" spans="1:5" x14ac:dyDescent="0.25">
      <c r="A1088">
        <v>1301</v>
      </c>
      <c r="B1088" t="s">
        <v>1756</v>
      </c>
      <c r="C1088" t="s">
        <v>355</v>
      </c>
      <c r="D1088" t="str">
        <f t="shared" si="17"/>
        <v>SEINFRA3610</v>
      </c>
      <c r="E1088" t="s">
        <v>2968</v>
      </c>
    </row>
    <row r="1089" spans="1:5" x14ac:dyDescent="0.25">
      <c r="A1089">
        <v>1301</v>
      </c>
      <c r="B1089" t="s">
        <v>1756</v>
      </c>
      <c r="C1089" t="s">
        <v>2979</v>
      </c>
      <c r="D1089" t="str">
        <f t="shared" si="17"/>
        <v>SEINFRA3612</v>
      </c>
      <c r="E1089" t="s">
        <v>2968</v>
      </c>
    </row>
    <row r="1090" spans="1:5" x14ac:dyDescent="0.25">
      <c r="A1090">
        <v>1301</v>
      </c>
      <c r="B1090" t="s">
        <v>1756</v>
      </c>
      <c r="C1090" t="s">
        <v>457</v>
      </c>
      <c r="D1090" t="str">
        <f t="shared" si="17"/>
        <v>SEINFRA3628</v>
      </c>
      <c r="E1090" t="s">
        <v>2968</v>
      </c>
    </row>
    <row r="1091" spans="1:5" x14ac:dyDescent="0.25">
      <c r="A1091">
        <v>1301</v>
      </c>
      <c r="B1091" t="s">
        <v>1756</v>
      </c>
      <c r="C1091" t="s">
        <v>468</v>
      </c>
      <c r="D1091" t="str">
        <f t="shared" si="17"/>
        <v>SEINFRA3631</v>
      </c>
      <c r="E1091" t="s">
        <v>3004</v>
      </c>
    </row>
    <row r="1092" spans="1:5" x14ac:dyDescent="0.25">
      <c r="A1092">
        <v>1301</v>
      </c>
      <c r="B1092" t="s">
        <v>1756</v>
      </c>
      <c r="C1092" t="s">
        <v>471</v>
      </c>
      <c r="D1092" t="str">
        <f t="shared" ref="D1092:D1156" si="18">CONCATENATE(B1092,LEFT(C1092,4))</f>
        <v>SEINFRA3699</v>
      </c>
      <c r="E1092" t="s">
        <v>2968</v>
      </c>
    </row>
    <row r="1093" spans="1:5" x14ac:dyDescent="0.25">
      <c r="A1093">
        <v>1301</v>
      </c>
      <c r="B1093" t="s">
        <v>1756</v>
      </c>
      <c r="C1093" t="s">
        <v>2983</v>
      </c>
      <c r="D1093" t="str">
        <f t="shared" si="18"/>
        <v>SEINFRA3703</v>
      </c>
      <c r="E1093" t="s">
        <v>117</v>
      </c>
    </row>
    <row r="1094" spans="1:5" x14ac:dyDescent="0.25">
      <c r="A1094">
        <v>1301</v>
      </c>
      <c r="B1094" t="s">
        <v>1756</v>
      </c>
      <c r="C1094" t="s">
        <v>2985</v>
      </c>
      <c r="D1094" t="str">
        <f t="shared" si="18"/>
        <v>SEINFRA3704</v>
      </c>
      <c r="E1094" t="s">
        <v>117</v>
      </c>
    </row>
    <row r="1095" spans="1:5" x14ac:dyDescent="0.25">
      <c r="A1095">
        <v>1301</v>
      </c>
      <c r="B1095" t="s">
        <v>1756</v>
      </c>
      <c r="C1095" t="s">
        <v>2986</v>
      </c>
      <c r="D1095" t="str">
        <f t="shared" si="18"/>
        <v>SEINFRA3705</v>
      </c>
      <c r="E1095" t="s">
        <v>117</v>
      </c>
    </row>
    <row r="1096" spans="1:5" x14ac:dyDescent="0.25">
      <c r="A1096">
        <v>1301</v>
      </c>
      <c r="B1096" t="s">
        <v>1756</v>
      </c>
      <c r="C1096" t="s">
        <v>326</v>
      </c>
      <c r="D1096" t="str">
        <f t="shared" si="18"/>
        <v>SEINFRA3906</v>
      </c>
      <c r="E1096" t="s">
        <v>2968</v>
      </c>
    </row>
    <row r="1097" spans="1:5" x14ac:dyDescent="0.25">
      <c r="A1097">
        <v>1301</v>
      </c>
      <c r="B1097" t="s">
        <v>1756</v>
      </c>
      <c r="C1097" t="s">
        <v>346</v>
      </c>
      <c r="D1097" t="str">
        <f t="shared" si="18"/>
        <v>SEINFRA3910</v>
      </c>
      <c r="E1097" t="s">
        <v>2968</v>
      </c>
    </row>
    <row r="1098" spans="1:5" x14ac:dyDescent="0.25">
      <c r="A1098">
        <v>1301</v>
      </c>
      <c r="B1098" t="s">
        <v>1756</v>
      </c>
      <c r="C1098" t="s">
        <v>356</v>
      </c>
      <c r="D1098" t="str">
        <f t="shared" si="18"/>
        <v>SEINFRA3911</v>
      </c>
      <c r="E1098" t="s">
        <v>2968</v>
      </c>
    </row>
    <row r="1099" spans="1:5" x14ac:dyDescent="0.25">
      <c r="A1099">
        <v>1301</v>
      </c>
      <c r="B1099" t="s">
        <v>1756</v>
      </c>
      <c r="C1099" t="s">
        <v>2991</v>
      </c>
      <c r="D1099" t="str">
        <f t="shared" si="18"/>
        <v>SEINFRA3912</v>
      </c>
      <c r="E1099" t="s">
        <v>2992</v>
      </c>
    </row>
    <row r="1100" spans="1:5" x14ac:dyDescent="0.25">
      <c r="A1100">
        <v>1301</v>
      </c>
      <c r="B1100" t="s">
        <v>1756</v>
      </c>
      <c r="C1100" t="s">
        <v>2994</v>
      </c>
      <c r="D1100" t="str">
        <f t="shared" si="18"/>
        <v>SEINFRA3913</v>
      </c>
      <c r="E1100" t="s">
        <v>2992</v>
      </c>
    </row>
    <row r="1101" spans="1:5" x14ac:dyDescent="0.25">
      <c r="A1101">
        <v>1301</v>
      </c>
      <c r="B1101" t="s">
        <v>1756</v>
      </c>
      <c r="C1101" t="s">
        <v>384</v>
      </c>
      <c r="D1101" t="str">
        <f t="shared" si="18"/>
        <v>SEINFRA3915</v>
      </c>
      <c r="E1101" t="s">
        <v>2992</v>
      </c>
    </row>
    <row r="1102" spans="1:5" x14ac:dyDescent="0.25">
      <c r="A1102">
        <v>1301</v>
      </c>
      <c r="B1102" t="s">
        <v>1756</v>
      </c>
      <c r="C1102" t="s">
        <v>2996</v>
      </c>
      <c r="D1102" t="str">
        <f t="shared" si="18"/>
        <v>SEINFRA3917</v>
      </c>
      <c r="E1102" t="s">
        <v>2958</v>
      </c>
    </row>
    <row r="1103" spans="1:5" x14ac:dyDescent="0.25">
      <c r="A1103">
        <v>1301</v>
      </c>
      <c r="B1103" t="s">
        <v>1756</v>
      </c>
      <c r="C1103" t="s">
        <v>2998</v>
      </c>
      <c r="D1103" t="str">
        <f t="shared" si="18"/>
        <v>SEINFRA3918</v>
      </c>
      <c r="E1103" t="s">
        <v>2958</v>
      </c>
    </row>
    <row r="1104" spans="1:5" x14ac:dyDescent="0.25">
      <c r="A1104">
        <v>1301</v>
      </c>
      <c r="B1104" t="s">
        <v>1756</v>
      </c>
      <c r="C1104" t="s">
        <v>3000</v>
      </c>
      <c r="D1104" t="str">
        <f t="shared" si="18"/>
        <v>SEINFRA3919</v>
      </c>
      <c r="E1104" t="s">
        <v>3001</v>
      </c>
    </row>
    <row r="1105" spans="1:5" x14ac:dyDescent="0.25">
      <c r="A1105">
        <v>1301</v>
      </c>
      <c r="B1105" t="s">
        <v>1756</v>
      </c>
      <c r="C1105" t="s">
        <v>3002</v>
      </c>
      <c r="D1105" t="str">
        <f t="shared" si="18"/>
        <v>SEINFRA3921</v>
      </c>
      <c r="E1105" t="s">
        <v>3001</v>
      </c>
    </row>
    <row r="1106" spans="1:5" x14ac:dyDescent="0.25">
      <c r="A1106">
        <v>1301</v>
      </c>
      <c r="B1106" t="s">
        <v>1756</v>
      </c>
      <c r="C1106" t="s">
        <v>3003</v>
      </c>
      <c r="D1106" t="str">
        <f t="shared" si="18"/>
        <v>SEINFRA3922</v>
      </c>
      <c r="E1106" t="s">
        <v>2954</v>
      </c>
    </row>
    <row r="1107" spans="1:5" x14ac:dyDescent="0.25">
      <c r="A1107">
        <v>1301</v>
      </c>
      <c r="B1107" t="s">
        <v>1756</v>
      </c>
      <c r="C1107" t="s">
        <v>566</v>
      </c>
      <c r="D1107" t="str">
        <f t="shared" si="18"/>
        <v>SEINFRA3924</v>
      </c>
      <c r="E1107" t="s">
        <v>3004</v>
      </c>
    </row>
    <row r="1108" spans="1:5" x14ac:dyDescent="0.25">
      <c r="A1108">
        <v>1301</v>
      </c>
      <c r="B1108" t="s">
        <v>1756</v>
      </c>
      <c r="C1108" t="s">
        <v>438</v>
      </c>
      <c r="D1108" t="str">
        <f t="shared" si="18"/>
        <v>SEINFRA3925</v>
      </c>
      <c r="E1108" t="s">
        <v>3006</v>
      </c>
    </row>
    <row r="1109" spans="1:5" x14ac:dyDescent="0.25">
      <c r="A1109">
        <v>1301</v>
      </c>
      <c r="B1109" t="s">
        <v>1756</v>
      </c>
      <c r="C1109" t="s">
        <v>443</v>
      </c>
      <c r="D1109" t="str">
        <f t="shared" si="18"/>
        <v>SEINFRA3926</v>
      </c>
      <c r="E1109" t="s">
        <v>3006</v>
      </c>
    </row>
    <row r="1110" spans="1:5" x14ac:dyDescent="0.25">
      <c r="A1110">
        <v>1301</v>
      </c>
      <c r="B1110" t="s">
        <v>1756</v>
      </c>
      <c r="C1110" t="s">
        <v>1481</v>
      </c>
      <c r="D1110" t="str">
        <f t="shared" si="18"/>
        <v>SEINFRA3931</v>
      </c>
      <c r="E1110" t="s">
        <v>2968</v>
      </c>
    </row>
    <row r="1111" spans="1:5" x14ac:dyDescent="0.25">
      <c r="A1111">
        <v>1301</v>
      </c>
      <c r="B1111" t="s">
        <v>1756</v>
      </c>
      <c r="C1111" t="s">
        <v>3017</v>
      </c>
      <c r="D1111" t="str">
        <f t="shared" si="18"/>
        <v>SEINFRA3936</v>
      </c>
      <c r="E1111" t="s">
        <v>94</v>
      </c>
    </row>
    <row r="1112" spans="1:5" x14ac:dyDescent="0.25">
      <c r="A1112">
        <v>1301</v>
      </c>
      <c r="B1112" t="s">
        <v>1756</v>
      </c>
      <c r="C1112" t="s">
        <v>3019</v>
      </c>
      <c r="D1112" t="str">
        <f t="shared" si="18"/>
        <v>SEINFRA3940</v>
      </c>
      <c r="E1112" t="s">
        <v>3009</v>
      </c>
    </row>
    <row r="1113" spans="1:5" x14ac:dyDescent="0.25">
      <c r="A1113">
        <v>1301</v>
      </c>
      <c r="B1113" t="s">
        <v>1756</v>
      </c>
      <c r="C1113" t="s">
        <v>480</v>
      </c>
      <c r="D1113" t="str">
        <f t="shared" si="18"/>
        <v>SEINFRA3941</v>
      </c>
      <c r="E1113" t="s">
        <v>2968</v>
      </c>
    </row>
    <row r="1114" spans="1:5" x14ac:dyDescent="0.25">
      <c r="A1114">
        <v>1301</v>
      </c>
      <c r="B1114" t="s">
        <v>1756</v>
      </c>
      <c r="C1114" t="s">
        <v>3020</v>
      </c>
      <c r="D1114" t="str">
        <f t="shared" si="18"/>
        <v>SEINFRA3943</v>
      </c>
      <c r="E1114" t="s">
        <v>2958</v>
      </c>
    </row>
    <row r="1115" spans="1:5" x14ac:dyDescent="0.25">
      <c r="A1115">
        <v>1301</v>
      </c>
      <c r="B1115" t="s">
        <v>1756</v>
      </c>
      <c r="C1115" t="s">
        <v>492</v>
      </c>
      <c r="D1115" t="str">
        <f t="shared" si="18"/>
        <v>SEINFRA3948</v>
      </c>
      <c r="E1115" t="s">
        <v>3004</v>
      </c>
    </row>
    <row r="1116" spans="1:5" x14ac:dyDescent="0.25">
      <c r="A1116">
        <v>1301</v>
      </c>
      <c r="B1116" t="s">
        <v>1756</v>
      </c>
      <c r="C1116" t="s">
        <v>495</v>
      </c>
      <c r="D1116" t="str">
        <f t="shared" si="18"/>
        <v>SEINFRA3951</v>
      </c>
      <c r="E1116" t="s">
        <v>3052</v>
      </c>
    </row>
    <row r="1117" spans="1:5" x14ac:dyDescent="0.25">
      <c r="A1117">
        <v>1301</v>
      </c>
      <c r="B1117" t="s">
        <v>1756</v>
      </c>
      <c r="C1117" t="s">
        <v>3098</v>
      </c>
      <c r="D1117" t="str">
        <f t="shared" si="18"/>
        <v>SEINFRA3952</v>
      </c>
      <c r="E1117" t="s">
        <v>65</v>
      </c>
    </row>
    <row r="1118" spans="1:5" x14ac:dyDescent="0.25">
      <c r="A1118">
        <v>1301</v>
      </c>
      <c r="B1118" t="s">
        <v>1756</v>
      </c>
      <c r="C1118" t="s">
        <v>496</v>
      </c>
      <c r="D1118" t="str">
        <f t="shared" si="18"/>
        <v>SEINFRA3953</v>
      </c>
      <c r="E1118" t="s">
        <v>3004</v>
      </c>
    </row>
    <row r="1119" spans="1:5" x14ac:dyDescent="0.25">
      <c r="A1119">
        <v>1301</v>
      </c>
      <c r="B1119" t="s">
        <v>1756</v>
      </c>
      <c r="C1119" t="s">
        <v>499</v>
      </c>
      <c r="D1119" t="str">
        <f t="shared" si="18"/>
        <v>SEINFRA3956</v>
      </c>
      <c r="E1119" t="s">
        <v>2968</v>
      </c>
    </row>
    <row r="1120" spans="1:5" x14ac:dyDescent="0.25">
      <c r="A1120">
        <v>1301</v>
      </c>
      <c r="B1120" t="s">
        <v>1756</v>
      </c>
      <c r="C1120" t="s">
        <v>3025</v>
      </c>
      <c r="D1120" t="str">
        <f t="shared" si="18"/>
        <v>SEINFRA3959</v>
      </c>
      <c r="E1120" t="s">
        <v>2968</v>
      </c>
    </row>
    <row r="1121" spans="1:5" x14ac:dyDescent="0.25">
      <c r="A1121">
        <v>1301</v>
      </c>
      <c r="B1121" t="s">
        <v>1756</v>
      </c>
      <c r="C1121" t="s">
        <v>3103</v>
      </c>
      <c r="D1121" t="str">
        <f t="shared" si="18"/>
        <v>SEINFRA3962</v>
      </c>
      <c r="E1121" t="s">
        <v>3033</v>
      </c>
    </row>
    <row r="1122" spans="1:5" x14ac:dyDescent="0.25">
      <c r="A1122">
        <v>1301</v>
      </c>
      <c r="B1122" t="s">
        <v>1756</v>
      </c>
      <c r="C1122" t="s">
        <v>3104</v>
      </c>
      <c r="D1122" t="str">
        <f t="shared" si="18"/>
        <v>SEINFRA3964</v>
      </c>
      <c r="E1122" t="s">
        <v>2968</v>
      </c>
    </row>
    <row r="1123" spans="1:5" x14ac:dyDescent="0.25">
      <c r="A1123">
        <v>1301</v>
      </c>
      <c r="B1123" t="s">
        <v>1756</v>
      </c>
      <c r="C1123" t="s">
        <v>1154</v>
      </c>
      <c r="D1123" t="str">
        <f t="shared" si="18"/>
        <v>SEINFRA3969</v>
      </c>
      <c r="E1123" t="s">
        <v>2992</v>
      </c>
    </row>
    <row r="1124" spans="1:5" x14ac:dyDescent="0.25">
      <c r="A1124">
        <v>1301</v>
      </c>
      <c r="B1124" t="s">
        <v>1756</v>
      </c>
      <c r="C1124" t="s">
        <v>3246</v>
      </c>
      <c r="D1124" t="str">
        <f t="shared" si="18"/>
        <v>SEINFRA3975</v>
      </c>
      <c r="E1124" t="s">
        <v>3247</v>
      </c>
    </row>
    <row r="1125" spans="1:5" x14ac:dyDescent="0.25">
      <c r="A1125">
        <v>1301</v>
      </c>
      <c r="B1125" t="s">
        <v>1756</v>
      </c>
      <c r="C1125" t="s">
        <v>521</v>
      </c>
      <c r="D1125" t="str">
        <f t="shared" si="18"/>
        <v>SEINFRA3981</v>
      </c>
      <c r="E1125" t="s">
        <v>3248</v>
      </c>
    </row>
    <row r="1126" spans="1:5" x14ac:dyDescent="0.25">
      <c r="A1126">
        <v>1301</v>
      </c>
      <c r="B1126" t="s">
        <v>1756</v>
      </c>
      <c r="C1126" t="s">
        <v>3036</v>
      </c>
      <c r="D1126" t="str">
        <f t="shared" si="18"/>
        <v>SEINFRA3987</v>
      </c>
      <c r="E1126" t="s">
        <v>2958</v>
      </c>
    </row>
    <row r="1127" spans="1:5" x14ac:dyDescent="0.25">
      <c r="A1127">
        <v>1301</v>
      </c>
      <c r="B1127" t="s">
        <v>1756</v>
      </c>
      <c r="C1127" t="s">
        <v>3249</v>
      </c>
      <c r="D1127" t="str">
        <f t="shared" si="18"/>
        <v>SEINFRA3993</v>
      </c>
      <c r="E1127" t="s">
        <v>2968</v>
      </c>
    </row>
    <row r="1128" spans="1:5" x14ac:dyDescent="0.25">
      <c r="A1128">
        <v>1301</v>
      </c>
      <c r="B1128" t="s">
        <v>1756</v>
      </c>
      <c r="C1128" t="s">
        <v>3040</v>
      </c>
      <c r="D1128" t="str">
        <f t="shared" si="18"/>
        <v>SEINFRA3999</v>
      </c>
      <c r="E1128" t="s">
        <v>2968</v>
      </c>
    </row>
    <row r="1129" spans="1:5" x14ac:dyDescent="0.25">
      <c r="A1129">
        <v>1301</v>
      </c>
      <c r="B1129" t="s">
        <v>1756</v>
      </c>
      <c r="C1129" t="s">
        <v>3041</v>
      </c>
      <c r="D1129" t="str">
        <f t="shared" si="18"/>
        <v>SEINFRA4002</v>
      </c>
      <c r="E1129" t="s">
        <v>3009</v>
      </c>
    </row>
    <row r="1130" spans="1:5" x14ac:dyDescent="0.25">
      <c r="A1130">
        <v>1301</v>
      </c>
      <c r="B1130" t="s">
        <v>1756</v>
      </c>
      <c r="C1130" t="s">
        <v>3043</v>
      </c>
      <c r="D1130" t="str">
        <f t="shared" si="18"/>
        <v>SEINFRA4003</v>
      </c>
      <c r="E1130" t="s">
        <v>94</v>
      </c>
    </row>
    <row r="1131" spans="1:5" x14ac:dyDescent="0.25">
      <c r="A1131">
        <v>1301</v>
      </c>
      <c r="B1131" t="s">
        <v>1756</v>
      </c>
      <c r="C1131" t="s">
        <v>3045</v>
      </c>
      <c r="D1131" t="str">
        <f t="shared" si="18"/>
        <v>SEINFRA4004</v>
      </c>
      <c r="E1131" t="s">
        <v>3009</v>
      </c>
    </row>
    <row r="1132" spans="1:5" x14ac:dyDescent="0.25">
      <c r="A1132">
        <v>1301</v>
      </c>
      <c r="B1132" t="s">
        <v>1756</v>
      </c>
      <c r="C1132" t="s">
        <v>813</v>
      </c>
      <c r="D1132" t="str">
        <f t="shared" si="18"/>
        <v>SEINFRA4006</v>
      </c>
      <c r="E1132" t="s">
        <v>3057</v>
      </c>
    </row>
    <row r="1133" spans="1:5" x14ac:dyDescent="0.25">
      <c r="A1133">
        <v>1301</v>
      </c>
      <c r="B1133" t="s">
        <v>1756</v>
      </c>
      <c r="C1133" t="s">
        <v>3138</v>
      </c>
      <c r="D1133" t="str">
        <f t="shared" si="18"/>
        <v>SEINFRA4007</v>
      </c>
      <c r="E1133" t="s">
        <v>94</v>
      </c>
    </row>
    <row r="1134" spans="1:5" x14ac:dyDescent="0.25">
      <c r="A1134">
        <v>1301</v>
      </c>
      <c r="B1134" t="s">
        <v>1756</v>
      </c>
      <c r="C1134" t="s">
        <v>3127</v>
      </c>
      <c r="D1134" t="str">
        <f t="shared" si="18"/>
        <v>SEINFRA4201</v>
      </c>
      <c r="E1134" t="s">
        <v>3218</v>
      </c>
    </row>
    <row r="1135" spans="1:5" x14ac:dyDescent="0.25">
      <c r="A1135">
        <v>1301</v>
      </c>
      <c r="B1135" t="s">
        <v>1756</v>
      </c>
      <c r="C1135" t="s">
        <v>3128</v>
      </c>
      <c r="D1135" t="str">
        <f t="shared" si="18"/>
        <v>SEINFRA4301</v>
      </c>
      <c r="E1135" t="s">
        <v>3239</v>
      </c>
    </row>
    <row r="1136" spans="1:5" x14ac:dyDescent="0.25">
      <c r="A1136">
        <v>1301</v>
      </c>
      <c r="B1136" t="s">
        <v>1756</v>
      </c>
      <c r="C1136" t="s">
        <v>238</v>
      </c>
      <c r="D1136" t="str">
        <f t="shared" si="18"/>
        <v>SEINFRA4501</v>
      </c>
      <c r="E1136" t="s">
        <v>3250</v>
      </c>
    </row>
    <row r="1137" spans="1:5" x14ac:dyDescent="0.25">
      <c r="A1137">
        <v>1301</v>
      </c>
      <c r="B1137" t="s">
        <v>1756</v>
      </c>
      <c r="C1137" t="s">
        <v>3251</v>
      </c>
      <c r="D1137" t="str">
        <f t="shared" si="18"/>
        <v>SEINFRA4502</v>
      </c>
      <c r="E1137" t="s">
        <v>3252</v>
      </c>
    </row>
    <row r="1138" spans="1:5" x14ac:dyDescent="0.25">
      <c r="A1138">
        <v>1301</v>
      </c>
      <c r="B1138" t="s">
        <v>1756</v>
      </c>
      <c r="C1138" t="s">
        <v>3048</v>
      </c>
      <c r="D1138" t="str">
        <f t="shared" si="18"/>
        <v>SEINFRA4701</v>
      </c>
      <c r="E1138" t="s">
        <v>3049</v>
      </c>
    </row>
    <row r="1139" spans="1:5" x14ac:dyDescent="0.25">
      <c r="A1139">
        <v>1301</v>
      </c>
      <c r="B1139" t="s">
        <v>1756</v>
      </c>
      <c r="C1139" t="s">
        <v>265</v>
      </c>
      <c r="D1139" t="str">
        <f t="shared" si="18"/>
        <v>SEINFRA4703</v>
      </c>
      <c r="E1139" t="s">
        <v>3049</v>
      </c>
    </row>
    <row r="1140" spans="1:5" x14ac:dyDescent="0.25">
      <c r="A1140">
        <v>1301</v>
      </c>
      <c r="B1140" t="s">
        <v>1756</v>
      </c>
      <c r="C1140" t="s">
        <v>328</v>
      </c>
      <c r="D1140" t="str">
        <f t="shared" si="18"/>
        <v>SEINFRA4707</v>
      </c>
      <c r="E1140" t="s">
        <v>3049</v>
      </c>
    </row>
    <row r="1141" spans="1:5" x14ac:dyDescent="0.25">
      <c r="A1141">
        <v>1301</v>
      </c>
      <c r="B1141" t="s">
        <v>1756</v>
      </c>
      <c r="C1141" t="s">
        <v>338</v>
      </c>
      <c r="D1141" t="str">
        <f t="shared" si="18"/>
        <v>SEINFRA4708</v>
      </c>
      <c r="E1141" t="s">
        <v>3049</v>
      </c>
    </row>
    <row r="1142" spans="1:5" x14ac:dyDescent="0.25">
      <c r="A1142">
        <v>1301</v>
      </c>
      <c r="B1142" t="s">
        <v>1756</v>
      </c>
      <c r="C1142" t="s">
        <v>348</v>
      </c>
      <c r="D1142" t="str">
        <f t="shared" si="18"/>
        <v>SEINFRA4709</v>
      </c>
      <c r="E1142" t="s">
        <v>3049</v>
      </c>
    </row>
    <row r="1143" spans="1:5" x14ac:dyDescent="0.25">
      <c r="A1143">
        <v>1301</v>
      </c>
      <c r="B1143" t="s">
        <v>1756</v>
      </c>
      <c r="C1143" t="s">
        <v>364</v>
      </c>
      <c r="D1143" t="str">
        <f t="shared" si="18"/>
        <v>SEINFRA4799</v>
      </c>
      <c r="E1143" t="s">
        <v>3049</v>
      </c>
    </row>
    <row r="1144" spans="1:5" x14ac:dyDescent="0.25">
      <c r="A1144">
        <v>1301</v>
      </c>
      <c r="B1144" t="s">
        <v>1756</v>
      </c>
      <c r="C1144" t="s">
        <v>3051</v>
      </c>
      <c r="D1144" t="str">
        <f t="shared" si="18"/>
        <v>SEINFRA5101</v>
      </c>
      <c r="E1144" t="s">
        <v>3052</v>
      </c>
    </row>
    <row r="1145" spans="1:5" x14ac:dyDescent="0.25">
      <c r="A1145">
        <v>1301</v>
      </c>
      <c r="B1145" t="s">
        <v>1756</v>
      </c>
      <c r="C1145" t="s">
        <v>3053</v>
      </c>
      <c r="D1145" t="str">
        <f t="shared" si="18"/>
        <v>SEINFRA5103</v>
      </c>
      <c r="E1145" t="s">
        <v>3052</v>
      </c>
    </row>
    <row r="1146" spans="1:5" x14ac:dyDescent="0.25">
      <c r="A1146">
        <v>1301</v>
      </c>
      <c r="B1146" t="s">
        <v>1756</v>
      </c>
      <c r="C1146" t="s">
        <v>317</v>
      </c>
      <c r="D1146" t="str">
        <f t="shared" si="18"/>
        <v>SEINFRA5106</v>
      </c>
      <c r="E1146" t="s">
        <v>3052</v>
      </c>
    </row>
    <row r="1147" spans="1:5" x14ac:dyDescent="0.25">
      <c r="A1147">
        <v>1301</v>
      </c>
      <c r="B1147" t="s">
        <v>1756</v>
      </c>
      <c r="C1147" t="s">
        <v>173</v>
      </c>
      <c r="D1147" t="str">
        <f t="shared" si="18"/>
        <v>SEINFRA5107</v>
      </c>
      <c r="E1147" t="s">
        <v>3052</v>
      </c>
    </row>
    <row r="1148" spans="1:5" x14ac:dyDescent="0.25">
      <c r="A1148">
        <v>1301</v>
      </c>
      <c r="B1148" t="s">
        <v>1756</v>
      </c>
      <c r="C1148" t="s">
        <v>3147</v>
      </c>
      <c r="D1148" t="str">
        <f t="shared" si="18"/>
        <v>SEINFRA5112</v>
      </c>
      <c r="E1148" t="s">
        <v>3052</v>
      </c>
    </row>
    <row r="1149" spans="1:5" x14ac:dyDescent="0.25">
      <c r="A1149">
        <v>1301</v>
      </c>
      <c r="B1149" t="s">
        <v>1756</v>
      </c>
      <c r="C1149" t="s">
        <v>3209</v>
      </c>
      <c r="D1149" t="str">
        <f t="shared" si="18"/>
        <v>SEINFRA5114</v>
      </c>
      <c r="E1149" t="s">
        <v>3052</v>
      </c>
    </row>
    <row r="1150" spans="1:5" x14ac:dyDescent="0.25">
      <c r="A1150">
        <v>1301</v>
      </c>
      <c r="B1150" t="s">
        <v>1756</v>
      </c>
      <c r="C1150" t="s">
        <v>3253</v>
      </c>
      <c r="D1150" t="str">
        <f t="shared" si="18"/>
        <v>SEINFRA5115</v>
      </c>
      <c r="E1150" t="s">
        <v>3052</v>
      </c>
    </row>
    <row r="1151" spans="1:5" x14ac:dyDescent="0.25">
      <c r="A1151">
        <v>1301</v>
      </c>
      <c r="B1151" t="s">
        <v>1756</v>
      </c>
      <c r="C1151" t="s">
        <v>3058</v>
      </c>
      <c r="D1151" t="str">
        <f t="shared" si="18"/>
        <v>SEINFRA5207</v>
      </c>
      <c r="E1151" t="s">
        <v>3057</v>
      </c>
    </row>
    <row r="1152" spans="1:5" x14ac:dyDescent="0.25">
      <c r="A1152">
        <v>1301</v>
      </c>
      <c r="B1152" t="s">
        <v>1756</v>
      </c>
      <c r="C1152" t="s">
        <v>3060</v>
      </c>
      <c r="D1152" t="str">
        <f t="shared" si="18"/>
        <v>SEINFRA5208</v>
      </c>
      <c r="E1152" t="s">
        <v>3057</v>
      </c>
    </row>
    <row r="1153" spans="1:5" x14ac:dyDescent="0.25">
      <c r="A1153">
        <v>1301</v>
      </c>
      <c r="B1153" t="s">
        <v>1756</v>
      </c>
      <c r="C1153" t="s">
        <v>3064</v>
      </c>
      <c r="D1153" t="str">
        <f t="shared" si="18"/>
        <v>SEINFRA5212</v>
      </c>
      <c r="E1153" t="s">
        <v>3055</v>
      </c>
    </row>
    <row r="1154" spans="1:5" x14ac:dyDescent="0.25">
      <c r="A1154">
        <v>1301</v>
      </c>
      <c r="B1154" t="s">
        <v>1756</v>
      </c>
      <c r="C1154" t="s">
        <v>459</v>
      </c>
      <c r="D1154" t="str">
        <f t="shared" si="18"/>
        <v>SEINFRA5299</v>
      </c>
      <c r="E1154" t="s">
        <v>3055</v>
      </c>
    </row>
    <row r="1155" spans="1:5" x14ac:dyDescent="0.25">
      <c r="A1155">
        <v>1301</v>
      </c>
      <c r="B1155" t="s">
        <v>1756</v>
      </c>
      <c r="C1155" t="s">
        <v>341</v>
      </c>
      <c r="D1155" t="str">
        <f t="shared" si="18"/>
        <v>SEINFRA6107</v>
      </c>
      <c r="E1155" t="s">
        <v>3219</v>
      </c>
    </row>
    <row r="1156" spans="1:5" x14ac:dyDescent="0.25">
      <c r="A1156">
        <v>1301</v>
      </c>
      <c r="B1156" t="s">
        <v>1756</v>
      </c>
      <c r="C1156" t="s">
        <v>3171</v>
      </c>
      <c r="D1156" t="str">
        <f t="shared" si="18"/>
        <v>SEINFRA8201</v>
      </c>
      <c r="E1156" t="s">
        <v>3254</v>
      </c>
    </row>
    <row r="1157" spans="1:5" x14ac:dyDescent="0.25">
      <c r="A1157">
        <v>1301</v>
      </c>
      <c r="B1157" t="s">
        <v>1756</v>
      </c>
      <c r="C1157" t="s">
        <v>3220</v>
      </c>
      <c r="D1157" t="str">
        <f t="shared" ref="D1157:D1220" si="19">CONCATENATE(B1157,LEFT(C1157,4))</f>
        <v>SEINFRA9201</v>
      </c>
      <c r="E1157" t="s">
        <v>3075</v>
      </c>
    </row>
    <row r="1158" spans="1:5" x14ac:dyDescent="0.25">
      <c r="A1158">
        <v>1301</v>
      </c>
      <c r="B1158" t="s">
        <v>1756</v>
      </c>
      <c r="C1158" t="s">
        <v>3074</v>
      </c>
      <c r="D1158" t="str">
        <f t="shared" si="19"/>
        <v>SEINFRA9202</v>
      </c>
      <c r="E1158" t="s">
        <v>3075</v>
      </c>
    </row>
    <row r="1159" spans="1:5" x14ac:dyDescent="0.25">
      <c r="A1159">
        <v>1301</v>
      </c>
      <c r="B1159" t="s">
        <v>1756</v>
      </c>
      <c r="C1159" t="s">
        <v>320</v>
      </c>
      <c r="D1159" t="str">
        <f t="shared" si="19"/>
        <v>SEINFRA9305</v>
      </c>
      <c r="E1159" t="s">
        <v>2968</v>
      </c>
    </row>
    <row r="1160" spans="1:5" x14ac:dyDescent="0.25">
      <c r="A1160">
        <v>1301</v>
      </c>
      <c r="B1160" t="s">
        <v>1756</v>
      </c>
      <c r="C1160" t="s">
        <v>331</v>
      </c>
      <c r="D1160" t="str">
        <f t="shared" si="19"/>
        <v>SEINFRA9306</v>
      </c>
      <c r="E1160" t="s">
        <v>3076</v>
      </c>
    </row>
    <row r="1161" spans="1:5" x14ac:dyDescent="0.25">
      <c r="A1161">
        <v>1301</v>
      </c>
      <c r="B1161" t="s">
        <v>1756</v>
      </c>
      <c r="C1161" t="s">
        <v>367</v>
      </c>
      <c r="D1161" t="str">
        <f t="shared" si="19"/>
        <v>SEINFRA9310</v>
      </c>
      <c r="E1161" t="s">
        <v>2968</v>
      </c>
    </row>
    <row r="1162" spans="1:5" x14ac:dyDescent="0.25">
      <c r="A1162">
        <v>1301</v>
      </c>
      <c r="B1162" t="s">
        <v>1756</v>
      </c>
      <c r="C1162" t="s">
        <v>392</v>
      </c>
      <c r="D1162" t="str">
        <f t="shared" si="19"/>
        <v>SEINFRA9314</v>
      </c>
      <c r="E1162" t="s">
        <v>2968</v>
      </c>
    </row>
    <row r="1163" spans="1:5" x14ac:dyDescent="0.25">
      <c r="A1163">
        <v>1301</v>
      </c>
      <c r="B1163" t="s">
        <v>1756</v>
      </c>
      <c r="C1163" t="s">
        <v>3079</v>
      </c>
      <c r="D1163" t="str">
        <f t="shared" si="19"/>
        <v>SEINFRA9399</v>
      </c>
      <c r="E1163" t="s">
        <v>3152</v>
      </c>
    </row>
    <row r="1164" spans="1:5" x14ac:dyDescent="0.25">
      <c r="A1164">
        <v>1301</v>
      </c>
      <c r="B1164" t="s">
        <v>1756</v>
      </c>
      <c r="C1164" t="s">
        <v>498</v>
      </c>
      <c r="D1164" t="str">
        <f t="shared" si="19"/>
        <v>SEINFRA3955</v>
      </c>
      <c r="E1164" t="s">
        <v>2968</v>
      </c>
    </row>
    <row r="1165" spans="1:5" x14ac:dyDescent="0.25">
      <c r="A1165">
        <v>1371</v>
      </c>
      <c r="B1165" t="s">
        <v>1758</v>
      </c>
      <c r="C1165" t="s">
        <v>3255</v>
      </c>
      <c r="D1165" t="str">
        <f t="shared" si="19"/>
        <v>SEMAD0409</v>
      </c>
      <c r="E1165" t="s">
        <v>3006</v>
      </c>
    </row>
    <row r="1166" spans="1:5" x14ac:dyDescent="0.25">
      <c r="A1166">
        <v>1371</v>
      </c>
      <c r="B1166" t="s">
        <v>1758</v>
      </c>
      <c r="C1166" t="s">
        <v>2925</v>
      </c>
      <c r="D1166" t="str">
        <f t="shared" si="19"/>
        <v>SEMAD0810</v>
      </c>
      <c r="E1166" t="s">
        <v>2926</v>
      </c>
    </row>
    <row r="1167" spans="1:5" x14ac:dyDescent="0.25">
      <c r="A1167">
        <v>1371</v>
      </c>
      <c r="B1167" t="s">
        <v>1758</v>
      </c>
      <c r="C1167" t="s">
        <v>332</v>
      </c>
      <c r="D1167" t="str">
        <f t="shared" si="19"/>
        <v>SEMAD1314</v>
      </c>
      <c r="E1167" t="s">
        <v>3081</v>
      </c>
    </row>
    <row r="1168" spans="1:5" x14ac:dyDescent="0.25">
      <c r="A1168">
        <v>1371</v>
      </c>
      <c r="B1168" t="s">
        <v>1758</v>
      </c>
      <c r="C1168" t="s">
        <v>2942</v>
      </c>
      <c r="D1168" t="str">
        <f t="shared" si="19"/>
        <v>SEMAD1317</v>
      </c>
      <c r="E1168" t="s">
        <v>3081</v>
      </c>
    </row>
    <row r="1169" spans="1:5" x14ac:dyDescent="0.25">
      <c r="A1169">
        <v>1371</v>
      </c>
      <c r="B1169" t="s">
        <v>1758</v>
      </c>
      <c r="C1169" t="s">
        <v>2928</v>
      </c>
      <c r="D1169" t="str">
        <f t="shared" si="19"/>
        <v>SEMAD1401</v>
      </c>
      <c r="E1169" t="s">
        <v>44</v>
      </c>
    </row>
    <row r="1170" spans="1:5" x14ac:dyDescent="0.25">
      <c r="A1170">
        <v>1371</v>
      </c>
      <c r="B1170" t="s">
        <v>1758</v>
      </c>
      <c r="C1170" t="s">
        <v>2930</v>
      </c>
      <c r="D1170" t="str">
        <f t="shared" si="19"/>
        <v>SEMAD1501</v>
      </c>
      <c r="E1170" t="s">
        <v>44</v>
      </c>
    </row>
    <row r="1171" spans="1:5" x14ac:dyDescent="0.25">
      <c r="A1171">
        <v>1371</v>
      </c>
      <c r="B1171" t="s">
        <v>1758</v>
      </c>
      <c r="C1171" t="s">
        <v>2932</v>
      </c>
      <c r="D1171" t="str">
        <f t="shared" si="19"/>
        <v>SEMAD3001</v>
      </c>
      <c r="E1171" t="s">
        <v>2933</v>
      </c>
    </row>
    <row r="1172" spans="1:5" x14ac:dyDescent="0.25">
      <c r="A1172">
        <v>1371</v>
      </c>
      <c r="B1172" t="s">
        <v>1758</v>
      </c>
      <c r="C1172" t="s">
        <v>256</v>
      </c>
      <c r="D1172" t="str">
        <f t="shared" si="19"/>
        <v>SEMAD3002</v>
      </c>
      <c r="E1172" t="s">
        <v>2933</v>
      </c>
    </row>
    <row r="1173" spans="1:5" x14ac:dyDescent="0.25">
      <c r="A1173">
        <v>1371</v>
      </c>
      <c r="B1173" t="s">
        <v>1758</v>
      </c>
      <c r="C1173" t="s">
        <v>979</v>
      </c>
      <c r="D1173" t="str">
        <f t="shared" si="19"/>
        <v>SEMAD3003</v>
      </c>
      <c r="E1173" t="s">
        <v>2933</v>
      </c>
    </row>
    <row r="1174" spans="1:5" x14ac:dyDescent="0.25">
      <c r="A1174">
        <v>1371</v>
      </c>
      <c r="B1174" t="s">
        <v>1758</v>
      </c>
      <c r="C1174" t="s">
        <v>2937</v>
      </c>
      <c r="D1174" t="str">
        <f t="shared" si="19"/>
        <v>SEMAD3004</v>
      </c>
      <c r="E1174" t="s">
        <v>2933</v>
      </c>
    </row>
    <row r="1175" spans="1:5" x14ac:dyDescent="0.25">
      <c r="A1175">
        <v>1371</v>
      </c>
      <c r="B1175" t="s">
        <v>1758</v>
      </c>
      <c r="C1175" t="s">
        <v>2939</v>
      </c>
      <c r="D1175" t="str">
        <f t="shared" si="19"/>
        <v>SEMAD3005</v>
      </c>
      <c r="E1175" t="s">
        <v>2933</v>
      </c>
    </row>
    <row r="1176" spans="1:5" x14ac:dyDescent="0.25">
      <c r="A1176">
        <v>1371</v>
      </c>
      <c r="B1176" t="s">
        <v>1758</v>
      </c>
      <c r="C1176" t="s">
        <v>2941</v>
      </c>
      <c r="D1176" t="str">
        <f t="shared" si="19"/>
        <v>SEMAD3008</v>
      </c>
      <c r="E1176" t="s">
        <v>2933</v>
      </c>
    </row>
    <row r="1177" spans="1:5" x14ac:dyDescent="0.25">
      <c r="A1177">
        <v>1371</v>
      </c>
      <c r="B1177" t="s">
        <v>1758</v>
      </c>
      <c r="C1177" t="s">
        <v>2943</v>
      </c>
      <c r="D1177" t="str">
        <f t="shared" si="19"/>
        <v>SEMAD3010</v>
      </c>
      <c r="E1177" t="s">
        <v>2944</v>
      </c>
    </row>
    <row r="1178" spans="1:5" x14ac:dyDescent="0.25">
      <c r="A1178">
        <v>1371</v>
      </c>
      <c r="B1178" t="s">
        <v>1758</v>
      </c>
      <c r="C1178" t="s">
        <v>138</v>
      </c>
      <c r="D1178" t="str">
        <f t="shared" si="19"/>
        <v>SEMAD3012</v>
      </c>
      <c r="E1178" t="s">
        <v>2944</v>
      </c>
    </row>
    <row r="1179" spans="1:5" x14ac:dyDescent="0.25">
      <c r="A1179">
        <v>1371</v>
      </c>
      <c r="B1179" t="s">
        <v>1758</v>
      </c>
      <c r="C1179" t="s">
        <v>2946</v>
      </c>
      <c r="D1179" t="str">
        <f t="shared" si="19"/>
        <v>SEMAD3013</v>
      </c>
      <c r="E1179" t="s">
        <v>2933</v>
      </c>
    </row>
    <row r="1180" spans="1:5" x14ac:dyDescent="0.25">
      <c r="A1180">
        <v>1371</v>
      </c>
      <c r="B1180" t="s">
        <v>1758</v>
      </c>
      <c r="C1180" t="s">
        <v>2948</v>
      </c>
      <c r="D1180" t="str">
        <f t="shared" si="19"/>
        <v>SEMAD3015</v>
      </c>
      <c r="E1180" t="s">
        <v>2933</v>
      </c>
    </row>
    <row r="1181" spans="1:5" x14ac:dyDescent="0.25">
      <c r="A1181">
        <v>1371</v>
      </c>
      <c r="B1181" t="s">
        <v>1758</v>
      </c>
      <c r="C1181" t="s">
        <v>2950</v>
      </c>
      <c r="D1181" t="str">
        <f t="shared" si="19"/>
        <v>SEMAD3016</v>
      </c>
      <c r="E1181" t="s">
        <v>2933</v>
      </c>
    </row>
    <row r="1182" spans="1:5" x14ac:dyDescent="0.25">
      <c r="A1182">
        <v>1371</v>
      </c>
      <c r="B1182" t="s">
        <v>1758</v>
      </c>
      <c r="C1182" t="s">
        <v>406</v>
      </c>
      <c r="D1182" t="str">
        <f t="shared" si="19"/>
        <v>SEMAD3017</v>
      </c>
      <c r="E1182" t="s">
        <v>2933</v>
      </c>
    </row>
    <row r="1183" spans="1:5" x14ac:dyDescent="0.25">
      <c r="A1183">
        <v>1371</v>
      </c>
      <c r="B1183" t="s">
        <v>1758</v>
      </c>
      <c r="C1183" t="s">
        <v>2953</v>
      </c>
      <c r="D1183" t="str">
        <f t="shared" si="19"/>
        <v>SEMAD3019</v>
      </c>
      <c r="E1183" t="s">
        <v>2954</v>
      </c>
    </row>
    <row r="1184" spans="1:5" x14ac:dyDescent="0.25">
      <c r="A1184">
        <v>1371</v>
      </c>
      <c r="B1184" t="s">
        <v>1758</v>
      </c>
      <c r="C1184" t="s">
        <v>2955</v>
      </c>
      <c r="D1184" t="str">
        <f t="shared" si="19"/>
        <v>SEMAD3020</v>
      </c>
      <c r="E1184" t="s">
        <v>2933</v>
      </c>
    </row>
    <row r="1185" spans="1:5" x14ac:dyDescent="0.25">
      <c r="A1185">
        <v>1371</v>
      </c>
      <c r="B1185" t="s">
        <v>1758</v>
      </c>
      <c r="C1185" t="s">
        <v>2956</v>
      </c>
      <c r="D1185" t="str">
        <f t="shared" si="19"/>
        <v>SEMAD3021</v>
      </c>
      <c r="E1185" t="s">
        <v>2933</v>
      </c>
    </row>
    <row r="1186" spans="1:5" x14ac:dyDescent="0.25">
      <c r="A1186">
        <v>1371</v>
      </c>
      <c r="B1186" t="s">
        <v>1758</v>
      </c>
      <c r="C1186" t="s">
        <v>431</v>
      </c>
      <c r="D1186" t="str">
        <f t="shared" si="19"/>
        <v>SEMAD3022</v>
      </c>
      <c r="E1186" t="s">
        <v>2933</v>
      </c>
    </row>
    <row r="1187" spans="1:5" x14ac:dyDescent="0.25">
      <c r="A1187">
        <v>1371</v>
      </c>
      <c r="B1187" t="s">
        <v>1758</v>
      </c>
      <c r="C1187" t="s">
        <v>2957</v>
      </c>
      <c r="D1187" t="str">
        <f t="shared" si="19"/>
        <v>SEMAD3023</v>
      </c>
      <c r="E1187" t="s">
        <v>2958</v>
      </c>
    </row>
    <row r="1188" spans="1:5" x14ac:dyDescent="0.25">
      <c r="A1188">
        <v>1371</v>
      </c>
      <c r="B1188" t="s">
        <v>1758</v>
      </c>
      <c r="C1188" t="s">
        <v>441</v>
      </c>
      <c r="D1188" t="str">
        <f t="shared" si="19"/>
        <v>SEMAD3024</v>
      </c>
      <c r="E1188" t="s">
        <v>2933</v>
      </c>
    </row>
    <row r="1189" spans="1:5" x14ac:dyDescent="0.25">
      <c r="A1189">
        <v>1371</v>
      </c>
      <c r="B1189" t="s">
        <v>1758</v>
      </c>
      <c r="C1189" t="s">
        <v>2959</v>
      </c>
      <c r="D1189" t="str">
        <f t="shared" si="19"/>
        <v>SEMAD3025</v>
      </c>
      <c r="E1189" t="s">
        <v>2933</v>
      </c>
    </row>
    <row r="1190" spans="1:5" x14ac:dyDescent="0.25">
      <c r="A1190">
        <v>1371</v>
      </c>
      <c r="B1190" t="s">
        <v>1758</v>
      </c>
      <c r="C1190" t="s">
        <v>2960</v>
      </c>
      <c r="D1190" t="str">
        <f t="shared" si="19"/>
        <v>SEMAD3026</v>
      </c>
      <c r="E1190" t="s">
        <v>2958</v>
      </c>
    </row>
    <row r="1191" spans="1:5" x14ac:dyDescent="0.25">
      <c r="A1191">
        <v>1371</v>
      </c>
      <c r="B1191" t="s">
        <v>1758</v>
      </c>
      <c r="C1191" t="s">
        <v>2961</v>
      </c>
      <c r="D1191" t="str">
        <f t="shared" si="19"/>
        <v>SEMAD3027</v>
      </c>
      <c r="E1191" t="s">
        <v>2933</v>
      </c>
    </row>
    <row r="1192" spans="1:5" x14ac:dyDescent="0.25">
      <c r="A1192">
        <v>1371</v>
      </c>
      <c r="B1192" t="s">
        <v>1758</v>
      </c>
      <c r="C1192" t="s">
        <v>467</v>
      </c>
      <c r="D1192" t="str">
        <f t="shared" si="19"/>
        <v>SEMAD3030</v>
      </c>
      <c r="E1192" t="s">
        <v>2933</v>
      </c>
    </row>
    <row r="1193" spans="1:5" x14ac:dyDescent="0.25">
      <c r="A1193">
        <v>1371</v>
      </c>
      <c r="B1193" t="s">
        <v>1758</v>
      </c>
      <c r="C1193" t="s">
        <v>2963</v>
      </c>
      <c r="D1193" t="str">
        <f t="shared" si="19"/>
        <v>SEMAD3032</v>
      </c>
      <c r="E1193" t="s">
        <v>2933</v>
      </c>
    </row>
    <row r="1194" spans="1:5" x14ac:dyDescent="0.25">
      <c r="A1194">
        <v>1371</v>
      </c>
      <c r="B1194" t="s">
        <v>1758</v>
      </c>
      <c r="C1194" t="s">
        <v>2964</v>
      </c>
      <c r="D1194" t="str">
        <f t="shared" si="19"/>
        <v>SEMAD3033</v>
      </c>
      <c r="E1194" t="s">
        <v>2965</v>
      </c>
    </row>
    <row r="1195" spans="1:5" x14ac:dyDescent="0.25">
      <c r="A1195">
        <v>1371</v>
      </c>
      <c r="B1195" t="s">
        <v>1758</v>
      </c>
      <c r="C1195" t="s">
        <v>477</v>
      </c>
      <c r="D1195" t="str">
        <f t="shared" si="19"/>
        <v>SEMAD3034</v>
      </c>
      <c r="E1195" t="s">
        <v>2965</v>
      </c>
    </row>
    <row r="1196" spans="1:5" x14ac:dyDescent="0.25">
      <c r="A1196">
        <v>1371</v>
      </c>
      <c r="B1196" t="s">
        <v>1758</v>
      </c>
      <c r="C1196" t="s">
        <v>491</v>
      </c>
      <c r="D1196" t="str">
        <f t="shared" si="19"/>
        <v>SEMAD3099</v>
      </c>
      <c r="E1196" t="s">
        <v>2933</v>
      </c>
    </row>
    <row r="1197" spans="1:5" x14ac:dyDescent="0.25">
      <c r="A1197">
        <v>1371</v>
      </c>
      <c r="B1197" t="s">
        <v>1758</v>
      </c>
      <c r="C1197" t="s">
        <v>2967</v>
      </c>
      <c r="D1197" t="str">
        <f t="shared" si="19"/>
        <v>SEMAD3101</v>
      </c>
      <c r="E1197" t="s">
        <v>3256</v>
      </c>
    </row>
    <row r="1198" spans="1:5" x14ac:dyDescent="0.25">
      <c r="A1198">
        <v>1371</v>
      </c>
      <c r="B1198" t="s">
        <v>1758</v>
      </c>
      <c r="C1198" t="s">
        <v>54</v>
      </c>
      <c r="D1198" t="str">
        <f t="shared" si="19"/>
        <v>SEMAD3301</v>
      </c>
      <c r="E1198" t="s">
        <v>44</v>
      </c>
    </row>
    <row r="1199" spans="1:5" x14ac:dyDescent="0.25">
      <c r="A1199">
        <v>1371</v>
      </c>
      <c r="B1199" t="s">
        <v>1758</v>
      </c>
      <c r="C1199" t="s">
        <v>2975</v>
      </c>
      <c r="D1199" t="str">
        <f t="shared" si="19"/>
        <v>SEMAD3302</v>
      </c>
      <c r="E1199" t="s">
        <v>44</v>
      </c>
    </row>
    <row r="1200" spans="1:5" x14ac:dyDescent="0.25">
      <c r="A1200">
        <v>1371</v>
      </c>
      <c r="B1200" t="s">
        <v>1758</v>
      </c>
      <c r="C1200" t="s">
        <v>2977</v>
      </c>
      <c r="D1200" t="str">
        <f t="shared" si="19"/>
        <v>SEMAD3304</v>
      </c>
      <c r="E1200" t="s">
        <v>44</v>
      </c>
    </row>
    <row r="1201" spans="1:5" x14ac:dyDescent="0.25">
      <c r="A1201">
        <v>1371</v>
      </c>
      <c r="B1201" t="s">
        <v>1758</v>
      </c>
      <c r="C1201" t="s">
        <v>3233</v>
      </c>
      <c r="D1201" t="str">
        <f t="shared" si="19"/>
        <v>SEMAD3501</v>
      </c>
      <c r="E1201" t="s">
        <v>1660</v>
      </c>
    </row>
    <row r="1202" spans="1:5" x14ac:dyDescent="0.25">
      <c r="A1202">
        <v>1371</v>
      </c>
      <c r="B1202" t="s">
        <v>1758</v>
      </c>
      <c r="C1202" t="s">
        <v>3201</v>
      </c>
      <c r="D1202" t="str">
        <f t="shared" si="19"/>
        <v>SEMAD3502</v>
      </c>
      <c r="E1202" t="s">
        <v>1660</v>
      </c>
    </row>
    <row r="1203" spans="1:5" x14ac:dyDescent="0.25">
      <c r="A1203">
        <v>1371</v>
      </c>
      <c r="B1203" t="s">
        <v>1758</v>
      </c>
      <c r="C1203" t="s">
        <v>297</v>
      </c>
      <c r="D1203" t="str">
        <f t="shared" si="19"/>
        <v>SEMAD3604</v>
      </c>
      <c r="E1203" t="s">
        <v>44</v>
      </c>
    </row>
    <row r="1204" spans="1:5" x14ac:dyDescent="0.25">
      <c r="A1204">
        <v>1371</v>
      </c>
      <c r="B1204" t="s">
        <v>1758</v>
      </c>
      <c r="C1204" t="s">
        <v>3234</v>
      </c>
      <c r="D1204" t="str">
        <f t="shared" si="19"/>
        <v>SEMAD3605</v>
      </c>
      <c r="E1204" t="s">
        <v>3257</v>
      </c>
    </row>
    <row r="1205" spans="1:5" x14ac:dyDescent="0.25">
      <c r="A1205">
        <v>1371</v>
      </c>
      <c r="B1205" t="s">
        <v>1758</v>
      </c>
      <c r="C1205" t="s">
        <v>355</v>
      </c>
      <c r="D1205" t="str">
        <f t="shared" si="19"/>
        <v>SEMAD3610</v>
      </c>
      <c r="E1205" t="s">
        <v>3258</v>
      </c>
    </row>
    <row r="1206" spans="1:5" x14ac:dyDescent="0.25">
      <c r="A1206">
        <v>1371</v>
      </c>
      <c r="B1206" t="s">
        <v>1758</v>
      </c>
      <c r="C1206" t="s">
        <v>3021</v>
      </c>
      <c r="D1206" t="str">
        <f t="shared" si="19"/>
        <v>SEMAD3611</v>
      </c>
      <c r="E1206" t="s">
        <v>3107</v>
      </c>
    </row>
    <row r="1207" spans="1:5" x14ac:dyDescent="0.25">
      <c r="A1207">
        <v>1371</v>
      </c>
      <c r="B1207" t="s">
        <v>1758</v>
      </c>
      <c r="C1207" t="s">
        <v>2979</v>
      </c>
      <c r="D1207" t="str">
        <f t="shared" si="19"/>
        <v>SEMAD3612</v>
      </c>
      <c r="E1207" t="s">
        <v>3259</v>
      </c>
    </row>
    <row r="1208" spans="1:5" x14ac:dyDescent="0.25">
      <c r="A1208">
        <v>1371</v>
      </c>
      <c r="B1208" t="s">
        <v>1758</v>
      </c>
      <c r="C1208" t="s">
        <v>389</v>
      </c>
      <c r="D1208" t="str">
        <f t="shared" si="19"/>
        <v>SEMAD3615</v>
      </c>
      <c r="E1208" t="s">
        <v>3006</v>
      </c>
    </row>
    <row r="1209" spans="1:5" x14ac:dyDescent="0.25">
      <c r="A1209">
        <v>1371</v>
      </c>
      <c r="B1209" t="s">
        <v>1758</v>
      </c>
      <c r="C1209" t="s">
        <v>3023</v>
      </c>
      <c r="D1209" t="str">
        <f t="shared" si="19"/>
        <v>SEMAD3616</v>
      </c>
      <c r="E1209" t="s">
        <v>2958</v>
      </c>
    </row>
    <row r="1210" spans="1:5" x14ac:dyDescent="0.25">
      <c r="A1210">
        <v>1371</v>
      </c>
      <c r="B1210" t="s">
        <v>1758</v>
      </c>
      <c r="C1210" t="s">
        <v>401</v>
      </c>
      <c r="D1210" t="str">
        <f t="shared" si="19"/>
        <v>SEMAD3617</v>
      </c>
      <c r="E1210" t="s">
        <v>3260</v>
      </c>
    </row>
    <row r="1211" spans="1:5" x14ac:dyDescent="0.25">
      <c r="A1211">
        <v>1371</v>
      </c>
      <c r="B1211" t="s">
        <v>1758</v>
      </c>
      <c r="C1211" t="s">
        <v>471</v>
      </c>
      <c r="D1211" t="str">
        <f t="shared" si="19"/>
        <v>SEMAD3699</v>
      </c>
      <c r="E1211" t="s">
        <v>3261</v>
      </c>
    </row>
    <row r="1212" spans="1:5" x14ac:dyDescent="0.25">
      <c r="A1212">
        <v>1371</v>
      </c>
      <c r="B1212" t="s">
        <v>1758</v>
      </c>
      <c r="C1212" t="s">
        <v>3050</v>
      </c>
      <c r="D1212" t="str">
        <f t="shared" si="19"/>
        <v>SEMAD3702</v>
      </c>
      <c r="E1212" t="s">
        <v>2981</v>
      </c>
    </row>
    <row r="1213" spans="1:5" x14ac:dyDescent="0.25">
      <c r="A1213">
        <v>1371</v>
      </c>
      <c r="B1213" t="s">
        <v>1758</v>
      </c>
      <c r="C1213" t="s">
        <v>2983</v>
      </c>
      <c r="D1213" t="str">
        <f t="shared" si="19"/>
        <v>SEMAD3703</v>
      </c>
      <c r="E1213" t="s">
        <v>117</v>
      </c>
    </row>
    <row r="1214" spans="1:5" x14ac:dyDescent="0.25">
      <c r="A1214">
        <v>1371</v>
      </c>
      <c r="B1214" t="s">
        <v>1758</v>
      </c>
      <c r="C1214" t="s">
        <v>2985</v>
      </c>
      <c r="D1214" t="str">
        <f t="shared" si="19"/>
        <v>SEMAD3704</v>
      </c>
      <c r="E1214" t="s">
        <v>117</v>
      </c>
    </row>
    <row r="1215" spans="1:5" x14ac:dyDescent="0.25">
      <c r="A1215">
        <v>1371</v>
      </c>
      <c r="B1215" t="s">
        <v>1758</v>
      </c>
      <c r="C1215" t="s">
        <v>2986</v>
      </c>
      <c r="D1215" t="str">
        <f t="shared" si="19"/>
        <v>SEMAD3705</v>
      </c>
      <c r="E1215" t="s">
        <v>117</v>
      </c>
    </row>
    <row r="1216" spans="1:5" x14ac:dyDescent="0.25">
      <c r="A1216">
        <v>1371</v>
      </c>
      <c r="B1216" t="s">
        <v>1758</v>
      </c>
      <c r="C1216" t="s">
        <v>2988</v>
      </c>
      <c r="D1216" t="str">
        <f t="shared" si="19"/>
        <v>SEMAD3903</v>
      </c>
      <c r="E1216" t="s">
        <v>87</v>
      </c>
    </row>
    <row r="1217" spans="1:5" x14ac:dyDescent="0.25">
      <c r="A1217">
        <v>1371</v>
      </c>
      <c r="B1217" t="s">
        <v>1758</v>
      </c>
      <c r="C1217" t="s">
        <v>299</v>
      </c>
      <c r="D1217" t="str">
        <f t="shared" si="19"/>
        <v>SEMAD3904</v>
      </c>
      <c r="E1217" t="s">
        <v>3262</v>
      </c>
    </row>
    <row r="1218" spans="1:5" x14ac:dyDescent="0.25">
      <c r="A1218">
        <v>1371</v>
      </c>
      <c r="B1218" t="s">
        <v>1758</v>
      </c>
      <c r="C1218" t="s">
        <v>326</v>
      </c>
      <c r="D1218" t="str">
        <f t="shared" si="19"/>
        <v>SEMAD3906</v>
      </c>
      <c r="E1218" t="s">
        <v>3263</v>
      </c>
    </row>
    <row r="1219" spans="1:5" x14ac:dyDescent="0.25">
      <c r="A1219">
        <v>1371</v>
      </c>
      <c r="B1219" t="s">
        <v>1758</v>
      </c>
      <c r="C1219" t="s">
        <v>346</v>
      </c>
      <c r="D1219" t="str">
        <f t="shared" si="19"/>
        <v>SEMAD3910</v>
      </c>
      <c r="E1219" t="s">
        <v>3264</v>
      </c>
    </row>
    <row r="1220" spans="1:5" x14ac:dyDescent="0.25">
      <c r="A1220">
        <v>1371</v>
      </c>
      <c r="B1220" t="s">
        <v>1758</v>
      </c>
      <c r="C1220" t="s">
        <v>2991</v>
      </c>
      <c r="D1220" t="str">
        <f t="shared" si="19"/>
        <v>SEMAD3912</v>
      </c>
      <c r="E1220" t="s">
        <v>2992</v>
      </c>
    </row>
    <row r="1221" spans="1:5" x14ac:dyDescent="0.25">
      <c r="A1221">
        <v>1371</v>
      </c>
      <c r="B1221" t="s">
        <v>1758</v>
      </c>
      <c r="C1221" t="s">
        <v>2994</v>
      </c>
      <c r="D1221" t="str">
        <f t="shared" ref="D1221:D1284" si="20">CONCATENATE(B1221,LEFT(C1221,4))</f>
        <v>SEMAD3913</v>
      </c>
      <c r="E1221" t="s">
        <v>2992</v>
      </c>
    </row>
    <row r="1222" spans="1:5" x14ac:dyDescent="0.25">
      <c r="A1222">
        <v>1371</v>
      </c>
      <c r="B1222" t="s">
        <v>1758</v>
      </c>
      <c r="C1222" t="s">
        <v>384</v>
      </c>
      <c r="D1222" t="str">
        <f t="shared" si="20"/>
        <v>SEMAD3915</v>
      </c>
      <c r="E1222" t="s">
        <v>2992</v>
      </c>
    </row>
    <row r="1223" spans="1:5" x14ac:dyDescent="0.25">
      <c r="A1223">
        <v>1371</v>
      </c>
      <c r="B1223" t="s">
        <v>1758</v>
      </c>
      <c r="C1223" t="s">
        <v>2996</v>
      </c>
      <c r="D1223" t="str">
        <f t="shared" si="20"/>
        <v>SEMAD3917</v>
      </c>
      <c r="E1223" t="s">
        <v>2958</v>
      </c>
    </row>
    <row r="1224" spans="1:5" x14ac:dyDescent="0.25">
      <c r="A1224">
        <v>1371</v>
      </c>
      <c r="B1224" t="s">
        <v>1758</v>
      </c>
      <c r="C1224" t="s">
        <v>2998</v>
      </c>
      <c r="D1224" t="str">
        <f t="shared" si="20"/>
        <v>SEMAD3918</v>
      </c>
      <c r="E1224" t="s">
        <v>2958</v>
      </c>
    </row>
    <row r="1225" spans="1:5" x14ac:dyDescent="0.25">
      <c r="A1225">
        <v>1371</v>
      </c>
      <c r="B1225" t="s">
        <v>1758</v>
      </c>
      <c r="C1225" t="s">
        <v>3000</v>
      </c>
      <c r="D1225" t="str">
        <f t="shared" si="20"/>
        <v>SEMAD3919</v>
      </c>
      <c r="E1225" t="s">
        <v>3001</v>
      </c>
    </row>
    <row r="1226" spans="1:5" x14ac:dyDescent="0.25">
      <c r="A1226">
        <v>1371</v>
      </c>
      <c r="B1226" t="s">
        <v>1758</v>
      </c>
      <c r="C1226" t="s">
        <v>3077</v>
      </c>
      <c r="D1226" t="str">
        <f t="shared" si="20"/>
        <v>SEMAD3920</v>
      </c>
      <c r="E1226" t="s">
        <v>3107</v>
      </c>
    </row>
    <row r="1227" spans="1:5" x14ac:dyDescent="0.25">
      <c r="A1227">
        <v>1371</v>
      </c>
      <c r="B1227" t="s">
        <v>1758</v>
      </c>
      <c r="C1227" t="s">
        <v>3002</v>
      </c>
      <c r="D1227" t="str">
        <f t="shared" si="20"/>
        <v>SEMAD3921</v>
      </c>
      <c r="E1227" t="s">
        <v>3001</v>
      </c>
    </row>
    <row r="1228" spans="1:5" x14ac:dyDescent="0.25">
      <c r="A1228">
        <v>1371</v>
      </c>
      <c r="B1228" t="s">
        <v>1758</v>
      </c>
      <c r="C1228" t="s">
        <v>3003</v>
      </c>
      <c r="D1228" t="str">
        <f t="shared" si="20"/>
        <v>SEMAD3922</v>
      </c>
      <c r="E1228" t="s">
        <v>2954</v>
      </c>
    </row>
    <row r="1229" spans="1:5" x14ac:dyDescent="0.25">
      <c r="A1229">
        <v>1371</v>
      </c>
      <c r="B1229" t="s">
        <v>1758</v>
      </c>
      <c r="C1229" t="s">
        <v>566</v>
      </c>
      <c r="D1229" t="str">
        <f t="shared" si="20"/>
        <v>SEMAD3924</v>
      </c>
      <c r="E1229" t="s">
        <v>3004</v>
      </c>
    </row>
    <row r="1230" spans="1:5" x14ac:dyDescent="0.25">
      <c r="A1230">
        <v>1371</v>
      </c>
      <c r="B1230" t="s">
        <v>1758</v>
      </c>
      <c r="C1230" t="s">
        <v>438</v>
      </c>
      <c r="D1230" t="str">
        <f t="shared" si="20"/>
        <v>SEMAD3925</v>
      </c>
      <c r="E1230" t="s">
        <v>3006</v>
      </c>
    </row>
    <row r="1231" spans="1:5" x14ac:dyDescent="0.25">
      <c r="A1231">
        <v>1371</v>
      </c>
      <c r="B1231" t="s">
        <v>1758</v>
      </c>
      <c r="C1231" t="s">
        <v>443</v>
      </c>
      <c r="D1231" t="str">
        <f t="shared" si="20"/>
        <v>SEMAD3926</v>
      </c>
      <c r="E1231" t="s">
        <v>3006</v>
      </c>
    </row>
    <row r="1232" spans="1:5" x14ac:dyDescent="0.25">
      <c r="A1232">
        <v>1371</v>
      </c>
      <c r="B1232" t="s">
        <v>1758</v>
      </c>
      <c r="C1232" t="s">
        <v>3008</v>
      </c>
      <c r="D1232" t="str">
        <f t="shared" si="20"/>
        <v>SEMAD3927</v>
      </c>
      <c r="E1232" t="s">
        <v>3009</v>
      </c>
    </row>
    <row r="1233" spans="1:5" x14ac:dyDescent="0.25">
      <c r="A1233">
        <v>1371</v>
      </c>
      <c r="B1233" t="s">
        <v>1758</v>
      </c>
      <c r="C1233" t="s">
        <v>458</v>
      </c>
      <c r="D1233" t="str">
        <f t="shared" si="20"/>
        <v>SEMAD3930</v>
      </c>
      <c r="E1233" t="s">
        <v>3006</v>
      </c>
    </row>
    <row r="1234" spans="1:5" x14ac:dyDescent="0.25">
      <c r="A1234">
        <v>1371</v>
      </c>
      <c r="B1234" t="s">
        <v>1758</v>
      </c>
      <c r="C1234" t="s">
        <v>1481</v>
      </c>
      <c r="D1234" t="str">
        <f t="shared" si="20"/>
        <v>SEMAD3931</v>
      </c>
      <c r="E1234" t="s">
        <v>3265</v>
      </c>
    </row>
    <row r="1235" spans="1:5" x14ac:dyDescent="0.25">
      <c r="A1235">
        <v>1371</v>
      </c>
      <c r="B1235" t="s">
        <v>1758</v>
      </c>
      <c r="C1235" t="s">
        <v>469</v>
      </c>
      <c r="D1235" t="str">
        <f t="shared" si="20"/>
        <v>SEMAD3934</v>
      </c>
      <c r="E1235" t="s">
        <v>2965</v>
      </c>
    </row>
    <row r="1236" spans="1:5" x14ac:dyDescent="0.25">
      <c r="A1236">
        <v>1371</v>
      </c>
      <c r="B1236" t="s">
        <v>1758</v>
      </c>
      <c r="C1236" t="s">
        <v>3015</v>
      </c>
      <c r="D1236" t="str">
        <f t="shared" si="20"/>
        <v>SEMAD3935</v>
      </c>
      <c r="E1236" t="s">
        <v>2965</v>
      </c>
    </row>
    <row r="1237" spans="1:5" x14ac:dyDescent="0.25">
      <c r="A1237">
        <v>1371</v>
      </c>
      <c r="B1237" t="s">
        <v>1758</v>
      </c>
      <c r="C1237" t="s">
        <v>3017</v>
      </c>
      <c r="D1237" t="str">
        <f t="shared" si="20"/>
        <v>SEMAD3936</v>
      </c>
      <c r="E1237" t="s">
        <v>94</v>
      </c>
    </row>
    <row r="1238" spans="1:5" x14ac:dyDescent="0.25">
      <c r="A1238">
        <v>1371</v>
      </c>
      <c r="B1238" t="s">
        <v>1758</v>
      </c>
      <c r="C1238" t="s">
        <v>3088</v>
      </c>
      <c r="D1238" t="str">
        <f t="shared" si="20"/>
        <v>SEMAD3937</v>
      </c>
      <c r="E1238" t="s">
        <v>3107</v>
      </c>
    </row>
    <row r="1239" spans="1:5" x14ac:dyDescent="0.25">
      <c r="A1239">
        <v>1371</v>
      </c>
      <c r="B1239" t="s">
        <v>1758</v>
      </c>
      <c r="C1239" t="s">
        <v>3202</v>
      </c>
      <c r="D1239" t="str">
        <f t="shared" si="20"/>
        <v>SEMAD3938</v>
      </c>
      <c r="E1239" t="s">
        <v>1389</v>
      </c>
    </row>
    <row r="1240" spans="1:5" x14ac:dyDescent="0.25">
      <c r="A1240">
        <v>1371</v>
      </c>
      <c r="B1240" t="s">
        <v>1758</v>
      </c>
      <c r="C1240" t="s">
        <v>3089</v>
      </c>
      <c r="D1240" t="str">
        <f t="shared" si="20"/>
        <v>SEMAD3939</v>
      </c>
      <c r="E1240" t="s">
        <v>3266</v>
      </c>
    </row>
    <row r="1241" spans="1:5" x14ac:dyDescent="0.25">
      <c r="A1241">
        <v>1371</v>
      </c>
      <c r="B1241" t="s">
        <v>1758</v>
      </c>
      <c r="C1241" t="s">
        <v>3019</v>
      </c>
      <c r="D1241" t="str">
        <f t="shared" si="20"/>
        <v>SEMAD3940</v>
      </c>
      <c r="E1241" t="s">
        <v>3009</v>
      </c>
    </row>
    <row r="1242" spans="1:5" x14ac:dyDescent="0.25">
      <c r="A1242">
        <v>1371</v>
      </c>
      <c r="B1242" t="s">
        <v>1758</v>
      </c>
      <c r="C1242" t="s">
        <v>480</v>
      </c>
      <c r="D1242" t="str">
        <f t="shared" si="20"/>
        <v>SEMAD3941</v>
      </c>
      <c r="E1242" t="s">
        <v>3267</v>
      </c>
    </row>
    <row r="1243" spans="1:5" x14ac:dyDescent="0.25">
      <c r="A1243">
        <v>1371</v>
      </c>
      <c r="B1243" t="s">
        <v>1758</v>
      </c>
      <c r="C1243" t="s">
        <v>3020</v>
      </c>
      <c r="D1243" t="str">
        <f t="shared" si="20"/>
        <v>SEMAD3943</v>
      </c>
      <c r="E1243" t="s">
        <v>2958</v>
      </c>
    </row>
    <row r="1244" spans="1:5" x14ac:dyDescent="0.25">
      <c r="A1244">
        <v>1371</v>
      </c>
      <c r="B1244" t="s">
        <v>1758</v>
      </c>
      <c r="C1244" t="s">
        <v>492</v>
      </c>
      <c r="D1244" t="str">
        <f t="shared" si="20"/>
        <v>SEMAD3948</v>
      </c>
      <c r="E1244" t="s">
        <v>3004</v>
      </c>
    </row>
    <row r="1245" spans="1:5" x14ac:dyDescent="0.25">
      <c r="A1245">
        <v>1371</v>
      </c>
      <c r="B1245" t="s">
        <v>1758</v>
      </c>
      <c r="C1245" t="s">
        <v>3096</v>
      </c>
      <c r="D1245" t="str">
        <f t="shared" si="20"/>
        <v>SEMAD3949</v>
      </c>
      <c r="E1245" t="s">
        <v>3004</v>
      </c>
    </row>
    <row r="1246" spans="1:5" x14ac:dyDescent="0.25">
      <c r="A1246">
        <v>1371</v>
      </c>
      <c r="B1246" t="s">
        <v>1758</v>
      </c>
      <c r="C1246" t="s">
        <v>495</v>
      </c>
      <c r="D1246" t="str">
        <f t="shared" si="20"/>
        <v>SEMAD3951</v>
      </c>
      <c r="E1246" t="s">
        <v>3052</v>
      </c>
    </row>
    <row r="1247" spans="1:5" x14ac:dyDescent="0.25">
      <c r="A1247">
        <v>1371</v>
      </c>
      <c r="B1247" t="s">
        <v>1758</v>
      </c>
      <c r="C1247" t="s">
        <v>3098</v>
      </c>
      <c r="D1247" t="str">
        <f t="shared" si="20"/>
        <v>SEMAD3952</v>
      </c>
      <c r="E1247" t="s">
        <v>65</v>
      </c>
    </row>
    <row r="1248" spans="1:5" x14ac:dyDescent="0.25">
      <c r="A1248">
        <v>1371</v>
      </c>
      <c r="B1248" t="s">
        <v>1758</v>
      </c>
      <c r="C1248" t="s">
        <v>496</v>
      </c>
      <c r="D1248" t="str">
        <f t="shared" si="20"/>
        <v>SEMAD3953</v>
      </c>
      <c r="E1248" t="s">
        <v>3004</v>
      </c>
    </row>
    <row r="1249" spans="1:5" x14ac:dyDescent="0.25">
      <c r="A1249">
        <v>1371</v>
      </c>
      <c r="B1249" t="s">
        <v>1758</v>
      </c>
      <c r="C1249" t="s">
        <v>498</v>
      </c>
      <c r="D1249" t="str">
        <f t="shared" si="20"/>
        <v>SEMAD3955</v>
      </c>
      <c r="E1249" t="s">
        <v>3268</v>
      </c>
    </row>
    <row r="1250" spans="1:5" x14ac:dyDescent="0.25">
      <c r="A1250">
        <v>1371</v>
      </c>
      <c r="B1250" t="s">
        <v>1758</v>
      </c>
      <c r="C1250" t="s">
        <v>499</v>
      </c>
      <c r="D1250" t="str">
        <f t="shared" si="20"/>
        <v>SEMAD3956</v>
      </c>
      <c r="E1250" t="s">
        <v>3269</v>
      </c>
    </row>
    <row r="1251" spans="1:5" x14ac:dyDescent="0.25">
      <c r="A1251">
        <v>1371</v>
      </c>
      <c r="B1251" t="s">
        <v>1758</v>
      </c>
      <c r="C1251" t="s">
        <v>3102</v>
      </c>
      <c r="D1251" t="str">
        <f t="shared" si="20"/>
        <v>SEMAD3960</v>
      </c>
      <c r="E1251" t="s">
        <v>3270</v>
      </c>
    </row>
    <row r="1252" spans="1:5" x14ac:dyDescent="0.25">
      <c r="A1252">
        <v>1371</v>
      </c>
      <c r="B1252" t="s">
        <v>1758</v>
      </c>
      <c r="C1252" t="s">
        <v>3027</v>
      </c>
      <c r="D1252" t="str">
        <f t="shared" si="20"/>
        <v>SEMAD3961</v>
      </c>
      <c r="E1252" t="s">
        <v>103</v>
      </c>
    </row>
    <row r="1253" spans="1:5" x14ac:dyDescent="0.25">
      <c r="A1253">
        <v>1371</v>
      </c>
      <c r="B1253" t="s">
        <v>1758</v>
      </c>
      <c r="C1253" t="s">
        <v>1154</v>
      </c>
      <c r="D1253" t="str">
        <f t="shared" si="20"/>
        <v>SEMAD3969</v>
      </c>
      <c r="E1253" t="s">
        <v>2992</v>
      </c>
    </row>
    <row r="1254" spans="1:5" x14ac:dyDescent="0.25">
      <c r="A1254">
        <v>1371</v>
      </c>
      <c r="B1254" t="s">
        <v>1758</v>
      </c>
      <c r="C1254" t="s">
        <v>3031</v>
      </c>
      <c r="D1254" t="str">
        <f t="shared" si="20"/>
        <v>SEMAD3970</v>
      </c>
      <c r="E1254" t="s">
        <v>3009</v>
      </c>
    </row>
    <row r="1255" spans="1:5" x14ac:dyDescent="0.25">
      <c r="A1255">
        <v>1371</v>
      </c>
      <c r="B1255" t="s">
        <v>1758</v>
      </c>
      <c r="C1255" t="s">
        <v>513</v>
      </c>
      <c r="D1255" t="str">
        <f t="shared" si="20"/>
        <v>SEMAD3971</v>
      </c>
      <c r="E1255" t="s">
        <v>3033</v>
      </c>
    </row>
    <row r="1256" spans="1:5" x14ac:dyDescent="0.25">
      <c r="A1256">
        <v>1371</v>
      </c>
      <c r="B1256" t="s">
        <v>1758</v>
      </c>
      <c r="C1256" t="s">
        <v>3111</v>
      </c>
      <c r="D1256" t="str">
        <f t="shared" si="20"/>
        <v>SEMAD3973</v>
      </c>
      <c r="E1256" t="s">
        <v>3271</v>
      </c>
    </row>
    <row r="1257" spans="1:5" x14ac:dyDescent="0.25">
      <c r="A1257">
        <v>1371</v>
      </c>
      <c r="B1257" t="s">
        <v>1758</v>
      </c>
      <c r="C1257" t="s">
        <v>520</v>
      </c>
      <c r="D1257" t="str">
        <f t="shared" si="20"/>
        <v>SEMAD3978</v>
      </c>
      <c r="E1257" t="s">
        <v>2981</v>
      </c>
    </row>
    <row r="1258" spans="1:5" x14ac:dyDescent="0.25">
      <c r="A1258">
        <v>1371</v>
      </c>
      <c r="B1258" t="s">
        <v>1758</v>
      </c>
      <c r="C1258" t="s">
        <v>521</v>
      </c>
      <c r="D1258" t="str">
        <f t="shared" si="20"/>
        <v>SEMAD3981</v>
      </c>
      <c r="E1258" t="s">
        <v>3272</v>
      </c>
    </row>
    <row r="1259" spans="1:5" x14ac:dyDescent="0.25">
      <c r="A1259">
        <v>1371</v>
      </c>
      <c r="B1259" t="s">
        <v>1758</v>
      </c>
      <c r="C1259" t="s">
        <v>3036</v>
      </c>
      <c r="D1259" t="str">
        <f t="shared" si="20"/>
        <v>SEMAD3987</v>
      </c>
      <c r="E1259" t="s">
        <v>2958</v>
      </c>
    </row>
    <row r="1260" spans="1:5" x14ac:dyDescent="0.25">
      <c r="A1260">
        <v>1371</v>
      </c>
      <c r="B1260" t="s">
        <v>1758</v>
      </c>
      <c r="C1260" t="s">
        <v>528</v>
      </c>
      <c r="D1260" t="str">
        <f t="shared" si="20"/>
        <v>SEMAD3988</v>
      </c>
      <c r="E1260" t="s">
        <v>3273</v>
      </c>
    </row>
    <row r="1261" spans="1:5" x14ac:dyDescent="0.25">
      <c r="A1261">
        <v>1371</v>
      </c>
      <c r="B1261" t="s">
        <v>1758</v>
      </c>
      <c r="C1261" t="s">
        <v>3204</v>
      </c>
      <c r="D1261" t="str">
        <f t="shared" si="20"/>
        <v>SEMAD3996</v>
      </c>
      <c r="E1261" t="s">
        <v>3274</v>
      </c>
    </row>
    <row r="1262" spans="1:5" x14ac:dyDescent="0.25">
      <c r="A1262">
        <v>1371</v>
      </c>
      <c r="B1262" t="s">
        <v>1758</v>
      </c>
      <c r="C1262" t="s">
        <v>3040</v>
      </c>
      <c r="D1262" t="str">
        <f t="shared" si="20"/>
        <v>SEMAD3999</v>
      </c>
      <c r="E1262" t="s">
        <v>3275</v>
      </c>
    </row>
    <row r="1263" spans="1:5" x14ac:dyDescent="0.25">
      <c r="A1263">
        <v>1371</v>
      </c>
      <c r="B1263" t="s">
        <v>1758</v>
      </c>
      <c r="C1263" t="s">
        <v>3041</v>
      </c>
      <c r="D1263" t="str">
        <f t="shared" si="20"/>
        <v>SEMAD4002</v>
      </c>
      <c r="E1263" t="s">
        <v>3009</v>
      </c>
    </row>
    <row r="1264" spans="1:5" x14ac:dyDescent="0.25">
      <c r="A1264">
        <v>1371</v>
      </c>
      <c r="B1264" t="s">
        <v>1758</v>
      </c>
      <c r="C1264" t="s">
        <v>3043</v>
      </c>
      <c r="D1264" t="str">
        <f t="shared" si="20"/>
        <v>SEMAD4003</v>
      </c>
      <c r="E1264" t="s">
        <v>94</v>
      </c>
    </row>
    <row r="1265" spans="1:5" x14ac:dyDescent="0.25">
      <c r="A1265">
        <v>1371</v>
      </c>
      <c r="B1265" t="s">
        <v>1758</v>
      </c>
      <c r="C1265" t="s">
        <v>3045</v>
      </c>
      <c r="D1265" t="str">
        <f t="shared" si="20"/>
        <v>SEMAD4004</v>
      </c>
      <c r="E1265" t="s">
        <v>3009</v>
      </c>
    </row>
    <row r="1266" spans="1:5" x14ac:dyDescent="0.25">
      <c r="A1266">
        <v>1371</v>
      </c>
      <c r="B1266" t="s">
        <v>1758</v>
      </c>
      <c r="C1266" t="s">
        <v>3047</v>
      </c>
      <c r="D1266" t="str">
        <f t="shared" si="20"/>
        <v>SEMAD4005</v>
      </c>
      <c r="E1266" t="s">
        <v>3009</v>
      </c>
    </row>
    <row r="1267" spans="1:5" x14ac:dyDescent="0.25">
      <c r="A1267">
        <v>1371</v>
      </c>
      <c r="B1267" t="s">
        <v>1758</v>
      </c>
      <c r="C1267" t="s">
        <v>813</v>
      </c>
      <c r="D1267" t="str">
        <f t="shared" si="20"/>
        <v>SEMAD4006</v>
      </c>
      <c r="E1267" t="s">
        <v>3057</v>
      </c>
    </row>
    <row r="1268" spans="1:5" x14ac:dyDescent="0.25">
      <c r="A1268">
        <v>1371</v>
      </c>
      <c r="B1268" t="s">
        <v>1758</v>
      </c>
      <c r="C1268" t="s">
        <v>3138</v>
      </c>
      <c r="D1268" t="str">
        <f t="shared" si="20"/>
        <v>SEMAD4007</v>
      </c>
      <c r="E1268" t="s">
        <v>94</v>
      </c>
    </row>
    <row r="1269" spans="1:5" x14ac:dyDescent="0.25">
      <c r="A1269">
        <v>1371</v>
      </c>
      <c r="B1269" t="s">
        <v>1758</v>
      </c>
      <c r="C1269" t="s">
        <v>3123</v>
      </c>
      <c r="D1269" t="str">
        <f t="shared" si="20"/>
        <v>SEMAD4101</v>
      </c>
      <c r="E1269" t="s">
        <v>3208</v>
      </c>
    </row>
    <row r="1270" spans="1:5" x14ac:dyDescent="0.25">
      <c r="A1270">
        <v>1371</v>
      </c>
      <c r="B1270" t="s">
        <v>1758</v>
      </c>
      <c r="C1270" t="s">
        <v>3128</v>
      </c>
      <c r="D1270" t="str">
        <f t="shared" si="20"/>
        <v>SEMAD4301</v>
      </c>
      <c r="E1270" t="s">
        <v>3239</v>
      </c>
    </row>
    <row r="1271" spans="1:5" x14ac:dyDescent="0.25">
      <c r="A1271">
        <v>1371</v>
      </c>
      <c r="B1271" t="s">
        <v>1758</v>
      </c>
      <c r="C1271" t="s">
        <v>3048</v>
      </c>
      <c r="D1271" t="str">
        <f t="shared" si="20"/>
        <v>SEMAD4701</v>
      </c>
      <c r="E1271" t="s">
        <v>3049</v>
      </c>
    </row>
    <row r="1272" spans="1:5" x14ac:dyDescent="0.25">
      <c r="A1272">
        <v>1371</v>
      </c>
      <c r="B1272" t="s">
        <v>1758</v>
      </c>
      <c r="C1272" t="s">
        <v>239</v>
      </c>
      <c r="D1272" t="str">
        <f t="shared" si="20"/>
        <v>SEMAD4702</v>
      </c>
      <c r="E1272" t="s">
        <v>3049</v>
      </c>
    </row>
    <row r="1273" spans="1:5" x14ac:dyDescent="0.25">
      <c r="A1273">
        <v>1371</v>
      </c>
      <c r="B1273" t="s">
        <v>1758</v>
      </c>
      <c r="C1273" t="s">
        <v>265</v>
      </c>
      <c r="D1273" t="str">
        <f t="shared" si="20"/>
        <v>SEMAD4703</v>
      </c>
      <c r="E1273" t="s">
        <v>3049</v>
      </c>
    </row>
    <row r="1274" spans="1:5" x14ac:dyDescent="0.25">
      <c r="A1274">
        <v>1371</v>
      </c>
      <c r="B1274" t="s">
        <v>1758</v>
      </c>
      <c r="C1274" t="s">
        <v>285</v>
      </c>
      <c r="D1274" t="str">
        <f t="shared" si="20"/>
        <v>SEMAD4704</v>
      </c>
      <c r="E1274" t="s">
        <v>3049</v>
      </c>
    </row>
    <row r="1275" spans="1:5" x14ac:dyDescent="0.25">
      <c r="A1275">
        <v>1371</v>
      </c>
      <c r="B1275" t="s">
        <v>1758</v>
      </c>
      <c r="C1275" t="s">
        <v>328</v>
      </c>
      <c r="D1275" t="str">
        <f t="shared" si="20"/>
        <v>SEMAD4707</v>
      </c>
      <c r="E1275" t="s">
        <v>3049</v>
      </c>
    </row>
    <row r="1276" spans="1:5" x14ac:dyDescent="0.25">
      <c r="A1276">
        <v>1371</v>
      </c>
      <c r="B1276" t="s">
        <v>1758</v>
      </c>
      <c r="C1276" t="s">
        <v>364</v>
      </c>
      <c r="D1276" t="str">
        <f t="shared" si="20"/>
        <v>SEMAD4799</v>
      </c>
      <c r="E1276" t="s">
        <v>3049</v>
      </c>
    </row>
    <row r="1277" spans="1:5" x14ac:dyDescent="0.25">
      <c r="A1277">
        <v>1371</v>
      </c>
      <c r="B1277" t="s">
        <v>1758</v>
      </c>
      <c r="C1277" t="s">
        <v>3053</v>
      </c>
      <c r="D1277" t="str">
        <f t="shared" si="20"/>
        <v>SEMAD5103</v>
      </c>
      <c r="E1277" t="s">
        <v>3052</v>
      </c>
    </row>
    <row r="1278" spans="1:5" x14ac:dyDescent="0.25">
      <c r="A1278">
        <v>1371</v>
      </c>
      <c r="B1278" t="s">
        <v>1758</v>
      </c>
      <c r="C1278" t="s">
        <v>173</v>
      </c>
      <c r="D1278" t="str">
        <f t="shared" si="20"/>
        <v>SEMAD5107</v>
      </c>
      <c r="E1278" t="s">
        <v>3052</v>
      </c>
    </row>
    <row r="1279" spans="1:5" x14ac:dyDescent="0.25">
      <c r="A1279">
        <v>1371</v>
      </c>
      <c r="B1279" t="s">
        <v>1758</v>
      </c>
      <c r="C1279" t="s">
        <v>349</v>
      </c>
      <c r="D1279" t="str">
        <f t="shared" si="20"/>
        <v>SEMAD5110</v>
      </c>
      <c r="E1279" t="s">
        <v>3052</v>
      </c>
    </row>
    <row r="1280" spans="1:5" x14ac:dyDescent="0.25">
      <c r="A1280">
        <v>1371</v>
      </c>
      <c r="B1280" t="s">
        <v>1758</v>
      </c>
      <c r="C1280" t="s">
        <v>3209</v>
      </c>
      <c r="D1280" t="str">
        <f t="shared" si="20"/>
        <v>SEMAD5114</v>
      </c>
      <c r="E1280" t="s">
        <v>3052</v>
      </c>
    </row>
    <row r="1281" spans="1:5" x14ac:dyDescent="0.25">
      <c r="A1281">
        <v>1371</v>
      </c>
      <c r="B1281" t="s">
        <v>1758</v>
      </c>
      <c r="C1281" t="s">
        <v>242</v>
      </c>
      <c r="D1281" t="str">
        <f t="shared" si="20"/>
        <v>SEMAD5201</v>
      </c>
      <c r="E1281" t="s">
        <v>2965</v>
      </c>
    </row>
    <row r="1282" spans="1:5" x14ac:dyDescent="0.25">
      <c r="A1282">
        <v>1371</v>
      </c>
      <c r="B1282" t="s">
        <v>1758</v>
      </c>
      <c r="C1282" t="s">
        <v>3054</v>
      </c>
      <c r="D1282" t="str">
        <f t="shared" si="20"/>
        <v>SEMAD5204</v>
      </c>
      <c r="E1282" t="s">
        <v>3055</v>
      </c>
    </row>
    <row r="1283" spans="1:5" x14ac:dyDescent="0.25">
      <c r="A1283">
        <v>1371</v>
      </c>
      <c r="B1283" t="s">
        <v>1758</v>
      </c>
      <c r="C1283" t="s">
        <v>329</v>
      </c>
      <c r="D1283" t="str">
        <f t="shared" si="20"/>
        <v>SEMAD5206</v>
      </c>
      <c r="E1283" t="s">
        <v>3057</v>
      </c>
    </row>
    <row r="1284" spans="1:5" x14ac:dyDescent="0.25">
      <c r="A1284">
        <v>1371</v>
      </c>
      <c r="B1284" t="s">
        <v>1758</v>
      </c>
      <c r="C1284" t="s">
        <v>3058</v>
      </c>
      <c r="D1284" t="str">
        <f t="shared" si="20"/>
        <v>SEMAD5207</v>
      </c>
      <c r="E1284" t="s">
        <v>3057</v>
      </c>
    </row>
    <row r="1285" spans="1:5" x14ac:dyDescent="0.25">
      <c r="A1285">
        <v>1371</v>
      </c>
      <c r="B1285" t="s">
        <v>1758</v>
      </c>
      <c r="C1285" t="s">
        <v>3060</v>
      </c>
      <c r="D1285" t="str">
        <f t="shared" ref="D1285:D1348" si="21">CONCATENATE(B1285,LEFT(C1285,4))</f>
        <v>SEMAD5208</v>
      </c>
      <c r="E1285" t="s">
        <v>3057</v>
      </c>
    </row>
    <row r="1286" spans="1:5" x14ac:dyDescent="0.25">
      <c r="A1286">
        <v>1371</v>
      </c>
      <c r="B1286" t="s">
        <v>1758</v>
      </c>
      <c r="C1286" t="s">
        <v>3063</v>
      </c>
      <c r="D1286" t="str">
        <f t="shared" si="21"/>
        <v>SEMAD5210</v>
      </c>
      <c r="E1286" t="s">
        <v>3055</v>
      </c>
    </row>
    <row r="1287" spans="1:5" x14ac:dyDescent="0.25">
      <c r="A1287">
        <v>1371</v>
      </c>
      <c r="B1287" t="s">
        <v>1758</v>
      </c>
      <c r="C1287" t="s">
        <v>3064</v>
      </c>
      <c r="D1287" t="str">
        <f t="shared" si="21"/>
        <v>SEMAD5212</v>
      </c>
      <c r="E1287" t="s">
        <v>3055</v>
      </c>
    </row>
    <row r="1288" spans="1:5" x14ac:dyDescent="0.25">
      <c r="A1288">
        <v>1371</v>
      </c>
      <c r="B1288" t="s">
        <v>1758</v>
      </c>
      <c r="C1288" t="s">
        <v>391</v>
      </c>
      <c r="D1288" t="str">
        <f t="shared" si="21"/>
        <v>SEMAD5214</v>
      </c>
      <c r="E1288" t="s">
        <v>3055</v>
      </c>
    </row>
    <row r="1289" spans="1:5" x14ac:dyDescent="0.25">
      <c r="A1289">
        <v>1371</v>
      </c>
      <c r="B1289" t="s">
        <v>1758</v>
      </c>
      <c r="C1289" t="s">
        <v>3068</v>
      </c>
      <c r="D1289" t="str">
        <f t="shared" si="21"/>
        <v>SEMAD5220</v>
      </c>
      <c r="E1289" t="s">
        <v>3057</v>
      </c>
    </row>
    <row r="1290" spans="1:5" x14ac:dyDescent="0.25">
      <c r="A1290">
        <v>1371</v>
      </c>
      <c r="B1290" t="s">
        <v>1758</v>
      </c>
      <c r="C1290" t="s">
        <v>449</v>
      </c>
      <c r="D1290" t="str">
        <f t="shared" si="21"/>
        <v>SEMAD5225</v>
      </c>
      <c r="E1290" t="s">
        <v>3055</v>
      </c>
    </row>
    <row r="1291" spans="1:5" x14ac:dyDescent="0.25">
      <c r="A1291">
        <v>1371</v>
      </c>
      <c r="B1291" t="s">
        <v>1758</v>
      </c>
      <c r="C1291" t="s">
        <v>3072</v>
      </c>
      <c r="D1291" t="str">
        <f t="shared" si="21"/>
        <v>SEMAD5227</v>
      </c>
      <c r="E1291" t="s">
        <v>3055</v>
      </c>
    </row>
    <row r="1292" spans="1:5" x14ac:dyDescent="0.25">
      <c r="A1292">
        <v>1371</v>
      </c>
      <c r="B1292" t="s">
        <v>1758</v>
      </c>
      <c r="C1292" t="s">
        <v>459</v>
      </c>
      <c r="D1292" t="str">
        <f t="shared" si="21"/>
        <v>SEMAD5299</v>
      </c>
      <c r="E1292" t="s">
        <v>3055</v>
      </c>
    </row>
    <row r="1293" spans="1:5" x14ac:dyDescent="0.25">
      <c r="A1293">
        <v>1371</v>
      </c>
      <c r="B1293" t="s">
        <v>1758</v>
      </c>
      <c r="C1293" t="s">
        <v>3074</v>
      </c>
      <c r="D1293" t="str">
        <f t="shared" si="21"/>
        <v>SEMAD9202</v>
      </c>
      <c r="E1293" t="s">
        <v>3075</v>
      </c>
    </row>
    <row r="1294" spans="1:5" x14ac:dyDescent="0.25">
      <c r="A1294">
        <v>1371</v>
      </c>
      <c r="B1294" t="s">
        <v>1758</v>
      </c>
      <c r="C1294" t="s">
        <v>250</v>
      </c>
      <c r="D1294" t="str">
        <f t="shared" si="21"/>
        <v>SEMAD9301</v>
      </c>
      <c r="E1294" t="s">
        <v>3228</v>
      </c>
    </row>
    <row r="1295" spans="1:5" x14ac:dyDescent="0.25">
      <c r="A1295">
        <v>1371</v>
      </c>
      <c r="B1295" t="s">
        <v>1758</v>
      </c>
      <c r="C1295" t="s">
        <v>331</v>
      </c>
      <c r="D1295" t="str">
        <f t="shared" si="21"/>
        <v>SEMAD9306</v>
      </c>
      <c r="E1295" t="s">
        <v>3076</v>
      </c>
    </row>
    <row r="1296" spans="1:5" x14ac:dyDescent="0.25">
      <c r="A1296">
        <v>1371</v>
      </c>
      <c r="B1296" t="s">
        <v>1758</v>
      </c>
      <c r="C1296" t="s">
        <v>380</v>
      </c>
      <c r="D1296" t="str">
        <f t="shared" si="21"/>
        <v>SEMAD9312</v>
      </c>
      <c r="E1296" t="s">
        <v>3276</v>
      </c>
    </row>
    <row r="1297" spans="1:5" x14ac:dyDescent="0.25">
      <c r="A1297">
        <v>1371</v>
      </c>
      <c r="B1297" t="s">
        <v>1758</v>
      </c>
      <c r="C1297" t="s">
        <v>3079</v>
      </c>
      <c r="D1297" t="str">
        <f t="shared" si="21"/>
        <v>SEMAD9399</v>
      </c>
      <c r="E1297" t="s">
        <v>3277</v>
      </c>
    </row>
    <row r="1298" spans="1:5" x14ac:dyDescent="0.25">
      <c r="A1298">
        <v>1401</v>
      </c>
      <c r="B1298" t="s">
        <v>1711</v>
      </c>
      <c r="C1298" t="s">
        <v>332</v>
      </c>
      <c r="D1298" t="str">
        <f t="shared" si="21"/>
        <v>CBMMG1314</v>
      </c>
      <c r="E1298" t="s">
        <v>3081</v>
      </c>
    </row>
    <row r="1299" spans="1:5" x14ac:dyDescent="0.25">
      <c r="A1299">
        <v>1401</v>
      </c>
      <c r="B1299" t="s">
        <v>1711</v>
      </c>
      <c r="C1299" t="s">
        <v>2928</v>
      </c>
      <c r="D1299" t="str">
        <f t="shared" si="21"/>
        <v>CBMMG1401</v>
      </c>
      <c r="E1299" t="s">
        <v>44</v>
      </c>
    </row>
    <row r="1300" spans="1:5" x14ac:dyDescent="0.25">
      <c r="A1300">
        <v>1401</v>
      </c>
      <c r="B1300" t="s">
        <v>1711</v>
      </c>
      <c r="C1300" t="s">
        <v>2930</v>
      </c>
      <c r="D1300" t="str">
        <f t="shared" si="21"/>
        <v>CBMMG1501</v>
      </c>
      <c r="E1300" t="s">
        <v>44</v>
      </c>
    </row>
    <row r="1301" spans="1:5" x14ac:dyDescent="0.25">
      <c r="A1301">
        <v>1401</v>
      </c>
      <c r="B1301" t="s">
        <v>1711</v>
      </c>
      <c r="C1301" t="s">
        <v>222</v>
      </c>
      <c r="D1301" t="str">
        <f t="shared" si="21"/>
        <v>CBMMG1801</v>
      </c>
      <c r="E1301" t="s">
        <v>3230</v>
      </c>
    </row>
    <row r="1302" spans="1:5" x14ac:dyDescent="0.25">
      <c r="A1302">
        <v>1401</v>
      </c>
      <c r="B1302" t="s">
        <v>1711</v>
      </c>
      <c r="C1302" t="s">
        <v>2932</v>
      </c>
      <c r="D1302" t="str">
        <f t="shared" si="21"/>
        <v>CBMMG3001</v>
      </c>
      <c r="E1302" t="s">
        <v>2933</v>
      </c>
    </row>
    <row r="1303" spans="1:5" x14ac:dyDescent="0.25">
      <c r="A1303">
        <v>1401</v>
      </c>
      <c r="B1303" t="s">
        <v>1711</v>
      </c>
      <c r="C1303" t="s">
        <v>256</v>
      </c>
      <c r="D1303" t="str">
        <f t="shared" si="21"/>
        <v>CBMMG3002</v>
      </c>
      <c r="E1303" t="s">
        <v>2933</v>
      </c>
    </row>
    <row r="1304" spans="1:5" x14ac:dyDescent="0.25">
      <c r="A1304">
        <v>1401</v>
      </c>
      <c r="B1304" t="s">
        <v>1711</v>
      </c>
      <c r="C1304" t="s">
        <v>979</v>
      </c>
      <c r="D1304" t="str">
        <f t="shared" si="21"/>
        <v>CBMMG3003</v>
      </c>
      <c r="E1304" t="s">
        <v>2933</v>
      </c>
    </row>
    <row r="1305" spans="1:5" x14ac:dyDescent="0.25">
      <c r="A1305">
        <v>1401</v>
      </c>
      <c r="B1305" t="s">
        <v>1711</v>
      </c>
      <c r="C1305" t="s">
        <v>2937</v>
      </c>
      <c r="D1305" t="str">
        <f t="shared" si="21"/>
        <v>CBMMG3004</v>
      </c>
      <c r="E1305" t="s">
        <v>2933</v>
      </c>
    </row>
    <row r="1306" spans="1:5" x14ac:dyDescent="0.25">
      <c r="A1306">
        <v>1401</v>
      </c>
      <c r="B1306" t="s">
        <v>1711</v>
      </c>
      <c r="C1306" t="s">
        <v>2939</v>
      </c>
      <c r="D1306" t="str">
        <f t="shared" si="21"/>
        <v>CBMMG3005</v>
      </c>
      <c r="E1306" t="s">
        <v>2933</v>
      </c>
    </row>
    <row r="1307" spans="1:5" x14ac:dyDescent="0.25">
      <c r="A1307">
        <v>1401</v>
      </c>
      <c r="B1307" t="s">
        <v>1711</v>
      </c>
      <c r="C1307" t="s">
        <v>333</v>
      </c>
      <c r="D1307" t="str">
        <f t="shared" si="21"/>
        <v>CBMMG3007</v>
      </c>
      <c r="E1307" t="s">
        <v>2933</v>
      </c>
    </row>
    <row r="1308" spans="1:5" x14ac:dyDescent="0.25">
      <c r="A1308">
        <v>1401</v>
      </c>
      <c r="B1308" t="s">
        <v>1711</v>
      </c>
      <c r="C1308" t="s">
        <v>2941</v>
      </c>
      <c r="D1308" t="str">
        <f t="shared" si="21"/>
        <v>CBMMG3008</v>
      </c>
      <c r="E1308" t="s">
        <v>2933</v>
      </c>
    </row>
    <row r="1309" spans="1:5" x14ac:dyDescent="0.25">
      <c r="A1309">
        <v>1401</v>
      </c>
      <c r="B1309" t="s">
        <v>1711</v>
      </c>
      <c r="C1309" t="s">
        <v>354</v>
      </c>
      <c r="D1309" t="str">
        <f t="shared" si="21"/>
        <v>CBMMG3009</v>
      </c>
      <c r="E1309" t="s">
        <v>2933</v>
      </c>
    </row>
    <row r="1310" spans="1:5" x14ac:dyDescent="0.25">
      <c r="A1310">
        <v>1401</v>
      </c>
      <c r="B1310" t="s">
        <v>1711</v>
      </c>
      <c r="C1310" t="s">
        <v>2943</v>
      </c>
      <c r="D1310" t="str">
        <f t="shared" si="21"/>
        <v>CBMMG3010</v>
      </c>
      <c r="E1310" t="s">
        <v>2944</v>
      </c>
    </row>
    <row r="1311" spans="1:5" x14ac:dyDescent="0.25">
      <c r="A1311">
        <v>1401</v>
      </c>
      <c r="B1311" t="s">
        <v>1711</v>
      </c>
      <c r="C1311" t="s">
        <v>369</v>
      </c>
      <c r="D1311" t="str">
        <f t="shared" si="21"/>
        <v>CBMMG3011</v>
      </c>
      <c r="E1311" t="s">
        <v>2933</v>
      </c>
    </row>
    <row r="1312" spans="1:5" x14ac:dyDescent="0.25">
      <c r="A1312">
        <v>1401</v>
      </c>
      <c r="B1312" t="s">
        <v>1711</v>
      </c>
      <c r="C1312" t="s">
        <v>138</v>
      </c>
      <c r="D1312" t="str">
        <f t="shared" si="21"/>
        <v>CBMMG3012</v>
      </c>
      <c r="E1312" t="s">
        <v>2944</v>
      </c>
    </row>
    <row r="1313" spans="1:5" x14ac:dyDescent="0.25">
      <c r="A1313">
        <v>1401</v>
      </c>
      <c r="B1313" t="s">
        <v>1711</v>
      </c>
      <c r="C1313" t="s">
        <v>2946</v>
      </c>
      <c r="D1313" t="str">
        <f t="shared" si="21"/>
        <v>CBMMG3013</v>
      </c>
      <c r="E1313" t="s">
        <v>2933</v>
      </c>
    </row>
    <row r="1314" spans="1:5" x14ac:dyDescent="0.25">
      <c r="A1314">
        <v>1401</v>
      </c>
      <c r="B1314" t="s">
        <v>1711</v>
      </c>
      <c r="C1314" t="s">
        <v>388</v>
      </c>
      <c r="D1314" t="str">
        <f t="shared" si="21"/>
        <v>CBMMG3014</v>
      </c>
      <c r="E1314" t="s">
        <v>2933</v>
      </c>
    </row>
    <row r="1315" spans="1:5" x14ac:dyDescent="0.25">
      <c r="A1315">
        <v>1401</v>
      </c>
      <c r="B1315" t="s">
        <v>1711</v>
      </c>
      <c r="C1315" t="s">
        <v>2948</v>
      </c>
      <c r="D1315" t="str">
        <f t="shared" si="21"/>
        <v>CBMMG3015</v>
      </c>
      <c r="E1315" t="s">
        <v>2933</v>
      </c>
    </row>
    <row r="1316" spans="1:5" x14ac:dyDescent="0.25">
      <c r="A1316">
        <v>1401</v>
      </c>
      <c r="B1316" t="s">
        <v>1711</v>
      </c>
      <c r="C1316" t="s">
        <v>2950</v>
      </c>
      <c r="D1316" t="str">
        <f t="shared" si="21"/>
        <v>CBMMG3016</v>
      </c>
      <c r="E1316" t="s">
        <v>2933</v>
      </c>
    </row>
    <row r="1317" spans="1:5" x14ac:dyDescent="0.25">
      <c r="A1317">
        <v>1401</v>
      </c>
      <c r="B1317" t="s">
        <v>1711</v>
      </c>
      <c r="C1317" t="s">
        <v>406</v>
      </c>
      <c r="D1317" t="str">
        <f t="shared" si="21"/>
        <v>CBMMG3017</v>
      </c>
      <c r="E1317" t="s">
        <v>2933</v>
      </c>
    </row>
    <row r="1318" spans="1:5" x14ac:dyDescent="0.25">
      <c r="A1318">
        <v>1401</v>
      </c>
      <c r="B1318" t="s">
        <v>1711</v>
      </c>
      <c r="C1318" t="s">
        <v>2953</v>
      </c>
      <c r="D1318" t="str">
        <f t="shared" si="21"/>
        <v>CBMMG3019</v>
      </c>
      <c r="E1318" t="s">
        <v>2954</v>
      </c>
    </row>
    <row r="1319" spans="1:5" x14ac:dyDescent="0.25">
      <c r="A1319">
        <v>1401</v>
      </c>
      <c r="B1319" t="s">
        <v>1711</v>
      </c>
      <c r="C1319" t="s">
        <v>2955</v>
      </c>
      <c r="D1319" t="str">
        <f t="shared" si="21"/>
        <v>CBMMG3020</v>
      </c>
      <c r="E1319" t="s">
        <v>2933</v>
      </c>
    </row>
    <row r="1320" spans="1:5" x14ac:dyDescent="0.25">
      <c r="A1320">
        <v>1401</v>
      </c>
      <c r="B1320" t="s">
        <v>1711</v>
      </c>
      <c r="C1320" t="s">
        <v>2956</v>
      </c>
      <c r="D1320" t="str">
        <f t="shared" si="21"/>
        <v>CBMMG3021</v>
      </c>
      <c r="E1320" t="s">
        <v>2933</v>
      </c>
    </row>
    <row r="1321" spans="1:5" x14ac:dyDescent="0.25">
      <c r="A1321">
        <v>1401</v>
      </c>
      <c r="B1321" t="s">
        <v>1711</v>
      </c>
      <c r="C1321" t="s">
        <v>431</v>
      </c>
      <c r="D1321" t="str">
        <f t="shared" si="21"/>
        <v>CBMMG3022</v>
      </c>
      <c r="E1321" t="s">
        <v>2933</v>
      </c>
    </row>
    <row r="1322" spans="1:5" x14ac:dyDescent="0.25">
      <c r="A1322">
        <v>1401</v>
      </c>
      <c r="B1322" t="s">
        <v>1711</v>
      </c>
      <c r="C1322" t="s">
        <v>2957</v>
      </c>
      <c r="D1322" t="str">
        <f t="shared" si="21"/>
        <v>CBMMG3023</v>
      </c>
      <c r="E1322" t="s">
        <v>2958</v>
      </c>
    </row>
    <row r="1323" spans="1:5" x14ac:dyDescent="0.25">
      <c r="A1323">
        <v>1401</v>
      </c>
      <c r="B1323" t="s">
        <v>1711</v>
      </c>
      <c r="C1323" t="s">
        <v>441</v>
      </c>
      <c r="D1323" t="str">
        <f t="shared" si="21"/>
        <v>CBMMG3024</v>
      </c>
      <c r="E1323" t="s">
        <v>2933</v>
      </c>
    </row>
    <row r="1324" spans="1:5" x14ac:dyDescent="0.25">
      <c r="A1324">
        <v>1401</v>
      </c>
      <c r="B1324" t="s">
        <v>1711</v>
      </c>
      <c r="C1324" t="s">
        <v>2959</v>
      </c>
      <c r="D1324" t="str">
        <f t="shared" si="21"/>
        <v>CBMMG3025</v>
      </c>
      <c r="E1324" t="s">
        <v>2933</v>
      </c>
    </row>
    <row r="1325" spans="1:5" x14ac:dyDescent="0.25">
      <c r="A1325">
        <v>1401</v>
      </c>
      <c r="B1325" t="s">
        <v>1711</v>
      </c>
      <c r="C1325" t="s">
        <v>2960</v>
      </c>
      <c r="D1325" t="str">
        <f t="shared" si="21"/>
        <v>CBMMG3026</v>
      </c>
      <c r="E1325" t="s">
        <v>2958</v>
      </c>
    </row>
    <row r="1326" spans="1:5" x14ac:dyDescent="0.25">
      <c r="A1326">
        <v>1401</v>
      </c>
      <c r="B1326" t="s">
        <v>1711</v>
      </c>
      <c r="C1326" t="s">
        <v>2961</v>
      </c>
      <c r="D1326" t="str">
        <f t="shared" si="21"/>
        <v>CBMMG3027</v>
      </c>
      <c r="E1326" t="s">
        <v>2933</v>
      </c>
    </row>
    <row r="1327" spans="1:5" x14ac:dyDescent="0.25">
      <c r="A1327">
        <v>1401</v>
      </c>
      <c r="B1327" t="s">
        <v>1711</v>
      </c>
      <c r="C1327" t="s">
        <v>467</v>
      </c>
      <c r="D1327" t="str">
        <f t="shared" si="21"/>
        <v>CBMMG3030</v>
      </c>
      <c r="E1327" t="s">
        <v>2933</v>
      </c>
    </row>
    <row r="1328" spans="1:5" x14ac:dyDescent="0.25">
      <c r="A1328">
        <v>1401</v>
      </c>
      <c r="B1328" t="s">
        <v>1711</v>
      </c>
      <c r="C1328" t="s">
        <v>2963</v>
      </c>
      <c r="D1328" t="str">
        <f t="shared" si="21"/>
        <v>CBMMG3032</v>
      </c>
      <c r="E1328" t="s">
        <v>2933</v>
      </c>
    </row>
    <row r="1329" spans="1:5" x14ac:dyDescent="0.25">
      <c r="A1329">
        <v>1401</v>
      </c>
      <c r="B1329" t="s">
        <v>1711</v>
      </c>
      <c r="C1329" t="s">
        <v>2964</v>
      </c>
      <c r="D1329" t="str">
        <f t="shared" si="21"/>
        <v>CBMMG3033</v>
      </c>
      <c r="E1329" t="s">
        <v>2965</v>
      </c>
    </row>
    <row r="1330" spans="1:5" x14ac:dyDescent="0.25">
      <c r="A1330">
        <v>1401</v>
      </c>
      <c r="B1330" t="s">
        <v>1711</v>
      </c>
      <c r="C1330" t="s">
        <v>477</v>
      </c>
      <c r="D1330" t="str">
        <f t="shared" si="21"/>
        <v>CBMMG3034</v>
      </c>
      <c r="E1330" t="s">
        <v>2965</v>
      </c>
    </row>
    <row r="1331" spans="1:5" x14ac:dyDescent="0.25">
      <c r="A1331">
        <v>1401</v>
      </c>
      <c r="B1331" t="s">
        <v>1711</v>
      </c>
      <c r="C1331" t="s">
        <v>3242</v>
      </c>
      <c r="D1331" t="str">
        <f t="shared" si="21"/>
        <v>CBMMG3036</v>
      </c>
      <c r="E1331" t="s">
        <v>2933</v>
      </c>
    </row>
    <row r="1332" spans="1:5" x14ac:dyDescent="0.25">
      <c r="A1332">
        <v>1401</v>
      </c>
      <c r="B1332" t="s">
        <v>1711</v>
      </c>
      <c r="C1332" t="s">
        <v>487</v>
      </c>
      <c r="D1332" t="str">
        <f t="shared" si="21"/>
        <v>CBMMG3040</v>
      </c>
      <c r="E1332" t="s">
        <v>2933</v>
      </c>
    </row>
    <row r="1333" spans="1:5" x14ac:dyDescent="0.25">
      <c r="A1333">
        <v>1401</v>
      </c>
      <c r="B1333" t="s">
        <v>1711</v>
      </c>
      <c r="C1333" t="s">
        <v>2993</v>
      </c>
      <c r="D1333" t="str">
        <f t="shared" si="21"/>
        <v>CBMMG3041</v>
      </c>
      <c r="E1333" t="s">
        <v>2968</v>
      </c>
    </row>
    <row r="1334" spans="1:5" x14ac:dyDescent="0.25">
      <c r="A1334">
        <v>1401</v>
      </c>
      <c r="B1334" t="s">
        <v>1711</v>
      </c>
      <c r="C1334" t="s">
        <v>491</v>
      </c>
      <c r="D1334" t="str">
        <f t="shared" si="21"/>
        <v>CBMMG3099</v>
      </c>
      <c r="E1334" t="s">
        <v>2933</v>
      </c>
    </row>
    <row r="1335" spans="1:5" x14ac:dyDescent="0.25">
      <c r="A1335">
        <v>1401</v>
      </c>
      <c r="B1335" t="s">
        <v>1711</v>
      </c>
      <c r="C1335" t="s">
        <v>2967</v>
      </c>
      <c r="D1335" t="str">
        <f t="shared" si="21"/>
        <v>CBMMG3101</v>
      </c>
      <c r="E1335" t="s">
        <v>3278</v>
      </c>
    </row>
    <row r="1336" spans="1:5" x14ac:dyDescent="0.25">
      <c r="A1336">
        <v>1401</v>
      </c>
      <c r="B1336" t="s">
        <v>1711</v>
      </c>
      <c r="C1336" t="s">
        <v>227</v>
      </c>
      <c r="D1336" t="str">
        <f t="shared" si="21"/>
        <v>CBMMG3201</v>
      </c>
      <c r="E1336" t="s">
        <v>2968</v>
      </c>
    </row>
    <row r="1337" spans="1:5" x14ac:dyDescent="0.25">
      <c r="A1337">
        <v>1401</v>
      </c>
      <c r="B1337" t="s">
        <v>1711</v>
      </c>
      <c r="C1337" t="s">
        <v>54</v>
      </c>
      <c r="D1337" t="str">
        <f t="shared" si="21"/>
        <v>CBMMG3301</v>
      </c>
      <c r="E1337" t="s">
        <v>44</v>
      </c>
    </row>
    <row r="1338" spans="1:5" x14ac:dyDescent="0.25">
      <c r="A1338">
        <v>1401</v>
      </c>
      <c r="B1338" t="s">
        <v>1711</v>
      </c>
      <c r="C1338" t="s">
        <v>2975</v>
      </c>
      <c r="D1338" t="str">
        <f t="shared" si="21"/>
        <v>CBMMG3302</v>
      </c>
      <c r="E1338" t="s">
        <v>44</v>
      </c>
    </row>
    <row r="1339" spans="1:5" x14ac:dyDescent="0.25">
      <c r="A1339">
        <v>1401</v>
      </c>
      <c r="B1339" t="s">
        <v>1711</v>
      </c>
      <c r="C1339" t="s">
        <v>3200</v>
      </c>
      <c r="D1339" t="str">
        <f t="shared" si="21"/>
        <v>CBMMG3303</v>
      </c>
      <c r="E1339" t="s">
        <v>2968</v>
      </c>
    </row>
    <row r="1340" spans="1:5" x14ac:dyDescent="0.25">
      <c r="A1340">
        <v>1401</v>
      </c>
      <c r="B1340" t="s">
        <v>1711</v>
      </c>
      <c r="C1340" t="s">
        <v>2977</v>
      </c>
      <c r="D1340" t="str">
        <f t="shared" si="21"/>
        <v>CBMMG3304</v>
      </c>
      <c r="E1340" t="s">
        <v>44</v>
      </c>
    </row>
    <row r="1341" spans="1:5" x14ac:dyDescent="0.25">
      <c r="A1341">
        <v>1401</v>
      </c>
      <c r="B1341" t="s">
        <v>1711</v>
      </c>
      <c r="C1341" t="s">
        <v>3279</v>
      </c>
      <c r="D1341" t="str">
        <f t="shared" si="21"/>
        <v>CBMMG3607</v>
      </c>
      <c r="E1341" t="s">
        <v>2968</v>
      </c>
    </row>
    <row r="1342" spans="1:5" x14ac:dyDescent="0.25">
      <c r="A1342">
        <v>1401</v>
      </c>
      <c r="B1342" t="s">
        <v>1711</v>
      </c>
      <c r="C1342" t="s">
        <v>355</v>
      </c>
      <c r="D1342" t="str">
        <f t="shared" si="21"/>
        <v>CBMMG3610</v>
      </c>
      <c r="E1342" t="s">
        <v>2968</v>
      </c>
    </row>
    <row r="1343" spans="1:5" x14ac:dyDescent="0.25">
      <c r="A1343">
        <v>1401</v>
      </c>
      <c r="B1343" t="s">
        <v>1711</v>
      </c>
      <c r="C1343" t="s">
        <v>2979</v>
      </c>
      <c r="D1343" t="str">
        <f t="shared" si="21"/>
        <v>CBMMG3612</v>
      </c>
      <c r="E1343" t="s">
        <v>2968</v>
      </c>
    </row>
    <row r="1344" spans="1:5" x14ac:dyDescent="0.25">
      <c r="A1344">
        <v>1401</v>
      </c>
      <c r="B1344" t="s">
        <v>1711</v>
      </c>
      <c r="C1344" t="s">
        <v>383</v>
      </c>
      <c r="D1344" t="str">
        <f t="shared" si="21"/>
        <v>CBMMG3614</v>
      </c>
      <c r="E1344" t="s">
        <v>2968</v>
      </c>
    </row>
    <row r="1345" spans="1:5" x14ac:dyDescent="0.25">
      <c r="A1345">
        <v>1401</v>
      </c>
      <c r="B1345" t="s">
        <v>1711</v>
      </c>
      <c r="C1345" t="s">
        <v>427</v>
      </c>
      <c r="D1345" t="str">
        <f t="shared" si="21"/>
        <v>CBMMG3622</v>
      </c>
      <c r="E1345" t="s">
        <v>3107</v>
      </c>
    </row>
    <row r="1346" spans="1:5" x14ac:dyDescent="0.25">
      <c r="A1346">
        <v>1401</v>
      </c>
      <c r="B1346" t="s">
        <v>1711</v>
      </c>
      <c r="C1346" t="s">
        <v>471</v>
      </c>
      <c r="D1346" t="str">
        <f t="shared" si="21"/>
        <v>CBMMG3699</v>
      </c>
      <c r="E1346" t="s">
        <v>2968</v>
      </c>
    </row>
    <row r="1347" spans="1:5" x14ac:dyDescent="0.25">
      <c r="A1347">
        <v>1401</v>
      </c>
      <c r="B1347" t="s">
        <v>1711</v>
      </c>
      <c r="C1347" t="s">
        <v>2980</v>
      </c>
      <c r="D1347" t="str">
        <f t="shared" si="21"/>
        <v>CBMMG3701</v>
      </c>
      <c r="E1347" t="s">
        <v>2981</v>
      </c>
    </row>
    <row r="1348" spans="1:5" x14ac:dyDescent="0.25">
      <c r="A1348">
        <v>1401</v>
      </c>
      <c r="B1348" t="s">
        <v>1711</v>
      </c>
      <c r="C1348" t="s">
        <v>3050</v>
      </c>
      <c r="D1348" t="str">
        <f t="shared" si="21"/>
        <v>CBMMG3702</v>
      </c>
      <c r="E1348" t="s">
        <v>2981</v>
      </c>
    </row>
    <row r="1349" spans="1:5" x14ac:dyDescent="0.25">
      <c r="A1349">
        <v>1401</v>
      </c>
      <c r="B1349" t="s">
        <v>1711</v>
      </c>
      <c r="C1349" t="s">
        <v>2985</v>
      </c>
      <c r="D1349" t="str">
        <f t="shared" ref="D1349:D1412" si="22">CONCATENATE(B1349,LEFT(C1349,4))</f>
        <v>CBMMG3704</v>
      </c>
      <c r="E1349" t="s">
        <v>117</v>
      </c>
    </row>
    <row r="1350" spans="1:5" x14ac:dyDescent="0.25">
      <c r="A1350">
        <v>1401</v>
      </c>
      <c r="B1350" t="s">
        <v>1711</v>
      </c>
      <c r="C1350" t="s">
        <v>2986</v>
      </c>
      <c r="D1350" t="str">
        <f t="shared" si="22"/>
        <v>CBMMG3705</v>
      </c>
      <c r="E1350" t="s">
        <v>117</v>
      </c>
    </row>
    <row r="1351" spans="1:5" x14ac:dyDescent="0.25">
      <c r="A1351">
        <v>1401</v>
      </c>
      <c r="B1351" t="s">
        <v>1711</v>
      </c>
      <c r="C1351" t="s">
        <v>2988</v>
      </c>
      <c r="D1351" t="str">
        <f t="shared" si="22"/>
        <v>CBMMG3903</v>
      </c>
      <c r="E1351" t="s">
        <v>2968</v>
      </c>
    </row>
    <row r="1352" spans="1:5" x14ac:dyDescent="0.25">
      <c r="A1352">
        <v>1401</v>
      </c>
      <c r="B1352" t="s">
        <v>1711</v>
      </c>
      <c r="C1352" t="s">
        <v>299</v>
      </c>
      <c r="D1352" t="str">
        <f t="shared" si="22"/>
        <v>CBMMG3904</v>
      </c>
      <c r="E1352" t="s">
        <v>2968</v>
      </c>
    </row>
    <row r="1353" spans="1:5" x14ac:dyDescent="0.25">
      <c r="A1353">
        <v>1401</v>
      </c>
      <c r="B1353" t="s">
        <v>1711</v>
      </c>
      <c r="C1353" t="s">
        <v>326</v>
      </c>
      <c r="D1353" t="str">
        <f t="shared" si="22"/>
        <v>CBMMG3906</v>
      </c>
      <c r="E1353" t="s">
        <v>2968</v>
      </c>
    </row>
    <row r="1354" spans="1:5" x14ac:dyDescent="0.25">
      <c r="A1354">
        <v>1401</v>
      </c>
      <c r="B1354" t="s">
        <v>1711</v>
      </c>
      <c r="C1354" t="s">
        <v>346</v>
      </c>
      <c r="D1354" t="str">
        <f t="shared" si="22"/>
        <v>CBMMG3910</v>
      </c>
      <c r="E1354" t="s">
        <v>2968</v>
      </c>
    </row>
    <row r="1355" spans="1:5" x14ac:dyDescent="0.25">
      <c r="A1355">
        <v>1401</v>
      </c>
      <c r="B1355" t="s">
        <v>1711</v>
      </c>
      <c r="C1355" t="s">
        <v>2991</v>
      </c>
      <c r="D1355" t="str">
        <f t="shared" si="22"/>
        <v>CBMMG3912</v>
      </c>
      <c r="E1355" t="s">
        <v>2992</v>
      </c>
    </row>
    <row r="1356" spans="1:5" x14ac:dyDescent="0.25">
      <c r="A1356">
        <v>1401</v>
      </c>
      <c r="B1356" t="s">
        <v>1711</v>
      </c>
      <c r="C1356" t="s">
        <v>2994</v>
      </c>
      <c r="D1356" t="str">
        <f t="shared" si="22"/>
        <v>CBMMG3913</v>
      </c>
      <c r="E1356" t="s">
        <v>2992</v>
      </c>
    </row>
    <row r="1357" spans="1:5" x14ac:dyDescent="0.25">
      <c r="A1357">
        <v>1401</v>
      </c>
      <c r="B1357" t="s">
        <v>1711</v>
      </c>
      <c r="C1357" t="s">
        <v>384</v>
      </c>
      <c r="D1357" t="str">
        <f t="shared" si="22"/>
        <v>CBMMG3915</v>
      </c>
      <c r="E1357" t="s">
        <v>2992</v>
      </c>
    </row>
    <row r="1358" spans="1:5" x14ac:dyDescent="0.25">
      <c r="A1358">
        <v>1401</v>
      </c>
      <c r="B1358" t="s">
        <v>1711</v>
      </c>
      <c r="C1358" t="s">
        <v>2996</v>
      </c>
      <c r="D1358" t="str">
        <f t="shared" si="22"/>
        <v>CBMMG3917</v>
      </c>
      <c r="E1358" t="s">
        <v>2958</v>
      </c>
    </row>
    <row r="1359" spans="1:5" x14ac:dyDescent="0.25">
      <c r="A1359">
        <v>1401</v>
      </c>
      <c r="B1359" t="s">
        <v>1711</v>
      </c>
      <c r="C1359" t="s">
        <v>2998</v>
      </c>
      <c r="D1359" t="str">
        <f t="shared" si="22"/>
        <v>CBMMG3918</v>
      </c>
      <c r="E1359" t="s">
        <v>2958</v>
      </c>
    </row>
    <row r="1360" spans="1:5" x14ac:dyDescent="0.25">
      <c r="A1360">
        <v>1401</v>
      </c>
      <c r="B1360" t="s">
        <v>1711</v>
      </c>
      <c r="C1360" t="s">
        <v>3000</v>
      </c>
      <c r="D1360" t="str">
        <f t="shared" si="22"/>
        <v>CBMMG3919</v>
      </c>
      <c r="E1360" t="s">
        <v>3001</v>
      </c>
    </row>
    <row r="1361" spans="1:5" x14ac:dyDescent="0.25">
      <c r="A1361">
        <v>1401</v>
      </c>
      <c r="B1361" t="s">
        <v>1711</v>
      </c>
      <c r="C1361" t="s">
        <v>3002</v>
      </c>
      <c r="D1361" t="str">
        <f t="shared" si="22"/>
        <v>CBMMG3921</v>
      </c>
      <c r="E1361" t="s">
        <v>3001</v>
      </c>
    </row>
    <row r="1362" spans="1:5" x14ac:dyDescent="0.25">
      <c r="A1362">
        <v>1401</v>
      </c>
      <c r="B1362" t="s">
        <v>1711</v>
      </c>
      <c r="C1362" t="s">
        <v>3003</v>
      </c>
      <c r="D1362" t="str">
        <f t="shared" si="22"/>
        <v>CBMMG3922</v>
      </c>
      <c r="E1362" t="s">
        <v>2954</v>
      </c>
    </row>
    <row r="1363" spans="1:5" x14ac:dyDescent="0.25">
      <c r="A1363">
        <v>1401</v>
      </c>
      <c r="B1363" t="s">
        <v>1711</v>
      </c>
      <c r="C1363" t="s">
        <v>566</v>
      </c>
      <c r="D1363" t="str">
        <f t="shared" si="22"/>
        <v>CBMMG3924</v>
      </c>
      <c r="E1363" t="s">
        <v>3004</v>
      </c>
    </row>
    <row r="1364" spans="1:5" x14ac:dyDescent="0.25">
      <c r="A1364">
        <v>1401</v>
      </c>
      <c r="B1364" t="s">
        <v>1711</v>
      </c>
      <c r="C1364" t="s">
        <v>443</v>
      </c>
      <c r="D1364" t="str">
        <f t="shared" si="22"/>
        <v>CBMMG3926</v>
      </c>
      <c r="E1364" t="s">
        <v>3006</v>
      </c>
    </row>
    <row r="1365" spans="1:5" x14ac:dyDescent="0.25">
      <c r="A1365">
        <v>1401</v>
      </c>
      <c r="B1365" t="s">
        <v>1711</v>
      </c>
      <c r="C1365" t="s">
        <v>3008</v>
      </c>
      <c r="D1365" t="str">
        <f t="shared" si="22"/>
        <v>CBMMG3927</v>
      </c>
      <c r="E1365" t="s">
        <v>3009</v>
      </c>
    </row>
    <row r="1366" spans="1:5" x14ac:dyDescent="0.25">
      <c r="A1366">
        <v>1401</v>
      </c>
      <c r="B1366" t="s">
        <v>1711</v>
      </c>
      <c r="C1366" t="s">
        <v>458</v>
      </c>
      <c r="D1366" t="str">
        <f t="shared" si="22"/>
        <v>CBMMG3930</v>
      </c>
      <c r="E1366" t="s">
        <v>3006</v>
      </c>
    </row>
    <row r="1367" spans="1:5" x14ac:dyDescent="0.25">
      <c r="A1367">
        <v>1401</v>
      </c>
      <c r="B1367" t="s">
        <v>1711</v>
      </c>
      <c r="C1367" t="s">
        <v>1481</v>
      </c>
      <c r="D1367" t="str">
        <f t="shared" si="22"/>
        <v>CBMMG3931</v>
      </c>
      <c r="E1367" t="s">
        <v>2968</v>
      </c>
    </row>
    <row r="1368" spans="1:5" x14ac:dyDescent="0.25">
      <c r="A1368">
        <v>1401</v>
      </c>
      <c r="B1368" t="s">
        <v>1711</v>
      </c>
      <c r="C1368" t="s">
        <v>466</v>
      </c>
      <c r="D1368" t="str">
        <f t="shared" si="22"/>
        <v>CBMMG3933</v>
      </c>
      <c r="E1368" t="s">
        <v>2968</v>
      </c>
    </row>
    <row r="1369" spans="1:5" x14ac:dyDescent="0.25">
      <c r="A1369">
        <v>1401</v>
      </c>
      <c r="B1369" t="s">
        <v>1711</v>
      </c>
      <c r="C1369" t="s">
        <v>469</v>
      </c>
      <c r="D1369" t="str">
        <f t="shared" si="22"/>
        <v>CBMMG3934</v>
      </c>
      <c r="E1369" t="s">
        <v>2965</v>
      </c>
    </row>
    <row r="1370" spans="1:5" x14ac:dyDescent="0.25">
      <c r="A1370">
        <v>1401</v>
      </c>
      <c r="B1370" t="s">
        <v>1711</v>
      </c>
      <c r="C1370" t="s">
        <v>3015</v>
      </c>
      <c r="D1370" t="str">
        <f t="shared" si="22"/>
        <v>CBMMG3935</v>
      </c>
      <c r="E1370" t="s">
        <v>2965</v>
      </c>
    </row>
    <row r="1371" spans="1:5" x14ac:dyDescent="0.25">
      <c r="A1371">
        <v>1401</v>
      </c>
      <c r="B1371" t="s">
        <v>1711</v>
      </c>
      <c r="C1371" t="s">
        <v>3017</v>
      </c>
      <c r="D1371" t="str">
        <f t="shared" si="22"/>
        <v>CBMMG3936</v>
      </c>
      <c r="E1371" t="s">
        <v>94</v>
      </c>
    </row>
    <row r="1372" spans="1:5" x14ac:dyDescent="0.25">
      <c r="A1372">
        <v>1401</v>
      </c>
      <c r="B1372" t="s">
        <v>1711</v>
      </c>
      <c r="C1372" t="s">
        <v>3088</v>
      </c>
      <c r="D1372" t="str">
        <f t="shared" si="22"/>
        <v>CBMMG3937</v>
      </c>
      <c r="E1372" t="s">
        <v>3107</v>
      </c>
    </row>
    <row r="1373" spans="1:5" x14ac:dyDescent="0.25">
      <c r="A1373">
        <v>1401</v>
      </c>
      <c r="B1373" t="s">
        <v>1711</v>
      </c>
      <c r="C1373" t="s">
        <v>3019</v>
      </c>
      <c r="D1373" t="str">
        <f t="shared" si="22"/>
        <v>CBMMG3940</v>
      </c>
      <c r="E1373" t="s">
        <v>3009</v>
      </c>
    </row>
    <row r="1374" spans="1:5" x14ac:dyDescent="0.25">
      <c r="A1374">
        <v>1401</v>
      </c>
      <c r="B1374" t="s">
        <v>1711</v>
      </c>
      <c r="C1374" t="s">
        <v>480</v>
      </c>
      <c r="D1374" t="str">
        <f t="shared" si="22"/>
        <v>CBMMG3941</v>
      </c>
      <c r="E1374" t="s">
        <v>2968</v>
      </c>
    </row>
    <row r="1375" spans="1:5" x14ac:dyDescent="0.25">
      <c r="A1375">
        <v>1401</v>
      </c>
      <c r="B1375" t="s">
        <v>1711</v>
      </c>
      <c r="C1375" t="s">
        <v>482</v>
      </c>
      <c r="D1375" t="str">
        <f t="shared" si="22"/>
        <v>CBMMG3942</v>
      </c>
      <c r="E1375" t="s">
        <v>2968</v>
      </c>
    </row>
    <row r="1376" spans="1:5" x14ac:dyDescent="0.25">
      <c r="A1376">
        <v>1401</v>
      </c>
      <c r="B1376" t="s">
        <v>1711</v>
      </c>
      <c r="C1376" t="s">
        <v>3020</v>
      </c>
      <c r="D1376" t="str">
        <f t="shared" si="22"/>
        <v>CBMMG3943</v>
      </c>
      <c r="E1376" t="s">
        <v>2958</v>
      </c>
    </row>
    <row r="1377" spans="1:5" x14ac:dyDescent="0.25">
      <c r="A1377">
        <v>1401</v>
      </c>
      <c r="B1377" t="s">
        <v>1711</v>
      </c>
      <c r="C1377" t="s">
        <v>492</v>
      </c>
      <c r="D1377" t="str">
        <f t="shared" si="22"/>
        <v>CBMMG3948</v>
      </c>
      <c r="E1377" t="s">
        <v>3004</v>
      </c>
    </row>
    <row r="1378" spans="1:5" x14ac:dyDescent="0.25">
      <c r="A1378">
        <v>1401</v>
      </c>
      <c r="B1378" t="s">
        <v>1711</v>
      </c>
      <c r="C1378" t="s">
        <v>496</v>
      </c>
      <c r="D1378" t="str">
        <f t="shared" si="22"/>
        <v>CBMMG3953</v>
      </c>
      <c r="E1378" t="s">
        <v>3004</v>
      </c>
    </row>
    <row r="1379" spans="1:5" x14ac:dyDescent="0.25">
      <c r="A1379">
        <v>1401</v>
      </c>
      <c r="B1379" t="s">
        <v>1711</v>
      </c>
      <c r="C1379" t="s">
        <v>498</v>
      </c>
      <c r="D1379" t="str">
        <f t="shared" si="22"/>
        <v>CBMMG3955</v>
      </c>
      <c r="E1379" t="s">
        <v>2968</v>
      </c>
    </row>
    <row r="1380" spans="1:5" x14ac:dyDescent="0.25">
      <c r="A1380">
        <v>1401</v>
      </c>
      <c r="B1380" t="s">
        <v>1711</v>
      </c>
      <c r="C1380" t="s">
        <v>3025</v>
      </c>
      <c r="D1380" t="str">
        <f t="shared" si="22"/>
        <v>CBMMG3959</v>
      </c>
      <c r="E1380" t="s">
        <v>2968</v>
      </c>
    </row>
    <row r="1381" spans="1:5" x14ac:dyDescent="0.25">
      <c r="A1381">
        <v>1401</v>
      </c>
      <c r="B1381" t="s">
        <v>1711</v>
      </c>
      <c r="C1381" t="s">
        <v>3027</v>
      </c>
      <c r="D1381" t="str">
        <f t="shared" si="22"/>
        <v>CBMMG3961</v>
      </c>
      <c r="E1381" t="s">
        <v>103</v>
      </c>
    </row>
    <row r="1382" spans="1:5" x14ac:dyDescent="0.25">
      <c r="A1382">
        <v>1401</v>
      </c>
      <c r="B1382" t="s">
        <v>1711</v>
      </c>
      <c r="C1382" t="s">
        <v>3104</v>
      </c>
      <c r="D1382" t="str">
        <f t="shared" si="22"/>
        <v>CBMMG3964</v>
      </c>
      <c r="E1382" t="s">
        <v>2968</v>
      </c>
    </row>
    <row r="1383" spans="1:5" x14ac:dyDescent="0.25">
      <c r="A1383">
        <v>1401</v>
      </c>
      <c r="B1383" t="s">
        <v>1711</v>
      </c>
      <c r="C1383" t="s">
        <v>3031</v>
      </c>
      <c r="D1383" t="str">
        <f t="shared" si="22"/>
        <v>CBMMG3970</v>
      </c>
      <c r="E1383" t="s">
        <v>3009</v>
      </c>
    </row>
    <row r="1384" spans="1:5" x14ac:dyDescent="0.25">
      <c r="A1384">
        <v>1401</v>
      </c>
      <c r="B1384" t="s">
        <v>1711</v>
      </c>
      <c r="C1384" t="s">
        <v>513</v>
      </c>
      <c r="D1384" t="str">
        <f t="shared" si="22"/>
        <v>CBMMG3971</v>
      </c>
      <c r="E1384" t="s">
        <v>3033</v>
      </c>
    </row>
    <row r="1385" spans="1:5" x14ac:dyDescent="0.25">
      <c r="A1385">
        <v>1401</v>
      </c>
      <c r="B1385" t="s">
        <v>1711</v>
      </c>
      <c r="C1385" t="s">
        <v>3111</v>
      </c>
      <c r="D1385" t="str">
        <f t="shared" si="22"/>
        <v>CBMMG3973</v>
      </c>
      <c r="E1385" t="s">
        <v>2968</v>
      </c>
    </row>
    <row r="1386" spans="1:5" x14ac:dyDescent="0.25">
      <c r="A1386">
        <v>1401</v>
      </c>
      <c r="B1386" t="s">
        <v>1711</v>
      </c>
      <c r="C1386" t="s">
        <v>516</v>
      </c>
      <c r="D1386" t="str">
        <f t="shared" si="22"/>
        <v>CBMMG3974</v>
      </c>
      <c r="E1386" t="s">
        <v>3131</v>
      </c>
    </row>
    <row r="1387" spans="1:5" x14ac:dyDescent="0.25">
      <c r="A1387">
        <v>1401</v>
      </c>
      <c r="B1387" t="s">
        <v>1711</v>
      </c>
      <c r="C1387" t="s">
        <v>3036</v>
      </c>
      <c r="D1387" t="str">
        <f t="shared" si="22"/>
        <v>CBMMG3987</v>
      </c>
      <c r="E1387" t="s">
        <v>2958</v>
      </c>
    </row>
    <row r="1388" spans="1:5" x14ac:dyDescent="0.25">
      <c r="A1388">
        <v>1401</v>
      </c>
      <c r="B1388" t="s">
        <v>1711</v>
      </c>
      <c r="C1388" t="s">
        <v>3038</v>
      </c>
      <c r="D1388" t="str">
        <f t="shared" si="22"/>
        <v>CBMMG3994</v>
      </c>
      <c r="E1388" t="s">
        <v>2965</v>
      </c>
    </row>
    <row r="1389" spans="1:5" x14ac:dyDescent="0.25">
      <c r="A1389">
        <v>1401</v>
      </c>
      <c r="B1389" t="s">
        <v>1711</v>
      </c>
      <c r="C1389" t="s">
        <v>3227</v>
      </c>
      <c r="D1389" t="str">
        <f t="shared" si="22"/>
        <v>CBMMG3998</v>
      </c>
      <c r="E1389" t="s">
        <v>2944</v>
      </c>
    </row>
    <row r="1390" spans="1:5" x14ac:dyDescent="0.25">
      <c r="A1390">
        <v>1401</v>
      </c>
      <c r="B1390" t="s">
        <v>1711</v>
      </c>
      <c r="C1390" t="s">
        <v>3040</v>
      </c>
      <c r="D1390" t="str">
        <f t="shared" si="22"/>
        <v>CBMMG3999</v>
      </c>
      <c r="E1390" t="s">
        <v>2968</v>
      </c>
    </row>
    <row r="1391" spans="1:5" x14ac:dyDescent="0.25">
      <c r="A1391">
        <v>1401</v>
      </c>
      <c r="B1391" t="s">
        <v>1711</v>
      </c>
      <c r="C1391" t="s">
        <v>3041</v>
      </c>
      <c r="D1391" t="str">
        <f t="shared" si="22"/>
        <v>CBMMG4002</v>
      </c>
      <c r="E1391" t="s">
        <v>3009</v>
      </c>
    </row>
    <row r="1392" spans="1:5" x14ac:dyDescent="0.25">
      <c r="A1392">
        <v>1401</v>
      </c>
      <c r="B1392" t="s">
        <v>1711</v>
      </c>
      <c r="C1392" t="s">
        <v>3043</v>
      </c>
      <c r="D1392" t="str">
        <f t="shared" si="22"/>
        <v>CBMMG4003</v>
      </c>
      <c r="E1392" t="s">
        <v>94</v>
      </c>
    </row>
    <row r="1393" spans="1:5" x14ac:dyDescent="0.25">
      <c r="A1393">
        <v>1401</v>
      </c>
      <c r="B1393" t="s">
        <v>1711</v>
      </c>
      <c r="C1393" t="s">
        <v>3045</v>
      </c>
      <c r="D1393" t="str">
        <f t="shared" si="22"/>
        <v>CBMMG4004</v>
      </c>
      <c r="E1393" t="s">
        <v>3009</v>
      </c>
    </row>
    <row r="1394" spans="1:5" x14ac:dyDescent="0.25">
      <c r="A1394">
        <v>1401</v>
      </c>
      <c r="B1394" t="s">
        <v>1711</v>
      </c>
      <c r="C1394" t="s">
        <v>3047</v>
      </c>
      <c r="D1394" t="str">
        <f t="shared" si="22"/>
        <v>CBMMG4005</v>
      </c>
      <c r="E1394" t="s">
        <v>3009</v>
      </c>
    </row>
    <row r="1395" spans="1:5" x14ac:dyDescent="0.25">
      <c r="A1395">
        <v>1401</v>
      </c>
      <c r="B1395" t="s">
        <v>1711</v>
      </c>
      <c r="C1395" t="s">
        <v>813</v>
      </c>
      <c r="D1395" t="str">
        <f t="shared" si="22"/>
        <v>CBMMG4006</v>
      </c>
      <c r="E1395" t="s">
        <v>3057</v>
      </c>
    </row>
    <row r="1396" spans="1:5" x14ac:dyDescent="0.25">
      <c r="A1396">
        <v>1401</v>
      </c>
      <c r="B1396" t="s">
        <v>1711</v>
      </c>
      <c r="C1396" t="s">
        <v>3138</v>
      </c>
      <c r="D1396" t="str">
        <f t="shared" si="22"/>
        <v>CBMMG4007</v>
      </c>
      <c r="E1396" t="s">
        <v>94</v>
      </c>
    </row>
    <row r="1397" spans="1:5" x14ac:dyDescent="0.25">
      <c r="A1397">
        <v>1401</v>
      </c>
      <c r="B1397" t="s">
        <v>1711</v>
      </c>
      <c r="C1397" t="s">
        <v>3127</v>
      </c>
      <c r="D1397" t="str">
        <f t="shared" si="22"/>
        <v>CBMMG4201</v>
      </c>
      <c r="E1397" t="s">
        <v>3218</v>
      </c>
    </row>
    <row r="1398" spans="1:5" x14ac:dyDescent="0.25">
      <c r="A1398">
        <v>1401</v>
      </c>
      <c r="B1398" t="s">
        <v>1711</v>
      </c>
      <c r="C1398" t="s">
        <v>3280</v>
      </c>
      <c r="D1398" t="str">
        <f t="shared" si="22"/>
        <v>CBMMG4602</v>
      </c>
      <c r="E1398" t="s">
        <v>2926</v>
      </c>
    </row>
    <row r="1399" spans="1:5" x14ac:dyDescent="0.25">
      <c r="A1399">
        <v>1401</v>
      </c>
      <c r="B1399" t="s">
        <v>1711</v>
      </c>
      <c r="C1399" t="s">
        <v>3048</v>
      </c>
      <c r="D1399" t="str">
        <f t="shared" si="22"/>
        <v>CBMMG4701</v>
      </c>
      <c r="E1399" t="s">
        <v>3049</v>
      </c>
    </row>
    <row r="1400" spans="1:5" x14ac:dyDescent="0.25">
      <c r="A1400">
        <v>1401</v>
      </c>
      <c r="B1400" t="s">
        <v>1711</v>
      </c>
      <c r="C1400" t="s">
        <v>328</v>
      </c>
      <c r="D1400" t="str">
        <f t="shared" si="22"/>
        <v>CBMMG4707</v>
      </c>
      <c r="E1400" t="s">
        <v>3049</v>
      </c>
    </row>
    <row r="1401" spans="1:5" x14ac:dyDescent="0.25">
      <c r="A1401">
        <v>1401</v>
      </c>
      <c r="B1401" t="s">
        <v>1711</v>
      </c>
      <c r="C1401" t="s">
        <v>348</v>
      </c>
      <c r="D1401" t="str">
        <f t="shared" si="22"/>
        <v>CBMMG4709</v>
      </c>
      <c r="E1401" t="s">
        <v>3049</v>
      </c>
    </row>
    <row r="1402" spans="1:5" x14ac:dyDescent="0.25">
      <c r="A1402">
        <v>1401</v>
      </c>
      <c r="B1402" t="s">
        <v>1711</v>
      </c>
      <c r="C1402" t="s">
        <v>364</v>
      </c>
      <c r="D1402" t="str">
        <f t="shared" si="22"/>
        <v>CBMMG4799</v>
      </c>
      <c r="E1402" t="s">
        <v>3049</v>
      </c>
    </row>
    <row r="1403" spans="1:5" x14ac:dyDescent="0.25">
      <c r="A1403">
        <v>1401</v>
      </c>
      <c r="B1403" t="s">
        <v>1711</v>
      </c>
      <c r="C1403" t="s">
        <v>3051</v>
      </c>
      <c r="D1403" t="str">
        <f t="shared" si="22"/>
        <v>CBMMG5101</v>
      </c>
      <c r="E1403" t="s">
        <v>3052</v>
      </c>
    </row>
    <row r="1404" spans="1:5" x14ac:dyDescent="0.25">
      <c r="A1404">
        <v>1401</v>
      </c>
      <c r="B1404" t="s">
        <v>1711</v>
      </c>
      <c r="C1404" t="s">
        <v>3053</v>
      </c>
      <c r="D1404" t="str">
        <f t="shared" si="22"/>
        <v>CBMMG5103</v>
      </c>
      <c r="E1404" t="s">
        <v>3052</v>
      </c>
    </row>
    <row r="1405" spans="1:5" x14ac:dyDescent="0.25">
      <c r="A1405">
        <v>1401</v>
      </c>
      <c r="B1405" t="s">
        <v>1711</v>
      </c>
      <c r="C1405" t="s">
        <v>173</v>
      </c>
      <c r="D1405" t="str">
        <f t="shared" si="22"/>
        <v>CBMMG5107</v>
      </c>
      <c r="E1405" t="s">
        <v>3052</v>
      </c>
    </row>
    <row r="1406" spans="1:5" x14ac:dyDescent="0.25">
      <c r="A1406">
        <v>1401</v>
      </c>
      <c r="B1406" t="s">
        <v>1711</v>
      </c>
      <c r="C1406" t="s">
        <v>372</v>
      </c>
      <c r="D1406" t="str">
        <f t="shared" si="22"/>
        <v>CBMMG5113</v>
      </c>
      <c r="E1406" t="s">
        <v>3052</v>
      </c>
    </row>
    <row r="1407" spans="1:5" x14ac:dyDescent="0.25">
      <c r="A1407">
        <v>1401</v>
      </c>
      <c r="B1407" t="s">
        <v>1711</v>
      </c>
      <c r="C1407" t="s">
        <v>242</v>
      </c>
      <c r="D1407" t="str">
        <f t="shared" si="22"/>
        <v>CBMMG5201</v>
      </c>
      <c r="E1407" t="s">
        <v>2965</v>
      </c>
    </row>
    <row r="1408" spans="1:5" x14ac:dyDescent="0.25">
      <c r="A1408">
        <v>1401</v>
      </c>
      <c r="B1408" t="s">
        <v>1711</v>
      </c>
      <c r="C1408" t="s">
        <v>288</v>
      </c>
      <c r="D1408" t="str">
        <f t="shared" si="22"/>
        <v>CBMMG5203</v>
      </c>
      <c r="E1408" t="s">
        <v>3055</v>
      </c>
    </row>
    <row r="1409" spans="1:5" x14ac:dyDescent="0.25">
      <c r="A1409">
        <v>1401</v>
      </c>
      <c r="B1409" t="s">
        <v>1711</v>
      </c>
      <c r="C1409" t="s">
        <v>3054</v>
      </c>
      <c r="D1409" t="str">
        <f t="shared" si="22"/>
        <v>CBMMG5204</v>
      </c>
      <c r="E1409" t="s">
        <v>3055</v>
      </c>
    </row>
    <row r="1410" spans="1:5" x14ac:dyDescent="0.25">
      <c r="A1410">
        <v>1401</v>
      </c>
      <c r="B1410" t="s">
        <v>1711</v>
      </c>
      <c r="C1410" t="s">
        <v>318</v>
      </c>
      <c r="D1410" t="str">
        <f t="shared" si="22"/>
        <v>CBMMG5205</v>
      </c>
      <c r="E1410" t="s">
        <v>3055</v>
      </c>
    </row>
    <row r="1411" spans="1:5" x14ac:dyDescent="0.25">
      <c r="A1411">
        <v>1401</v>
      </c>
      <c r="B1411" t="s">
        <v>1711</v>
      </c>
      <c r="C1411" t="s">
        <v>329</v>
      </c>
      <c r="D1411" t="str">
        <f t="shared" si="22"/>
        <v>CBMMG5206</v>
      </c>
      <c r="E1411" t="s">
        <v>3057</v>
      </c>
    </row>
    <row r="1412" spans="1:5" x14ac:dyDescent="0.25">
      <c r="A1412">
        <v>1401</v>
      </c>
      <c r="B1412" t="s">
        <v>1711</v>
      </c>
      <c r="C1412" t="s">
        <v>3058</v>
      </c>
      <c r="D1412" t="str">
        <f t="shared" si="22"/>
        <v>CBMMG5207</v>
      </c>
      <c r="E1412" t="s">
        <v>3057</v>
      </c>
    </row>
    <row r="1413" spans="1:5" x14ac:dyDescent="0.25">
      <c r="A1413">
        <v>1401</v>
      </c>
      <c r="B1413" t="s">
        <v>1711</v>
      </c>
      <c r="C1413" t="s">
        <v>3060</v>
      </c>
      <c r="D1413" t="str">
        <f t="shared" ref="D1413:D1476" si="23">CONCATENATE(B1413,LEFT(C1413,4))</f>
        <v>CBMMG5208</v>
      </c>
      <c r="E1413" t="s">
        <v>3057</v>
      </c>
    </row>
    <row r="1414" spans="1:5" x14ac:dyDescent="0.25">
      <c r="A1414">
        <v>1401</v>
      </c>
      <c r="B1414" t="s">
        <v>1711</v>
      </c>
      <c r="C1414" t="s">
        <v>359</v>
      </c>
      <c r="D1414" t="str">
        <f t="shared" si="23"/>
        <v>CBMMG5209</v>
      </c>
      <c r="E1414" t="s">
        <v>3055</v>
      </c>
    </row>
    <row r="1415" spans="1:5" x14ac:dyDescent="0.25">
      <c r="A1415">
        <v>1401</v>
      </c>
      <c r="B1415" t="s">
        <v>1711</v>
      </c>
      <c r="C1415" t="s">
        <v>3063</v>
      </c>
      <c r="D1415" t="str">
        <f t="shared" si="23"/>
        <v>CBMMG5210</v>
      </c>
      <c r="E1415" t="s">
        <v>3055</v>
      </c>
    </row>
    <row r="1416" spans="1:5" x14ac:dyDescent="0.25">
      <c r="A1416">
        <v>1401</v>
      </c>
      <c r="B1416" t="s">
        <v>1711</v>
      </c>
      <c r="C1416" t="s">
        <v>3155</v>
      </c>
      <c r="D1416" t="str">
        <f t="shared" si="23"/>
        <v>CBMMG5211</v>
      </c>
      <c r="E1416" t="s">
        <v>2944</v>
      </c>
    </row>
    <row r="1417" spans="1:5" x14ac:dyDescent="0.25">
      <c r="A1417">
        <v>1401</v>
      </c>
      <c r="B1417" t="s">
        <v>1711</v>
      </c>
      <c r="C1417" t="s">
        <v>3064</v>
      </c>
      <c r="D1417" t="str">
        <f t="shared" si="23"/>
        <v>CBMMG5212</v>
      </c>
      <c r="E1417" t="s">
        <v>3055</v>
      </c>
    </row>
    <row r="1418" spans="1:5" x14ac:dyDescent="0.25">
      <c r="A1418">
        <v>1401</v>
      </c>
      <c r="B1418" t="s">
        <v>1711</v>
      </c>
      <c r="C1418" t="s">
        <v>385</v>
      </c>
      <c r="D1418" t="str">
        <f t="shared" si="23"/>
        <v>CBMMG5213</v>
      </c>
      <c r="E1418" t="s">
        <v>3055</v>
      </c>
    </row>
    <row r="1419" spans="1:5" x14ac:dyDescent="0.25">
      <c r="A1419">
        <v>1401</v>
      </c>
      <c r="B1419" t="s">
        <v>1711</v>
      </c>
      <c r="C1419" t="s">
        <v>391</v>
      </c>
      <c r="D1419" t="str">
        <f t="shared" si="23"/>
        <v>CBMMG5214</v>
      </c>
      <c r="E1419" t="s">
        <v>3055</v>
      </c>
    </row>
    <row r="1420" spans="1:5" x14ac:dyDescent="0.25">
      <c r="A1420">
        <v>1401</v>
      </c>
      <c r="B1420" t="s">
        <v>1711</v>
      </c>
      <c r="C1420" t="s">
        <v>403</v>
      </c>
      <c r="D1420" t="str">
        <f t="shared" si="23"/>
        <v>CBMMG5216</v>
      </c>
      <c r="E1420" t="s">
        <v>3067</v>
      </c>
    </row>
    <row r="1421" spans="1:5" x14ac:dyDescent="0.25">
      <c r="A1421">
        <v>1401</v>
      </c>
      <c r="B1421" t="s">
        <v>1711</v>
      </c>
      <c r="C1421" t="s">
        <v>409</v>
      </c>
      <c r="D1421" t="str">
        <f t="shared" si="23"/>
        <v>CBMMG5217</v>
      </c>
      <c r="E1421" t="s">
        <v>3055</v>
      </c>
    </row>
    <row r="1422" spans="1:5" x14ac:dyDescent="0.25">
      <c r="A1422">
        <v>1401</v>
      </c>
      <c r="B1422" t="s">
        <v>1711</v>
      </c>
      <c r="C1422" t="s">
        <v>419</v>
      </c>
      <c r="D1422" t="str">
        <f t="shared" si="23"/>
        <v>CBMMG5219</v>
      </c>
      <c r="E1422" t="s">
        <v>3055</v>
      </c>
    </row>
    <row r="1423" spans="1:5" x14ac:dyDescent="0.25">
      <c r="A1423">
        <v>1401</v>
      </c>
      <c r="B1423" t="s">
        <v>1711</v>
      </c>
      <c r="C1423" t="s">
        <v>3068</v>
      </c>
      <c r="D1423" t="str">
        <f t="shared" si="23"/>
        <v>CBMMG5220</v>
      </c>
      <c r="E1423" t="s">
        <v>3057</v>
      </c>
    </row>
    <row r="1424" spans="1:5" x14ac:dyDescent="0.25">
      <c r="A1424">
        <v>1401</v>
      </c>
      <c r="B1424" t="s">
        <v>1711</v>
      </c>
      <c r="C1424" t="s">
        <v>429</v>
      </c>
      <c r="D1424" t="str">
        <f t="shared" si="23"/>
        <v>CBMMG5221</v>
      </c>
      <c r="E1424" t="s">
        <v>3055</v>
      </c>
    </row>
    <row r="1425" spans="1:5" x14ac:dyDescent="0.25">
      <c r="A1425">
        <v>1401</v>
      </c>
      <c r="B1425" t="s">
        <v>1711</v>
      </c>
      <c r="C1425" t="s">
        <v>434</v>
      </c>
      <c r="D1425" t="str">
        <f t="shared" si="23"/>
        <v>CBMMG5222</v>
      </c>
      <c r="E1425" t="s">
        <v>3055</v>
      </c>
    </row>
    <row r="1426" spans="1:5" x14ac:dyDescent="0.25">
      <c r="A1426">
        <v>1401</v>
      </c>
      <c r="B1426" t="s">
        <v>1711</v>
      </c>
      <c r="C1426" t="s">
        <v>449</v>
      </c>
      <c r="D1426" t="str">
        <f t="shared" si="23"/>
        <v>CBMMG5225</v>
      </c>
      <c r="E1426" t="s">
        <v>3055</v>
      </c>
    </row>
    <row r="1427" spans="1:5" x14ac:dyDescent="0.25">
      <c r="A1427">
        <v>1401</v>
      </c>
      <c r="B1427" t="s">
        <v>1711</v>
      </c>
      <c r="C1427" t="s">
        <v>3070</v>
      </c>
      <c r="D1427" t="str">
        <f t="shared" si="23"/>
        <v>CBMMG5226</v>
      </c>
      <c r="E1427" t="s">
        <v>3055</v>
      </c>
    </row>
    <row r="1428" spans="1:5" x14ac:dyDescent="0.25">
      <c r="A1428">
        <v>1401</v>
      </c>
      <c r="B1428" t="s">
        <v>1711</v>
      </c>
      <c r="C1428" t="s">
        <v>3072</v>
      </c>
      <c r="D1428" t="str">
        <f t="shared" si="23"/>
        <v>CBMMG5227</v>
      </c>
      <c r="E1428" t="s">
        <v>3055</v>
      </c>
    </row>
    <row r="1429" spans="1:5" x14ac:dyDescent="0.25">
      <c r="A1429">
        <v>1401</v>
      </c>
      <c r="B1429" t="s">
        <v>1711</v>
      </c>
      <c r="C1429" t="s">
        <v>3150</v>
      </c>
      <c r="D1429" t="str">
        <f t="shared" si="23"/>
        <v>CBMMG5230</v>
      </c>
      <c r="E1429" t="s">
        <v>3055</v>
      </c>
    </row>
    <row r="1430" spans="1:5" x14ac:dyDescent="0.25">
      <c r="A1430">
        <v>1401</v>
      </c>
      <c r="B1430" t="s">
        <v>1711</v>
      </c>
      <c r="C1430" t="s">
        <v>459</v>
      </c>
      <c r="D1430" t="str">
        <f t="shared" si="23"/>
        <v>CBMMG5299</v>
      </c>
      <c r="E1430" t="s">
        <v>3055</v>
      </c>
    </row>
    <row r="1431" spans="1:5" x14ac:dyDescent="0.25">
      <c r="A1431">
        <v>1401</v>
      </c>
      <c r="B1431" t="s">
        <v>1711</v>
      </c>
      <c r="C1431" t="s">
        <v>243</v>
      </c>
      <c r="D1431" t="str">
        <f t="shared" si="23"/>
        <v>CBMMG6101</v>
      </c>
      <c r="E1431" t="s">
        <v>3219</v>
      </c>
    </row>
    <row r="1432" spans="1:5" x14ac:dyDescent="0.25">
      <c r="A1432">
        <v>1401</v>
      </c>
      <c r="B1432" t="s">
        <v>1711</v>
      </c>
      <c r="C1432" t="s">
        <v>3211</v>
      </c>
      <c r="D1432" t="str">
        <f t="shared" si="23"/>
        <v>CBMMG9108</v>
      </c>
      <c r="E1432" t="s">
        <v>3212</v>
      </c>
    </row>
    <row r="1433" spans="1:5" x14ac:dyDescent="0.25">
      <c r="A1433">
        <v>1401</v>
      </c>
      <c r="B1433" t="s">
        <v>1711</v>
      </c>
      <c r="C1433" t="s">
        <v>3220</v>
      </c>
      <c r="D1433" t="str">
        <f t="shared" si="23"/>
        <v>CBMMG9201</v>
      </c>
      <c r="E1433" t="s">
        <v>3075</v>
      </c>
    </row>
    <row r="1434" spans="1:5" x14ac:dyDescent="0.25">
      <c r="A1434">
        <v>1401</v>
      </c>
      <c r="B1434" t="s">
        <v>1711</v>
      </c>
      <c r="C1434" t="s">
        <v>3074</v>
      </c>
      <c r="D1434" t="str">
        <f t="shared" si="23"/>
        <v>CBMMG9202</v>
      </c>
      <c r="E1434" t="s">
        <v>3075</v>
      </c>
    </row>
    <row r="1435" spans="1:5" x14ac:dyDescent="0.25">
      <c r="A1435">
        <v>1401</v>
      </c>
      <c r="B1435" t="s">
        <v>1711</v>
      </c>
      <c r="C1435" t="s">
        <v>250</v>
      </c>
      <c r="D1435" t="str">
        <f t="shared" si="23"/>
        <v>CBMMG9301</v>
      </c>
      <c r="E1435" t="s">
        <v>3228</v>
      </c>
    </row>
    <row r="1436" spans="1:5" x14ac:dyDescent="0.25">
      <c r="A1436">
        <v>1401</v>
      </c>
      <c r="B1436" t="s">
        <v>1711</v>
      </c>
      <c r="C1436" t="s">
        <v>272</v>
      </c>
      <c r="D1436" t="str">
        <f t="shared" si="23"/>
        <v>CBMMG9302</v>
      </c>
      <c r="E1436" t="s">
        <v>2968</v>
      </c>
    </row>
    <row r="1437" spans="1:5" x14ac:dyDescent="0.25">
      <c r="A1437">
        <v>1401</v>
      </c>
      <c r="B1437" t="s">
        <v>1711</v>
      </c>
      <c r="C1437" t="s">
        <v>331</v>
      </c>
      <c r="D1437" t="str">
        <f t="shared" si="23"/>
        <v>CBMMG9306</v>
      </c>
      <c r="E1437" t="s">
        <v>3076</v>
      </c>
    </row>
    <row r="1438" spans="1:5" x14ac:dyDescent="0.25">
      <c r="A1438">
        <v>1401</v>
      </c>
      <c r="B1438" t="s">
        <v>1711</v>
      </c>
      <c r="C1438" t="s">
        <v>367</v>
      </c>
      <c r="D1438" t="str">
        <f t="shared" si="23"/>
        <v>CBMMG9310</v>
      </c>
      <c r="E1438" t="s">
        <v>2968</v>
      </c>
    </row>
    <row r="1439" spans="1:5" x14ac:dyDescent="0.25">
      <c r="A1439">
        <v>1401</v>
      </c>
      <c r="B1439" t="s">
        <v>1711</v>
      </c>
      <c r="C1439" t="s">
        <v>380</v>
      </c>
      <c r="D1439" t="str">
        <f t="shared" si="23"/>
        <v>CBMMG9312</v>
      </c>
      <c r="E1439" t="s">
        <v>2968</v>
      </c>
    </row>
    <row r="1440" spans="1:5" x14ac:dyDescent="0.25">
      <c r="A1440">
        <v>1401</v>
      </c>
      <c r="B1440" t="s">
        <v>1711</v>
      </c>
      <c r="C1440" t="s">
        <v>386</v>
      </c>
      <c r="D1440" t="str">
        <f t="shared" si="23"/>
        <v>CBMMG9313</v>
      </c>
      <c r="E1440" t="s">
        <v>2944</v>
      </c>
    </row>
    <row r="1441" spans="1:5" x14ac:dyDescent="0.25">
      <c r="A1441">
        <v>1401</v>
      </c>
      <c r="B1441" t="s">
        <v>1711</v>
      </c>
      <c r="C1441" t="s">
        <v>440</v>
      </c>
      <c r="D1441" t="str">
        <f t="shared" si="23"/>
        <v>CBMMG9326</v>
      </c>
      <c r="E1441" t="s">
        <v>2968</v>
      </c>
    </row>
    <row r="1442" spans="1:5" x14ac:dyDescent="0.25">
      <c r="A1442">
        <v>1401</v>
      </c>
      <c r="B1442" t="s">
        <v>1711</v>
      </c>
      <c r="C1442" t="s">
        <v>3079</v>
      </c>
      <c r="D1442" t="str">
        <f t="shared" si="23"/>
        <v>CBMMG9399</v>
      </c>
      <c r="E1442" t="s">
        <v>2968</v>
      </c>
    </row>
    <row r="1443" spans="1:5" x14ac:dyDescent="0.25">
      <c r="A1443">
        <v>1411</v>
      </c>
      <c r="B1443" t="e">
        <v>#N/A</v>
      </c>
      <c r="C1443" t="s">
        <v>2928</v>
      </c>
      <c r="D1443" t="e">
        <f t="shared" si="23"/>
        <v>#N/A</v>
      </c>
      <c r="E1443" t="s">
        <v>44</v>
      </c>
    </row>
    <row r="1444" spans="1:5" x14ac:dyDescent="0.25">
      <c r="A1444">
        <v>1411</v>
      </c>
      <c r="B1444" t="e">
        <v>#N/A</v>
      </c>
      <c r="C1444" t="s">
        <v>2932</v>
      </c>
      <c r="D1444" t="e">
        <f t="shared" si="23"/>
        <v>#N/A</v>
      </c>
      <c r="E1444" t="s">
        <v>2933</v>
      </c>
    </row>
    <row r="1445" spans="1:5" x14ac:dyDescent="0.25">
      <c r="A1445">
        <v>1411</v>
      </c>
      <c r="B1445" t="e">
        <v>#N/A</v>
      </c>
      <c r="C1445" t="s">
        <v>2939</v>
      </c>
      <c r="D1445" t="e">
        <f t="shared" si="23"/>
        <v>#N/A</v>
      </c>
      <c r="E1445" t="s">
        <v>2933</v>
      </c>
    </row>
    <row r="1446" spans="1:5" x14ac:dyDescent="0.25">
      <c r="A1446">
        <v>1411</v>
      </c>
      <c r="B1446" t="e">
        <v>#N/A</v>
      </c>
      <c r="C1446" t="s">
        <v>2960</v>
      </c>
      <c r="D1446" t="e">
        <f t="shared" si="23"/>
        <v>#N/A</v>
      </c>
      <c r="E1446" t="s">
        <v>2958</v>
      </c>
    </row>
    <row r="1447" spans="1:5" x14ac:dyDescent="0.25">
      <c r="A1447">
        <v>1411</v>
      </c>
      <c r="B1447" t="e">
        <v>#N/A</v>
      </c>
      <c r="C1447" t="s">
        <v>54</v>
      </c>
      <c r="D1447" t="e">
        <f t="shared" si="23"/>
        <v>#N/A</v>
      </c>
      <c r="E1447" t="s">
        <v>44</v>
      </c>
    </row>
    <row r="1448" spans="1:5" x14ac:dyDescent="0.25">
      <c r="A1448">
        <v>1411</v>
      </c>
      <c r="B1448" t="e">
        <v>#N/A</v>
      </c>
      <c r="C1448" t="s">
        <v>2975</v>
      </c>
      <c r="D1448" t="e">
        <f t="shared" si="23"/>
        <v>#N/A</v>
      </c>
      <c r="E1448" t="s">
        <v>44</v>
      </c>
    </row>
    <row r="1449" spans="1:5" x14ac:dyDescent="0.25">
      <c r="A1449">
        <v>1411</v>
      </c>
      <c r="B1449" t="e">
        <v>#N/A</v>
      </c>
      <c r="C1449" t="s">
        <v>2977</v>
      </c>
      <c r="D1449" t="e">
        <f t="shared" si="23"/>
        <v>#N/A</v>
      </c>
      <c r="E1449" t="s">
        <v>44</v>
      </c>
    </row>
    <row r="1450" spans="1:5" x14ac:dyDescent="0.25">
      <c r="A1450">
        <v>1411</v>
      </c>
      <c r="B1450" t="e">
        <v>#N/A</v>
      </c>
      <c r="C1450" t="s">
        <v>297</v>
      </c>
      <c r="D1450" t="e">
        <f t="shared" si="23"/>
        <v>#N/A</v>
      </c>
      <c r="E1450" t="s">
        <v>44</v>
      </c>
    </row>
    <row r="1451" spans="1:5" x14ac:dyDescent="0.25">
      <c r="A1451">
        <v>1411</v>
      </c>
      <c r="B1451" t="e">
        <v>#N/A</v>
      </c>
      <c r="C1451" t="s">
        <v>355</v>
      </c>
      <c r="D1451" t="e">
        <f t="shared" si="23"/>
        <v>#N/A</v>
      </c>
      <c r="E1451" t="s">
        <v>2968</v>
      </c>
    </row>
    <row r="1452" spans="1:5" x14ac:dyDescent="0.25">
      <c r="A1452">
        <v>1411</v>
      </c>
      <c r="B1452" t="e">
        <v>#N/A</v>
      </c>
      <c r="C1452" t="s">
        <v>2979</v>
      </c>
      <c r="D1452" t="e">
        <f t="shared" si="23"/>
        <v>#N/A</v>
      </c>
      <c r="E1452" t="s">
        <v>2968</v>
      </c>
    </row>
    <row r="1453" spans="1:5" x14ac:dyDescent="0.25">
      <c r="A1453">
        <v>1411</v>
      </c>
      <c r="B1453" t="e">
        <v>#N/A</v>
      </c>
      <c r="C1453" t="s">
        <v>2985</v>
      </c>
      <c r="D1453" t="e">
        <f t="shared" si="23"/>
        <v>#N/A</v>
      </c>
      <c r="E1453" t="s">
        <v>117</v>
      </c>
    </row>
    <row r="1454" spans="1:5" x14ac:dyDescent="0.25">
      <c r="A1454">
        <v>1411</v>
      </c>
      <c r="B1454" t="e">
        <v>#N/A</v>
      </c>
      <c r="C1454" t="s">
        <v>299</v>
      </c>
      <c r="D1454" t="e">
        <f t="shared" si="23"/>
        <v>#N/A</v>
      </c>
      <c r="E1454" t="s">
        <v>2968</v>
      </c>
    </row>
    <row r="1455" spans="1:5" x14ac:dyDescent="0.25">
      <c r="A1455">
        <v>1411</v>
      </c>
      <c r="B1455" t="e">
        <v>#N/A</v>
      </c>
      <c r="C1455" t="s">
        <v>2989</v>
      </c>
      <c r="D1455" t="e">
        <f t="shared" si="23"/>
        <v>#N/A</v>
      </c>
      <c r="E1455" t="s">
        <v>2968</v>
      </c>
    </row>
    <row r="1456" spans="1:5" x14ac:dyDescent="0.25">
      <c r="A1456">
        <v>1411</v>
      </c>
      <c r="B1456" t="e">
        <v>#N/A</v>
      </c>
      <c r="C1456" t="s">
        <v>346</v>
      </c>
      <c r="D1456" t="e">
        <f t="shared" si="23"/>
        <v>#N/A</v>
      </c>
      <c r="E1456" t="s">
        <v>2968</v>
      </c>
    </row>
    <row r="1457" spans="1:5" x14ac:dyDescent="0.25">
      <c r="A1457">
        <v>1411</v>
      </c>
      <c r="B1457" t="e">
        <v>#N/A</v>
      </c>
      <c r="C1457" t="s">
        <v>2996</v>
      </c>
      <c r="D1457" t="e">
        <f t="shared" si="23"/>
        <v>#N/A</v>
      </c>
      <c r="E1457" t="s">
        <v>2958</v>
      </c>
    </row>
    <row r="1458" spans="1:5" x14ac:dyDescent="0.25">
      <c r="A1458">
        <v>1411</v>
      </c>
      <c r="B1458" t="e">
        <v>#N/A</v>
      </c>
      <c r="C1458" t="s">
        <v>566</v>
      </c>
      <c r="D1458" t="e">
        <f t="shared" si="23"/>
        <v>#N/A</v>
      </c>
      <c r="E1458" t="s">
        <v>3004</v>
      </c>
    </row>
    <row r="1459" spans="1:5" x14ac:dyDescent="0.25">
      <c r="A1459">
        <v>1411</v>
      </c>
      <c r="B1459" t="e">
        <v>#N/A</v>
      </c>
      <c r="C1459" t="s">
        <v>443</v>
      </c>
      <c r="D1459" t="e">
        <f t="shared" si="23"/>
        <v>#N/A</v>
      </c>
      <c r="E1459" t="s">
        <v>3006</v>
      </c>
    </row>
    <row r="1460" spans="1:5" x14ac:dyDescent="0.25">
      <c r="A1460">
        <v>1411</v>
      </c>
      <c r="B1460" t="e">
        <v>#N/A</v>
      </c>
      <c r="C1460" t="s">
        <v>3017</v>
      </c>
      <c r="D1460" t="e">
        <f t="shared" si="23"/>
        <v>#N/A</v>
      </c>
      <c r="E1460" t="s">
        <v>94</v>
      </c>
    </row>
    <row r="1461" spans="1:5" x14ac:dyDescent="0.25">
      <c r="A1461">
        <v>1411</v>
      </c>
      <c r="B1461" t="e">
        <v>#N/A</v>
      </c>
      <c r="C1461" t="s">
        <v>3019</v>
      </c>
      <c r="D1461" t="e">
        <f t="shared" si="23"/>
        <v>#N/A</v>
      </c>
      <c r="E1461" t="s">
        <v>3009</v>
      </c>
    </row>
    <row r="1462" spans="1:5" x14ac:dyDescent="0.25">
      <c r="A1462">
        <v>1411</v>
      </c>
      <c r="B1462" t="e">
        <v>#N/A</v>
      </c>
      <c r="C1462" t="s">
        <v>3020</v>
      </c>
      <c r="D1462" t="e">
        <f t="shared" si="23"/>
        <v>#N/A</v>
      </c>
      <c r="E1462" t="s">
        <v>2958</v>
      </c>
    </row>
    <row r="1463" spans="1:5" x14ac:dyDescent="0.25">
      <c r="A1463">
        <v>1411</v>
      </c>
      <c r="B1463" t="e">
        <v>#N/A</v>
      </c>
      <c r="C1463" t="s">
        <v>3096</v>
      </c>
      <c r="D1463" t="e">
        <f t="shared" si="23"/>
        <v>#N/A</v>
      </c>
      <c r="E1463" t="s">
        <v>3004</v>
      </c>
    </row>
    <row r="1464" spans="1:5" x14ac:dyDescent="0.25">
      <c r="A1464">
        <v>1411</v>
      </c>
      <c r="B1464" t="e">
        <v>#N/A</v>
      </c>
      <c r="C1464" t="s">
        <v>3098</v>
      </c>
      <c r="D1464" t="e">
        <f t="shared" si="23"/>
        <v>#N/A</v>
      </c>
      <c r="E1464" t="s">
        <v>65</v>
      </c>
    </row>
    <row r="1465" spans="1:5" x14ac:dyDescent="0.25">
      <c r="A1465">
        <v>1411</v>
      </c>
      <c r="B1465" t="e">
        <v>#N/A</v>
      </c>
      <c r="C1465" t="s">
        <v>498</v>
      </c>
      <c r="D1465" t="e">
        <f t="shared" si="23"/>
        <v>#N/A</v>
      </c>
      <c r="E1465" t="s">
        <v>2968</v>
      </c>
    </row>
    <row r="1466" spans="1:5" x14ac:dyDescent="0.25">
      <c r="A1466">
        <v>1411</v>
      </c>
      <c r="B1466" t="e">
        <v>#N/A</v>
      </c>
      <c r="C1466" t="s">
        <v>499</v>
      </c>
      <c r="D1466" t="e">
        <f t="shared" si="23"/>
        <v>#N/A</v>
      </c>
      <c r="E1466" t="s">
        <v>2968</v>
      </c>
    </row>
    <row r="1467" spans="1:5" x14ac:dyDescent="0.25">
      <c r="A1467">
        <v>1411</v>
      </c>
      <c r="B1467" t="e">
        <v>#N/A</v>
      </c>
      <c r="C1467" t="s">
        <v>3036</v>
      </c>
      <c r="D1467" t="e">
        <f t="shared" si="23"/>
        <v>#N/A</v>
      </c>
      <c r="E1467" t="s">
        <v>2958</v>
      </c>
    </row>
    <row r="1468" spans="1:5" x14ac:dyDescent="0.25">
      <c r="A1468">
        <v>1411</v>
      </c>
      <c r="B1468" t="e">
        <v>#N/A</v>
      </c>
      <c r="C1468" t="s">
        <v>3040</v>
      </c>
      <c r="D1468" t="e">
        <f t="shared" si="23"/>
        <v>#N/A</v>
      </c>
      <c r="E1468" t="s">
        <v>2968</v>
      </c>
    </row>
    <row r="1469" spans="1:5" x14ac:dyDescent="0.25">
      <c r="A1469">
        <v>1411</v>
      </c>
      <c r="B1469" t="e">
        <v>#N/A</v>
      </c>
      <c r="C1469" t="s">
        <v>3043</v>
      </c>
      <c r="D1469" t="e">
        <f t="shared" si="23"/>
        <v>#N/A</v>
      </c>
      <c r="E1469" t="s">
        <v>94</v>
      </c>
    </row>
    <row r="1470" spans="1:5" x14ac:dyDescent="0.25">
      <c r="A1470">
        <v>1411</v>
      </c>
      <c r="B1470" t="e">
        <v>#N/A</v>
      </c>
      <c r="C1470" t="s">
        <v>3045</v>
      </c>
      <c r="D1470" t="e">
        <f t="shared" si="23"/>
        <v>#N/A</v>
      </c>
      <c r="E1470" t="s">
        <v>3009</v>
      </c>
    </row>
    <row r="1471" spans="1:5" x14ac:dyDescent="0.25">
      <c r="A1471">
        <v>1411</v>
      </c>
      <c r="B1471" t="e">
        <v>#N/A</v>
      </c>
      <c r="C1471" t="s">
        <v>3127</v>
      </c>
      <c r="D1471" t="e">
        <f t="shared" si="23"/>
        <v>#N/A</v>
      </c>
      <c r="E1471" t="s">
        <v>3218</v>
      </c>
    </row>
    <row r="1472" spans="1:5" x14ac:dyDescent="0.25">
      <c r="A1472">
        <v>1411</v>
      </c>
      <c r="B1472" t="e">
        <v>#N/A</v>
      </c>
      <c r="C1472" t="s">
        <v>329</v>
      </c>
      <c r="D1472" t="e">
        <f t="shared" si="23"/>
        <v>#N/A</v>
      </c>
      <c r="E1472" t="s">
        <v>3057</v>
      </c>
    </row>
    <row r="1473" spans="1:5" x14ac:dyDescent="0.25">
      <c r="A1473">
        <v>1411</v>
      </c>
      <c r="B1473" t="e">
        <v>#N/A</v>
      </c>
      <c r="C1473" t="s">
        <v>3058</v>
      </c>
      <c r="D1473" t="e">
        <f t="shared" si="23"/>
        <v>#N/A</v>
      </c>
      <c r="E1473" t="s">
        <v>3057</v>
      </c>
    </row>
    <row r="1474" spans="1:5" x14ac:dyDescent="0.25">
      <c r="A1474">
        <v>1411</v>
      </c>
      <c r="B1474" t="e">
        <v>#N/A</v>
      </c>
      <c r="C1474" t="s">
        <v>3060</v>
      </c>
      <c r="D1474" t="e">
        <f t="shared" si="23"/>
        <v>#N/A</v>
      </c>
      <c r="E1474" t="s">
        <v>3057</v>
      </c>
    </row>
    <row r="1475" spans="1:5" x14ac:dyDescent="0.25">
      <c r="A1475">
        <v>1411</v>
      </c>
      <c r="B1475" t="e">
        <v>#N/A</v>
      </c>
      <c r="C1475" t="s">
        <v>3074</v>
      </c>
      <c r="D1475" t="e">
        <f t="shared" si="23"/>
        <v>#N/A</v>
      </c>
      <c r="E1475" t="s">
        <v>3075</v>
      </c>
    </row>
    <row r="1476" spans="1:5" x14ac:dyDescent="0.25">
      <c r="A1476">
        <v>1411</v>
      </c>
      <c r="B1476" t="e">
        <v>#N/A</v>
      </c>
      <c r="C1476" t="s">
        <v>3079</v>
      </c>
      <c r="D1476" t="e">
        <f t="shared" si="23"/>
        <v>#N/A</v>
      </c>
      <c r="E1476" t="s">
        <v>2968</v>
      </c>
    </row>
    <row r="1477" spans="1:5" x14ac:dyDescent="0.25">
      <c r="A1477">
        <v>1451</v>
      </c>
      <c r="B1477" t="s">
        <v>1757</v>
      </c>
      <c r="C1477" t="s">
        <v>3281</v>
      </c>
      <c r="D1477" t="str">
        <f t="shared" ref="D1477:D1540" si="24">CONCATENATE(B1477,LEFT(C1477,4))</f>
        <v>SEJUSP0805</v>
      </c>
      <c r="E1477" t="s">
        <v>2926</v>
      </c>
    </row>
    <row r="1478" spans="1:5" x14ac:dyDescent="0.25">
      <c r="A1478">
        <v>1451</v>
      </c>
      <c r="B1478" t="s">
        <v>1757</v>
      </c>
      <c r="C1478" t="s">
        <v>2925</v>
      </c>
      <c r="D1478" t="str">
        <f t="shared" si="24"/>
        <v>SEJUSP0810</v>
      </c>
      <c r="E1478" t="s">
        <v>2926</v>
      </c>
    </row>
    <row r="1479" spans="1:5" x14ac:dyDescent="0.25">
      <c r="A1479">
        <v>1451</v>
      </c>
      <c r="B1479" t="s">
        <v>1757</v>
      </c>
      <c r="C1479" t="s">
        <v>3229</v>
      </c>
      <c r="D1479" t="str">
        <f t="shared" si="24"/>
        <v>SEJUSP1307</v>
      </c>
      <c r="E1479" t="s">
        <v>3081</v>
      </c>
    </row>
    <row r="1480" spans="1:5" x14ac:dyDescent="0.25">
      <c r="A1480">
        <v>1451</v>
      </c>
      <c r="B1480" t="s">
        <v>1757</v>
      </c>
      <c r="C1480" t="s">
        <v>3222</v>
      </c>
      <c r="D1480" t="str">
        <f t="shared" si="24"/>
        <v>SEJUSP1313</v>
      </c>
      <c r="E1480" t="s">
        <v>2944</v>
      </c>
    </row>
    <row r="1481" spans="1:5" x14ac:dyDescent="0.25">
      <c r="A1481">
        <v>1451</v>
      </c>
      <c r="B1481" t="s">
        <v>1757</v>
      </c>
      <c r="C1481" t="s">
        <v>332</v>
      </c>
      <c r="D1481" t="str">
        <f t="shared" si="24"/>
        <v>SEJUSP1314</v>
      </c>
      <c r="E1481" t="s">
        <v>3081</v>
      </c>
    </row>
    <row r="1482" spans="1:5" x14ac:dyDescent="0.25">
      <c r="A1482">
        <v>1451</v>
      </c>
      <c r="B1482" t="s">
        <v>1757</v>
      </c>
      <c r="C1482" t="s">
        <v>3282</v>
      </c>
      <c r="D1482" t="str">
        <f t="shared" si="24"/>
        <v>SEJUSP1323</v>
      </c>
      <c r="E1482" t="s">
        <v>2944</v>
      </c>
    </row>
    <row r="1483" spans="1:5" x14ac:dyDescent="0.25">
      <c r="A1483">
        <v>1451</v>
      </c>
      <c r="B1483" t="s">
        <v>1757</v>
      </c>
      <c r="C1483" t="s">
        <v>399</v>
      </c>
      <c r="D1483" t="str">
        <f t="shared" si="24"/>
        <v>SEJUSP1325</v>
      </c>
      <c r="E1483" t="s">
        <v>3081</v>
      </c>
    </row>
    <row r="1484" spans="1:5" x14ac:dyDescent="0.25">
      <c r="A1484">
        <v>1451</v>
      </c>
      <c r="B1484" t="s">
        <v>1757</v>
      </c>
      <c r="C1484" t="s">
        <v>2928</v>
      </c>
      <c r="D1484" t="str">
        <f t="shared" si="24"/>
        <v>SEJUSP1401</v>
      </c>
      <c r="E1484" t="s">
        <v>44</v>
      </c>
    </row>
    <row r="1485" spans="1:5" x14ac:dyDescent="0.25">
      <c r="A1485">
        <v>1451</v>
      </c>
      <c r="B1485" t="s">
        <v>1757</v>
      </c>
      <c r="C1485" t="s">
        <v>2930</v>
      </c>
      <c r="D1485" t="str">
        <f t="shared" si="24"/>
        <v>SEJUSP1501</v>
      </c>
      <c r="E1485" t="s">
        <v>44</v>
      </c>
    </row>
    <row r="1486" spans="1:5" x14ac:dyDescent="0.25">
      <c r="A1486">
        <v>1451</v>
      </c>
      <c r="B1486" t="s">
        <v>1757</v>
      </c>
      <c r="C1486" t="s">
        <v>2932</v>
      </c>
      <c r="D1486" t="str">
        <f t="shared" si="24"/>
        <v>SEJUSP3001</v>
      </c>
      <c r="E1486" t="s">
        <v>2933</v>
      </c>
    </row>
    <row r="1487" spans="1:5" x14ac:dyDescent="0.25">
      <c r="A1487">
        <v>1451</v>
      </c>
      <c r="B1487" t="s">
        <v>1757</v>
      </c>
      <c r="C1487" t="s">
        <v>256</v>
      </c>
      <c r="D1487" t="str">
        <f t="shared" si="24"/>
        <v>SEJUSP3002</v>
      </c>
      <c r="E1487" t="s">
        <v>2933</v>
      </c>
    </row>
    <row r="1488" spans="1:5" x14ac:dyDescent="0.25">
      <c r="A1488">
        <v>1451</v>
      </c>
      <c r="B1488" t="s">
        <v>1757</v>
      </c>
      <c r="C1488" t="s">
        <v>979</v>
      </c>
      <c r="D1488" t="str">
        <f t="shared" si="24"/>
        <v>SEJUSP3003</v>
      </c>
      <c r="E1488" t="s">
        <v>2933</v>
      </c>
    </row>
    <row r="1489" spans="1:5" x14ac:dyDescent="0.25">
      <c r="A1489">
        <v>1451</v>
      </c>
      <c r="B1489" t="s">
        <v>1757</v>
      </c>
      <c r="C1489" t="s">
        <v>2937</v>
      </c>
      <c r="D1489" t="str">
        <f t="shared" si="24"/>
        <v>SEJUSP3004</v>
      </c>
      <c r="E1489" t="s">
        <v>2933</v>
      </c>
    </row>
    <row r="1490" spans="1:5" x14ac:dyDescent="0.25">
      <c r="A1490">
        <v>1451</v>
      </c>
      <c r="B1490" t="s">
        <v>1757</v>
      </c>
      <c r="C1490" t="s">
        <v>2939</v>
      </c>
      <c r="D1490" t="str">
        <f t="shared" si="24"/>
        <v>SEJUSP3005</v>
      </c>
      <c r="E1490" t="s">
        <v>2933</v>
      </c>
    </row>
    <row r="1491" spans="1:5" x14ac:dyDescent="0.25">
      <c r="A1491">
        <v>1451</v>
      </c>
      <c r="B1491" t="s">
        <v>1757</v>
      </c>
      <c r="C1491" t="s">
        <v>323</v>
      </c>
      <c r="D1491" t="str">
        <f t="shared" si="24"/>
        <v>SEJUSP3006</v>
      </c>
      <c r="E1491" t="s">
        <v>2933</v>
      </c>
    </row>
    <row r="1492" spans="1:5" x14ac:dyDescent="0.25">
      <c r="A1492">
        <v>1451</v>
      </c>
      <c r="B1492" t="s">
        <v>1757</v>
      </c>
      <c r="C1492" t="s">
        <v>333</v>
      </c>
      <c r="D1492" t="str">
        <f t="shared" si="24"/>
        <v>SEJUSP3007</v>
      </c>
      <c r="E1492" t="s">
        <v>2933</v>
      </c>
    </row>
    <row r="1493" spans="1:5" x14ac:dyDescent="0.25">
      <c r="A1493">
        <v>1451</v>
      </c>
      <c r="B1493" t="s">
        <v>1757</v>
      </c>
      <c r="C1493" t="s">
        <v>2941</v>
      </c>
      <c r="D1493" t="str">
        <f t="shared" si="24"/>
        <v>SEJUSP3008</v>
      </c>
      <c r="E1493" t="s">
        <v>2933</v>
      </c>
    </row>
    <row r="1494" spans="1:5" x14ac:dyDescent="0.25">
      <c r="A1494">
        <v>1451</v>
      </c>
      <c r="B1494" t="s">
        <v>1757</v>
      </c>
      <c r="C1494" t="s">
        <v>354</v>
      </c>
      <c r="D1494" t="str">
        <f t="shared" si="24"/>
        <v>SEJUSP3009</v>
      </c>
      <c r="E1494" t="s">
        <v>2933</v>
      </c>
    </row>
    <row r="1495" spans="1:5" x14ac:dyDescent="0.25">
      <c r="A1495">
        <v>1451</v>
      </c>
      <c r="B1495" t="s">
        <v>1757</v>
      </c>
      <c r="C1495" t="s">
        <v>2943</v>
      </c>
      <c r="D1495" t="str">
        <f t="shared" si="24"/>
        <v>SEJUSP3010</v>
      </c>
      <c r="E1495" t="s">
        <v>2944</v>
      </c>
    </row>
    <row r="1496" spans="1:5" x14ac:dyDescent="0.25">
      <c r="A1496">
        <v>1451</v>
      </c>
      <c r="B1496" t="s">
        <v>1757</v>
      </c>
      <c r="C1496" t="s">
        <v>369</v>
      </c>
      <c r="D1496" t="str">
        <f t="shared" si="24"/>
        <v>SEJUSP3011</v>
      </c>
      <c r="E1496" t="s">
        <v>2933</v>
      </c>
    </row>
    <row r="1497" spans="1:5" x14ac:dyDescent="0.25">
      <c r="A1497">
        <v>1451</v>
      </c>
      <c r="B1497" t="s">
        <v>1757</v>
      </c>
      <c r="C1497" t="s">
        <v>138</v>
      </c>
      <c r="D1497" t="str">
        <f t="shared" si="24"/>
        <v>SEJUSP3012</v>
      </c>
      <c r="E1497" t="s">
        <v>2944</v>
      </c>
    </row>
    <row r="1498" spans="1:5" x14ac:dyDescent="0.25">
      <c r="A1498">
        <v>1451</v>
      </c>
      <c r="B1498" t="s">
        <v>1757</v>
      </c>
      <c r="C1498" t="s">
        <v>2946</v>
      </c>
      <c r="D1498" t="str">
        <f t="shared" si="24"/>
        <v>SEJUSP3013</v>
      </c>
      <c r="E1498" t="s">
        <v>2933</v>
      </c>
    </row>
    <row r="1499" spans="1:5" x14ac:dyDescent="0.25">
      <c r="A1499">
        <v>1451</v>
      </c>
      <c r="B1499" t="s">
        <v>1757</v>
      </c>
      <c r="C1499" t="s">
        <v>2948</v>
      </c>
      <c r="D1499" t="str">
        <f t="shared" si="24"/>
        <v>SEJUSP3015</v>
      </c>
      <c r="E1499" t="s">
        <v>2933</v>
      </c>
    </row>
    <row r="1500" spans="1:5" x14ac:dyDescent="0.25">
      <c r="A1500">
        <v>1451</v>
      </c>
      <c r="B1500" t="s">
        <v>1757</v>
      </c>
      <c r="C1500" t="s">
        <v>2950</v>
      </c>
      <c r="D1500" t="str">
        <f t="shared" si="24"/>
        <v>SEJUSP3016</v>
      </c>
      <c r="E1500" t="s">
        <v>2933</v>
      </c>
    </row>
    <row r="1501" spans="1:5" x14ac:dyDescent="0.25">
      <c r="A1501">
        <v>1451</v>
      </c>
      <c r="B1501" t="s">
        <v>1757</v>
      </c>
      <c r="C1501" t="s">
        <v>406</v>
      </c>
      <c r="D1501" t="str">
        <f t="shared" si="24"/>
        <v>SEJUSP3017</v>
      </c>
      <c r="E1501" t="s">
        <v>2933</v>
      </c>
    </row>
    <row r="1502" spans="1:5" x14ac:dyDescent="0.25">
      <c r="A1502">
        <v>1451</v>
      </c>
      <c r="B1502" t="s">
        <v>1757</v>
      </c>
      <c r="C1502" t="s">
        <v>411</v>
      </c>
      <c r="D1502" t="str">
        <f t="shared" si="24"/>
        <v>SEJUSP3018</v>
      </c>
      <c r="E1502" t="s">
        <v>2933</v>
      </c>
    </row>
    <row r="1503" spans="1:5" x14ac:dyDescent="0.25">
      <c r="A1503">
        <v>1451</v>
      </c>
      <c r="B1503" t="s">
        <v>1757</v>
      </c>
      <c r="C1503" t="s">
        <v>2953</v>
      </c>
      <c r="D1503" t="str">
        <f t="shared" si="24"/>
        <v>SEJUSP3019</v>
      </c>
      <c r="E1503" t="s">
        <v>2954</v>
      </c>
    </row>
    <row r="1504" spans="1:5" x14ac:dyDescent="0.25">
      <c r="A1504">
        <v>1451</v>
      </c>
      <c r="B1504" t="s">
        <v>1757</v>
      </c>
      <c r="C1504" t="s">
        <v>2955</v>
      </c>
      <c r="D1504" t="str">
        <f t="shared" si="24"/>
        <v>SEJUSP3020</v>
      </c>
      <c r="E1504" t="s">
        <v>2933</v>
      </c>
    </row>
    <row r="1505" spans="1:5" x14ac:dyDescent="0.25">
      <c r="A1505">
        <v>1451</v>
      </c>
      <c r="B1505" t="s">
        <v>1757</v>
      </c>
      <c r="C1505" t="s">
        <v>2956</v>
      </c>
      <c r="D1505" t="str">
        <f t="shared" si="24"/>
        <v>SEJUSP3021</v>
      </c>
      <c r="E1505" t="s">
        <v>2933</v>
      </c>
    </row>
    <row r="1506" spans="1:5" x14ac:dyDescent="0.25">
      <c r="A1506">
        <v>1451</v>
      </c>
      <c r="B1506" t="s">
        <v>1757</v>
      </c>
      <c r="C1506" t="s">
        <v>431</v>
      </c>
      <c r="D1506" t="str">
        <f t="shared" si="24"/>
        <v>SEJUSP3022</v>
      </c>
      <c r="E1506" t="s">
        <v>2933</v>
      </c>
    </row>
    <row r="1507" spans="1:5" x14ac:dyDescent="0.25">
      <c r="A1507">
        <v>1451</v>
      </c>
      <c r="B1507" t="s">
        <v>1757</v>
      </c>
      <c r="C1507" t="s">
        <v>2957</v>
      </c>
      <c r="D1507" t="str">
        <f t="shared" si="24"/>
        <v>SEJUSP3023</v>
      </c>
      <c r="E1507" t="s">
        <v>2958</v>
      </c>
    </row>
    <row r="1508" spans="1:5" x14ac:dyDescent="0.25">
      <c r="A1508">
        <v>1451</v>
      </c>
      <c r="B1508" t="s">
        <v>1757</v>
      </c>
      <c r="C1508" t="s">
        <v>441</v>
      </c>
      <c r="D1508" t="str">
        <f t="shared" si="24"/>
        <v>SEJUSP3024</v>
      </c>
      <c r="E1508" t="s">
        <v>2933</v>
      </c>
    </row>
    <row r="1509" spans="1:5" x14ac:dyDescent="0.25">
      <c r="A1509">
        <v>1451</v>
      </c>
      <c r="B1509" t="s">
        <v>1757</v>
      </c>
      <c r="C1509" t="s">
        <v>2959</v>
      </c>
      <c r="D1509" t="str">
        <f t="shared" si="24"/>
        <v>SEJUSP3025</v>
      </c>
      <c r="E1509" t="s">
        <v>2933</v>
      </c>
    </row>
    <row r="1510" spans="1:5" x14ac:dyDescent="0.25">
      <c r="A1510">
        <v>1451</v>
      </c>
      <c r="B1510" t="s">
        <v>1757</v>
      </c>
      <c r="C1510" t="s">
        <v>2960</v>
      </c>
      <c r="D1510" t="str">
        <f t="shared" si="24"/>
        <v>SEJUSP3026</v>
      </c>
      <c r="E1510" t="s">
        <v>2958</v>
      </c>
    </row>
    <row r="1511" spans="1:5" x14ac:dyDescent="0.25">
      <c r="A1511">
        <v>1451</v>
      </c>
      <c r="B1511" t="s">
        <v>1757</v>
      </c>
      <c r="C1511" t="s">
        <v>2961</v>
      </c>
      <c r="D1511" t="str">
        <f t="shared" si="24"/>
        <v>SEJUSP3027</v>
      </c>
      <c r="E1511" t="s">
        <v>2933</v>
      </c>
    </row>
    <row r="1512" spans="1:5" x14ac:dyDescent="0.25">
      <c r="A1512">
        <v>1451</v>
      </c>
      <c r="B1512" t="s">
        <v>1757</v>
      </c>
      <c r="C1512" t="s">
        <v>2984</v>
      </c>
      <c r="D1512" t="str">
        <f t="shared" si="24"/>
        <v>SEJUSP3029</v>
      </c>
      <c r="E1512" t="s">
        <v>2933</v>
      </c>
    </row>
    <row r="1513" spans="1:5" x14ac:dyDescent="0.25">
      <c r="A1513">
        <v>1451</v>
      </c>
      <c r="B1513" t="s">
        <v>1757</v>
      </c>
      <c r="C1513" t="s">
        <v>467</v>
      </c>
      <c r="D1513" t="str">
        <f t="shared" si="24"/>
        <v>SEJUSP3030</v>
      </c>
      <c r="E1513" t="s">
        <v>2933</v>
      </c>
    </row>
    <row r="1514" spans="1:5" x14ac:dyDescent="0.25">
      <c r="A1514">
        <v>1451</v>
      </c>
      <c r="B1514" t="s">
        <v>1757</v>
      </c>
      <c r="C1514" t="s">
        <v>470</v>
      </c>
      <c r="D1514" t="str">
        <f t="shared" si="24"/>
        <v>SEJUSP3031</v>
      </c>
      <c r="E1514" t="s">
        <v>2933</v>
      </c>
    </row>
    <row r="1515" spans="1:5" x14ac:dyDescent="0.25">
      <c r="A1515">
        <v>1451</v>
      </c>
      <c r="B1515" t="s">
        <v>1757</v>
      </c>
      <c r="C1515" t="s">
        <v>2963</v>
      </c>
      <c r="D1515" t="str">
        <f t="shared" si="24"/>
        <v>SEJUSP3032</v>
      </c>
      <c r="E1515" t="s">
        <v>2933</v>
      </c>
    </row>
    <row r="1516" spans="1:5" x14ac:dyDescent="0.25">
      <c r="A1516">
        <v>1451</v>
      </c>
      <c r="B1516" t="s">
        <v>1757</v>
      </c>
      <c r="C1516" t="s">
        <v>487</v>
      </c>
      <c r="D1516" t="str">
        <f t="shared" si="24"/>
        <v>SEJUSP3040</v>
      </c>
      <c r="E1516" t="s">
        <v>2933</v>
      </c>
    </row>
    <row r="1517" spans="1:5" x14ac:dyDescent="0.25">
      <c r="A1517">
        <v>1451</v>
      </c>
      <c r="B1517" t="s">
        <v>1757</v>
      </c>
      <c r="C1517" t="s">
        <v>2993</v>
      </c>
      <c r="D1517" t="str">
        <f t="shared" si="24"/>
        <v>SEJUSP3041</v>
      </c>
      <c r="E1517" t="s">
        <v>2933</v>
      </c>
    </row>
    <row r="1518" spans="1:5" x14ac:dyDescent="0.25">
      <c r="A1518">
        <v>1451</v>
      </c>
      <c r="B1518" t="s">
        <v>1757</v>
      </c>
      <c r="C1518" t="s">
        <v>491</v>
      </c>
      <c r="D1518" t="str">
        <f t="shared" si="24"/>
        <v>SEJUSP3099</v>
      </c>
      <c r="E1518" t="s">
        <v>2933</v>
      </c>
    </row>
    <row r="1519" spans="1:5" x14ac:dyDescent="0.25">
      <c r="A1519">
        <v>1451</v>
      </c>
      <c r="B1519" t="s">
        <v>1757</v>
      </c>
      <c r="C1519" t="s">
        <v>227</v>
      </c>
      <c r="D1519" t="str">
        <f t="shared" si="24"/>
        <v>SEJUSP3201</v>
      </c>
      <c r="E1519" t="s">
        <v>2968</v>
      </c>
    </row>
    <row r="1520" spans="1:5" x14ac:dyDescent="0.25">
      <c r="A1520">
        <v>1451</v>
      </c>
      <c r="B1520" t="s">
        <v>1757</v>
      </c>
      <c r="C1520" t="s">
        <v>2971</v>
      </c>
      <c r="D1520" t="str">
        <f t="shared" si="24"/>
        <v>SEJUSP3202</v>
      </c>
      <c r="E1520" t="s">
        <v>2968</v>
      </c>
    </row>
    <row r="1521" spans="1:5" x14ac:dyDescent="0.25">
      <c r="A1521">
        <v>1451</v>
      </c>
      <c r="B1521" t="s">
        <v>1757</v>
      </c>
      <c r="C1521" t="s">
        <v>54</v>
      </c>
      <c r="D1521" t="str">
        <f t="shared" si="24"/>
        <v>SEJUSP3301</v>
      </c>
      <c r="E1521" t="s">
        <v>44</v>
      </c>
    </row>
    <row r="1522" spans="1:5" x14ac:dyDescent="0.25">
      <c r="A1522">
        <v>1451</v>
      </c>
      <c r="B1522" t="s">
        <v>1757</v>
      </c>
      <c r="C1522" t="s">
        <v>2975</v>
      </c>
      <c r="D1522" t="str">
        <f t="shared" si="24"/>
        <v>SEJUSP3302</v>
      </c>
      <c r="E1522" t="s">
        <v>44</v>
      </c>
    </row>
    <row r="1523" spans="1:5" x14ac:dyDescent="0.25">
      <c r="A1523">
        <v>1451</v>
      </c>
      <c r="B1523" t="s">
        <v>1757</v>
      </c>
      <c r="C1523" t="s">
        <v>2977</v>
      </c>
      <c r="D1523" t="str">
        <f t="shared" si="24"/>
        <v>SEJUSP3304</v>
      </c>
      <c r="E1523" t="s">
        <v>44</v>
      </c>
    </row>
    <row r="1524" spans="1:5" x14ac:dyDescent="0.25">
      <c r="A1524">
        <v>1451</v>
      </c>
      <c r="B1524" t="s">
        <v>1757</v>
      </c>
      <c r="C1524" t="s">
        <v>309</v>
      </c>
      <c r="D1524" t="str">
        <f t="shared" si="24"/>
        <v>SEJUSP3305</v>
      </c>
      <c r="E1524" t="s">
        <v>2968</v>
      </c>
    </row>
    <row r="1525" spans="1:5" x14ac:dyDescent="0.25">
      <c r="A1525">
        <v>1451</v>
      </c>
      <c r="B1525" t="s">
        <v>1757</v>
      </c>
      <c r="C1525" t="s">
        <v>228</v>
      </c>
      <c r="D1525" t="str">
        <f t="shared" si="24"/>
        <v>SEJUSP3401</v>
      </c>
      <c r="E1525" t="s">
        <v>3231</v>
      </c>
    </row>
    <row r="1526" spans="1:5" x14ac:dyDescent="0.25">
      <c r="A1526">
        <v>1451</v>
      </c>
      <c r="B1526" t="s">
        <v>1757</v>
      </c>
      <c r="C1526" t="s">
        <v>260</v>
      </c>
      <c r="D1526" t="str">
        <f t="shared" si="24"/>
        <v>SEJUSP3402</v>
      </c>
      <c r="E1526" t="s">
        <v>3231</v>
      </c>
    </row>
    <row r="1527" spans="1:5" x14ac:dyDescent="0.25">
      <c r="A1527">
        <v>1451</v>
      </c>
      <c r="B1527" t="s">
        <v>1757</v>
      </c>
      <c r="C1527" t="s">
        <v>280</v>
      </c>
      <c r="D1527" t="str">
        <f t="shared" si="24"/>
        <v>SEJUSP3403</v>
      </c>
      <c r="E1527" t="s">
        <v>3081</v>
      </c>
    </row>
    <row r="1528" spans="1:5" x14ac:dyDescent="0.25">
      <c r="A1528">
        <v>1451</v>
      </c>
      <c r="B1528" t="s">
        <v>1757</v>
      </c>
      <c r="C1528" t="s">
        <v>296</v>
      </c>
      <c r="D1528" t="str">
        <f t="shared" si="24"/>
        <v>SEJUSP3404</v>
      </c>
      <c r="E1528" t="s">
        <v>3081</v>
      </c>
    </row>
    <row r="1529" spans="1:5" x14ac:dyDescent="0.25">
      <c r="A1529">
        <v>1451</v>
      </c>
      <c r="B1529" t="s">
        <v>1757</v>
      </c>
      <c r="C1529" t="s">
        <v>3201</v>
      </c>
      <c r="D1529" t="str">
        <f t="shared" si="24"/>
        <v>SEJUSP3502</v>
      </c>
      <c r="E1529" t="s">
        <v>1660</v>
      </c>
    </row>
    <row r="1530" spans="1:5" x14ac:dyDescent="0.25">
      <c r="A1530">
        <v>1451</v>
      </c>
      <c r="B1530" t="s">
        <v>1757</v>
      </c>
      <c r="C1530" t="s">
        <v>3012</v>
      </c>
      <c r="D1530" t="str">
        <f t="shared" si="24"/>
        <v>SEJUSP3601</v>
      </c>
      <c r="E1530" t="s">
        <v>65</v>
      </c>
    </row>
    <row r="1531" spans="1:5" x14ac:dyDescent="0.25">
      <c r="A1531">
        <v>1451</v>
      </c>
      <c r="B1531" t="s">
        <v>1757</v>
      </c>
      <c r="C1531" t="s">
        <v>282</v>
      </c>
      <c r="D1531" t="str">
        <f t="shared" si="24"/>
        <v>SEJUSP3603</v>
      </c>
      <c r="E1531" t="s">
        <v>2968</v>
      </c>
    </row>
    <row r="1532" spans="1:5" x14ac:dyDescent="0.25">
      <c r="A1532">
        <v>1451</v>
      </c>
      <c r="B1532" t="s">
        <v>1757</v>
      </c>
      <c r="C1532" t="s">
        <v>297</v>
      </c>
      <c r="D1532" t="str">
        <f t="shared" si="24"/>
        <v>SEJUSP3604</v>
      </c>
      <c r="E1532" t="s">
        <v>44</v>
      </c>
    </row>
    <row r="1533" spans="1:5" x14ac:dyDescent="0.25">
      <c r="A1533">
        <v>1451</v>
      </c>
      <c r="B1533" t="s">
        <v>1757</v>
      </c>
      <c r="C1533" t="s">
        <v>355</v>
      </c>
      <c r="D1533" t="str">
        <f t="shared" si="24"/>
        <v>SEJUSP3610</v>
      </c>
      <c r="E1533" t="s">
        <v>2968</v>
      </c>
    </row>
    <row r="1534" spans="1:5" x14ac:dyDescent="0.25">
      <c r="A1534">
        <v>1451</v>
      </c>
      <c r="B1534" t="s">
        <v>1757</v>
      </c>
      <c r="C1534" t="s">
        <v>3021</v>
      </c>
      <c r="D1534" t="str">
        <f t="shared" si="24"/>
        <v>SEJUSP3611</v>
      </c>
      <c r="E1534" t="s">
        <v>3107</v>
      </c>
    </row>
    <row r="1535" spans="1:5" x14ac:dyDescent="0.25">
      <c r="A1535">
        <v>1451</v>
      </c>
      <c r="B1535" t="s">
        <v>1757</v>
      </c>
      <c r="C1535" t="s">
        <v>2979</v>
      </c>
      <c r="D1535" t="str">
        <f t="shared" si="24"/>
        <v>SEJUSP3612</v>
      </c>
      <c r="E1535" t="s">
        <v>3283</v>
      </c>
    </row>
    <row r="1536" spans="1:5" x14ac:dyDescent="0.25">
      <c r="A1536">
        <v>1451</v>
      </c>
      <c r="B1536" t="s">
        <v>1757</v>
      </c>
      <c r="C1536" t="s">
        <v>3023</v>
      </c>
      <c r="D1536" t="str">
        <f t="shared" si="24"/>
        <v>SEJUSP3616</v>
      </c>
      <c r="E1536" t="s">
        <v>2958</v>
      </c>
    </row>
    <row r="1537" spans="1:5" x14ac:dyDescent="0.25">
      <c r="A1537">
        <v>1451</v>
      </c>
      <c r="B1537" t="s">
        <v>1757</v>
      </c>
      <c r="C1537" t="s">
        <v>468</v>
      </c>
      <c r="D1537" t="str">
        <f t="shared" si="24"/>
        <v>SEJUSP3631</v>
      </c>
      <c r="E1537" t="s">
        <v>3004</v>
      </c>
    </row>
    <row r="1538" spans="1:5" x14ac:dyDescent="0.25">
      <c r="A1538">
        <v>1451</v>
      </c>
      <c r="B1538" t="s">
        <v>1757</v>
      </c>
      <c r="C1538" t="s">
        <v>2980</v>
      </c>
      <c r="D1538" t="str">
        <f t="shared" si="24"/>
        <v>SEJUSP3701</v>
      </c>
      <c r="E1538" t="s">
        <v>103</v>
      </c>
    </row>
    <row r="1539" spans="1:5" x14ac:dyDescent="0.25">
      <c r="A1539">
        <v>1451</v>
      </c>
      <c r="B1539" t="s">
        <v>1757</v>
      </c>
      <c r="C1539" t="s">
        <v>3050</v>
      </c>
      <c r="D1539" t="str">
        <f t="shared" si="24"/>
        <v>SEJUSP3702</v>
      </c>
      <c r="E1539" t="s">
        <v>2981</v>
      </c>
    </row>
    <row r="1540" spans="1:5" x14ac:dyDescent="0.25">
      <c r="A1540">
        <v>1451</v>
      </c>
      <c r="B1540" t="s">
        <v>1757</v>
      </c>
      <c r="C1540" t="s">
        <v>2983</v>
      </c>
      <c r="D1540" t="str">
        <f t="shared" si="24"/>
        <v>SEJUSP3703</v>
      </c>
      <c r="E1540" t="s">
        <v>117</v>
      </c>
    </row>
    <row r="1541" spans="1:5" x14ac:dyDescent="0.25">
      <c r="A1541">
        <v>1451</v>
      </c>
      <c r="B1541" t="s">
        <v>1757</v>
      </c>
      <c r="C1541" t="s">
        <v>2985</v>
      </c>
      <c r="D1541" t="str">
        <f t="shared" ref="D1541:D1604" si="25">CONCATENATE(B1541,LEFT(C1541,4))</f>
        <v>SEJUSP3704</v>
      </c>
      <c r="E1541" t="s">
        <v>117</v>
      </c>
    </row>
    <row r="1542" spans="1:5" x14ac:dyDescent="0.25">
      <c r="A1542">
        <v>1451</v>
      </c>
      <c r="B1542" t="s">
        <v>1757</v>
      </c>
      <c r="C1542" t="s">
        <v>2986</v>
      </c>
      <c r="D1542" t="str">
        <f t="shared" si="25"/>
        <v>SEJUSP3705</v>
      </c>
      <c r="E1542" t="s">
        <v>117</v>
      </c>
    </row>
    <row r="1543" spans="1:5" x14ac:dyDescent="0.25">
      <c r="A1543">
        <v>1451</v>
      </c>
      <c r="B1543" t="s">
        <v>1757</v>
      </c>
      <c r="C1543" t="s">
        <v>233</v>
      </c>
      <c r="D1543" t="str">
        <f t="shared" si="25"/>
        <v>SEJUSP3901</v>
      </c>
      <c r="E1543" t="s">
        <v>2926</v>
      </c>
    </row>
    <row r="1544" spans="1:5" x14ac:dyDescent="0.25">
      <c r="A1544">
        <v>1451</v>
      </c>
      <c r="B1544" t="s">
        <v>1757</v>
      </c>
      <c r="C1544" t="s">
        <v>2988</v>
      </c>
      <c r="D1544" t="str">
        <f t="shared" si="25"/>
        <v>SEJUSP3903</v>
      </c>
      <c r="E1544" t="s">
        <v>87</v>
      </c>
    </row>
    <row r="1545" spans="1:5" x14ac:dyDescent="0.25">
      <c r="A1545">
        <v>1451</v>
      </c>
      <c r="B1545" t="s">
        <v>1757</v>
      </c>
      <c r="C1545" t="s">
        <v>299</v>
      </c>
      <c r="D1545" t="str">
        <f t="shared" si="25"/>
        <v>SEJUSP3904</v>
      </c>
      <c r="E1545" t="s">
        <v>2968</v>
      </c>
    </row>
    <row r="1546" spans="1:5" x14ac:dyDescent="0.25">
      <c r="A1546">
        <v>1451</v>
      </c>
      <c r="B1546" t="s">
        <v>1757</v>
      </c>
      <c r="C1546" t="s">
        <v>326</v>
      </c>
      <c r="D1546" t="str">
        <f t="shared" si="25"/>
        <v>SEJUSP3906</v>
      </c>
      <c r="E1546" t="s">
        <v>2968</v>
      </c>
    </row>
    <row r="1547" spans="1:5" x14ac:dyDescent="0.25">
      <c r="A1547">
        <v>1451</v>
      </c>
      <c r="B1547" t="s">
        <v>1757</v>
      </c>
      <c r="C1547" t="s">
        <v>336</v>
      </c>
      <c r="D1547" t="str">
        <f t="shared" si="25"/>
        <v>SEJUSP3909</v>
      </c>
      <c r="E1547" t="s">
        <v>2968</v>
      </c>
    </row>
    <row r="1548" spans="1:5" x14ac:dyDescent="0.25">
      <c r="A1548">
        <v>1451</v>
      </c>
      <c r="B1548" t="s">
        <v>1757</v>
      </c>
      <c r="C1548" t="s">
        <v>346</v>
      </c>
      <c r="D1548" t="str">
        <f t="shared" si="25"/>
        <v>SEJUSP3910</v>
      </c>
      <c r="E1548" t="s">
        <v>2968</v>
      </c>
    </row>
    <row r="1549" spans="1:5" x14ac:dyDescent="0.25">
      <c r="A1549">
        <v>1451</v>
      </c>
      <c r="B1549" t="s">
        <v>1757</v>
      </c>
      <c r="C1549" t="s">
        <v>2991</v>
      </c>
      <c r="D1549" t="str">
        <f t="shared" si="25"/>
        <v>SEJUSP3912</v>
      </c>
      <c r="E1549" t="s">
        <v>2992</v>
      </c>
    </row>
    <row r="1550" spans="1:5" x14ac:dyDescent="0.25">
      <c r="A1550">
        <v>1451</v>
      </c>
      <c r="B1550" t="s">
        <v>1757</v>
      </c>
      <c r="C1550" t="s">
        <v>2994</v>
      </c>
      <c r="D1550" t="str">
        <f t="shared" si="25"/>
        <v>SEJUSP3913</v>
      </c>
      <c r="E1550" t="s">
        <v>2992</v>
      </c>
    </row>
    <row r="1551" spans="1:5" x14ac:dyDescent="0.25">
      <c r="A1551">
        <v>1451</v>
      </c>
      <c r="B1551" t="s">
        <v>1757</v>
      </c>
      <c r="C1551" t="s">
        <v>384</v>
      </c>
      <c r="D1551" t="str">
        <f t="shared" si="25"/>
        <v>SEJUSP3915</v>
      </c>
      <c r="E1551" t="s">
        <v>2992</v>
      </c>
    </row>
    <row r="1552" spans="1:5" x14ac:dyDescent="0.25">
      <c r="A1552">
        <v>1451</v>
      </c>
      <c r="B1552" t="s">
        <v>1757</v>
      </c>
      <c r="C1552" t="s">
        <v>2996</v>
      </c>
      <c r="D1552" t="str">
        <f t="shared" si="25"/>
        <v>SEJUSP3917</v>
      </c>
      <c r="E1552" t="s">
        <v>2958</v>
      </c>
    </row>
    <row r="1553" spans="1:5" x14ac:dyDescent="0.25">
      <c r="A1553">
        <v>1451</v>
      </c>
      <c r="B1553" t="s">
        <v>1757</v>
      </c>
      <c r="C1553" t="s">
        <v>2998</v>
      </c>
      <c r="D1553" t="str">
        <f t="shared" si="25"/>
        <v>SEJUSP3918</v>
      </c>
      <c r="E1553" t="s">
        <v>2958</v>
      </c>
    </row>
    <row r="1554" spans="1:5" x14ac:dyDescent="0.25">
      <c r="A1554">
        <v>1451</v>
      </c>
      <c r="B1554" t="s">
        <v>1757</v>
      </c>
      <c r="C1554" t="s">
        <v>3000</v>
      </c>
      <c r="D1554" t="str">
        <f t="shared" si="25"/>
        <v>SEJUSP3919</v>
      </c>
      <c r="E1554" t="s">
        <v>3001</v>
      </c>
    </row>
    <row r="1555" spans="1:5" x14ac:dyDescent="0.25">
      <c r="A1555">
        <v>1451</v>
      </c>
      <c r="B1555" t="s">
        <v>1757</v>
      </c>
      <c r="C1555" t="s">
        <v>3077</v>
      </c>
      <c r="D1555" t="str">
        <f t="shared" si="25"/>
        <v>SEJUSP3920</v>
      </c>
      <c r="E1555" t="s">
        <v>3107</v>
      </c>
    </row>
    <row r="1556" spans="1:5" x14ac:dyDescent="0.25">
      <c r="A1556">
        <v>1451</v>
      </c>
      <c r="B1556" t="s">
        <v>1757</v>
      </c>
      <c r="C1556" t="s">
        <v>3002</v>
      </c>
      <c r="D1556" t="str">
        <f t="shared" si="25"/>
        <v>SEJUSP3921</v>
      </c>
      <c r="E1556" t="s">
        <v>3001</v>
      </c>
    </row>
    <row r="1557" spans="1:5" x14ac:dyDescent="0.25">
      <c r="A1557">
        <v>1451</v>
      </c>
      <c r="B1557" t="s">
        <v>1757</v>
      </c>
      <c r="C1557" t="s">
        <v>3003</v>
      </c>
      <c r="D1557" t="str">
        <f t="shared" si="25"/>
        <v>SEJUSP3922</v>
      </c>
      <c r="E1557" t="s">
        <v>2954</v>
      </c>
    </row>
    <row r="1558" spans="1:5" x14ac:dyDescent="0.25">
      <c r="A1558">
        <v>1451</v>
      </c>
      <c r="B1558" t="s">
        <v>1757</v>
      </c>
      <c r="C1558" t="s">
        <v>566</v>
      </c>
      <c r="D1558" t="str">
        <f t="shared" si="25"/>
        <v>SEJUSP3924</v>
      </c>
      <c r="E1558" t="s">
        <v>3004</v>
      </c>
    </row>
    <row r="1559" spans="1:5" x14ac:dyDescent="0.25">
      <c r="A1559">
        <v>1451</v>
      </c>
      <c r="B1559" t="s">
        <v>1757</v>
      </c>
      <c r="C1559" t="s">
        <v>438</v>
      </c>
      <c r="D1559" t="str">
        <f t="shared" si="25"/>
        <v>SEJUSP3925</v>
      </c>
      <c r="E1559" t="s">
        <v>3006</v>
      </c>
    </row>
    <row r="1560" spans="1:5" x14ac:dyDescent="0.25">
      <c r="A1560">
        <v>1451</v>
      </c>
      <c r="B1560" t="s">
        <v>1757</v>
      </c>
      <c r="C1560" t="s">
        <v>443</v>
      </c>
      <c r="D1560" t="str">
        <f t="shared" si="25"/>
        <v>SEJUSP3926</v>
      </c>
      <c r="E1560" t="s">
        <v>3006</v>
      </c>
    </row>
    <row r="1561" spans="1:5" x14ac:dyDescent="0.25">
      <c r="A1561">
        <v>1451</v>
      </c>
      <c r="B1561" t="s">
        <v>1757</v>
      </c>
      <c r="C1561" t="s">
        <v>3008</v>
      </c>
      <c r="D1561" t="str">
        <f t="shared" si="25"/>
        <v>SEJUSP3927</v>
      </c>
      <c r="E1561" t="s">
        <v>3009</v>
      </c>
    </row>
    <row r="1562" spans="1:5" x14ac:dyDescent="0.25">
      <c r="A1562">
        <v>1451</v>
      </c>
      <c r="B1562" t="s">
        <v>1757</v>
      </c>
      <c r="C1562" t="s">
        <v>3011</v>
      </c>
      <c r="D1562" t="str">
        <f t="shared" si="25"/>
        <v>SEJUSP3929</v>
      </c>
      <c r="E1562" t="s">
        <v>2944</v>
      </c>
    </row>
    <row r="1563" spans="1:5" x14ac:dyDescent="0.25">
      <c r="A1563">
        <v>1451</v>
      </c>
      <c r="B1563" t="s">
        <v>1757</v>
      </c>
      <c r="C1563" t="s">
        <v>458</v>
      </c>
      <c r="D1563" t="str">
        <f t="shared" si="25"/>
        <v>SEJUSP3930</v>
      </c>
      <c r="E1563" t="s">
        <v>2968</v>
      </c>
    </row>
    <row r="1564" spans="1:5" x14ac:dyDescent="0.25">
      <c r="A1564">
        <v>1451</v>
      </c>
      <c r="B1564" t="s">
        <v>1757</v>
      </c>
      <c r="C1564" t="s">
        <v>1481</v>
      </c>
      <c r="D1564" t="str">
        <f t="shared" si="25"/>
        <v>SEJUSP3931</v>
      </c>
      <c r="E1564" t="s">
        <v>2968</v>
      </c>
    </row>
    <row r="1565" spans="1:5" x14ac:dyDescent="0.25">
      <c r="A1565">
        <v>1451</v>
      </c>
      <c r="B1565" t="s">
        <v>1757</v>
      </c>
      <c r="C1565" t="s">
        <v>3017</v>
      </c>
      <c r="D1565" t="str">
        <f t="shared" si="25"/>
        <v>SEJUSP3936</v>
      </c>
      <c r="E1565" t="s">
        <v>94</v>
      </c>
    </row>
    <row r="1566" spans="1:5" x14ac:dyDescent="0.25">
      <c r="A1566">
        <v>1451</v>
      </c>
      <c r="B1566" t="s">
        <v>1757</v>
      </c>
      <c r="C1566" t="s">
        <v>3088</v>
      </c>
      <c r="D1566" t="str">
        <f t="shared" si="25"/>
        <v>SEJUSP3937</v>
      </c>
      <c r="E1566" t="s">
        <v>3107</v>
      </c>
    </row>
    <row r="1567" spans="1:5" x14ac:dyDescent="0.25">
      <c r="A1567">
        <v>1451</v>
      </c>
      <c r="B1567" t="s">
        <v>1757</v>
      </c>
      <c r="C1567" t="s">
        <v>3202</v>
      </c>
      <c r="D1567" t="str">
        <f t="shared" si="25"/>
        <v>SEJUSP3938</v>
      </c>
      <c r="E1567" t="s">
        <v>2968</v>
      </c>
    </row>
    <row r="1568" spans="1:5" x14ac:dyDescent="0.25">
      <c r="A1568">
        <v>1451</v>
      </c>
      <c r="B1568" t="s">
        <v>1757</v>
      </c>
      <c r="C1568" t="s">
        <v>3089</v>
      </c>
      <c r="D1568" t="str">
        <f t="shared" si="25"/>
        <v>SEJUSP3939</v>
      </c>
      <c r="E1568" t="s">
        <v>2968</v>
      </c>
    </row>
    <row r="1569" spans="1:5" x14ac:dyDescent="0.25">
      <c r="A1569">
        <v>1451</v>
      </c>
      <c r="B1569" t="s">
        <v>1757</v>
      </c>
      <c r="C1569" t="s">
        <v>3019</v>
      </c>
      <c r="D1569" t="str">
        <f t="shared" si="25"/>
        <v>SEJUSP3940</v>
      </c>
      <c r="E1569" t="s">
        <v>3009</v>
      </c>
    </row>
    <row r="1570" spans="1:5" x14ac:dyDescent="0.25">
      <c r="A1570">
        <v>1451</v>
      </c>
      <c r="B1570" t="s">
        <v>1757</v>
      </c>
      <c r="C1570" t="s">
        <v>480</v>
      </c>
      <c r="D1570" t="str">
        <f t="shared" si="25"/>
        <v>SEJUSP3941</v>
      </c>
      <c r="E1570" t="s">
        <v>2968</v>
      </c>
    </row>
    <row r="1571" spans="1:5" x14ac:dyDescent="0.25">
      <c r="A1571">
        <v>1451</v>
      </c>
      <c r="B1571" t="s">
        <v>1757</v>
      </c>
      <c r="C1571" t="s">
        <v>482</v>
      </c>
      <c r="D1571" t="str">
        <f t="shared" si="25"/>
        <v>SEJUSP3942</v>
      </c>
      <c r="E1571" t="s">
        <v>2968</v>
      </c>
    </row>
    <row r="1572" spans="1:5" x14ac:dyDescent="0.25">
      <c r="A1572">
        <v>1451</v>
      </c>
      <c r="B1572" t="s">
        <v>1757</v>
      </c>
      <c r="C1572" t="s">
        <v>3020</v>
      </c>
      <c r="D1572" t="str">
        <f t="shared" si="25"/>
        <v>SEJUSP3943</v>
      </c>
      <c r="E1572" t="s">
        <v>2958</v>
      </c>
    </row>
    <row r="1573" spans="1:5" x14ac:dyDescent="0.25">
      <c r="A1573">
        <v>1451</v>
      </c>
      <c r="B1573" t="s">
        <v>1757</v>
      </c>
      <c r="C1573" t="s">
        <v>488</v>
      </c>
      <c r="D1573" t="str">
        <f t="shared" si="25"/>
        <v>SEJUSP3946</v>
      </c>
      <c r="E1573" t="s">
        <v>3235</v>
      </c>
    </row>
    <row r="1574" spans="1:5" x14ac:dyDescent="0.25">
      <c r="A1574">
        <v>1451</v>
      </c>
      <c r="B1574" t="s">
        <v>1757</v>
      </c>
      <c r="C1574" t="s">
        <v>492</v>
      </c>
      <c r="D1574" t="str">
        <f t="shared" si="25"/>
        <v>SEJUSP3948</v>
      </c>
      <c r="E1574" t="s">
        <v>3004</v>
      </c>
    </row>
    <row r="1575" spans="1:5" x14ac:dyDescent="0.25">
      <c r="A1575">
        <v>1451</v>
      </c>
      <c r="B1575" t="s">
        <v>1757</v>
      </c>
      <c r="C1575" t="s">
        <v>3096</v>
      </c>
      <c r="D1575" t="str">
        <f t="shared" si="25"/>
        <v>SEJUSP3949</v>
      </c>
      <c r="E1575" t="s">
        <v>3004</v>
      </c>
    </row>
    <row r="1576" spans="1:5" x14ac:dyDescent="0.25">
      <c r="A1576">
        <v>1451</v>
      </c>
      <c r="B1576" t="s">
        <v>1757</v>
      </c>
      <c r="C1576" t="s">
        <v>3098</v>
      </c>
      <c r="D1576" t="str">
        <f t="shared" si="25"/>
        <v>SEJUSP3952</v>
      </c>
      <c r="E1576" t="s">
        <v>65</v>
      </c>
    </row>
    <row r="1577" spans="1:5" x14ac:dyDescent="0.25">
      <c r="A1577">
        <v>1451</v>
      </c>
      <c r="B1577" t="s">
        <v>1757</v>
      </c>
      <c r="C1577" t="s">
        <v>498</v>
      </c>
      <c r="D1577" t="str">
        <f t="shared" si="25"/>
        <v>SEJUSP3955</v>
      </c>
      <c r="E1577" t="s">
        <v>2968</v>
      </c>
    </row>
    <row r="1578" spans="1:5" x14ac:dyDescent="0.25">
      <c r="A1578">
        <v>1451</v>
      </c>
      <c r="B1578" t="s">
        <v>1757</v>
      </c>
      <c r="C1578" t="s">
        <v>499</v>
      </c>
      <c r="D1578" t="str">
        <f t="shared" si="25"/>
        <v>SEJUSP3956</v>
      </c>
      <c r="E1578" t="s">
        <v>2968</v>
      </c>
    </row>
    <row r="1579" spans="1:5" x14ac:dyDescent="0.25">
      <c r="A1579">
        <v>1451</v>
      </c>
      <c r="B1579" t="s">
        <v>1757</v>
      </c>
      <c r="C1579" t="s">
        <v>3025</v>
      </c>
      <c r="D1579" t="str">
        <f t="shared" si="25"/>
        <v>SEJUSP3959</v>
      </c>
      <c r="E1579" t="s">
        <v>2968</v>
      </c>
    </row>
    <row r="1580" spans="1:5" x14ac:dyDescent="0.25">
      <c r="A1580">
        <v>1451</v>
      </c>
      <c r="B1580" t="s">
        <v>1757</v>
      </c>
      <c r="C1580" t="s">
        <v>3027</v>
      </c>
      <c r="D1580" t="str">
        <f t="shared" si="25"/>
        <v>SEJUSP3961</v>
      </c>
      <c r="E1580" t="s">
        <v>2981</v>
      </c>
    </row>
    <row r="1581" spans="1:5" x14ac:dyDescent="0.25">
      <c r="A1581">
        <v>1451</v>
      </c>
      <c r="B1581" t="s">
        <v>1757</v>
      </c>
      <c r="C1581" t="s">
        <v>3103</v>
      </c>
      <c r="D1581" t="str">
        <f t="shared" si="25"/>
        <v>SEJUSP3962</v>
      </c>
      <c r="E1581" t="s">
        <v>3033</v>
      </c>
    </row>
    <row r="1582" spans="1:5" x14ac:dyDescent="0.25">
      <c r="A1582">
        <v>1451</v>
      </c>
      <c r="B1582" t="s">
        <v>1757</v>
      </c>
      <c r="C1582" t="s">
        <v>3104</v>
      </c>
      <c r="D1582" t="str">
        <f t="shared" si="25"/>
        <v>SEJUSP3964</v>
      </c>
      <c r="E1582" t="s">
        <v>2968</v>
      </c>
    </row>
    <row r="1583" spans="1:5" x14ac:dyDescent="0.25">
      <c r="A1583">
        <v>1451</v>
      </c>
      <c r="B1583" t="s">
        <v>1757</v>
      </c>
      <c r="C1583" t="s">
        <v>3029</v>
      </c>
      <c r="D1583" t="str">
        <f t="shared" si="25"/>
        <v>SEJUSP3966</v>
      </c>
      <c r="E1583" t="s">
        <v>2992</v>
      </c>
    </row>
    <row r="1584" spans="1:5" x14ac:dyDescent="0.25">
      <c r="A1584">
        <v>1451</v>
      </c>
      <c r="B1584" t="s">
        <v>1757</v>
      </c>
      <c r="C1584" t="s">
        <v>1154</v>
      </c>
      <c r="D1584" t="str">
        <f t="shared" si="25"/>
        <v>SEJUSP3969</v>
      </c>
      <c r="E1584" t="s">
        <v>2992</v>
      </c>
    </row>
    <row r="1585" spans="1:5" x14ac:dyDescent="0.25">
      <c r="A1585">
        <v>1451</v>
      </c>
      <c r="B1585" t="s">
        <v>1757</v>
      </c>
      <c r="C1585" t="s">
        <v>3031</v>
      </c>
      <c r="D1585" t="str">
        <f t="shared" si="25"/>
        <v>SEJUSP3970</v>
      </c>
      <c r="E1585" t="s">
        <v>3009</v>
      </c>
    </row>
    <row r="1586" spans="1:5" x14ac:dyDescent="0.25">
      <c r="A1586">
        <v>1451</v>
      </c>
      <c r="B1586" t="s">
        <v>1757</v>
      </c>
      <c r="C1586" t="s">
        <v>513</v>
      </c>
      <c r="D1586" t="str">
        <f t="shared" si="25"/>
        <v>SEJUSP3971</v>
      </c>
      <c r="E1586" t="s">
        <v>3033</v>
      </c>
    </row>
    <row r="1587" spans="1:5" x14ac:dyDescent="0.25">
      <c r="A1587">
        <v>1451</v>
      </c>
      <c r="B1587" t="s">
        <v>1757</v>
      </c>
      <c r="C1587" t="s">
        <v>3111</v>
      </c>
      <c r="D1587" t="str">
        <f t="shared" si="25"/>
        <v>SEJUSP3973</v>
      </c>
      <c r="E1587" t="s">
        <v>2968</v>
      </c>
    </row>
    <row r="1588" spans="1:5" x14ac:dyDescent="0.25">
      <c r="A1588">
        <v>1451</v>
      </c>
      <c r="B1588" t="s">
        <v>1757</v>
      </c>
      <c r="C1588" t="s">
        <v>516</v>
      </c>
      <c r="D1588" t="str">
        <f t="shared" si="25"/>
        <v>SEJUSP3974</v>
      </c>
      <c r="E1588" t="s">
        <v>3131</v>
      </c>
    </row>
    <row r="1589" spans="1:5" x14ac:dyDescent="0.25">
      <c r="A1589">
        <v>1451</v>
      </c>
      <c r="B1589" t="s">
        <v>1757</v>
      </c>
      <c r="C1589" t="s">
        <v>3246</v>
      </c>
      <c r="D1589" t="str">
        <f t="shared" si="25"/>
        <v>SEJUSP3975</v>
      </c>
      <c r="E1589" t="s">
        <v>2968</v>
      </c>
    </row>
    <row r="1590" spans="1:5" x14ac:dyDescent="0.25">
      <c r="A1590">
        <v>1451</v>
      </c>
      <c r="B1590" t="s">
        <v>1757</v>
      </c>
      <c r="C1590" t="s">
        <v>3216</v>
      </c>
      <c r="D1590" t="str">
        <f t="shared" si="25"/>
        <v>SEJUSP3980</v>
      </c>
      <c r="E1590" t="s">
        <v>3081</v>
      </c>
    </row>
    <row r="1591" spans="1:5" x14ac:dyDescent="0.25">
      <c r="A1591">
        <v>1451</v>
      </c>
      <c r="B1591" t="s">
        <v>1757</v>
      </c>
      <c r="C1591" t="s">
        <v>521</v>
      </c>
      <c r="D1591" t="str">
        <f t="shared" si="25"/>
        <v>SEJUSP3981</v>
      </c>
      <c r="E1591" t="s">
        <v>2968</v>
      </c>
    </row>
    <row r="1592" spans="1:5" x14ac:dyDescent="0.25">
      <c r="A1592">
        <v>1451</v>
      </c>
      <c r="B1592" t="s">
        <v>1757</v>
      </c>
      <c r="C1592" t="s">
        <v>525</v>
      </c>
      <c r="D1592" t="str">
        <f t="shared" si="25"/>
        <v>SEJUSP3985</v>
      </c>
      <c r="E1592" t="s">
        <v>2968</v>
      </c>
    </row>
    <row r="1593" spans="1:5" x14ac:dyDescent="0.25">
      <c r="A1593">
        <v>1451</v>
      </c>
      <c r="B1593" t="s">
        <v>1757</v>
      </c>
      <c r="C1593" t="s">
        <v>3036</v>
      </c>
      <c r="D1593" t="str">
        <f t="shared" si="25"/>
        <v>SEJUSP3987</v>
      </c>
      <c r="E1593" t="s">
        <v>2958</v>
      </c>
    </row>
    <row r="1594" spans="1:5" x14ac:dyDescent="0.25">
      <c r="A1594">
        <v>1451</v>
      </c>
      <c r="B1594" t="s">
        <v>1757</v>
      </c>
      <c r="C1594" t="s">
        <v>528</v>
      </c>
      <c r="D1594" t="str">
        <f t="shared" si="25"/>
        <v>SEJUSP3988</v>
      </c>
      <c r="E1594" t="s">
        <v>2968</v>
      </c>
    </row>
    <row r="1595" spans="1:5" x14ac:dyDescent="0.25">
      <c r="A1595">
        <v>1451</v>
      </c>
      <c r="B1595" t="s">
        <v>1757</v>
      </c>
      <c r="C1595" t="s">
        <v>3236</v>
      </c>
      <c r="D1595" t="str">
        <f t="shared" si="25"/>
        <v>SEJUSP3992</v>
      </c>
      <c r="E1595" t="s">
        <v>3235</v>
      </c>
    </row>
    <row r="1596" spans="1:5" x14ac:dyDescent="0.25">
      <c r="A1596">
        <v>1451</v>
      </c>
      <c r="B1596" t="s">
        <v>1757</v>
      </c>
      <c r="C1596" t="s">
        <v>3249</v>
      </c>
      <c r="D1596" t="str">
        <f t="shared" si="25"/>
        <v>SEJUSP3993</v>
      </c>
      <c r="E1596" t="s">
        <v>2968</v>
      </c>
    </row>
    <row r="1597" spans="1:5" x14ac:dyDescent="0.25">
      <c r="A1597">
        <v>1451</v>
      </c>
      <c r="B1597" t="s">
        <v>1757</v>
      </c>
      <c r="C1597" t="s">
        <v>3227</v>
      </c>
      <c r="D1597" t="str">
        <f t="shared" si="25"/>
        <v>SEJUSP3998</v>
      </c>
      <c r="E1597" t="s">
        <v>2944</v>
      </c>
    </row>
    <row r="1598" spans="1:5" x14ac:dyDescent="0.25">
      <c r="A1598">
        <v>1451</v>
      </c>
      <c r="B1598" t="s">
        <v>1757</v>
      </c>
      <c r="C1598" t="s">
        <v>3040</v>
      </c>
      <c r="D1598" t="str">
        <f t="shared" si="25"/>
        <v>SEJUSP3999</v>
      </c>
      <c r="E1598" t="s">
        <v>2968</v>
      </c>
    </row>
    <row r="1599" spans="1:5" x14ac:dyDescent="0.25">
      <c r="A1599">
        <v>1451</v>
      </c>
      <c r="B1599" t="s">
        <v>1757</v>
      </c>
      <c r="C1599" t="s">
        <v>3041</v>
      </c>
      <c r="D1599" t="str">
        <f t="shared" si="25"/>
        <v>SEJUSP4002</v>
      </c>
      <c r="E1599" t="s">
        <v>3009</v>
      </c>
    </row>
    <row r="1600" spans="1:5" x14ac:dyDescent="0.25">
      <c r="A1600">
        <v>1451</v>
      </c>
      <c r="B1600" t="s">
        <v>1757</v>
      </c>
      <c r="C1600" t="s">
        <v>3043</v>
      </c>
      <c r="D1600" t="str">
        <f t="shared" si="25"/>
        <v>SEJUSP4003</v>
      </c>
      <c r="E1600" t="s">
        <v>94</v>
      </c>
    </row>
    <row r="1601" spans="1:5" x14ac:dyDescent="0.25">
      <c r="A1601">
        <v>1451</v>
      </c>
      <c r="B1601" t="s">
        <v>1757</v>
      </c>
      <c r="C1601" t="s">
        <v>3045</v>
      </c>
      <c r="D1601" t="str">
        <f t="shared" si="25"/>
        <v>SEJUSP4004</v>
      </c>
      <c r="E1601" t="s">
        <v>3009</v>
      </c>
    </row>
    <row r="1602" spans="1:5" x14ac:dyDescent="0.25">
      <c r="A1602">
        <v>1451</v>
      </c>
      <c r="B1602" t="s">
        <v>1757</v>
      </c>
      <c r="C1602" t="s">
        <v>3047</v>
      </c>
      <c r="D1602" t="str">
        <f t="shared" si="25"/>
        <v>SEJUSP4005</v>
      </c>
      <c r="E1602" t="s">
        <v>3009</v>
      </c>
    </row>
    <row r="1603" spans="1:5" x14ac:dyDescent="0.25">
      <c r="A1603">
        <v>1451</v>
      </c>
      <c r="B1603" t="s">
        <v>1757</v>
      </c>
      <c r="C1603" t="s">
        <v>813</v>
      </c>
      <c r="D1603" t="str">
        <f t="shared" si="25"/>
        <v>SEJUSP4006</v>
      </c>
      <c r="E1603" t="s">
        <v>3057</v>
      </c>
    </row>
    <row r="1604" spans="1:5" x14ac:dyDescent="0.25">
      <c r="A1604">
        <v>1451</v>
      </c>
      <c r="B1604" t="s">
        <v>1757</v>
      </c>
      <c r="C1604" t="s">
        <v>3138</v>
      </c>
      <c r="D1604" t="str">
        <f t="shared" si="25"/>
        <v>SEJUSP4007</v>
      </c>
      <c r="E1604" t="s">
        <v>94</v>
      </c>
    </row>
    <row r="1605" spans="1:5" x14ac:dyDescent="0.25">
      <c r="A1605">
        <v>1451</v>
      </c>
      <c r="B1605" t="s">
        <v>1757</v>
      </c>
      <c r="C1605" t="s">
        <v>3127</v>
      </c>
      <c r="D1605" t="str">
        <f t="shared" ref="D1605:D1668" si="26">CONCATENATE(B1605,LEFT(C1605,4))</f>
        <v>SEJUSP4201</v>
      </c>
      <c r="E1605" t="s">
        <v>3218</v>
      </c>
    </row>
    <row r="1606" spans="1:5" x14ac:dyDescent="0.25">
      <c r="A1606">
        <v>1451</v>
      </c>
      <c r="B1606" t="s">
        <v>1757</v>
      </c>
      <c r="C1606" t="s">
        <v>3128</v>
      </c>
      <c r="D1606" t="str">
        <f t="shared" si="26"/>
        <v>SEJUSP4301</v>
      </c>
      <c r="E1606" t="s">
        <v>3239</v>
      </c>
    </row>
    <row r="1607" spans="1:5" x14ac:dyDescent="0.25">
      <c r="A1607">
        <v>1451</v>
      </c>
      <c r="B1607" t="s">
        <v>1757</v>
      </c>
      <c r="C1607" t="s">
        <v>3048</v>
      </c>
      <c r="D1607" t="str">
        <f t="shared" si="26"/>
        <v>SEJUSP4701</v>
      </c>
      <c r="E1607" t="s">
        <v>3049</v>
      </c>
    </row>
    <row r="1608" spans="1:5" x14ac:dyDescent="0.25">
      <c r="A1608">
        <v>1451</v>
      </c>
      <c r="B1608" t="s">
        <v>1757</v>
      </c>
      <c r="C1608" t="s">
        <v>265</v>
      </c>
      <c r="D1608" t="str">
        <f t="shared" si="26"/>
        <v>SEJUSP4703</v>
      </c>
      <c r="E1608" t="s">
        <v>3049</v>
      </c>
    </row>
    <row r="1609" spans="1:5" x14ac:dyDescent="0.25">
      <c r="A1609">
        <v>1451</v>
      </c>
      <c r="B1609" t="s">
        <v>1757</v>
      </c>
      <c r="C1609" t="s">
        <v>328</v>
      </c>
      <c r="D1609" t="str">
        <f t="shared" si="26"/>
        <v>SEJUSP4707</v>
      </c>
      <c r="E1609" t="s">
        <v>3049</v>
      </c>
    </row>
    <row r="1610" spans="1:5" x14ac:dyDescent="0.25">
      <c r="A1610">
        <v>1451</v>
      </c>
      <c r="B1610" t="s">
        <v>1757</v>
      </c>
      <c r="C1610" t="s">
        <v>348</v>
      </c>
      <c r="D1610" t="str">
        <f t="shared" si="26"/>
        <v>SEJUSP4709</v>
      </c>
      <c r="E1610" t="s">
        <v>3049</v>
      </c>
    </row>
    <row r="1611" spans="1:5" x14ac:dyDescent="0.25">
      <c r="A1611">
        <v>1451</v>
      </c>
      <c r="B1611" t="s">
        <v>1757</v>
      </c>
      <c r="C1611" t="s">
        <v>364</v>
      </c>
      <c r="D1611" t="str">
        <f t="shared" si="26"/>
        <v>SEJUSP4799</v>
      </c>
      <c r="E1611" t="s">
        <v>3049</v>
      </c>
    </row>
    <row r="1612" spans="1:5" x14ac:dyDescent="0.25">
      <c r="A1612">
        <v>1451</v>
      </c>
      <c r="B1612" t="s">
        <v>1757</v>
      </c>
      <c r="C1612" t="s">
        <v>240</v>
      </c>
      <c r="D1612" t="str">
        <f t="shared" si="26"/>
        <v>SEJUSP4801</v>
      </c>
      <c r="E1612" t="s">
        <v>2968</v>
      </c>
    </row>
    <row r="1613" spans="1:5" x14ac:dyDescent="0.25">
      <c r="A1613">
        <v>1451</v>
      </c>
      <c r="B1613" t="s">
        <v>1757</v>
      </c>
      <c r="C1613" t="s">
        <v>3240</v>
      </c>
      <c r="D1613" t="str">
        <f t="shared" si="26"/>
        <v>SEJUSP4904</v>
      </c>
      <c r="E1613" t="s">
        <v>2926</v>
      </c>
    </row>
    <row r="1614" spans="1:5" x14ac:dyDescent="0.25">
      <c r="A1614">
        <v>1451</v>
      </c>
      <c r="B1614" t="s">
        <v>1757</v>
      </c>
      <c r="C1614" t="s">
        <v>3051</v>
      </c>
      <c r="D1614" t="str">
        <f t="shared" si="26"/>
        <v>SEJUSP5101</v>
      </c>
      <c r="E1614" t="s">
        <v>3052</v>
      </c>
    </row>
    <row r="1615" spans="1:5" x14ac:dyDescent="0.25">
      <c r="A1615">
        <v>1451</v>
      </c>
      <c r="B1615" t="s">
        <v>1757</v>
      </c>
      <c r="C1615" t="s">
        <v>3284</v>
      </c>
      <c r="D1615" t="str">
        <f t="shared" si="26"/>
        <v>SEJUSP5102</v>
      </c>
      <c r="E1615" t="s">
        <v>3052</v>
      </c>
    </row>
    <row r="1616" spans="1:5" x14ac:dyDescent="0.25">
      <c r="A1616">
        <v>1451</v>
      </c>
      <c r="B1616" t="s">
        <v>1757</v>
      </c>
      <c r="C1616" t="s">
        <v>3053</v>
      </c>
      <c r="D1616" t="str">
        <f t="shared" si="26"/>
        <v>SEJUSP5103</v>
      </c>
      <c r="E1616" t="s">
        <v>3052</v>
      </c>
    </row>
    <row r="1617" spans="1:5" x14ac:dyDescent="0.25">
      <c r="A1617">
        <v>1451</v>
      </c>
      <c r="B1617" t="s">
        <v>1757</v>
      </c>
      <c r="C1617" t="s">
        <v>173</v>
      </c>
      <c r="D1617" t="str">
        <f t="shared" si="26"/>
        <v>SEJUSP5107</v>
      </c>
      <c r="E1617" t="s">
        <v>3052</v>
      </c>
    </row>
    <row r="1618" spans="1:5" x14ac:dyDescent="0.25">
      <c r="A1618">
        <v>1451</v>
      </c>
      <c r="B1618" t="s">
        <v>1757</v>
      </c>
      <c r="C1618" t="s">
        <v>3209</v>
      </c>
      <c r="D1618" t="str">
        <f t="shared" si="26"/>
        <v>SEJUSP5114</v>
      </c>
      <c r="E1618" t="s">
        <v>3052</v>
      </c>
    </row>
    <row r="1619" spans="1:5" x14ac:dyDescent="0.25">
      <c r="A1619">
        <v>1451</v>
      </c>
      <c r="B1619" t="s">
        <v>1757</v>
      </c>
      <c r="C1619" t="s">
        <v>288</v>
      </c>
      <c r="D1619" t="str">
        <f t="shared" si="26"/>
        <v>SEJUSP5203</v>
      </c>
      <c r="E1619" t="s">
        <v>3055</v>
      </c>
    </row>
    <row r="1620" spans="1:5" x14ac:dyDescent="0.25">
      <c r="A1620">
        <v>1451</v>
      </c>
      <c r="B1620" t="s">
        <v>1757</v>
      </c>
      <c r="C1620" t="s">
        <v>3054</v>
      </c>
      <c r="D1620" t="str">
        <f t="shared" si="26"/>
        <v>SEJUSP5204</v>
      </c>
      <c r="E1620" t="s">
        <v>3055</v>
      </c>
    </row>
    <row r="1621" spans="1:5" x14ac:dyDescent="0.25">
      <c r="A1621">
        <v>1451</v>
      </c>
      <c r="B1621" t="s">
        <v>1757</v>
      </c>
      <c r="C1621" t="s">
        <v>329</v>
      </c>
      <c r="D1621" t="str">
        <f t="shared" si="26"/>
        <v>SEJUSP5206</v>
      </c>
      <c r="E1621" t="s">
        <v>3057</v>
      </c>
    </row>
    <row r="1622" spans="1:5" x14ac:dyDescent="0.25">
      <c r="A1622">
        <v>1451</v>
      </c>
      <c r="B1622" t="s">
        <v>1757</v>
      </c>
      <c r="C1622" t="s">
        <v>3058</v>
      </c>
      <c r="D1622" t="str">
        <f t="shared" si="26"/>
        <v>SEJUSP5207</v>
      </c>
      <c r="E1622" t="s">
        <v>3057</v>
      </c>
    </row>
    <row r="1623" spans="1:5" x14ac:dyDescent="0.25">
      <c r="A1623">
        <v>1451</v>
      </c>
      <c r="B1623" t="s">
        <v>1757</v>
      </c>
      <c r="C1623" t="s">
        <v>3060</v>
      </c>
      <c r="D1623" t="str">
        <f t="shared" si="26"/>
        <v>SEJUSP5208</v>
      </c>
      <c r="E1623" t="s">
        <v>3057</v>
      </c>
    </row>
    <row r="1624" spans="1:5" x14ac:dyDescent="0.25">
      <c r="A1624">
        <v>1451</v>
      </c>
      <c r="B1624" t="s">
        <v>1757</v>
      </c>
      <c r="C1624" t="s">
        <v>359</v>
      </c>
      <c r="D1624" t="str">
        <f t="shared" si="26"/>
        <v>SEJUSP5209</v>
      </c>
      <c r="E1624" t="s">
        <v>3055</v>
      </c>
    </row>
    <row r="1625" spans="1:5" x14ac:dyDescent="0.25">
      <c r="A1625">
        <v>1451</v>
      </c>
      <c r="B1625" t="s">
        <v>1757</v>
      </c>
      <c r="C1625" t="s">
        <v>3063</v>
      </c>
      <c r="D1625" t="str">
        <f t="shared" si="26"/>
        <v>SEJUSP5210</v>
      </c>
      <c r="E1625" t="s">
        <v>3055</v>
      </c>
    </row>
    <row r="1626" spans="1:5" x14ac:dyDescent="0.25">
      <c r="A1626">
        <v>1451</v>
      </c>
      <c r="B1626" t="s">
        <v>1757</v>
      </c>
      <c r="C1626" t="s">
        <v>3155</v>
      </c>
      <c r="D1626" t="str">
        <f t="shared" si="26"/>
        <v>SEJUSP5211</v>
      </c>
      <c r="E1626" t="s">
        <v>2944</v>
      </c>
    </row>
    <row r="1627" spans="1:5" x14ac:dyDescent="0.25">
      <c r="A1627">
        <v>1451</v>
      </c>
      <c r="B1627" t="s">
        <v>1757</v>
      </c>
      <c r="C1627" t="s">
        <v>3064</v>
      </c>
      <c r="D1627" t="str">
        <f t="shared" si="26"/>
        <v>SEJUSP5212</v>
      </c>
      <c r="E1627" t="s">
        <v>3055</v>
      </c>
    </row>
    <row r="1628" spans="1:5" x14ac:dyDescent="0.25">
      <c r="A1628">
        <v>1451</v>
      </c>
      <c r="B1628" t="s">
        <v>1757</v>
      </c>
      <c r="C1628" t="s">
        <v>385</v>
      </c>
      <c r="D1628" t="str">
        <f t="shared" si="26"/>
        <v>SEJUSP5213</v>
      </c>
      <c r="E1628" t="s">
        <v>3055</v>
      </c>
    </row>
    <row r="1629" spans="1:5" x14ac:dyDescent="0.25">
      <c r="A1629">
        <v>1451</v>
      </c>
      <c r="B1629" t="s">
        <v>1757</v>
      </c>
      <c r="C1629" t="s">
        <v>391</v>
      </c>
      <c r="D1629" t="str">
        <f t="shared" si="26"/>
        <v>SEJUSP5214</v>
      </c>
      <c r="E1629" t="s">
        <v>3055</v>
      </c>
    </row>
    <row r="1630" spans="1:5" x14ac:dyDescent="0.25">
      <c r="A1630">
        <v>1451</v>
      </c>
      <c r="B1630" t="s">
        <v>1757</v>
      </c>
      <c r="C1630" t="s">
        <v>403</v>
      </c>
      <c r="D1630" t="str">
        <f t="shared" si="26"/>
        <v>SEJUSP5216</v>
      </c>
      <c r="E1630" t="s">
        <v>3055</v>
      </c>
    </row>
    <row r="1631" spans="1:5" x14ac:dyDescent="0.25">
      <c r="A1631">
        <v>1451</v>
      </c>
      <c r="B1631" t="s">
        <v>1757</v>
      </c>
      <c r="C1631" t="s">
        <v>409</v>
      </c>
      <c r="D1631" t="str">
        <f t="shared" si="26"/>
        <v>SEJUSP5217</v>
      </c>
      <c r="E1631" t="s">
        <v>3055</v>
      </c>
    </row>
    <row r="1632" spans="1:5" x14ac:dyDescent="0.25">
      <c r="A1632">
        <v>1451</v>
      </c>
      <c r="B1632" t="s">
        <v>1757</v>
      </c>
      <c r="C1632" t="s">
        <v>3068</v>
      </c>
      <c r="D1632" t="str">
        <f t="shared" si="26"/>
        <v>SEJUSP5220</v>
      </c>
      <c r="E1632" t="s">
        <v>3057</v>
      </c>
    </row>
    <row r="1633" spans="1:5" x14ac:dyDescent="0.25">
      <c r="A1633">
        <v>1451</v>
      </c>
      <c r="B1633" t="s">
        <v>1757</v>
      </c>
      <c r="C1633" t="s">
        <v>429</v>
      </c>
      <c r="D1633" t="str">
        <f t="shared" si="26"/>
        <v>SEJUSP5221</v>
      </c>
      <c r="E1633" t="s">
        <v>3055</v>
      </c>
    </row>
    <row r="1634" spans="1:5" x14ac:dyDescent="0.25">
      <c r="A1634">
        <v>1451</v>
      </c>
      <c r="B1634" t="s">
        <v>1757</v>
      </c>
      <c r="C1634" t="s">
        <v>449</v>
      </c>
      <c r="D1634" t="str">
        <f t="shared" si="26"/>
        <v>SEJUSP5225</v>
      </c>
      <c r="E1634" t="s">
        <v>3055</v>
      </c>
    </row>
    <row r="1635" spans="1:5" x14ac:dyDescent="0.25">
      <c r="A1635">
        <v>1451</v>
      </c>
      <c r="B1635" t="s">
        <v>1757</v>
      </c>
      <c r="C1635" t="s">
        <v>3070</v>
      </c>
      <c r="D1635" t="str">
        <f t="shared" si="26"/>
        <v>SEJUSP5226</v>
      </c>
      <c r="E1635" t="s">
        <v>3055</v>
      </c>
    </row>
    <row r="1636" spans="1:5" x14ac:dyDescent="0.25">
      <c r="A1636">
        <v>1451</v>
      </c>
      <c r="B1636" t="s">
        <v>1757</v>
      </c>
      <c r="C1636" t="s">
        <v>459</v>
      </c>
      <c r="D1636" t="str">
        <f t="shared" si="26"/>
        <v>SEJUSP5299</v>
      </c>
      <c r="E1636" t="s">
        <v>3055</v>
      </c>
    </row>
    <row r="1637" spans="1:5" x14ac:dyDescent="0.25">
      <c r="A1637">
        <v>1451</v>
      </c>
      <c r="B1637" t="s">
        <v>1757</v>
      </c>
      <c r="C1637" t="s">
        <v>3166</v>
      </c>
      <c r="D1637" t="str">
        <f t="shared" si="26"/>
        <v>SEJUSP6106</v>
      </c>
      <c r="E1637" t="s">
        <v>3219</v>
      </c>
    </row>
    <row r="1638" spans="1:5" x14ac:dyDescent="0.25">
      <c r="A1638">
        <v>1451</v>
      </c>
      <c r="B1638" t="s">
        <v>1757</v>
      </c>
      <c r="C1638" t="s">
        <v>3244</v>
      </c>
      <c r="D1638" t="str">
        <f t="shared" si="26"/>
        <v>SEJUSP8501</v>
      </c>
      <c r="E1638" t="s">
        <v>3235</v>
      </c>
    </row>
    <row r="1639" spans="1:5" x14ac:dyDescent="0.25">
      <c r="A1639">
        <v>1451</v>
      </c>
      <c r="B1639" t="s">
        <v>1757</v>
      </c>
      <c r="C1639" t="s">
        <v>3211</v>
      </c>
      <c r="D1639" t="str">
        <f t="shared" si="26"/>
        <v>SEJUSP9108</v>
      </c>
      <c r="E1639" t="s">
        <v>3212</v>
      </c>
    </row>
    <row r="1640" spans="1:5" x14ac:dyDescent="0.25">
      <c r="A1640">
        <v>1451</v>
      </c>
      <c r="B1640" t="s">
        <v>1757</v>
      </c>
      <c r="C1640" t="s">
        <v>3285</v>
      </c>
      <c r="D1640" t="str">
        <f t="shared" si="26"/>
        <v>SEJUSP9113</v>
      </c>
      <c r="E1640" t="s">
        <v>3212</v>
      </c>
    </row>
    <row r="1641" spans="1:5" x14ac:dyDescent="0.25">
      <c r="A1641">
        <v>1451</v>
      </c>
      <c r="B1641" t="s">
        <v>1757</v>
      </c>
      <c r="C1641" t="s">
        <v>3074</v>
      </c>
      <c r="D1641" t="str">
        <f t="shared" si="26"/>
        <v>SEJUSP9202</v>
      </c>
      <c r="E1641" t="s">
        <v>3075</v>
      </c>
    </row>
    <row r="1642" spans="1:5" x14ac:dyDescent="0.25">
      <c r="A1642">
        <v>1451</v>
      </c>
      <c r="B1642" t="s">
        <v>1757</v>
      </c>
      <c r="C1642" t="s">
        <v>250</v>
      </c>
      <c r="D1642" t="str">
        <f t="shared" si="26"/>
        <v>SEJUSP9301</v>
      </c>
      <c r="E1642" t="s">
        <v>2968</v>
      </c>
    </row>
    <row r="1643" spans="1:5" x14ac:dyDescent="0.25">
      <c r="A1643">
        <v>1451</v>
      </c>
      <c r="B1643" t="s">
        <v>1757</v>
      </c>
      <c r="C1643" t="s">
        <v>272</v>
      </c>
      <c r="D1643" t="str">
        <f t="shared" si="26"/>
        <v>SEJUSP9302</v>
      </c>
      <c r="E1643" t="s">
        <v>2968</v>
      </c>
    </row>
    <row r="1644" spans="1:5" x14ac:dyDescent="0.25">
      <c r="A1644">
        <v>1451</v>
      </c>
      <c r="B1644" t="s">
        <v>1757</v>
      </c>
      <c r="C1644" t="s">
        <v>331</v>
      </c>
      <c r="D1644" t="str">
        <f t="shared" si="26"/>
        <v>SEJUSP9306</v>
      </c>
      <c r="E1644" t="s">
        <v>3076</v>
      </c>
    </row>
    <row r="1645" spans="1:5" x14ac:dyDescent="0.25">
      <c r="A1645">
        <v>1451</v>
      </c>
      <c r="B1645" t="s">
        <v>1757</v>
      </c>
      <c r="C1645" t="s">
        <v>3079</v>
      </c>
      <c r="D1645" t="str">
        <f t="shared" si="26"/>
        <v>SEJUSP9399</v>
      </c>
      <c r="E1645" t="s">
        <v>2968</v>
      </c>
    </row>
    <row r="1646" spans="1:5" x14ac:dyDescent="0.25">
      <c r="A1646">
        <v>1471</v>
      </c>
      <c r="B1646" t="e">
        <v>#N/A</v>
      </c>
      <c r="C1646" t="s">
        <v>2928</v>
      </c>
      <c r="D1646" t="e">
        <f t="shared" si="26"/>
        <v>#N/A</v>
      </c>
      <c r="E1646" t="s">
        <v>44</v>
      </c>
    </row>
    <row r="1647" spans="1:5" x14ac:dyDescent="0.25">
      <c r="A1647">
        <v>1471</v>
      </c>
      <c r="B1647" t="e">
        <v>#N/A</v>
      </c>
      <c r="C1647" t="s">
        <v>979</v>
      </c>
      <c r="D1647" t="e">
        <f t="shared" si="26"/>
        <v>#N/A</v>
      </c>
      <c r="E1647" t="s">
        <v>2933</v>
      </c>
    </row>
    <row r="1648" spans="1:5" x14ac:dyDescent="0.25">
      <c r="A1648">
        <v>1471</v>
      </c>
      <c r="B1648" t="e">
        <v>#N/A</v>
      </c>
      <c r="C1648" t="s">
        <v>2939</v>
      </c>
      <c r="D1648" t="e">
        <f t="shared" si="26"/>
        <v>#N/A</v>
      </c>
      <c r="E1648" t="s">
        <v>2933</v>
      </c>
    </row>
    <row r="1649" spans="1:5" x14ac:dyDescent="0.25">
      <c r="A1649">
        <v>1471</v>
      </c>
      <c r="B1649" t="e">
        <v>#N/A</v>
      </c>
      <c r="C1649" t="s">
        <v>2956</v>
      </c>
      <c r="D1649" t="e">
        <f t="shared" si="26"/>
        <v>#N/A</v>
      </c>
      <c r="E1649" t="s">
        <v>2933</v>
      </c>
    </row>
    <row r="1650" spans="1:5" x14ac:dyDescent="0.25">
      <c r="A1650">
        <v>1471</v>
      </c>
      <c r="B1650" t="e">
        <v>#N/A</v>
      </c>
      <c r="C1650" t="s">
        <v>431</v>
      </c>
      <c r="D1650" t="e">
        <f t="shared" si="26"/>
        <v>#N/A</v>
      </c>
      <c r="E1650" t="s">
        <v>2933</v>
      </c>
    </row>
    <row r="1651" spans="1:5" x14ac:dyDescent="0.25">
      <c r="A1651">
        <v>1471</v>
      </c>
      <c r="B1651" t="e">
        <v>#N/A</v>
      </c>
      <c r="C1651" t="s">
        <v>2960</v>
      </c>
      <c r="D1651" t="e">
        <f t="shared" si="26"/>
        <v>#N/A</v>
      </c>
      <c r="E1651" t="s">
        <v>2958</v>
      </c>
    </row>
    <row r="1652" spans="1:5" x14ac:dyDescent="0.25">
      <c r="A1652">
        <v>1471</v>
      </c>
      <c r="B1652" t="e">
        <v>#N/A</v>
      </c>
      <c r="C1652" t="s">
        <v>54</v>
      </c>
      <c r="D1652" t="e">
        <f t="shared" si="26"/>
        <v>#N/A</v>
      </c>
      <c r="E1652" t="s">
        <v>44</v>
      </c>
    </row>
    <row r="1653" spans="1:5" x14ac:dyDescent="0.25">
      <c r="A1653">
        <v>1471</v>
      </c>
      <c r="B1653" t="e">
        <v>#N/A</v>
      </c>
      <c r="C1653" t="s">
        <v>2975</v>
      </c>
      <c r="D1653" t="e">
        <f t="shared" si="26"/>
        <v>#N/A</v>
      </c>
      <c r="E1653" t="s">
        <v>44</v>
      </c>
    </row>
    <row r="1654" spans="1:5" x14ac:dyDescent="0.25">
      <c r="A1654">
        <v>1471</v>
      </c>
      <c r="B1654" t="e">
        <v>#N/A</v>
      </c>
      <c r="C1654" t="s">
        <v>2977</v>
      </c>
      <c r="D1654" t="e">
        <f t="shared" si="26"/>
        <v>#N/A</v>
      </c>
      <c r="E1654" t="s">
        <v>44</v>
      </c>
    </row>
    <row r="1655" spans="1:5" x14ac:dyDescent="0.25">
      <c r="A1655">
        <v>1471</v>
      </c>
      <c r="B1655" t="e">
        <v>#N/A</v>
      </c>
      <c r="C1655" t="s">
        <v>3201</v>
      </c>
      <c r="D1655" t="e">
        <f t="shared" si="26"/>
        <v>#N/A</v>
      </c>
      <c r="E1655" t="s">
        <v>2968</v>
      </c>
    </row>
    <row r="1656" spans="1:5" x14ac:dyDescent="0.25">
      <c r="A1656">
        <v>1471</v>
      </c>
      <c r="B1656" t="e">
        <v>#N/A</v>
      </c>
      <c r="C1656" t="s">
        <v>297</v>
      </c>
      <c r="D1656" t="e">
        <f t="shared" si="26"/>
        <v>#N/A</v>
      </c>
      <c r="E1656" t="s">
        <v>44</v>
      </c>
    </row>
    <row r="1657" spans="1:5" x14ac:dyDescent="0.25">
      <c r="A1657">
        <v>1471</v>
      </c>
      <c r="B1657" t="e">
        <v>#N/A</v>
      </c>
      <c r="C1657" t="s">
        <v>355</v>
      </c>
      <c r="D1657" t="e">
        <f t="shared" si="26"/>
        <v>#N/A</v>
      </c>
      <c r="E1657" t="s">
        <v>2968</v>
      </c>
    </row>
    <row r="1658" spans="1:5" x14ac:dyDescent="0.25">
      <c r="A1658">
        <v>1471</v>
      </c>
      <c r="B1658" t="e">
        <v>#N/A</v>
      </c>
      <c r="C1658" t="s">
        <v>2979</v>
      </c>
      <c r="D1658" t="e">
        <f t="shared" si="26"/>
        <v>#N/A</v>
      </c>
      <c r="E1658" t="s">
        <v>2968</v>
      </c>
    </row>
    <row r="1659" spans="1:5" x14ac:dyDescent="0.25">
      <c r="A1659">
        <v>1471</v>
      </c>
      <c r="B1659" t="e">
        <v>#N/A</v>
      </c>
      <c r="C1659" t="s">
        <v>2985</v>
      </c>
      <c r="D1659" t="e">
        <f t="shared" si="26"/>
        <v>#N/A</v>
      </c>
      <c r="E1659" t="s">
        <v>117</v>
      </c>
    </row>
    <row r="1660" spans="1:5" x14ac:dyDescent="0.25">
      <c r="A1660">
        <v>1471</v>
      </c>
      <c r="B1660" t="e">
        <v>#N/A</v>
      </c>
      <c r="C1660" t="s">
        <v>384</v>
      </c>
      <c r="D1660" t="e">
        <f t="shared" si="26"/>
        <v>#N/A</v>
      </c>
      <c r="E1660" t="s">
        <v>2992</v>
      </c>
    </row>
    <row r="1661" spans="1:5" x14ac:dyDescent="0.25">
      <c r="A1661">
        <v>1471</v>
      </c>
      <c r="B1661" t="e">
        <v>#N/A</v>
      </c>
      <c r="C1661" t="s">
        <v>2996</v>
      </c>
      <c r="D1661" t="e">
        <f t="shared" si="26"/>
        <v>#N/A</v>
      </c>
      <c r="E1661" t="s">
        <v>2958</v>
      </c>
    </row>
    <row r="1662" spans="1:5" x14ac:dyDescent="0.25">
      <c r="A1662">
        <v>1471</v>
      </c>
      <c r="B1662" t="e">
        <v>#N/A</v>
      </c>
      <c r="C1662" t="s">
        <v>2998</v>
      </c>
      <c r="D1662" t="e">
        <f t="shared" si="26"/>
        <v>#N/A</v>
      </c>
      <c r="E1662" t="s">
        <v>2958</v>
      </c>
    </row>
    <row r="1663" spans="1:5" x14ac:dyDescent="0.25">
      <c r="A1663">
        <v>1471</v>
      </c>
      <c r="B1663" t="e">
        <v>#N/A</v>
      </c>
      <c r="C1663" t="s">
        <v>566</v>
      </c>
      <c r="D1663" t="e">
        <f t="shared" si="26"/>
        <v>#N/A</v>
      </c>
      <c r="E1663" t="s">
        <v>3004</v>
      </c>
    </row>
    <row r="1664" spans="1:5" x14ac:dyDescent="0.25">
      <c r="A1664">
        <v>1471</v>
      </c>
      <c r="B1664" t="e">
        <v>#N/A</v>
      </c>
      <c r="C1664" t="s">
        <v>443</v>
      </c>
      <c r="D1664" t="e">
        <f t="shared" si="26"/>
        <v>#N/A</v>
      </c>
      <c r="E1664" t="s">
        <v>3006</v>
      </c>
    </row>
    <row r="1665" spans="1:5" x14ac:dyDescent="0.25">
      <c r="A1665">
        <v>1471</v>
      </c>
      <c r="B1665" t="e">
        <v>#N/A</v>
      </c>
      <c r="C1665" t="s">
        <v>1481</v>
      </c>
      <c r="D1665" t="e">
        <f t="shared" si="26"/>
        <v>#N/A</v>
      </c>
      <c r="E1665" t="s">
        <v>2968</v>
      </c>
    </row>
    <row r="1666" spans="1:5" x14ac:dyDescent="0.25">
      <c r="A1666">
        <v>1471</v>
      </c>
      <c r="B1666" t="e">
        <v>#N/A</v>
      </c>
      <c r="C1666" t="s">
        <v>3017</v>
      </c>
      <c r="D1666" t="e">
        <f t="shared" si="26"/>
        <v>#N/A</v>
      </c>
      <c r="E1666" t="s">
        <v>94</v>
      </c>
    </row>
    <row r="1667" spans="1:5" x14ac:dyDescent="0.25">
      <c r="A1667">
        <v>1471</v>
      </c>
      <c r="B1667" t="e">
        <v>#N/A</v>
      </c>
      <c r="C1667" t="s">
        <v>3019</v>
      </c>
      <c r="D1667" t="e">
        <f t="shared" si="26"/>
        <v>#N/A</v>
      </c>
      <c r="E1667" t="s">
        <v>3009</v>
      </c>
    </row>
    <row r="1668" spans="1:5" x14ac:dyDescent="0.25">
      <c r="A1668">
        <v>1471</v>
      </c>
      <c r="B1668" t="e">
        <v>#N/A</v>
      </c>
      <c r="C1668" t="s">
        <v>3020</v>
      </c>
      <c r="D1668" t="e">
        <f t="shared" si="26"/>
        <v>#N/A</v>
      </c>
      <c r="E1668" t="s">
        <v>2958</v>
      </c>
    </row>
    <row r="1669" spans="1:5" x14ac:dyDescent="0.25">
      <c r="A1669">
        <v>1471</v>
      </c>
      <c r="B1669" t="e">
        <v>#N/A</v>
      </c>
      <c r="C1669" t="s">
        <v>3098</v>
      </c>
      <c r="D1669" t="e">
        <f t="shared" ref="D1669:D1732" si="27">CONCATENATE(B1669,LEFT(C1669,4))</f>
        <v>#N/A</v>
      </c>
      <c r="E1669" t="s">
        <v>65</v>
      </c>
    </row>
    <row r="1670" spans="1:5" x14ac:dyDescent="0.25">
      <c r="A1670">
        <v>1471</v>
      </c>
      <c r="B1670" t="e">
        <v>#N/A</v>
      </c>
      <c r="C1670" t="s">
        <v>3104</v>
      </c>
      <c r="D1670" t="e">
        <f t="shared" si="27"/>
        <v>#N/A</v>
      </c>
      <c r="E1670" t="s">
        <v>2968</v>
      </c>
    </row>
    <row r="1671" spans="1:5" x14ac:dyDescent="0.25">
      <c r="A1671">
        <v>1471</v>
      </c>
      <c r="B1671" t="e">
        <v>#N/A</v>
      </c>
      <c r="C1671" t="s">
        <v>3216</v>
      </c>
      <c r="D1671" t="e">
        <f t="shared" si="27"/>
        <v>#N/A</v>
      </c>
      <c r="E1671" t="s">
        <v>3081</v>
      </c>
    </row>
    <row r="1672" spans="1:5" x14ac:dyDescent="0.25">
      <c r="A1672">
        <v>1471</v>
      </c>
      <c r="B1672" t="e">
        <v>#N/A</v>
      </c>
      <c r="C1672" t="s">
        <v>3036</v>
      </c>
      <c r="D1672" t="e">
        <f t="shared" si="27"/>
        <v>#N/A</v>
      </c>
      <c r="E1672" t="s">
        <v>2958</v>
      </c>
    </row>
    <row r="1673" spans="1:5" x14ac:dyDescent="0.25">
      <c r="A1673">
        <v>1471</v>
      </c>
      <c r="B1673" t="e">
        <v>#N/A</v>
      </c>
      <c r="C1673" t="s">
        <v>3040</v>
      </c>
      <c r="D1673" t="e">
        <f t="shared" si="27"/>
        <v>#N/A</v>
      </c>
      <c r="E1673" t="s">
        <v>2968</v>
      </c>
    </row>
    <row r="1674" spans="1:5" x14ac:dyDescent="0.25">
      <c r="A1674">
        <v>1471</v>
      </c>
      <c r="B1674" t="e">
        <v>#N/A</v>
      </c>
      <c r="C1674" t="s">
        <v>3043</v>
      </c>
      <c r="D1674" t="e">
        <f t="shared" si="27"/>
        <v>#N/A</v>
      </c>
      <c r="E1674" t="s">
        <v>94</v>
      </c>
    </row>
    <row r="1675" spans="1:5" x14ac:dyDescent="0.25">
      <c r="A1675">
        <v>1471</v>
      </c>
      <c r="B1675" t="e">
        <v>#N/A</v>
      </c>
      <c r="C1675" t="s">
        <v>3045</v>
      </c>
      <c r="D1675" t="e">
        <f t="shared" si="27"/>
        <v>#N/A</v>
      </c>
      <c r="E1675" t="s">
        <v>3009</v>
      </c>
    </row>
    <row r="1676" spans="1:5" x14ac:dyDescent="0.25">
      <c r="A1676">
        <v>1471</v>
      </c>
      <c r="B1676" t="e">
        <v>#N/A</v>
      </c>
      <c r="C1676" t="s">
        <v>3123</v>
      </c>
      <c r="D1676" t="e">
        <f t="shared" si="27"/>
        <v>#N/A</v>
      </c>
      <c r="E1676" t="s">
        <v>2968</v>
      </c>
    </row>
    <row r="1677" spans="1:5" x14ac:dyDescent="0.25">
      <c r="A1677">
        <v>1471</v>
      </c>
      <c r="B1677" t="e">
        <v>#N/A</v>
      </c>
      <c r="C1677" t="s">
        <v>3209</v>
      </c>
      <c r="D1677" t="e">
        <f t="shared" si="27"/>
        <v>#N/A</v>
      </c>
      <c r="E1677" t="s">
        <v>3052</v>
      </c>
    </row>
    <row r="1678" spans="1:5" x14ac:dyDescent="0.25">
      <c r="A1678">
        <v>1471</v>
      </c>
      <c r="B1678" t="e">
        <v>#N/A</v>
      </c>
      <c r="C1678" t="s">
        <v>3074</v>
      </c>
      <c r="D1678" t="e">
        <f t="shared" si="27"/>
        <v>#N/A</v>
      </c>
      <c r="E1678" t="s">
        <v>3075</v>
      </c>
    </row>
    <row r="1679" spans="1:5" x14ac:dyDescent="0.25">
      <c r="A1679">
        <v>1471</v>
      </c>
      <c r="B1679" t="e">
        <v>#N/A</v>
      </c>
      <c r="C1679" t="s">
        <v>331</v>
      </c>
      <c r="D1679" t="e">
        <f t="shared" si="27"/>
        <v>#N/A</v>
      </c>
      <c r="E1679" t="s">
        <v>3076</v>
      </c>
    </row>
    <row r="1680" spans="1:5" x14ac:dyDescent="0.25">
      <c r="A1680">
        <v>1471</v>
      </c>
      <c r="B1680" t="e">
        <v>#N/A</v>
      </c>
      <c r="C1680" t="s">
        <v>3079</v>
      </c>
      <c r="D1680" t="e">
        <f t="shared" si="27"/>
        <v>#N/A</v>
      </c>
      <c r="E1680" t="s">
        <v>2968</v>
      </c>
    </row>
    <row r="1681" spans="1:5" x14ac:dyDescent="0.25">
      <c r="A1681">
        <v>1481</v>
      </c>
      <c r="B1681" t="s">
        <v>1753</v>
      </c>
      <c r="C1681" t="s">
        <v>2925</v>
      </c>
      <c r="D1681" t="str">
        <f t="shared" si="27"/>
        <v>SEDESE0810</v>
      </c>
      <c r="E1681" t="s">
        <v>2926</v>
      </c>
    </row>
    <row r="1682" spans="1:5" x14ac:dyDescent="0.25">
      <c r="A1682">
        <v>1481</v>
      </c>
      <c r="B1682" t="s">
        <v>1753</v>
      </c>
      <c r="C1682" t="s">
        <v>332</v>
      </c>
      <c r="D1682" t="str">
        <f t="shared" si="27"/>
        <v>SEDESE1314</v>
      </c>
      <c r="E1682" t="s">
        <v>3081</v>
      </c>
    </row>
    <row r="1683" spans="1:5" x14ac:dyDescent="0.25">
      <c r="A1683">
        <v>1481</v>
      </c>
      <c r="B1683" t="s">
        <v>1753</v>
      </c>
      <c r="C1683" t="s">
        <v>2942</v>
      </c>
      <c r="D1683" t="str">
        <f t="shared" si="27"/>
        <v>SEDESE1317</v>
      </c>
      <c r="E1683" t="s">
        <v>3081</v>
      </c>
    </row>
    <row r="1684" spans="1:5" x14ac:dyDescent="0.25">
      <c r="A1684">
        <v>1481</v>
      </c>
      <c r="B1684" t="s">
        <v>1753</v>
      </c>
      <c r="C1684" t="s">
        <v>2928</v>
      </c>
      <c r="D1684" t="str">
        <f t="shared" si="27"/>
        <v>SEDESE1401</v>
      </c>
      <c r="E1684" t="s">
        <v>44</v>
      </c>
    </row>
    <row r="1685" spans="1:5" x14ac:dyDescent="0.25">
      <c r="A1685">
        <v>1481</v>
      </c>
      <c r="B1685" t="s">
        <v>1753</v>
      </c>
      <c r="C1685" t="s">
        <v>2932</v>
      </c>
      <c r="D1685" t="str">
        <f t="shared" si="27"/>
        <v>SEDESE3001</v>
      </c>
      <c r="E1685" t="s">
        <v>2933</v>
      </c>
    </row>
    <row r="1686" spans="1:5" x14ac:dyDescent="0.25">
      <c r="A1686">
        <v>1481</v>
      </c>
      <c r="B1686" t="s">
        <v>1753</v>
      </c>
      <c r="C1686" t="s">
        <v>256</v>
      </c>
      <c r="D1686" t="str">
        <f t="shared" si="27"/>
        <v>SEDESE3002</v>
      </c>
      <c r="E1686" t="s">
        <v>2933</v>
      </c>
    </row>
    <row r="1687" spans="1:5" x14ac:dyDescent="0.25">
      <c r="A1687">
        <v>1481</v>
      </c>
      <c r="B1687" t="s">
        <v>1753</v>
      </c>
      <c r="C1687" t="s">
        <v>2939</v>
      </c>
      <c r="D1687" t="str">
        <f t="shared" si="27"/>
        <v>SEDESE3005</v>
      </c>
      <c r="E1687" t="s">
        <v>2933</v>
      </c>
    </row>
    <row r="1688" spans="1:5" x14ac:dyDescent="0.25">
      <c r="A1688">
        <v>1481</v>
      </c>
      <c r="B1688" t="s">
        <v>1753</v>
      </c>
      <c r="C1688" t="s">
        <v>2941</v>
      </c>
      <c r="D1688" t="str">
        <f t="shared" si="27"/>
        <v>SEDESE3008</v>
      </c>
      <c r="E1688" t="s">
        <v>2933</v>
      </c>
    </row>
    <row r="1689" spans="1:5" x14ac:dyDescent="0.25">
      <c r="A1689">
        <v>1481</v>
      </c>
      <c r="B1689" t="s">
        <v>1753</v>
      </c>
      <c r="C1689" t="s">
        <v>2943</v>
      </c>
      <c r="D1689" t="str">
        <f t="shared" si="27"/>
        <v>SEDESE3010</v>
      </c>
      <c r="E1689" t="s">
        <v>2944</v>
      </c>
    </row>
    <row r="1690" spans="1:5" x14ac:dyDescent="0.25">
      <c r="A1690">
        <v>1481</v>
      </c>
      <c r="B1690" t="s">
        <v>1753</v>
      </c>
      <c r="C1690" t="s">
        <v>2946</v>
      </c>
      <c r="D1690" t="str">
        <f t="shared" si="27"/>
        <v>SEDESE3013</v>
      </c>
      <c r="E1690" t="s">
        <v>2933</v>
      </c>
    </row>
    <row r="1691" spans="1:5" x14ac:dyDescent="0.25">
      <c r="A1691">
        <v>1481</v>
      </c>
      <c r="B1691" t="s">
        <v>1753</v>
      </c>
      <c r="C1691" t="s">
        <v>2948</v>
      </c>
      <c r="D1691" t="str">
        <f t="shared" si="27"/>
        <v>SEDESE3015</v>
      </c>
      <c r="E1691" t="s">
        <v>2933</v>
      </c>
    </row>
    <row r="1692" spans="1:5" x14ac:dyDescent="0.25">
      <c r="A1692">
        <v>1481</v>
      </c>
      <c r="B1692" t="s">
        <v>1753</v>
      </c>
      <c r="C1692" t="s">
        <v>2950</v>
      </c>
      <c r="D1692" t="str">
        <f t="shared" si="27"/>
        <v>SEDESE3016</v>
      </c>
      <c r="E1692" t="s">
        <v>2933</v>
      </c>
    </row>
    <row r="1693" spans="1:5" x14ac:dyDescent="0.25">
      <c r="A1693">
        <v>1481</v>
      </c>
      <c r="B1693" t="s">
        <v>1753</v>
      </c>
      <c r="C1693" t="s">
        <v>406</v>
      </c>
      <c r="D1693" t="str">
        <f t="shared" si="27"/>
        <v>SEDESE3017</v>
      </c>
      <c r="E1693" t="s">
        <v>2933</v>
      </c>
    </row>
    <row r="1694" spans="1:5" x14ac:dyDescent="0.25">
      <c r="A1694">
        <v>1481</v>
      </c>
      <c r="B1694" t="s">
        <v>1753</v>
      </c>
      <c r="C1694" t="s">
        <v>2953</v>
      </c>
      <c r="D1694" t="str">
        <f t="shared" si="27"/>
        <v>SEDESE3019</v>
      </c>
      <c r="E1694" t="s">
        <v>2954</v>
      </c>
    </row>
    <row r="1695" spans="1:5" x14ac:dyDescent="0.25">
      <c r="A1695">
        <v>1481</v>
      </c>
      <c r="B1695" t="s">
        <v>1753</v>
      </c>
      <c r="C1695" t="s">
        <v>2955</v>
      </c>
      <c r="D1695" t="str">
        <f t="shared" si="27"/>
        <v>SEDESE3020</v>
      </c>
      <c r="E1695" t="s">
        <v>2933</v>
      </c>
    </row>
    <row r="1696" spans="1:5" x14ac:dyDescent="0.25">
      <c r="A1696">
        <v>1481</v>
      </c>
      <c r="B1696" t="s">
        <v>1753</v>
      </c>
      <c r="C1696" t="s">
        <v>2956</v>
      </c>
      <c r="D1696" t="str">
        <f t="shared" si="27"/>
        <v>SEDESE3021</v>
      </c>
      <c r="E1696" t="s">
        <v>2933</v>
      </c>
    </row>
    <row r="1697" spans="1:5" x14ac:dyDescent="0.25">
      <c r="A1697">
        <v>1481</v>
      </c>
      <c r="B1697" t="s">
        <v>1753</v>
      </c>
      <c r="C1697" t="s">
        <v>431</v>
      </c>
      <c r="D1697" t="str">
        <f t="shared" si="27"/>
        <v>SEDESE3022</v>
      </c>
      <c r="E1697" t="s">
        <v>2933</v>
      </c>
    </row>
    <row r="1698" spans="1:5" x14ac:dyDescent="0.25">
      <c r="A1698">
        <v>1481</v>
      </c>
      <c r="B1698" t="s">
        <v>1753</v>
      </c>
      <c r="C1698" t="s">
        <v>2959</v>
      </c>
      <c r="D1698" t="str">
        <f t="shared" si="27"/>
        <v>SEDESE3025</v>
      </c>
      <c r="E1698" t="s">
        <v>2933</v>
      </c>
    </row>
    <row r="1699" spans="1:5" x14ac:dyDescent="0.25">
      <c r="A1699">
        <v>1481</v>
      </c>
      <c r="B1699" t="s">
        <v>1753</v>
      </c>
      <c r="C1699" t="s">
        <v>2960</v>
      </c>
      <c r="D1699" t="str">
        <f t="shared" si="27"/>
        <v>SEDESE3026</v>
      </c>
      <c r="E1699" t="s">
        <v>2958</v>
      </c>
    </row>
    <row r="1700" spans="1:5" x14ac:dyDescent="0.25">
      <c r="A1700">
        <v>1481</v>
      </c>
      <c r="B1700" t="s">
        <v>1753</v>
      </c>
      <c r="C1700" t="s">
        <v>2961</v>
      </c>
      <c r="D1700" t="str">
        <f t="shared" si="27"/>
        <v>SEDESE3027</v>
      </c>
      <c r="E1700" t="s">
        <v>2933</v>
      </c>
    </row>
    <row r="1701" spans="1:5" x14ac:dyDescent="0.25">
      <c r="A1701">
        <v>1481</v>
      </c>
      <c r="B1701" t="s">
        <v>1753</v>
      </c>
      <c r="C1701" t="s">
        <v>467</v>
      </c>
      <c r="D1701" t="str">
        <f t="shared" si="27"/>
        <v>SEDESE3030</v>
      </c>
      <c r="E1701" t="s">
        <v>2933</v>
      </c>
    </row>
    <row r="1702" spans="1:5" x14ac:dyDescent="0.25">
      <c r="A1702">
        <v>1481</v>
      </c>
      <c r="B1702" t="s">
        <v>1753</v>
      </c>
      <c r="C1702" t="s">
        <v>487</v>
      </c>
      <c r="D1702" t="str">
        <f t="shared" si="27"/>
        <v>SEDESE3040</v>
      </c>
      <c r="E1702" t="s">
        <v>2933</v>
      </c>
    </row>
    <row r="1703" spans="1:5" x14ac:dyDescent="0.25">
      <c r="A1703">
        <v>1481</v>
      </c>
      <c r="B1703" t="s">
        <v>1753</v>
      </c>
      <c r="C1703" t="s">
        <v>491</v>
      </c>
      <c r="D1703" t="str">
        <f t="shared" si="27"/>
        <v>SEDESE3099</v>
      </c>
      <c r="E1703" t="s">
        <v>2933</v>
      </c>
    </row>
    <row r="1704" spans="1:5" x14ac:dyDescent="0.25">
      <c r="A1704">
        <v>1481</v>
      </c>
      <c r="B1704" t="s">
        <v>1753</v>
      </c>
      <c r="C1704" t="s">
        <v>2967</v>
      </c>
      <c r="D1704" t="str">
        <f t="shared" si="27"/>
        <v>SEDESE3101</v>
      </c>
      <c r="E1704" t="s">
        <v>2968</v>
      </c>
    </row>
    <row r="1705" spans="1:5" x14ac:dyDescent="0.25">
      <c r="A1705">
        <v>1481</v>
      </c>
      <c r="B1705" t="s">
        <v>1753</v>
      </c>
      <c r="C1705" t="s">
        <v>294</v>
      </c>
      <c r="D1705" t="str">
        <f t="shared" si="27"/>
        <v>SEDESE3104</v>
      </c>
      <c r="E1705" t="s">
        <v>2968</v>
      </c>
    </row>
    <row r="1706" spans="1:5" x14ac:dyDescent="0.25">
      <c r="A1706">
        <v>1481</v>
      </c>
      <c r="B1706" t="s">
        <v>1753</v>
      </c>
      <c r="C1706" t="s">
        <v>227</v>
      </c>
      <c r="D1706" t="str">
        <f t="shared" si="27"/>
        <v>SEDESE3201</v>
      </c>
      <c r="E1706" t="s">
        <v>2968</v>
      </c>
    </row>
    <row r="1707" spans="1:5" x14ac:dyDescent="0.25">
      <c r="A1707">
        <v>1481</v>
      </c>
      <c r="B1707" t="s">
        <v>1753</v>
      </c>
      <c r="C1707" t="s">
        <v>2971</v>
      </c>
      <c r="D1707" t="str">
        <f t="shared" si="27"/>
        <v>SEDESE3202</v>
      </c>
      <c r="E1707" t="s">
        <v>2968</v>
      </c>
    </row>
    <row r="1708" spans="1:5" x14ac:dyDescent="0.25">
      <c r="A1708">
        <v>1481</v>
      </c>
      <c r="B1708" t="s">
        <v>1753</v>
      </c>
      <c r="C1708" t="s">
        <v>54</v>
      </c>
      <c r="D1708" t="str">
        <f t="shared" si="27"/>
        <v>SEDESE3301</v>
      </c>
      <c r="E1708" t="s">
        <v>44</v>
      </c>
    </row>
    <row r="1709" spans="1:5" x14ac:dyDescent="0.25">
      <c r="A1709">
        <v>1481</v>
      </c>
      <c r="B1709" t="s">
        <v>1753</v>
      </c>
      <c r="C1709" t="s">
        <v>2975</v>
      </c>
      <c r="D1709" t="str">
        <f t="shared" si="27"/>
        <v>SEDESE3302</v>
      </c>
      <c r="E1709" t="s">
        <v>44</v>
      </c>
    </row>
    <row r="1710" spans="1:5" x14ac:dyDescent="0.25">
      <c r="A1710">
        <v>1481</v>
      </c>
      <c r="B1710" t="s">
        <v>1753</v>
      </c>
      <c r="C1710" t="s">
        <v>2977</v>
      </c>
      <c r="D1710" t="str">
        <f t="shared" si="27"/>
        <v>SEDESE3304</v>
      </c>
      <c r="E1710" t="s">
        <v>44</v>
      </c>
    </row>
    <row r="1711" spans="1:5" x14ac:dyDescent="0.25">
      <c r="A1711">
        <v>1481</v>
      </c>
      <c r="B1711" t="s">
        <v>1753</v>
      </c>
      <c r="C1711" t="s">
        <v>309</v>
      </c>
      <c r="D1711" t="str">
        <f t="shared" si="27"/>
        <v>SEDESE3305</v>
      </c>
      <c r="E1711" t="s">
        <v>2968</v>
      </c>
    </row>
    <row r="1712" spans="1:5" x14ac:dyDescent="0.25">
      <c r="A1712">
        <v>1481</v>
      </c>
      <c r="B1712" t="s">
        <v>1753</v>
      </c>
      <c r="C1712" t="s">
        <v>3201</v>
      </c>
      <c r="D1712" t="str">
        <f t="shared" si="27"/>
        <v>SEDESE3502</v>
      </c>
      <c r="E1712" t="s">
        <v>1660</v>
      </c>
    </row>
    <row r="1713" spans="1:5" x14ac:dyDescent="0.25">
      <c r="A1713">
        <v>1481</v>
      </c>
      <c r="B1713" t="s">
        <v>1753</v>
      </c>
      <c r="C1713" t="s">
        <v>297</v>
      </c>
      <c r="D1713" t="str">
        <f t="shared" si="27"/>
        <v>SEDESE3604</v>
      </c>
      <c r="E1713" t="s">
        <v>44</v>
      </c>
    </row>
    <row r="1714" spans="1:5" x14ac:dyDescent="0.25">
      <c r="A1714">
        <v>1481</v>
      </c>
      <c r="B1714" t="s">
        <v>1753</v>
      </c>
      <c r="C1714" t="s">
        <v>3234</v>
      </c>
      <c r="D1714" t="str">
        <f t="shared" si="27"/>
        <v>SEDESE3605</v>
      </c>
      <c r="E1714" t="s">
        <v>2968</v>
      </c>
    </row>
    <row r="1715" spans="1:5" x14ac:dyDescent="0.25">
      <c r="A1715">
        <v>1481</v>
      </c>
      <c r="B1715" t="s">
        <v>1753</v>
      </c>
      <c r="C1715" t="s">
        <v>355</v>
      </c>
      <c r="D1715" t="str">
        <f t="shared" si="27"/>
        <v>SEDESE3610</v>
      </c>
      <c r="E1715" t="s">
        <v>2968</v>
      </c>
    </row>
    <row r="1716" spans="1:5" x14ac:dyDescent="0.25">
      <c r="A1716">
        <v>1481</v>
      </c>
      <c r="B1716" t="s">
        <v>1753</v>
      </c>
      <c r="C1716" t="s">
        <v>3021</v>
      </c>
      <c r="D1716" t="str">
        <f t="shared" si="27"/>
        <v>SEDESE3611</v>
      </c>
      <c r="E1716" t="s">
        <v>3107</v>
      </c>
    </row>
    <row r="1717" spans="1:5" x14ac:dyDescent="0.25">
      <c r="A1717">
        <v>1481</v>
      </c>
      <c r="B1717" t="s">
        <v>1753</v>
      </c>
      <c r="C1717" t="s">
        <v>2979</v>
      </c>
      <c r="D1717" t="str">
        <f t="shared" si="27"/>
        <v>SEDESE3612</v>
      </c>
      <c r="E1717" t="s">
        <v>2968</v>
      </c>
    </row>
    <row r="1718" spans="1:5" x14ac:dyDescent="0.25">
      <c r="A1718">
        <v>1481</v>
      </c>
      <c r="B1718" t="s">
        <v>1753</v>
      </c>
      <c r="C1718" t="s">
        <v>401</v>
      </c>
      <c r="D1718" t="str">
        <f t="shared" si="27"/>
        <v>SEDESE3617</v>
      </c>
      <c r="E1718" t="s">
        <v>2968</v>
      </c>
    </row>
    <row r="1719" spans="1:5" x14ac:dyDescent="0.25">
      <c r="A1719">
        <v>1481</v>
      </c>
      <c r="B1719" t="s">
        <v>1753</v>
      </c>
      <c r="C1719" t="s">
        <v>407</v>
      </c>
      <c r="D1719" t="str">
        <f t="shared" si="27"/>
        <v>SEDESE3618</v>
      </c>
      <c r="E1719" t="s">
        <v>2954</v>
      </c>
    </row>
    <row r="1720" spans="1:5" x14ac:dyDescent="0.25">
      <c r="A1720">
        <v>1481</v>
      </c>
      <c r="B1720" t="s">
        <v>1753</v>
      </c>
      <c r="C1720" t="s">
        <v>427</v>
      </c>
      <c r="D1720" t="str">
        <f t="shared" si="27"/>
        <v>SEDESE3622</v>
      </c>
      <c r="E1720" t="s">
        <v>3107</v>
      </c>
    </row>
    <row r="1721" spans="1:5" x14ac:dyDescent="0.25">
      <c r="A1721">
        <v>1481</v>
      </c>
      <c r="B1721" t="s">
        <v>1753</v>
      </c>
      <c r="C1721" t="s">
        <v>471</v>
      </c>
      <c r="D1721" t="str">
        <f t="shared" si="27"/>
        <v>SEDESE3699</v>
      </c>
      <c r="E1721" t="s">
        <v>2968</v>
      </c>
    </row>
    <row r="1722" spans="1:5" x14ac:dyDescent="0.25">
      <c r="A1722">
        <v>1481</v>
      </c>
      <c r="B1722" t="s">
        <v>1753</v>
      </c>
      <c r="C1722" t="s">
        <v>2983</v>
      </c>
      <c r="D1722" t="str">
        <f t="shared" si="27"/>
        <v>SEDESE3703</v>
      </c>
      <c r="E1722" t="s">
        <v>117</v>
      </c>
    </row>
    <row r="1723" spans="1:5" x14ac:dyDescent="0.25">
      <c r="A1723">
        <v>1481</v>
      </c>
      <c r="B1723" t="s">
        <v>1753</v>
      </c>
      <c r="C1723" t="s">
        <v>2985</v>
      </c>
      <c r="D1723" t="str">
        <f t="shared" si="27"/>
        <v>SEDESE3704</v>
      </c>
      <c r="E1723" t="s">
        <v>117</v>
      </c>
    </row>
    <row r="1724" spans="1:5" x14ac:dyDescent="0.25">
      <c r="A1724">
        <v>1481</v>
      </c>
      <c r="B1724" t="s">
        <v>1753</v>
      </c>
      <c r="C1724" t="s">
        <v>2986</v>
      </c>
      <c r="D1724" t="str">
        <f t="shared" si="27"/>
        <v>SEDESE3705</v>
      </c>
      <c r="E1724" t="s">
        <v>117</v>
      </c>
    </row>
    <row r="1725" spans="1:5" x14ac:dyDescent="0.25">
      <c r="A1725">
        <v>1481</v>
      </c>
      <c r="B1725" t="s">
        <v>1753</v>
      </c>
      <c r="C1725" t="s">
        <v>2988</v>
      </c>
      <c r="D1725" t="str">
        <f t="shared" si="27"/>
        <v>SEDESE3903</v>
      </c>
      <c r="E1725" t="s">
        <v>2968</v>
      </c>
    </row>
    <row r="1726" spans="1:5" x14ac:dyDescent="0.25">
      <c r="A1726">
        <v>1481</v>
      </c>
      <c r="B1726" t="s">
        <v>1753</v>
      </c>
      <c r="C1726" t="s">
        <v>299</v>
      </c>
      <c r="D1726" t="str">
        <f t="shared" si="27"/>
        <v>SEDESE3904</v>
      </c>
      <c r="E1726" t="s">
        <v>2968</v>
      </c>
    </row>
    <row r="1727" spans="1:5" x14ac:dyDescent="0.25">
      <c r="A1727">
        <v>1481</v>
      </c>
      <c r="B1727" t="s">
        <v>1753</v>
      </c>
      <c r="C1727" t="s">
        <v>326</v>
      </c>
      <c r="D1727" t="str">
        <f t="shared" si="27"/>
        <v>SEDESE3906</v>
      </c>
      <c r="E1727" t="s">
        <v>2968</v>
      </c>
    </row>
    <row r="1728" spans="1:5" x14ac:dyDescent="0.25">
      <c r="A1728">
        <v>1481</v>
      </c>
      <c r="B1728" t="s">
        <v>1753</v>
      </c>
      <c r="C1728" t="s">
        <v>336</v>
      </c>
      <c r="D1728" t="str">
        <f t="shared" si="27"/>
        <v>SEDESE3909</v>
      </c>
      <c r="E1728" t="s">
        <v>2968</v>
      </c>
    </row>
    <row r="1729" spans="1:5" x14ac:dyDescent="0.25">
      <c r="A1729">
        <v>1481</v>
      </c>
      <c r="B1729" t="s">
        <v>1753</v>
      </c>
      <c r="C1729" t="s">
        <v>346</v>
      </c>
      <c r="D1729" t="str">
        <f t="shared" si="27"/>
        <v>SEDESE3910</v>
      </c>
      <c r="E1729" t="s">
        <v>2968</v>
      </c>
    </row>
    <row r="1730" spans="1:5" x14ac:dyDescent="0.25">
      <c r="A1730">
        <v>1481</v>
      </c>
      <c r="B1730" t="s">
        <v>1753</v>
      </c>
      <c r="C1730" t="s">
        <v>2991</v>
      </c>
      <c r="D1730" t="str">
        <f t="shared" si="27"/>
        <v>SEDESE3912</v>
      </c>
      <c r="E1730" t="s">
        <v>2992</v>
      </c>
    </row>
    <row r="1731" spans="1:5" x14ac:dyDescent="0.25">
      <c r="A1731">
        <v>1481</v>
      </c>
      <c r="B1731" t="s">
        <v>1753</v>
      </c>
      <c r="C1731" t="s">
        <v>2994</v>
      </c>
      <c r="D1731" t="str">
        <f t="shared" si="27"/>
        <v>SEDESE3913</v>
      </c>
      <c r="E1731" t="s">
        <v>2992</v>
      </c>
    </row>
    <row r="1732" spans="1:5" x14ac:dyDescent="0.25">
      <c r="A1732">
        <v>1481</v>
      </c>
      <c r="B1732" t="s">
        <v>1753</v>
      </c>
      <c r="C1732" t="s">
        <v>384</v>
      </c>
      <c r="D1732" t="str">
        <f t="shared" si="27"/>
        <v>SEDESE3915</v>
      </c>
      <c r="E1732" t="s">
        <v>2992</v>
      </c>
    </row>
    <row r="1733" spans="1:5" x14ac:dyDescent="0.25">
      <c r="A1733">
        <v>1481</v>
      </c>
      <c r="B1733" t="s">
        <v>1753</v>
      </c>
      <c r="C1733" t="s">
        <v>2996</v>
      </c>
      <c r="D1733" t="str">
        <f t="shared" ref="D1733:D1796" si="28">CONCATENATE(B1733,LEFT(C1733,4))</f>
        <v>SEDESE3917</v>
      </c>
      <c r="E1733" t="s">
        <v>2958</v>
      </c>
    </row>
    <row r="1734" spans="1:5" x14ac:dyDescent="0.25">
      <c r="A1734">
        <v>1481</v>
      </c>
      <c r="B1734" t="s">
        <v>1753</v>
      </c>
      <c r="C1734" t="s">
        <v>2998</v>
      </c>
      <c r="D1734" t="str">
        <f t="shared" si="28"/>
        <v>SEDESE3918</v>
      </c>
      <c r="E1734" t="s">
        <v>2958</v>
      </c>
    </row>
    <row r="1735" spans="1:5" x14ac:dyDescent="0.25">
      <c r="A1735">
        <v>1481</v>
      </c>
      <c r="B1735" t="s">
        <v>1753</v>
      </c>
      <c r="C1735" t="s">
        <v>3000</v>
      </c>
      <c r="D1735" t="str">
        <f t="shared" si="28"/>
        <v>SEDESE3919</v>
      </c>
      <c r="E1735" t="s">
        <v>3001</v>
      </c>
    </row>
    <row r="1736" spans="1:5" x14ac:dyDescent="0.25">
      <c r="A1736">
        <v>1481</v>
      </c>
      <c r="B1736" t="s">
        <v>1753</v>
      </c>
      <c r="C1736" t="s">
        <v>3077</v>
      </c>
      <c r="D1736" t="str">
        <f t="shared" si="28"/>
        <v>SEDESE3920</v>
      </c>
      <c r="E1736" t="s">
        <v>3107</v>
      </c>
    </row>
    <row r="1737" spans="1:5" x14ac:dyDescent="0.25">
      <c r="A1737">
        <v>1481</v>
      </c>
      <c r="B1737" t="s">
        <v>1753</v>
      </c>
      <c r="C1737" t="s">
        <v>3002</v>
      </c>
      <c r="D1737" t="str">
        <f t="shared" si="28"/>
        <v>SEDESE3921</v>
      </c>
      <c r="E1737" t="s">
        <v>3001</v>
      </c>
    </row>
    <row r="1738" spans="1:5" x14ac:dyDescent="0.25">
      <c r="A1738">
        <v>1481</v>
      </c>
      <c r="B1738" t="s">
        <v>1753</v>
      </c>
      <c r="C1738" t="s">
        <v>3003</v>
      </c>
      <c r="D1738" t="str">
        <f t="shared" si="28"/>
        <v>SEDESE3922</v>
      </c>
      <c r="E1738" t="s">
        <v>2954</v>
      </c>
    </row>
    <row r="1739" spans="1:5" x14ac:dyDescent="0.25">
      <c r="A1739">
        <v>1481</v>
      </c>
      <c r="B1739" t="s">
        <v>1753</v>
      </c>
      <c r="C1739" t="s">
        <v>428</v>
      </c>
      <c r="D1739" t="str">
        <f t="shared" si="28"/>
        <v>SEDESE3923</v>
      </c>
      <c r="E1739" t="s">
        <v>2968</v>
      </c>
    </row>
    <row r="1740" spans="1:5" x14ac:dyDescent="0.25">
      <c r="A1740">
        <v>1481</v>
      </c>
      <c r="B1740" t="s">
        <v>1753</v>
      </c>
      <c r="C1740" t="s">
        <v>566</v>
      </c>
      <c r="D1740" t="str">
        <f t="shared" si="28"/>
        <v>SEDESE3924</v>
      </c>
      <c r="E1740" t="s">
        <v>3004</v>
      </c>
    </row>
    <row r="1741" spans="1:5" x14ac:dyDescent="0.25">
      <c r="A1741">
        <v>1481</v>
      </c>
      <c r="B1741" t="s">
        <v>1753</v>
      </c>
      <c r="C1741" t="s">
        <v>443</v>
      </c>
      <c r="D1741" t="str">
        <f t="shared" si="28"/>
        <v>SEDESE3926</v>
      </c>
      <c r="E1741" t="s">
        <v>3006</v>
      </c>
    </row>
    <row r="1742" spans="1:5" x14ac:dyDescent="0.25">
      <c r="A1742">
        <v>1481</v>
      </c>
      <c r="B1742" t="s">
        <v>1753</v>
      </c>
      <c r="C1742" t="s">
        <v>3008</v>
      </c>
      <c r="D1742" t="str">
        <f t="shared" si="28"/>
        <v>SEDESE3927</v>
      </c>
      <c r="E1742" t="s">
        <v>3009</v>
      </c>
    </row>
    <row r="1743" spans="1:5" x14ac:dyDescent="0.25">
      <c r="A1743">
        <v>1481</v>
      </c>
      <c r="B1743" t="s">
        <v>1753</v>
      </c>
      <c r="C1743" t="s">
        <v>458</v>
      </c>
      <c r="D1743" t="str">
        <f t="shared" si="28"/>
        <v>SEDESE3930</v>
      </c>
      <c r="E1743" t="s">
        <v>3006</v>
      </c>
    </row>
    <row r="1744" spans="1:5" x14ac:dyDescent="0.25">
      <c r="A1744">
        <v>1481</v>
      </c>
      <c r="B1744" t="s">
        <v>1753</v>
      </c>
      <c r="C1744" t="s">
        <v>1481</v>
      </c>
      <c r="D1744" t="str">
        <f t="shared" si="28"/>
        <v>SEDESE3931</v>
      </c>
      <c r="E1744" t="s">
        <v>2968</v>
      </c>
    </row>
    <row r="1745" spans="1:5" x14ac:dyDescent="0.25">
      <c r="A1745">
        <v>1481</v>
      </c>
      <c r="B1745" t="s">
        <v>1753</v>
      </c>
      <c r="C1745" t="s">
        <v>3017</v>
      </c>
      <c r="D1745" t="str">
        <f t="shared" si="28"/>
        <v>SEDESE3936</v>
      </c>
      <c r="E1745" t="s">
        <v>94</v>
      </c>
    </row>
    <row r="1746" spans="1:5" x14ac:dyDescent="0.25">
      <c r="A1746">
        <v>1481</v>
      </c>
      <c r="B1746" t="s">
        <v>1753</v>
      </c>
      <c r="C1746" t="s">
        <v>3088</v>
      </c>
      <c r="D1746" t="str">
        <f t="shared" si="28"/>
        <v>SEDESE3937</v>
      </c>
      <c r="E1746" t="s">
        <v>3107</v>
      </c>
    </row>
    <row r="1747" spans="1:5" x14ac:dyDescent="0.25">
      <c r="A1747">
        <v>1481</v>
      </c>
      <c r="B1747" t="s">
        <v>1753</v>
      </c>
      <c r="C1747" t="s">
        <v>3019</v>
      </c>
      <c r="D1747" t="str">
        <f t="shared" si="28"/>
        <v>SEDESE3940</v>
      </c>
      <c r="E1747" t="s">
        <v>3009</v>
      </c>
    </row>
    <row r="1748" spans="1:5" x14ac:dyDescent="0.25">
      <c r="A1748">
        <v>1481</v>
      </c>
      <c r="B1748" t="s">
        <v>1753</v>
      </c>
      <c r="C1748" t="s">
        <v>480</v>
      </c>
      <c r="D1748" t="str">
        <f t="shared" si="28"/>
        <v>SEDESE3941</v>
      </c>
      <c r="E1748" t="s">
        <v>2968</v>
      </c>
    </row>
    <row r="1749" spans="1:5" x14ac:dyDescent="0.25">
      <c r="A1749">
        <v>1481</v>
      </c>
      <c r="B1749" t="s">
        <v>1753</v>
      </c>
      <c r="C1749" t="s">
        <v>3020</v>
      </c>
      <c r="D1749" t="str">
        <f t="shared" si="28"/>
        <v>SEDESE3943</v>
      </c>
      <c r="E1749" t="s">
        <v>2958</v>
      </c>
    </row>
    <row r="1750" spans="1:5" x14ac:dyDescent="0.25">
      <c r="A1750">
        <v>1481</v>
      </c>
      <c r="B1750" t="s">
        <v>1753</v>
      </c>
      <c r="C1750" t="s">
        <v>488</v>
      </c>
      <c r="D1750" t="str">
        <f t="shared" si="28"/>
        <v>SEDESE3946</v>
      </c>
      <c r="E1750" t="s">
        <v>3235</v>
      </c>
    </row>
    <row r="1751" spans="1:5" x14ac:dyDescent="0.25">
      <c r="A1751">
        <v>1481</v>
      </c>
      <c r="B1751" t="s">
        <v>1753</v>
      </c>
      <c r="C1751" t="s">
        <v>3096</v>
      </c>
      <c r="D1751" t="str">
        <f t="shared" si="28"/>
        <v>SEDESE3949</v>
      </c>
      <c r="E1751" t="s">
        <v>3004</v>
      </c>
    </row>
    <row r="1752" spans="1:5" x14ac:dyDescent="0.25">
      <c r="A1752">
        <v>1481</v>
      </c>
      <c r="B1752" t="s">
        <v>1753</v>
      </c>
      <c r="C1752" t="s">
        <v>3022</v>
      </c>
      <c r="D1752" t="str">
        <f t="shared" si="28"/>
        <v>SEDESE3950</v>
      </c>
      <c r="E1752" t="s">
        <v>44</v>
      </c>
    </row>
    <row r="1753" spans="1:5" x14ac:dyDescent="0.25">
      <c r="A1753">
        <v>1481</v>
      </c>
      <c r="B1753" t="s">
        <v>1753</v>
      </c>
      <c r="C1753" t="s">
        <v>3098</v>
      </c>
      <c r="D1753" t="str">
        <f t="shared" si="28"/>
        <v>SEDESE3952</v>
      </c>
      <c r="E1753" t="s">
        <v>65</v>
      </c>
    </row>
    <row r="1754" spans="1:5" x14ac:dyDescent="0.25">
      <c r="A1754">
        <v>1481</v>
      </c>
      <c r="B1754" t="s">
        <v>1753</v>
      </c>
      <c r="C1754" t="s">
        <v>496</v>
      </c>
      <c r="D1754" t="str">
        <f t="shared" si="28"/>
        <v>SEDESE3953</v>
      </c>
      <c r="E1754" t="s">
        <v>3004</v>
      </c>
    </row>
    <row r="1755" spans="1:5" x14ac:dyDescent="0.25">
      <c r="A1755">
        <v>1481</v>
      </c>
      <c r="B1755" t="s">
        <v>1753</v>
      </c>
      <c r="C1755" t="s">
        <v>498</v>
      </c>
      <c r="D1755" t="str">
        <f t="shared" si="28"/>
        <v>SEDESE3955</v>
      </c>
      <c r="E1755" t="s">
        <v>2968</v>
      </c>
    </row>
    <row r="1756" spans="1:5" x14ac:dyDescent="0.25">
      <c r="A1756">
        <v>1481</v>
      </c>
      <c r="B1756" t="s">
        <v>1753</v>
      </c>
      <c r="C1756" t="s">
        <v>499</v>
      </c>
      <c r="D1756" t="str">
        <f t="shared" si="28"/>
        <v>SEDESE3956</v>
      </c>
      <c r="E1756" t="s">
        <v>2968</v>
      </c>
    </row>
    <row r="1757" spans="1:5" x14ac:dyDescent="0.25">
      <c r="A1757">
        <v>1481</v>
      </c>
      <c r="B1757" t="s">
        <v>1753</v>
      </c>
      <c r="C1757" t="s">
        <v>3102</v>
      </c>
      <c r="D1757" t="str">
        <f t="shared" si="28"/>
        <v>SEDESE3960</v>
      </c>
      <c r="E1757" t="s">
        <v>2968</v>
      </c>
    </row>
    <row r="1758" spans="1:5" x14ac:dyDescent="0.25">
      <c r="A1758">
        <v>1481</v>
      </c>
      <c r="B1758" t="s">
        <v>1753</v>
      </c>
      <c r="C1758" t="s">
        <v>3027</v>
      </c>
      <c r="D1758" t="str">
        <f t="shared" si="28"/>
        <v>SEDESE3961</v>
      </c>
      <c r="E1758" t="s">
        <v>103</v>
      </c>
    </row>
    <row r="1759" spans="1:5" x14ac:dyDescent="0.25">
      <c r="A1759">
        <v>1481</v>
      </c>
      <c r="B1759" t="s">
        <v>1753</v>
      </c>
      <c r="C1759" t="s">
        <v>1154</v>
      </c>
      <c r="D1759" t="str">
        <f t="shared" si="28"/>
        <v>SEDESE3969</v>
      </c>
      <c r="E1759" t="s">
        <v>2992</v>
      </c>
    </row>
    <row r="1760" spans="1:5" x14ac:dyDescent="0.25">
      <c r="A1760">
        <v>1481</v>
      </c>
      <c r="B1760" t="s">
        <v>1753</v>
      </c>
      <c r="C1760" t="s">
        <v>3031</v>
      </c>
      <c r="D1760" t="str">
        <f t="shared" si="28"/>
        <v>SEDESE3970</v>
      </c>
      <c r="E1760" t="s">
        <v>3009</v>
      </c>
    </row>
    <row r="1761" spans="1:5" x14ac:dyDescent="0.25">
      <c r="A1761">
        <v>1481</v>
      </c>
      <c r="B1761" t="s">
        <v>1753</v>
      </c>
      <c r="C1761" t="s">
        <v>3246</v>
      </c>
      <c r="D1761" t="str">
        <f t="shared" si="28"/>
        <v>SEDESE3975</v>
      </c>
      <c r="E1761" t="s">
        <v>2968</v>
      </c>
    </row>
    <row r="1762" spans="1:5" x14ac:dyDescent="0.25">
      <c r="A1762">
        <v>1481</v>
      </c>
      <c r="B1762" t="s">
        <v>1753</v>
      </c>
      <c r="C1762" t="s">
        <v>520</v>
      </c>
      <c r="D1762" t="str">
        <f t="shared" si="28"/>
        <v>SEDESE3978</v>
      </c>
      <c r="E1762" t="s">
        <v>2981</v>
      </c>
    </row>
    <row r="1763" spans="1:5" x14ac:dyDescent="0.25">
      <c r="A1763">
        <v>1481</v>
      </c>
      <c r="B1763" t="s">
        <v>1753</v>
      </c>
      <c r="C1763" t="s">
        <v>3216</v>
      </c>
      <c r="D1763" t="str">
        <f t="shared" si="28"/>
        <v>SEDESE3980</v>
      </c>
      <c r="E1763" t="s">
        <v>3081</v>
      </c>
    </row>
    <row r="1764" spans="1:5" x14ac:dyDescent="0.25">
      <c r="A1764">
        <v>1481</v>
      </c>
      <c r="B1764" t="s">
        <v>1753</v>
      </c>
      <c r="C1764" t="s">
        <v>3036</v>
      </c>
      <c r="D1764" t="str">
        <f t="shared" si="28"/>
        <v>SEDESE3987</v>
      </c>
      <c r="E1764" t="s">
        <v>2958</v>
      </c>
    </row>
    <row r="1765" spans="1:5" x14ac:dyDescent="0.25">
      <c r="A1765">
        <v>1481</v>
      </c>
      <c r="B1765" t="s">
        <v>1753</v>
      </c>
      <c r="C1765" t="s">
        <v>528</v>
      </c>
      <c r="D1765" t="str">
        <f t="shared" si="28"/>
        <v>SEDESE3988</v>
      </c>
      <c r="E1765" t="s">
        <v>2968</v>
      </c>
    </row>
    <row r="1766" spans="1:5" x14ac:dyDescent="0.25">
      <c r="A1766">
        <v>1481</v>
      </c>
      <c r="B1766" t="s">
        <v>1753</v>
      </c>
      <c r="C1766" t="s">
        <v>3040</v>
      </c>
      <c r="D1766" t="str">
        <f t="shared" si="28"/>
        <v>SEDESE3999</v>
      </c>
      <c r="E1766" t="s">
        <v>2968</v>
      </c>
    </row>
    <row r="1767" spans="1:5" x14ac:dyDescent="0.25">
      <c r="A1767">
        <v>1481</v>
      </c>
      <c r="B1767" t="s">
        <v>1753</v>
      </c>
      <c r="C1767" t="s">
        <v>3041</v>
      </c>
      <c r="D1767" t="str">
        <f t="shared" si="28"/>
        <v>SEDESE4002</v>
      </c>
      <c r="E1767" t="s">
        <v>3009</v>
      </c>
    </row>
    <row r="1768" spans="1:5" x14ac:dyDescent="0.25">
      <c r="A1768">
        <v>1481</v>
      </c>
      <c r="B1768" t="s">
        <v>1753</v>
      </c>
      <c r="C1768" t="s">
        <v>3043</v>
      </c>
      <c r="D1768" t="str">
        <f t="shared" si="28"/>
        <v>SEDESE4003</v>
      </c>
      <c r="E1768" t="s">
        <v>94</v>
      </c>
    </row>
    <row r="1769" spans="1:5" x14ac:dyDescent="0.25">
      <c r="A1769">
        <v>1481</v>
      </c>
      <c r="B1769" t="s">
        <v>1753</v>
      </c>
      <c r="C1769" t="s">
        <v>3045</v>
      </c>
      <c r="D1769" t="str">
        <f t="shared" si="28"/>
        <v>SEDESE4004</v>
      </c>
      <c r="E1769" t="s">
        <v>3009</v>
      </c>
    </row>
    <row r="1770" spans="1:5" x14ac:dyDescent="0.25">
      <c r="A1770">
        <v>1481</v>
      </c>
      <c r="B1770" t="s">
        <v>1753</v>
      </c>
      <c r="C1770" t="s">
        <v>3047</v>
      </c>
      <c r="D1770" t="str">
        <f t="shared" si="28"/>
        <v>SEDESE4005</v>
      </c>
      <c r="E1770" t="s">
        <v>3009</v>
      </c>
    </row>
    <row r="1771" spans="1:5" x14ac:dyDescent="0.25">
      <c r="A1771">
        <v>1481</v>
      </c>
      <c r="B1771" t="s">
        <v>1753</v>
      </c>
      <c r="C1771" t="s">
        <v>813</v>
      </c>
      <c r="D1771" t="str">
        <f t="shared" si="28"/>
        <v>SEDESE4006</v>
      </c>
      <c r="E1771" t="s">
        <v>3057</v>
      </c>
    </row>
    <row r="1772" spans="1:5" x14ac:dyDescent="0.25">
      <c r="A1772">
        <v>1481</v>
      </c>
      <c r="B1772" t="s">
        <v>1753</v>
      </c>
      <c r="C1772" t="s">
        <v>3138</v>
      </c>
      <c r="D1772" t="str">
        <f t="shared" si="28"/>
        <v>SEDESE4007</v>
      </c>
      <c r="E1772" t="s">
        <v>94</v>
      </c>
    </row>
    <row r="1773" spans="1:5" x14ac:dyDescent="0.25">
      <c r="A1773">
        <v>1481</v>
      </c>
      <c r="B1773" t="s">
        <v>1753</v>
      </c>
      <c r="C1773" t="s">
        <v>3123</v>
      </c>
      <c r="D1773" t="str">
        <f t="shared" si="28"/>
        <v>SEDESE4101</v>
      </c>
      <c r="E1773" t="s">
        <v>2968</v>
      </c>
    </row>
    <row r="1774" spans="1:5" x14ac:dyDescent="0.25">
      <c r="A1774">
        <v>1481</v>
      </c>
      <c r="B1774" t="s">
        <v>1753</v>
      </c>
      <c r="C1774" t="s">
        <v>3127</v>
      </c>
      <c r="D1774" t="str">
        <f t="shared" si="28"/>
        <v>SEDESE4201</v>
      </c>
      <c r="E1774" t="s">
        <v>3218</v>
      </c>
    </row>
    <row r="1775" spans="1:5" x14ac:dyDescent="0.25">
      <c r="A1775">
        <v>1481</v>
      </c>
      <c r="B1775" t="s">
        <v>1753</v>
      </c>
      <c r="C1775" t="s">
        <v>3128</v>
      </c>
      <c r="D1775" t="str">
        <f t="shared" si="28"/>
        <v>SEDESE4301</v>
      </c>
      <c r="E1775" t="s">
        <v>3239</v>
      </c>
    </row>
    <row r="1776" spans="1:5" x14ac:dyDescent="0.25">
      <c r="A1776">
        <v>1481</v>
      </c>
      <c r="B1776" t="s">
        <v>1753</v>
      </c>
      <c r="C1776" t="s">
        <v>3048</v>
      </c>
      <c r="D1776" t="str">
        <f t="shared" si="28"/>
        <v>SEDESE4701</v>
      </c>
      <c r="E1776" t="s">
        <v>3049</v>
      </c>
    </row>
    <row r="1777" spans="1:5" x14ac:dyDescent="0.25">
      <c r="A1777">
        <v>1481</v>
      </c>
      <c r="B1777" t="s">
        <v>1753</v>
      </c>
      <c r="C1777" t="s">
        <v>265</v>
      </c>
      <c r="D1777" t="str">
        <f t="shared" si="28"/>
        <v>SEDESE4703</v>
      </c>
      <c r="E1777" t="s">
        <v>3049</v>
      </c>
    </row>
    <row r="1778" spans="1:5" x14ac:dyDescent="0.25">
      <c r="A1778">
        <v>1481</v>
      </c>
      <c r="B1778" t="s">
        <v>1753</v>
      </c>
      <c r="C1778" t="s">
        <v>328</v>
      </c>
      <c r="D1778" t="str">
        <f t="shared" si="28"/>
        <v>SEDESE4707</v>
      </c>
      <c r="E1778" t="s">
        <v>3049</v>
      </c>
    </row>
    <row r="1779" spans="1:5" x14ac:dyDescent="0.25">
      <c r="A1779">
        <v>1481</v>
      </c>
      <c r="B1779" t="s">
        <v>1753</v>
      </c>
      <c r="C1779" t="s">
        <v>240</v>
      </c>
      <c r="D1779" t="str">
        <f t="shared" si="28"/>
        <v>SEDESE4801</v>
      </c>
      <c r="E1779" t="s">
        <v>2968</v>
      </c>
    </row>
    <row r="1780" spans="1:5" x14ac:dyDescent="0.25">
      <c r="A1780">
        <v>1481</v>
      </c>
      <c r="B1780" t="s">
        <v>1753</v>
      </c>
      <c r="C1780" t="s">
        <v>3053</v>
      </c>
      <c r="D1780" t="str">
        <f t="shared" si="28"/>
        <v>SEDESE5103</v>
      </c>
      <c r="E1780" t="s">
        <v>3052</v>
      </c>
    </row>
    <row r="1781" spans="1:5" x14ac:dyDescent="0.25">
      <c r="A1781">
        <v>1481</v>
      </c>
      <c r="B1781" t="s">
        <v>1753</v>
      </c>
      <c r="C1781" t="s">
        <v>3286</v>
      </c>
      <c r="D1781" t="str">
        <f t="shared" si="28"/>
        <v>SEDESE5109</v>
      </c>
      <c r="E1781" t="s">
        <v>3052</v>
      </c>
    </row>
    <row r="1782" spans="1:5" x14ac:dyDescent="0.25">
      <c r="A1782">
        <v>1481</v>
      </c>
      <c r="B1782" t="s">
        <v>1753</v>
      </c>
      <c r="C1782" t="s">
        <v>3054</v>
      </c>
      <c r="D1782" t="str">
        <f t="shared" si="28"/>
        <v>SEDESE5204</v>
      </c>
      <c r="E1782" t="s">
        <v>3055</v>
      </c>
    </row>
    <row r="1783" spans="1:5" x14ac:dyDescent="0.25">
      <c r="A1783">
        <v>1481</v>
      </c>
      <c r="B1783" t="s">
        <v>1753</v>
      </c>
      <c r="C1783" t="s">
        <v>3058</v>
      </c>
      <c r="D1783" t="str">
        <f t="shared" si="28"/>
        <v>SEDESE5207</v>
      </c>
      <c r="E1783" t="s">
        <v>3057</v>
      </c>
    </row>
    <row r="1784" spans="1:5" x14ac:dyDescent="0.25">
      <c r="A1784">
        <v>1481</v>
      </c>
      <c r="B1784" t="s">
        <v>1753</v>
      </c>
      <c r="C1784" t="s">
        <v>3060</v>
      </c>
      <c r="D1784" t="str">
        <f t="shared" si="28"/>
        <v>SEDESE5208</v>
      </c>
      <c r="E1784" t="s">
        <v>3057</v>
      </c>
    </row>
    <row r="1785" spans="1:5" x14ac:dyDescent="0.25">
      <c r="A1785">
        <v>1481</v>
      </c>
      <c r="B1785" t="s">
        <v>1753</v>
      </c>
      <c r="C1785" t="s">
        <v>3063</v>
      </c>
      <c r="D1785" t="str">
        <f t="shared" si="28"/>
        <v>SEDESE5210</v>
      </c>
      <c r="E1785" t="s">
        <v>3055</v>
      </c>
    </row>
    <row r="1786" spans="1:5" x14ac:dyDescent="0.25">
      <c r="A1786">
        <v>1481</v>
      </c>
      <c r="B1786" t="s">
        <v>1753</v>
      </c>
      <c r="C1786" t="s">
        <v>3064</v>
      </c>
      <c r="D1786" t="str">
        <f t="shared" si="28"/>
        <v>SEDESE5212</v>
      </c>
      <c r="E1786" t="s">
        <v>3055</v>
      </c>
    </row>
    <row r="1787" spans="1:5" x14ac:dyDescent="0.25">
      <c r="A1787">
        <v>1481</v>
      </c>
      <c r="B1787" t="s">
        <v>1753</v>
      </c>
      <c r="C1787" t="s">
        <v>385</v>
      </c>
      <c r="D1787" t="str">
        <f t="shared" si="28"/>
        <v>SEDESE5213</v>
      </c>
      <c r="E1787" t="s">
        <v>3055</v>
      </c>
    </row>
    <row r="1788" spans="1:5" x14ac:dyDescent="0.25">
      <c r="A1788">
        <v>1481</v>
      </c>
      <c r="B1788" t="s">
        <v>1753</v>
      </c>
      <c r="C1788" t="s">
        <v>391</v>
      </c>
      <c r="D1788" t="str">
        <f t="shared" si="28"/>
        <v>SEDESE5214</v>
      </c>
      <c r="E1788" t="s">
        <v>3055</v>
      </c>
    </row>
    <row r="1789" spans="1:5" x14ac:dyDescent="0.25">
      <c r="A1789">
        <v>1481</v>
      </c>
      <c r="B1789" t="s">
        <v>1753</v>
      </c>
      <c r="C1789" t="s">
        <v>403</v>
      </c>
      <c r="D1789" t="str">
        <f t="shared" si="28"/>
        <v>SEDESE5216</v>
      </c>
      <c r="E1789" t="s">
        <v>3067</v>
      </c>
    </row>
    <row r="1790" spans="1:5" x14ac:dyDescent="0.25">
      <c r="A1790">
        <v>1481</v>
      </c>
      <c r="B1790" t="s">
        <v>1753</v>
      </c>
      <c r="C1790" t="s">
        <v>409</v>
      </c>
      <c r="D1790" t="str">
        <f t="shared" si="28"/>
        <v>SEDESE5217</v>
      </c>
      <c r="E1790" t="s">
        <v>3067</v>
      </c>
    </row>
    <row r="1791" spans="1:5" x14ac:dyDescent="0.25">
      <c r="A1791">
        <v>1481</v>
      </c>
      <c r="B1791" t="s">
        <v>1753</v>
      </c>
      <c r="C1791" t="s">
        <v>434</v>
      </c>
      <c r="D1791" t="str">
        <f t="shared" si="28"/>
        <v>SEDESE5222</v>
      </c>
      <c r="E1791" t="s">
        <v>3055</v>
      </c>
    </row>
    <row r="1792" spans="1:5" x14ac:dyDescent="0.25">
      <c r="A1792">
        <v>1481</v>
      </c>
      <c r="B1792" t="s">
        <v>1753</v>
      </c>
      <c r="C1792" t="s">
        <v>3287</v>
      </c>
      <c r="D1792" t="str">
        <f t="shared" si="28"/>
        <v>SEDESE5224</v>
      </c>
      <c r="E1792" t="s">
        <v>3055</v>
      </c>
    </row>
    <row r="1793" spans="1:5" x14ac:dyDescent="0.25">
      <c r="A1793">
        <v>1481</v>
      </c>
      <c r="B1793" t="s">
        <v>1753</v>
      </c>
      <c r="C1793" t="s">
        <v>449</v>
      </c>
      <c r="D1793" t="str">
        <f t="shared" si="28"/>
        <v>SEDESE5225</v>
      </c>
      <c r="E1793" t="s">
        <v>3055</v>
      </c>
    </row>
    <row r="1794" spans="1:5" x14ac:dyDescent="0.25">
      <c r="A1794">
        <v>1481</v>
      </c>
      <c r="B1794" t="s">
        <v>1753</v>
      </c>
      <c r="C1794" t="s">
        <v>3070</v>
      </c>
      <c r="D1794" t="str">
        <f t="shared" si="28"/>
        <v>SEDESE5226</v>
      </c>
      <c r="E1794" t="s">
        <v>3055</v>
      </c>
    </row>
    <row r="1795" spans="1:5" x14ac:dyDescent="0.25">
      <c r="A1795">
        <v>1481</v>
      </c>
      <c r="B1795" t="s">
        <v>1753</v>
      </c>
      <c r="C1795" t="s">
        <v>459</v>
      </c>
      <c r="D1795" t="str">
        <f t="shared" si="28"/>
        <v>SEDESE5299</v>
      </c>
      <c r="E1795" t="s">
        <v>3055</v>
      </c>
    </row>
    <row r="1796" spans="1:5" x14ac:dyDescent="0.25">
      <c r="A1796">
        <v>1481</v>
      </c>
      <c r="B1796" t="s">
        <v>1753</v>
      </c>
      <c r="C1796" t="s">
        <v>3211</v>
      </c>
      <c r="D1796" t="str">
        <f t="shared" si="28"/>
        <v>SEDESE9108</v>
      </c>
      <c r="E1796" t="s">
        <v>3212</v>
      </c>
    </row>
    <row r="1797" spans="1:5" x14ac:dyDescent="0.25">
      <c r="A1797">
        <v>1481</v>
      </c>
      <c r="B1797" t="s">
        <v>1753</v>
      </c>
      <c r="C1797" t="s">
        <v>3074</v>
      </c>
      <c r="D1797" t="str">
        <f t="shared" ref="D1797:D1860" si="29">CONCATENATE(B1797,LEFT(C1797,4))</f>
        <v>SEDESE9202</v>
      </c>
      <c r="E1797" t="s">
        <v>3075</v>
      </c>
    </row>
    <row r="1798" spans="1:5" x14ac:dyDescent="0.25">
      <c r="A1798">
        <v>1481</v>
      </c>
      <c r="B1798" t="s">
        <v>1753</v>
      </c>
      <c r="C1798" t="s">
        <v>331</v>
      </c>
      <c r="D1798" t="str">
        <f t="shared" si="29"/>
        <v>SEDESE9306</v>
      </c>
      <c r="E1798" t="s">
        <v>3076</v>
      </c>
    </row>
    <row r="1799" spans="1:5" x14ac:dyDescent="0.25">
      <c r="A1799">
        <v>1481</v>
      </c>
      <c r="B1799" t="s">
        <v>1753</v>
      </c>
      <c r="C1799" t="s">
        <v>380</v>
      </c>
      <c r="D1799" t="str">
        <f t="shared" si="29"/>
        <v>SEDESE9312</v>
      </c>
      <c r="E1799" t="s">
        <v>2968</v>
      </c>
    </row>
    <row r="1800" spans="1:5" x14ac:dyDescent="0.25">
      <c r="A1800">
        <v>1481</v>
      </c>
      <c r="B1800" t="s">
        <v>1753</v>
      </c>
      <c r="C1800" t="s">
        <v>3079</v>
      </c>
      <c r="D1800" t="str">
        <f t="shared" si="29"/>
        <v>SEDESE9399</v>
      </c>
      <c r="E1800" t="s">
        <v>2968</v>
      </c>
    </row>
    <row r="1801" spans="1:5" x14ac:dyDescent="0.25">
      <c r="A1801">
        <v>1491</v>
      </c>
      <c r="B1801" t="s">
        <v>1755</v>
      </c>
      <c r="C1801" t="s">
        <v>2925</v>
      </c>
      <c r="D1801" t="str">
        <f t="shared" si="29"/>
        <v>SEGOV0810</v>
      </c>
      <c r="E1801" t="s">
        <v>2926</v>
      </c>
    </row>
    <row r="1802" spans="1:5" x14ac:dyDescent="0.25">
      <c r="A1802">
        <v>1491</v>
      </c>
      <c r="B1802" t="s">
        <v>1755</v>
      </c>
      <c r="C1802" t="s">
        <v>2928</v>
      </c>
      <c r="D1802" t="str">
        <f t="shared" si="29"/>
        <v>SEGOV1401</v>
      </c>
      <c r="E1802" t="s">
        <v>44</v>
      </c>
    </row>
    <row r="1803" spans="1:5" x14ac:dyDescent="0.25">
      <c r="A1803">
        <v>1491</v>
      </c>
      <c r="B1803" t="s">
        <v>1755</v>
      </c>
      <c r="C1803" t="s">
        <v>2932</v>
      </c>
      <c r="D1803" t="str">
        <f t="shared" si="29"/>
        <v>SEGOV3001</v>
      </c>
      <c r="E1803" t="s">
        <v>2933</v>
      </c>
    </row>
    <row r="1804" spans="1:5" x14ac:dyDescent="0.25">
      <c r="A1804">
        <v>1491</v>
      </c>
      <c r="B1804" t="s">
        <v>1755</v>
      </c>
      <c r="C1804" t="s">
        <v>2937</v>
      </c>
      <c r="D1804" t="str">
        <f t="shared" si="29"/>
        <v>SEGOV3004</v>
      </c>
      <c r="E1804" t="s">
        <v>2933</v>
      </c>
    </row>
    <row r="1805" spans="1:5" x14ac:dyDescent="0.25">
      <c r="A1805">
        <v>1491</v>
      </c>
      <c r="B1805" t="s">
        <v>1755</v>
      </c>
      <c r="C1805" t="s">
        <v>2939</v>
      </c>
      <c r="D1805" t="str">
        <f t="shared" si="29"/>
        <v>SEGOV3005</v>
      </c>
      <c r="E1805" t="s">
        <v>2933</v>
      </c>
    </row>
    <row r="1806" spans="1:5" x14ac:dyDescent="0.25">
      <c r="A1806">
        <v>1491</v>
      </c>
      <c r="B1806" t="s">
        <v>1755</v>
      </c>
      <c r="C1806" t="s">
        <v>2948</v>
      </c>
      <c r="D1806" t="str">
        <f t="shared" si="29"/>
        <v>SEGOV3015</v>
      </c>
      <c r="E1806" t="s">
        <v>2933</v>
      </c>
    </row>
    <row r="1807" spans="1:5" x14ac:dyDescent="0.25">
      <c r="A1807">
        <v>1491</v>
      </c>
      <c r="B1807" t="s">
        <v>1755</v>
      </c>
      <c r="C1807" t="s">
        <v>2950</v>
      </c>
      <c r="D1807" t="str">
        <f t="shared" si="29"/>
        <v>SEGOV3016</v>
      </c>
      <c r="E1807" t="s">
        <v>2933</v>
      </c>
    </row>
    <row r="1808" spans="1:5" x14ac:dyDescent="0.25">
      <c r="A1808">
        <v>1491</v>
      </c>
      <c r="B1808" t="s">
        <v>1755</v>
      </c>
      <c r="C1808" t="s">
        <v>406</v>
      </c>
      <c r="D1808" t="str">
        <f t="shared" si="29"/>
        <v>SEGOV3017</v>
      </c>
      <c r="E1808" t="s">
        <v>2933</v>
      </c>
    </row>
    <row r="1809" spans="1:5" x14ac:dyDescent="0.25">
      <c r="A1809">
        <v>1491</v>
      </c>
      <c r="B1809" t="s">
        <v>1755</v>
      </c>
      <c r="C1809" t="s">
        <v>2953</v>
      </c>
      <c r="D1809" t="str">
        <f t="shared" si="29"/>
        <v>SEGOV3019</v>
      </c>
      <c r="E1809" t="s">
        <v>2954</v>
      </c>
    </row>
    <row r="1810" spans="1:5" x14ac:dyDescent="0.25">
      <c r="A1810">
        <v>1491</v>
      </c>
      <c r="B1810" t="s">
        <v>1755</v>
      </c>
      <c r="C1810" t="s">
        <v>2955</v>
      </c>
      <c r="D1810" t="str">
        <f t="shared" si="29"/>
        <v>SEGOV3020</v>
      </c>
      <c r="E1810" t="s">
        <v>2933</v>
      </c>
    </row>
    <row r="1811" spans="1:5" x14ac:dyDescent="0.25">
      <c r="A1811">
        <v>1491</v>
      </c>
      <c r="B1811" t="s">
        <v>1755</v>
      </c>
      <c r="C1811" t="s">
        <v>2956</v>
      </c>
      <c r="D1811" t="str">
        <f t="shared" si="29"/>
        <v>SEGOV3021</v>
      </c>
      <c r="E1811" t="s">
        <v>2933</v>
      </c>
    </row>
    <row r="1812" spans="1:5" x14ac:dyDescent="0.25">
      <c r="A1812">
        <v>1491</v>
      </c>
      <c r="B1812" t="s">
        <v>1755</v>
      </c>
      <c r="C1812" t="s">
        <v>431</v>
      </c>
      <c r="D1812" t="str">
        <f t="shared" si="29"/>
        <v>SEGOV3022</v>
      </c>
      <c r="E1812" t="s">
        <v>2933</v>
      </c>
    </row>
    <row r="1813" spans="1:5" x14ac:dyDescent="0.25">
      <c r="A1813">
        <v>1491</v>
      </c>
      <c r="B1813" t="s">
        <v>1755</v>
      </c>
      <c r="C1813" t="s">
        <v>2957</v>
      </c>
      <c r="D1813" t="str">
        <f t="shared" si="29"/>
        <v>SEGOV3023</v>
      </c>
      <c r="E1813" t="s">
        <v>2958</v>
      </c>
    </row>
    <row r="1814" spans="1:5" x14ac:dyDescent="0.25">
      <c r="A1814">
        <v>1491</v>
      </c>
      <c r="B1814" t="s">
        <v>1755</v>
      </c>
      <c r="C1814" t="s">
        <v>441</v>
      </c>
      <c r="D1814" t="str">
        <f t="shared" si="29"/>
        <v>SEGOV3024</v>
      </c>
      <c r="E1814" t="s">
        <v>2933</v>
      </c>
    </row>
    <row r="1815" spans="1:5" x14ac:dyDescent="0.25">
      <c r="A1815">
        <v>1491</v>
      </c>
      <c r="B1815" t="s">
        <v>1755</v>
      </c>
      <c r="C1815" t="s">
        <v>2959</v>
      </c>
      <c r="D1815" t="str">
        <f t="shared" si="29"/>
        <v>SEGOV3025</v>
      </c>
      <c r="E1815" t="s">
        <v>2933</v>
      </c>
    </row>
    <row r="1816" spans="1:5" x14ac:dyDescent="0.25">
      <c r="A1816">
        <v>1491</v>
      </c>
      <c r="B1816" t="s">
        <v>1755</v>
      </c>
      <c r="C1816" t="s">
        <v>2960</v>
      </c>
      <c r="D1816" t="str">
        <f t="shared" si="29"/>
        <v>SEGOV3026</v>
      </c>
      <c r="E1816" t="s">
        <v>2958</v>
      </c>
    </row>
    <row r="1817" spans="1:5" x14ac:dyDescent="0.25">
      <c r="A1817">
        <v>1491</v>
      </c>
      <c r="B1817" t="s">
        <v>1755</v>
      </c>
      <c r="C1817" t="s">
        <v>467</v>
      </c>
      <c r="D1817" t="str">
        <f t="shared" si="29"/>
        <v>SEGOV3030</v>
      </c>
      <c r="E1817" t="s">
        <v>2933</v>
      </c>
    </row>
    <row r="1818" spans="1:5" x14ac:dyDescent="0.25">
      <c r="A1818">
        <v>1491</v>
      </c>
      <c r="B1818" t="s">
        <v>1755</v>
      </c>
      <c r="C1818" t="s">
        <v>470</v>
      </c>
      <c r="D1818" t="str">
        <f t="shared" si="29"/>
        <v>SEGOV3031</v>
      </c>
      <c r="E1818" t="s">
        <v>2933</v>
      </c>
    </row>
    <row r="1819" spans="1:5" x14ac:dyDescent="0.25">
      <c r="A1819">
        <v>1491</v>
      </c>
      <c r="B1819" t="s">
        <v>1755</v>
      </c>
      <c r="C1819" t="s">
        <v>2963</v>
      </c>
      <c r="D1819" t="str">
        <f t="shared" si="29"/>
        <v>SEGOV3032</v>
      </c>
      <c r="E1819" t="s">
        <v>2933</v>
      </c>
    </row>
    <row r="1820" spans="1:5" x14ac:dyDescent="0.25">
      <c r="A1820">
        <v>1491</v>
      </c>
      <c r="B1820" t="s">
        <v>1755</v>
      </c>
      <c r="C1820" t="s">
        <v>2993</v>
      </c>
      <c r="D1820" t="str">
        <f t="shared" si="29"/>
        <v>SEGOV3041</v>
      </c>
      <c r="E1820" t="s">
        <v>2933</v>
      </c>
    </row>
    <row r="1821" spans="1:5" x14ac:dyDescent="0.25">
      <c r="A1821">
        <v>1491</v>
      </c>
      <c r="B1821" t="s">
        <v>1755</v>
      </c>
      <c r="C1821" t="s">
        <v>491</v>
      </c>
      <c r="D1821" t="str">
        <f t="shared" si="29"/>
        <v>SEGOV3099</v>
      </c>
      <c r="E1821" t="s">
        <v>2933</v>
      </c>
    </row>
    <row r="1822" spans="1:5" x14ac:dyDescent="0.25">
      <c r="A1822">
        <v>1491</v>
      </c>
      <c r="B1822" t="s">
        <v>1755</v>
      </c>
      <c r="C1822" t="s">
        <v>2967</v>
      </c>
      <c r="D1822" t="str">
        <f t="shared" si="29"/>
        <v>SEGOV3101</v>
      </c>
      <c r="E1822" t="s">
        <v>2968</v>
      </c>
    </row>
    <row r="1823" spans="1:5" x14ac:dyDescent="0.25">
      <c r="A1823">
        <v>1491</v>
      </c>
      <c r="B1823" t="s">
        <v>1755</v>
      </c>
      <c r="C1823" t="s">
        <v>54</v>
      </c>
      <c r="D1823" t="str">
        <f t="shared" si="29"/>
        <v>SEGOV3301</v>
      </c>
      <c r="E1823" t="s">
        <v>44</v>
      </c>
    </row>
    <row r="1824" spans="1:5" x14ac:dyDescent="0.25">
      <c r="A1824">
        <v>1491</v>
      </c>
      <c r="B1824" t="s">
        <v>1755</v>
      </c>
      <c r="C1824" t="s">
        <v>2975</v>
      </c>
      <c r="D1824" t="str">
        <f t="shared" si="29"/>
        <v>SEGOV3302</v>
      </c>
      <c r="E1824" t="s">
        <v>44</v>
      </c>
    </row>
    <row r="1825" spans="1:5" x14ac:dyDescent="0.25">
      <c r="A1825">
        <v>1491</v>
      </c>
      <c r="B1825" t="s">
        <v>1755</v>
      </c>
      <c r="C1825" t="s">
        <v>2977</v>
      </c>
      <c r="D1825" t="str">
        <f t="shared" si="29"/>
        <v>SEGOV3304</v>
      </c>
      <c r="E1825" t="s">
        <v>44</v>
      </c>
    </row>
    <row r="1826" spans="1:5" x14ac:dyDescent="0.25">
      <c r="A1826">
        <v>1491</v>
      </c>
      <c r="B1826" t="s">
        <v>1755</v>
      </c>
      <c r="C1826" t="s">
        <v>309</v>
      </c>
      <c r="D1826" t="str">
        <f t="shared" si="29"/>
        <v>SEGOV3305</v>
      </c>
      <c r="E1826" t="s">
        <v>44</v>
      </c>
    </row>
    <row r="1827" spans="1:5" x14ac:dyDescent="0.25">
      <c r="A1827">
        <v>1491</v>
      </c>
      <c r="B1827" t="s">
        <v>1755</v>
      </c>
      <c r="C1827" t="s">
        <v>3201</v>
      </c>
      <c r="D1827" t="str">
        <f t="shared" si="29"/>
        <v>SEGOV3502</v>
      </c>
      <c r="E1827" t="s">
        <v>1660</v>
      </c>
    </row>
    <row r="1828" spans="1:5" x14ac:dyDescent="0.25">
      <c r="A1828">
        <v>1491</v>
      </c>
      <c r="B1828" t="s">
        <v>1755</v>
      </c>
      <c r="C1828" t="s">
        <v>3012</v>
      </c>
      <c r="D1828" t="str">
        <f t="shared" si="29"/>
        <v>SEGOV3601</v>
      </c>
      <c r="E1828" t="s">
        <v>65</v>
      </c>
    </row>
    <row r="1829" spans="1:5" x14ac:dyDescent="0.25">
      <c r="A1829">
        <v>1491</v>
      </c>
      <c r="B1829" t="s">
        <v>1755</v>
      </c>
      <c r="C1829" t="s">
        <v>297</v>
      </c>
      <c r="D1829" t="str">
        <f t="shared" si="29"/>
        <v>SEGOV3604</v>
      </c>
      <c r="E1829" t="s">
        <v>44</v>
      </c>
    </row>
    <row r="1830" spans="1:5" x14ac:dyDescent="0.25">
      <c r="A1830">
        <v>1491</v>
      </c>
      <c r="B1830" t="s">
        <v>1755</v>
      </c>
      <c r="C1830" t="s">
        <v>355</v>
      </c>
      <c r="D1830" t="str">
        <f t="shared" si="29"/>
        <v>SEGOV3610</v>
      </c>
      <c r="E1830" t="s">
        <v>2968</v>
      </c>
    </row>
    <row r="1831" spans="1:5" x14ac:dyDescent="0.25">
      <c r="A1831">
        <v>1491</v>
      </c>
      <c r="B1831" t="s">
        <v>1755</v>
      </c>
      <c r="C1831" t="s">
        <v>2979</v>
      </c>
      <c r="D1831" t="str">
        <f t="shared" si="29"/>
        <v>SEGOV3612</v>
      </c>
      <c r="E1831" t="s">
        <v>2968</v>
      </c>
    </row>
    <row r="1832" spans="1:5" x14ac:dyDescent="0.25">
      <c r="A1832">
        <v>1491</v>
      </c>
      <c r="B1832" t="s">
        <v>1755</v>
      </c>
      <c r="C1832" t="s">
        <v>401</v>
      </c>
      <c r="D1832" t="str">
        <f t="shared" si="29"/>
        <v>SEGOV3617</v>
      </c>
      <c r="E1832" t="s">
        <v>2968</v>
      </c>
    </row>
    <row r="1833" spans="1:5" x14ac:dyDescent="0.25">
      <c r="A1833">
        <v>1491</v>
      </c>
      <c r="B1833" t="s">
        <v>1755</v>
      </c>
      <c r="C1833" t="s">
        <v>471</v>
      </c>
      <c r="D1833" t="str">
        <f t="shared" si="29"/>
        <v>SEGOV3699</v>
      </c>
      <c r="E1833" t="s">
        <v>2968</v>
      </c>
    </row>
    <row r="1834" spans="1:5" x14ac:dyDescent="0.25">
      <c r="A1834">
        <v>1491</v>
      </c>
      <c r="B1834" t="s">
        <v>1755</v>
      </c>
      <c r="C1834" t="s">
        <v>2983</v>
      </c>
      <c r="D1834" t="str">
        <f t="shared" si="29"/>
        <v>SEGOV3703</v>
      </c>
      <c r="E1834" t="s">
        <v>117</v>
      </c>
    </row>
    <row r="1835" spans="1:5" x14ac:dyDescent="0.25">
      <c r="A1835">
        <v>1491</v>
      </c>
      <c r="B1835" t="s">
        <v>1755</v>
      </c>
      <c r="C1835" t="s">
        <v>2985</v>
      </c>
      <c r="D1835" t="str">
        <f t="shared" si="29"/>
        <v>SEGOV3704</v>
      </c>
      <c r="E1835" t="s">
        <v>117</v>
      </c>
    </row>
    <row r="1836" spans="1:5" x14ac:dyDescent="0.25">
      <c r="A1836">
        <v>1491</v>
      </c>
      <c r="B1836" t="s">
        <v>1755</v>
      </c>
      <c r="C1836" t="s">
        <v>2986</v>
      </c>
      <c r="D1836" t="str">
        <f t="shared" si="29"/>
        <v>SEGOV3705</v>
      </c>
      <c r="E1836" t="s">
        <v>117</v>
      </c>
    </row>
    <row r="1837" spans="1:5" x14ac:dyDescent="0.25">
      <c r="A1837">
        <v>1491</v>
      </c>
      <c r="B1837" t="s">
        <v>1755</v>
      </c>
      <c r="C1837" t="s">
        <v>2988</v>
      </c>
      <c r="D1837" t="str">
        <f t="shared" si="29"/>
        <v>SEGOV3903</v>
      </c>
      <c r="E1837" t="s">
        <v>87</v>
      </c>
    </row>
    <row r="1838" spans="1:5" x14ac:dyDescent="0.25">
      <c r="A1838">
        <v>1491</v>
      </c>
      <c r="B1838" t="s">
        <v>1755</v>
      </c>
      <c r="C1838" t="s">
        <v>299</v>
      </c>
      <c r="D1838" t="str">
        <f t="shared" si="29"/>
        <v>SEGOV3904</v>
      </c>
      <c r="E1838" t="s">
        <v>2968</v>
      </c>
    </row>
    <row r="1839" spans="1:5" x14ac:dyDescent="0.25">
      <c r="A1839">
        <v>1491</v>
      </c>
      <c r="B1839" t="s">
        <v>1755</v>
      </c>
      <c r="C1839" t="s">
        <v>2989</v>
      </c>
      <c r="D1839" t="str">
        <f t="shared" si="29"/>
        <v>SEGOV3908</v>
      </c>
      <c r="E1839" t="s">
        <v>2968</v>
      </c>
    </row>
    <row r="1840" spans="1:5" x14ac:dyDescent="0.25">
      <c r="A1840">
        <v>1491</v>
      </c>
      <c r="B1840" t="s">
        <v>1755</v>
      </c>
      <c r="C1840" t="s">
        <v>336</v>
      </c>
      <c r="D1840" t="str">
        <f t="shared" si="29"/>
        <v>SEGOV3909</v>
      </c>
      <c r="E1840" t="s">
        <v>2968</v>
      </c>
    </row>
    <row r="1841" spans="1:5" x14ac:dyDescent="0.25">
      <c r="A1841">
        <v>1491</v>
      </c>
      <c r="B1841" t="s">
        <v>1755</v>
      </c>
      <c r="C1841" t="s">
        <v>346</v>
      </c>
      <c r="D1841" t="str">
        <f t="shared" si="29"/>
        <v>SEGOV3910</v>
      </c>
      <c r="E1841" t="s">
        <v>2968</v>
      </c>
    </row>
    <row r="1842" spans="1:5" x14ac:dyDescent="0.25">
      <c r="A1842">
        <v>1491</v>
      </c>
      <c r="B1842" t="s">
        <v>1755</v>
      </c>
      <c r="C1842" t="s">
        <v>356</v>
      </c>
      <c r="D1842" t="str">
        <f t="shared" si="29"/>
        <v>SEGOV3911</v>
      </c>
      <c r="E1842" t="s">
        <v>2968</v>
      </c>
    </row>
    <row r="1843" spans="1:5" x14ac:dyDescent="0.25">
      <c r="A1843">
        <v>1491</v>
      </c>
      <c r="B1843" t="s">
        <v>1755</v>
      </c>
      <c r="C1843" t="s">
        <v>2991</v>
      </c>
      <c r="D1843" t="str">
        <f t="shared" si="29"/>
        <v>SEGOV3912</v>
      </c>
      <c r="E1843" t="s">
        <v>2992</v>
      </c>
    </row>
    <row r="1844" spans="1:5" x14ac:dyDescent="0.25">
      <c r="A1844">
        <v>1491</v>
      </c>
      <c r="B1844" t="s">
        <v>1755</v>
      </c>
      <c r="C1844" t="s">
        <v>377</v>
      </c>
      <c r="D1844" t="str">
        <f t="shared" si="29"/>
        <v>SEGOV3914</v>
      </c>
      <c r="E1844" t="s">
        <v>3009</v>
      </c>
    </row>
    <row r="1845" spans="1:5" x14ac:dyDescent="0.25">
      <c r="A1845">
        <v>1491</v>
      </c>
      <c r="B1845" t="s">
        <v>1755</v>
      </c>
      <c r="C1845" t="s">
        <v>2996</v>
      </c>
      <c r="D1845" t="str">
        <f t="shared" si="29"/>
        <v>SEGOV3917</v>
      </c>
      <c r="E1845" t="s">
        <v>2958</v>
      </c>
    </row>
    <row r="1846" spans="1:5" x14ac:dyDescent="0.25">
      <c r="A1846">
        <v>1491</v>
      </c>
      <c r="B1846" t="s">
        <v>1755</v>
      </c>
      <c r="C1846" t="s">
        <v>2998</v>
      </c>
      <c r="D1846" t="str">
        <f t="shared" si="29"/>
        <v>SEGOV3918</v>
      </c>
      <c r="E1846" t="s">
        <v>2958</v>
      </c>
    </row>
    <row r="1847" spans="1:5" x14ac:dyDescent="0.25">
      <c r="A1847">
        <v>1491</v>
      </c>
      <c r="B1847" t="s">
        <v>1755</v>
      </c>
      <c r="C1847" t="s">
        <v>3000</v>
      </c>
      <c r="D1847" t="str">
        <f t="shared" si="29"/>
        <v>SEGOV3919</v>
      </c>
      <c r="E1847" t="s">
        <v>3001</v>
      </c>
    </row>
    <row r="1848" spans="1:5" x14ac:dyDescent="0.25">
      <c r="A1848">
        <v>1491</v>
      </c>
      <c r="B1848" t="s">
        <v>1755</v>
      </c>
      <c r="C1848" t="s">
        <v>3077</v>
      </c>
      <c r="D1848" t="str">
        <f t="shared" si="29"/>
        <v>SEGOV3920</v>
      </c>
      <c r="E1848" t="s">
        <v>3107</v>
      </c>
    </row>
    <row r="1849" spans="1:5" x14ac:dyDescent="0.25">
      <c r="A1849">
        <v>1491</v>
      </c>
      <c r="B1849" t="s">
        <v>1755</v>
      </c>
      <c r="C1849" t="s">
        <v>3002</v>
      </c>
      <c r="D1849" t="str">
        <f t="shared" si="29"/>
        <v>SEGOV3921</v>
      </c>
      <c r="E1849" t="s">
        <v>3001</v>
      </c>
    </row>
    <row r="1850" spans="1:5" x14ac:dyDescent="0.25">
      <c r="A1850">
        <v>1491</v>
      </c>
      <c r="B1850" t="s">
        <v>1755</v>
      </c>
      <c r="C1850" t="s">
        <v>428</v>
      </c>
      <c r="D1850" t="str">
        <f t="shared" si="29"/>
        <v>SEGOV3923</v>
      </c>
      <c r="E1850" t="s">
        <v>2968</v>
      </c>
    </row>
    <row r="1851" spans="1:5" x14ac:dyDescent="0.25">
      <c r="A1851">
        <v>1491</v>
      </c>
      <c r="B1851" t="s">
        <v>1755</v>
      </c>
      <c r="C1851" t="s">
        <v>566</v>
      </c>
      <c r="D1851" t="str">
        <f t="shared" si="29"/>
        <v>SEGOV3924</v>
      </c>
      <c r="E1851" t="s">
        <v>3004</v>
      </c>
    </row>
    <row r="1852" spans="1:5" x14ac:dyDescent="0.25">
      <c r="A1852">
        <v>1491</v>
      </c>
      <c r="B1852" t="s">
        <v>1755</v>
      </c>
      <c r="C1852" t="s">
        <v>443</v>
      </c>
      <c r="D1852" t="str">
        <f t="shared" si="29"/>
        <v>SEGOV3926</v>
      </c>
      <c r="E1852" t="s">
        <v>3006</v>
      </c>
    </row>
    <row r="1853" spans="1:5" x14ac:dyDescent="0.25">
      <c r="A1853">
        <v>1491</v>
      </c>
      <c r="B1853" t="s">
        <v>1755</v>
      </c>
      <c r="C1853" t="s">
        <v>458</v>
      </c>
      <c r="D1853" t="str">
        <f t="shared" si="29"/>
        <v>SEGOV3930</v>
      </c>
      <c r="E1853" t="s">
        <v>3006</v>
      </c>
    </row>
    <row r="1854" spans="1:5" x14ac:dyDescent="0.25">
      <c r="A1854">
        <v>1491</v>
      </c>
      <c r="B1854" t="s">
        <v>1755</v>
      </c>
      <c r="C1854" t="s">
        <v>1481</v>
      </c>
      <c r="D1854" t="str">
        <f t="shared" si="29"/>
        <v>SEGOV3931</v>
      </c>
      <c r="E1854" t="s">
        <v>2968</v>
      </c>
    </row>
    <row r="1855" spans="1:5" x14ac:dyDescent="0.25">
      <c r="A1855">
        <v>1491</v>
      </c>
      <c r="B1855" t="s">
        <v>1755</v>
      </c>
      <c r="C1855" t="s">
        <v>3017</v>
      </c>
      <c r="D1855" t="str">
        <f t="shared" si="29"/>
        <v>SEGOV3936</v>
      </c>
      <c r="E1855" t="s">
        <v>94</v>
      </c>
    </row>
    <row r="1856" spans="1:5" x14ac:dyDescent="0.25">
      <c r="A1856">
        <v>1491</v>
      </c>
      <c r="B1856" t="s">
        <v>1755</v>
      </c>
      <c r="C1856" t="s">
        <v>3088</v>
      </c>
      <c r="D1856" t="str">
        <f t="shared" si="29"/>
        <v>SEGOV3937</v>
      </c>
      <c r="E1856" t="s">
        <v>3107</v>
      </c>
    </row>
    <row r="1857" spans="1:5" x14ac:dyDescent="0.25">
      <c r="A1857">
        <v>1491</v>
      </c>
      <c r="B1857" t="s">
        <v>1755</v>
      </c>
      <c r="C1857" t="s">
        <v>3019</v>
      </c>
      <c r="D1857" t="str">
        <f t="shared" si="29"/>
        <v>SEGOV3940</v>
      </c>
      <c r="E1857" t="s">
        <v>3009</v>
      </c>
    </row>
    <row r="1858" spans="1:5" x14ac:dyDescent="0.25">
      <c r="A1858">
        <v>1491</v>
      </c>
      <c r="B1858" t="s">
        <v>1755</v>
      </c>
      <c r="C1858" t="s">
        <v>3020</v>
      </c>
      <c r="D1858" t="str">
        <f t="shared" si="29"/>
        <v>SEGOV3943</v>
      </c>
      <c r="E1858" t="s">
        <v>2958</v>
      </c>
    </row>
    <row r="1859" spans="1:5" x14ac:dyDescent="0.25">
      <c r="A1859">
        <v>1491</v>
      </c>
      <c r="B1859" t="s">
        <v>1755</v>
      </c>
      <c r="C1859" t="s">
        <v>492</v>
      </c>
      <c r="D1859" t="str">
        <f t="shared" si="29"/>
        <v>SEGOV3948</v>
      </c>
      <c r="E1859" t="s">
        <v>3004</v>
      </c>
    </row>
    <row r="1860" spans="1:5" x14ac:dyDescent="0.25">
      <c r="A1860">
        <v>1491</v>
      </c>
      <c r="B1860" t="s">
        <v>1755</v>
      </c>
      <c r="C1860" t="s">
        <v>3022</v>
      </c>
      <c r="D1860" t="str">
        <f t="shared" si="29"/>
        <v>SEGOV3950</v>
      </c>
      <c r="E1860" t="s">
        <v>44</v>
      </c>
    </row>
    <row r="1861" spans="1:5" x14ac:dyDescent="0.25">
      <c r="A1861">
        <v>1491</v>
      </c>
      <c r="B1861" t="s">
        <v>1755</v>
      </c>
      <c r="C1861" t="s">
        <v>3098</v>
      </c>
      <c r="D1861" t="str">
        <f t="shared" ref="D1861:D1924" si="30">CONCATENATE(B1861,LEFT(C1861,4))</f>
        <v>SEGOV3952</v>
      </c>
      <c r="E1861" t="s">
        <v>65</v>
      </c>
    </row>
    <row r="1862" spans="1:5" x14ac:dyDescent="0.25">
      <c r="A1862">
        <v>1491</v>
      </c>
      <c r="B1862" t="s">
        <v>1755</v>
      </c>
      <c r="C1862" t="s">
        <v>498</v>
      </c>
      <c r="D1862" t="str">
        <f t="shared" si="30"/>
        <v>SEGOV3955</v>
      </c>
      <c r="E1862" t="s">
        <v>3268</v>
      </c>
    </row>
    <row r="1863" spans="1:5" x14ac:dyDescent="0.25">
      <c r="A1863">
        <v>1491</v>
      </c>
      <c r="B1863" t="s">
        <v>1755</v>
      </c>
      <c r="C1863" t="s">
        <v>3027</v>
      </c>
      <c r="D1863" t="str">
        <f t="shared" si="30"/>
        <v>SEGOV3961</v>
      </c>
      <c r="E1863" t="s">
        <v>103</v>
      </c>
    </row>
    <row r="1864" spans="1:5" x14ac:dyDescent="0.25">
      <c r="A1864">
        <v>1491</v>
      </c>
      <c r="B1864" t="s">
        <v>1755</v>
      </c>
      <c r="C1864" t="s">
        <v>511</v>
      </c>
      <c r="D1864" t="str">
        <f t="shared" si="30"/>
        <v>SEGOV3968</v>
      </c>
      <c r="E1864" t="s">
        <v>2968</v>
      </c>
    </row>
    <row r="1865" spans="1:5" x14ac:dyDescent="0.25">
      <c r="A1865">
        <v>1491</v>
      </c>
      <c r="B1865" t="s">
        <v>1755</v>
      </c>
      <c r="C1865" t="s">
        <v>1154</v>
      </c>
      <c r="D1865" t="str">
        <f t="shared" si="30"/>
        <v>SEGOV3969</v>
      </c>
      <c r="E1865" t="s">
        <v>2992</v>
      </c>
    </row>
    <row r="1866" spans="1:5" x14ac:dyDescent="0.25">
      <c r="A1866">
        <v>1491</v>
      </c>
      <c r="B1866" t="s">
        <v>1755</v>
      </c>
      <c r="C1866" t="s">
        <v>3031</v>
      </c>
      <c r="D1866" t="str">
        <f t="shared" si="30"/>
        <v>SEGOV3970</v>
      </c>
      <c r="E1866" t="s">
        <v>3009</v>
      </c>
    </row>
    <row r="1867" spans="1:5" x14ac:dyDescent="0.25">
      <c r="A1867">
        <v>1491</v>
      </c>
      <c r="B1867" t="s">
        <v>1755</v>
      </c>
      <c r="C1867" t="s">
        <v>519</v>
      </c>
      <c r="D1867" t="str">
        <f t="shared" si="30"/>
        <v>SEGOV3977</v>
      </c>
      <c r="E1867" t="s">
        <v>2968</v>
      </c>
    </row>
    <row r="1868" spans="1:5" x14ac:dyDescent="0.25">
      <c r="A1868">
        <v>1491</v>
      </c>
      <c r="B1868" t="s">
        <v>1755</v>
      </c>
      <c r="C1868" t="s">
        <v>520</v>
      </c>
      <c r="D1868" t="str">
        <f t="shared" si="30"/>
        <v>SEGOV3978</v>
      </c>
      <c r="E1868" t="s">
        <v>2981</v>
      </c>
    </row>
    <row r="1869" spans="1:5" x14ac:dyDescent="0.25">
      <c r="A1869">
        <v>1491</v>
      </c>
      <c r="B1869" t="s">
        <v>1755</v>
      </c>
      <c r="C1869" t="s">
        <v>526</v>
      </c>
      <c r="D1869" t="str">
        <f t="shared" si="30"/>
        <v>SEGOV3986</v>
      </c>
      <c r="E1869" t="s">
        <v>2968</v>
      </c>
    </row>
    <row r="1870" spans="1:5" x14ac:dyDescent="0.25">
      <c r="A1870">
        <v>1491</v>
      </c>
      <c r="B1870" t="s">
        <v>1755</v>
      </c>
      <c r="C1870" t="s">
        <v>3036</v>
      </c>
      <c r="D1870" t="str">
        <f t="shared" si="30"/>
        <v>SEGOV3987</v>
      </c>
      <c r="E1870" t="s">
        <v>2958</v>
      </c>
    </row>
    <row r="1871" spans="1:5" x14ac:dyDescent="0.25">
      <c r="A1871">
        <v>1491</v>
      </c>
      <c r="B1871" t="s">
        <v>1755</v>
      </c>
      <c r="C1871" t="s">
        <v>3040</v>
      </c>
      <c r="D1871" t="str">
        <f t="shared" si="30"/>
        <v>SEGOV3999</v>
      </c>
      <c r="E1871" t="s">
        <v>2968</v>
      </c>
    </row>
    <row r="1872" spans="1:5" x14ac:dyDescent="0.25">
      <c r="A1872">
        <v>1491</v>
      </c>
      <c r="B1872" t="s">
        <v>1755</v>
      </c>
      <c r="C1872" t="s">
        <v>3041</v>
      </c>
      <c r="D1872" t="str">
        <f t="shared" si="30"/>
        <v>SEGOV4002</v>
      </c>
      <c r="E1872" t="s">
        <v>3009</v>
      </c>
    </row>
    <row r="1873" spans="1:5" x14ac:dyDescent="0.25">
      <c r="A1873">
        <v>1491</v>
      </c>
      <c r="B1873" t="s">
        <v>1755</v>
      </c>
      <c r="C1873" t="s">
        <v>3043</v>
      </c>
      <c r="D1873" t="str">
        <f t="shared" si="30"/>
        <v>SEGOV4003</v>
      </c>
      <c r="E1873" t="s">
        <v>94</v>
      </c>
    </row>
    <row r="1874" spans="1:5" x14ac:dyDescent="0.25">
      <c r="A1874">
        <v>1491</v>
      </c>
      <c r="B1874" t="s">
        <v>1755</v>
      </c>
      <c r="C1874" t="s">
        <v>3045</v>
      </c>
      <c r="D1874" t="str">
        <f t="shared" si="30"/>
        <v>SEGOV4004</v>
      </c>
      <c r="E1874" t="s">
        <v>3009</v>
      </c>
    </row>
    <row r="1875" spans="1:5" x14ac:dyDescent="0.25">
      <c r="A1875">
        <v>1491</v>
      </c>
      <c r="B1875" t="s">
        <v>1755</v>
      </c>
      <c r="C1875" t="s">
        <v>3047</v>
      </c>
      <c r="D1875" t="str">
        <f t="shared" si="30"/>
        <v>SEGOV4005</v>
      </c>
      <c r="E1875" t="s">
        <v>3009</v>
      </c>
    </row>
    <row r="1876" spans="1:5" x14ac:dyDescent="0.25">
      <c r="A1876">
        <v>1491</v>
      </c>
      <c r="B1876" t="s">
        <v>1755</v>
      </c>
      <c r="C1876" t="s">
        <v>813</v>
      </c>
      <c r="D1876" t="str">
        <f t="shared" si="30"/>
        <v>SEGOV4006</v>
      </c>
      <c r="E1876" t="s">
        <v>3057</v>
      </c>
    </row>
    <row r="1877" spans="1:5" x14ac:dyDescent="0.25">
      <c r="A1877">
        <v>1491</v>
      </c>
      <c r="B1877" t="s">
        <v>1755</v>
      </c>
      <c r="C1877" t="s">
        <v>3138</v>
      </c>
      <c r="D1877" t="str">
        <f t="shared" si="30"/>
        <v>SEGOV4007</v>
      </c>
      <c r="E1877" t="s">
        <v>94</v>
      </c>
    </row>
    <row r="1878" spans="1:5" x14ac:dyDescent="0.25">
      <c r="A1878">
        <v>1491</v>
      </c>
      <c r="B1878" t="s">
        <v>1755</v>
      </c>
      <c r="C1878" t="s">
        <v>3288</v>
      </c>
      <c r="D1878" t="str">
        <f t="shared" si="30"/>
        <v>SEGOV4109</v>
      </c>
      <c r="E1878" t="s">
        <v>3289</v>
      </c>
    </row>
    <row r="1879" spans="1:5" x14ac:dyDescent="0.25">
      <c r="A1879">
        <v>1491</v>
      </c>
      <c r="B1879" t="s">
        <v>1755</v>
      </c>
      <c r="C1879" t="s">
        <v>3127</v>
      </c>
      <c r="D1879" t="str">
        <f t="shared" si="30"/>
        <v>SEGOV4201</v>
      </c>
      <c r="E1879" t="s">
        <v>3218</v>
      </c>
    </row>
    <row r="1880" spans="1:5" x14ac:dyDescent="0.25">
      <c r="A1880">
        <v>1491</v>
      </c>
      <c r="B1880" t="s">
        <v>1755</v>
      </c>
      <c r="C1880" t="s">
        <v>328</v>
      </c>
      <c r="D1880" t="str">
        <f t="shared" si="30"/>
        <v>SEGOV4707</v>
      </c>
      <c r="E1880" t="s">
        <v>3049</v>
      </c>
    </row>
    <row r="1881" spans="1:5" x14ac:dyDescent="0.25">
      <c r="A1881">
        <v>1491</v>
      </c>
      <c r="B1881" t="s">
        <v>1755</v>
      </c>
      <c r="C1881" t="s">
        <v>329</v>
      </c>
      <c r="D1881" t="str">
        <f t="shared" si="30"/>
        <v>SEGOV5206</v>
      </c>
      <c r="E1881" t="s">
        <v>3057</v>
      </c>
    </row>
    <row r="1882" spans="1:5" x14ac:dyDescent="0.25">
      <c r="A1882">
        <v>1491</v>
      </c>
      <c r="B1882" t="s">
        <v>1755</v>
      </c>
      <c r="C1882" t="s">
        <v>3058</v>
      </c>
      <c r="D1882" t="str">
        <f t="shared" si="30"/>
        <v>SEGOV5207</v>
      </c>
      <c r="E1882" t="s">
        <v>3057</v>
      </c>
    </row>
    <row r="1883" spans="1:5" x14ac:dyDescent="0.25">
      <c r="A1883">
        <v>1491</v>
      </c>
      <c r="B1883" t="s">
        <v>1755</v>
      </c>
      <c r="C1883" t="s">
        <v>3060</v>
      </c>
      <c r="D1883" t="str">
        <f t="shared" si="30"/>
        <v>SEGOV5208</v>
      </c>
      <c r="E1883" t="s">
        <v>3057</v>
      </c>
    </row>
    <row r="1884" spans="1:5" x14ac:dyDescent="0.25">
      <c r="A1884">
        <v>1491</v>
      </c>
      <c r="B1884" t="s">
        <v>1755</v>
      </c>
      <c r="C1884" t="s">
        <v>3063</v>
      </c>
      <c r="D1884" t="str">
        <f t="shared" si="30"/>
        <v>SEGOV5210</v>
      </c>
      <c r="E1884" t="s">
        <v>3055</v>
      </c>
    </row>
    <row r="1885" spans="1:5" x14ac:dyDescent="0.25">
      <c r="A1885">
        <v>1491</v>
      </c>
      <c r="B1885" t="s">
        <v>1755</v>
      </c>
      <c r="C1885" t="s">
        <v>3064</v>
      </c>
      <c r="D1885" t="str">
        <f t="shared" si="30"/>
        <v>SEGOV5212</v>
      </c>
      <c r="E1885" t="s">
        <v>3055</v>
      </c>
    </row>
    <row r="1886" spans="1:5" x14ac:dyDescent="0.25">
      <c r="A1886">
        <v>1491</v>
      </c>
      <c r="B1886" t="s">
        <v>1755</v>
      </c>
      <c r="C1886" t="s">
        <v>391</v>
      </c>
      <c r="D1886" t="str">
        <f t="shared" si="30"/>
        <v>SEGOV5214</v>
      </c>
      <c r="E1886" t="s">
        <v>3055</v>
      </c>
    </row>
    <row r="1887" spans="1:5" x14ac:dyDescent="0.25">
      <c r="A1887">
        <v>1491</v>
      </c>
      <c r="B1887" t="s">
        <v>1755</v>
      </c>
      <c r="C1887" t="s">
        <v>409</v>
      </c>
      <c r="D1887" t="str">
        <f t="shared" si="30"/>
        <v>SEGOV5217</v>
      </c>
      <c r="E1887" t="s">
        <v>3067</v>
      </c>
    </row>
    <row r="1888" spans="1:5" x14ac:dyDescent="0.25">
      <c r="A1888">
        <v>1491</v>
      </c>
      <c r="B1888" t="s">
        <v>1755</v>
      </c>
      <c r="C1888" t="s">
        <v>3074</v>
      </c>
      <c r="D1888" t="str">
        <f t="shared" si="30"/>
        <v>SEGOV9202</v>
      </c>
      <c r="E1888" t="s">
        <v>3075</v>
      </c>
    </row>
    <row r="1889" spans="1:5" x14ac:dyDescent="0.25">
      <c r="A1889">
        <v>1491</v>
      </c>
      <c r="B1889" t="s">
        <v>1755</v>
      </c>
      <c r="C1889" t="s">
        <v>250</v>
      </c>
      <c r="D1889" t="str">
        <f t="shared" si="30"/>
        <v>SEGOV9301</v>
      </c>
      <c r="E1889" t="s">
        <v>2968</v>
      </c>
    </row>
    <row r="1890" spans="1:5" x14ac:dyDescent="0.25">
      <c r="A1890">
        <v>1491</v>
      </c>
      <c r="B1890" t="s">
        <v>1755</v>
      </c>
      <c r="C1890" t="s">
        <v>331</v>
      </c>
      <c r="D1890" t="str">
        <f t="shared" si="30"/>
        <v>SEGOV9306</v>
      </c>
      <c r="E1890" t="s">
        <v>3076</v>
      </c>
    </row>
    <row r="1891" spans="1:5" x14ac:dyDescent="0.25">
      <c r="A1891">
        <v>1491</v>
      </c>
      <c r="B1891" t="s">
        <v>1755</v>
      </c>
      <c r="C1891" t="s">
        <v>3079</v>
      </c>
      <c r="D1891" t="str">
        <f t="shared" si="30"/>
        <v>SEGOV9399</v>
      </c>
      <c r="E1891" t="s">
        <v>2968</v>
      </c>
    </row>
    <row r="1892" spans="1:5" x14ac:dyDescent="0.25">
      <c r="A1892">
        <v>1501</v>
      </c>
      <c r="B1892" t="s">
        <v>1759</v>
      </c>
      <c r="C1892" t="s">
        <v>3229</v>
      </c>
      <c r="D1892" t="str">
        <f t="shared" si="30"/>
        <v>SEPLAG1307</v>
      </c>
      <c r="E1892" t="s">
        <v>3081</v>
      </c>
    </row>
    <row r="1893" spans="1:5" x14ac:dyDescent="0.25">
      <c r="A1893">
        <v>1501</v>
      </c>
      <c r="B1893" t="s">
        <v>1759</v>
      </c>
      <c r="C1893" t="s">
        <v>2928</v>
      </c>
      <c r="D1893" t="str">
        <f t="shared" si="30"/>
        <v>SEPLAG1401</v>
      </c>
      <c r="E1893" t="s">
        <v>44</v>
      </c>
    </row>
    <row r="1894" spans="1:5" x14ac:dyDescent="0.25">
      <c r="A1894">
        <v>1501</v>
      </c>
      <c r="B1894" t="s">
        <v>1759</v>
      </c>
      <c r="C1894" t="s">
        <v>2932</v>
      </c>
      <c r="D1894" t="str">
        <f t="shared" si="30"/>
        <v>SEPLAG3001</v>
      </c>
      <c r="E1894" t="s">
        <v>2933</v>
      </c>
    </row>
    <row r="1895" spans="1:5" x14ac:dyDescent="0.25">
      <c r="A1895">
        <v>1501</v>
      </c>
      <c r="B1895" t="s">
        <v>1759</v>
      </c>
      <c r="C1895" t="s">
        <v>979</v>
      </c>
      <c r="D1895" t="str">
        <f t="shared" si="30"/>
        <v>SEPLAG3003</v>
      </c>
      <c r="E1895" t="s">
        <v>2933</v>
      </c>
    </row>
    <row r="1896" spans="1:5" x14ac:dyDescent="0.25">
      <c r="A1896">
        <v>1501</v>
      </c>
      <c r="B1896" t="s">
        <v>1759</v>
      </c>
      <c r="C1896" t="s">
        <v>2937</v>
      </c>
      <c r="D1896" t="str">
        <f t="shared" si="30"/>
        <v>SEPLAG3004</v>
      </c>
      <c r="E1896" t="s">
        <v>2933</v>
      </c>
    </row>
    <row r="1897" spans="1:5" x14ac:dyDescent="0.25">
      <c r="A1897">
        <v>1501</v>
      </c>
      <c r="B1897" t="s">
        <v>1759</v>
      </c>
      <c r="C1897" t="s">
        <v>2939</v>
      </c>
      <c r="D1897" t="str">
        <f t="shared" si="30"/>
        <v>SEPLAG3005</v>
      </c>
      <c r="E1897" t="s">
        <v>2933</v>
      </c>
    </row>
    <row r="1898" spans="1:5" x14ac:dyDescent="0.25">
      <c r="A1898">
        <v>1501</v>
      </c>
      <c r="B1898" t="s">
        <v>1759</v>
      </c>
      <c r="C1898" t="s">
        <v>323</v>
      </c>
      <c r="D1898" t="str">
        <f t="shared" si="30"/>
        <v>SEPLAG3006</v>
      </c>
      <c r="E1898" t="s">
        <v>2933</v>
      </c>
    </row>
    <row r="1899" spans="1:5" x14ac:dyDescent="0.25">
      <c r="A1899">
        <v>1501</v>
      </c>
      <c r="B1899" t="s">
        <v>1759</v>
      </c>
      <c r="C1899" t="s">
        <v>2941</v>
      </c>
      <c r="D1899" t="str">
        <f t="shared" si="30"/>
        <v>SEPLAG3008</v>
      </c>
      <c r="E1899" t="s">
        <v>2933</v>
      </c>
    </row>
    <row r="1900" spans="1:5" x14ac:dyDescent="0.25">
      <c r="A1900">
        <v>1501</v>
      </c>
      <c r="B1900" t="s">
        <v>1759</v>
      </c>
      <c r="C1900" t="s">
        <v>2943</v>
      </c>
      <c r="D1900" t="str">
        <f t="shared" si="30"/>
        <v>SEPLAG3010</v>
      </c>
      <c r="E1900" t="s">
        <v>2944</v>
      </c>
    </row>
    <row r="1901" spans="1:5" x14ac:dyDescent="0.25">
      <c r="A1901">
        <v>1501</v>
      </c>
      <c r="B1901" t="s">
        <v>1759</v>
      </c>
      <c r="C1901" t="s">
        <v>138</v>
      </c>
      <c r="D1901" t="str">
        <f t="shared" si="30"/>
        <v>SEPLAG3012</v>
      </c>
      <c r="E1901" t="s">
        <v>2944</v>
      </c>
    </row>
    <row r="1902" spans="1:5" x14ac:dyDescent="0.25">
      <c r="A1902">
        <v>1501</v>
      </c>
      <c r="B1902" t="s">
        <v>1759</v>
      </c>
      <c r="C1902" t="s">
        <v>2946</v>
      </c>
      <c r="D1902" t="str">
        <f t="shared" si="30"/>
        <v>SEPLAG3013</v>
      </c>
      <c r="E1902" t="s">
        <v>2933</v>
      </c>
    </row>
    <row r="1903" spans="1:5" x14ac:dyDescent="0.25">
      <c r="A1903">
        <v>1501</v>
      </c>
      <c r="B1903" t="s">
        <v>1759</v>
      </c>
      <c r="C1903" t="s">
        <v>2948</v>
      </c>
      <c r="D1903" t="str">
        <f t="shared" si="30"/>
        <v>SEPLAG3015</v>
      </c>
      <c r="E1903" t="s">
        <v>2933</v>
      </c>
    </row>
    <row r="1904" spans="1:5" x14ac:dyDescent="0.25">
      <c r="A1904">
        <v>1501</v>
      </c>
      <c r="B1904" t="s">
        <v>1759</v>
      </c>
      <c r="C1904" t="s">
        <v>2950</v>
      </c>
      <c r="D1904" t="str">
        <f t="shared" si="30"/>
        <v>SEPLAG3016</v>
      </c>
      <c r="E1904" t="s">
        <v>2933</v>
      </c>
    </row>
    <row r="1905" spans="1:5" x14ac:dyDescent="0.25">
      <c r="A1905">
        <v>1501</v>
      </c>
      <c r="B1905" t="s">
        <v>1759</v>
      </c>
      <c r="C1905" t="s">
        <v>406</v>
      </c>
      <c r="D1905" t="str">
        <f t="shared" si="30"/>
        <v>SEPLAG3017</v>
      </c>
      <c r="E1905" t="s">
        <v>2933</v>
      </c>
    </row>
    <row r="1906" spans="1:5" x14ac:dyDescent="0.25">
      <c r="A1906">
        <v>1501</v>
      </c>
      <c r="B1906" t="s">
        <v>1759</v>
      </c>
      <c r="C1906" t="s">
        <v>411</v>
      </c>
      <c r="D1906" t="str">
        <f t="shared" si="30"/>
        <v>SEPLAG3018</v>
      </c>
      <c r="E1906" t="s">
        <v>2933</v>
      </c>
    </row>
    <row r="1907" spans="1:5" x14ac:dyDescent="0.25">
      <c r="A1907">
        <v>1501</v>
      </c>
      <c r="B1907" t="s">
        <v>1759</v>
      </c>
      <c r="C1907" t="s">
        <v>2953</v>
      </c>
      <c r="D1907" t="str">
        <f t="shared" si="30"/>
        <v>SEPLAG3019</v>
      </c>
      <c r="E1907" t="s">
        <v>2954</v>
      </c>
    </row>
    <row r="1908" spans="1:5" x14ac:dyDescent="0.25">
      <c r="A1908">
        <v>1501</v>
      </c>
      <c r="B1908" t="s">
        <v>1759</v>
      </c>
      <c r="C1908" t="s">
        <v>2955</v>
      </c>
      <c r="D1908" t="str">
        <f t="shared" si="30"/>
        <v>SEPLAG3020</v>
      </c>
      <c r="E1908" t="s">
        <v>2933</v>
      </c>
    </row>
    <row r="1909" spans="1:5" x14ac:dyDescent="0.25">
      <c r="A1909">
        <v>1501</v>
      </c>
      <c r="B1909" t="s">
        <v>1759</v>
      </c>
      <c r="C1909" t="s">
        <v>2956</v>
      </c>
      <c r="D1909" t="str">
        <f t="shared" si="30"/>
        <v>SEPLAG3021</v>
      </c>
      <c r="E1909" t="s">
        <v>2933</v>
      </c>
    </row>
    <row r="1910" spans="1:5" x14ac:dyDescent="0.25">
      <c r="A1910">
        <v>1501</v>
      </c>
      <c r="B1910" t="s">
        <v>1759</v>
      </c>
      <c r="C1910" t="s">
        <v>431</v>
      </c>
      <c r="D1910" t="str">
        <f t="shared" si="30"/>
        <v>SEPLAG3022</v>
      </c>
      <c r="E1910" t="s">
        <v>2933</v>
      </c>
    </row>
    <row r="1911" spans="1:5" x14ac:dyDescent="0.25">
      <c r="A1911">
        <v>1501</v>
      </c>
      <c r="B1911" t="s">
        <v>1759</v>
      </c>
      <c r="C1911" t="s">
        <v>2957</v>
      </c>
      <c r="D1911" t="str">
        <f t="shared" si="30"/>
        <v>SEPLAG3023</v>
      </c>
      <c r="E1911" t="s">
        <v>2958</v>
      </c>
    </row>
    <row r="1912" spans="1:5" x14ac:dyDescent="0.25">
      <c r="A1912">
        <v>1501</v>
      </c>
      <c r="B1912" t="s">
        <v>1759</v>
      </c>
      <c r="C1912" t="s">
        <v>441</v>
      </c>
      <c r="D1912" t="str">
        <f t="shared" si="30"/>
        <v>SEPLAG3024</v>
      </c>
      <c r="E1912" t="s">
        <v>2933</v>
      </c>
    </row>
    <row r="1913" spans="1:5" x14ac:dyDescent="0.25">
      <c r="A1913">
        <v>1501</v>
      </c>
      <c r="B1913" t="s">
        <v>1759</v>
      </c>
      <c r="C1913" t="s">
        <v>2959</v>
      </c>
      <c r="D1913" t="str">
        <f t="shared" si="30"/>
        <v>SEPLAG3025</v>
      </c>
      <c r="E1913" t="s">
        <v>2933</v>
      </c>
    </row>
    <row r="1914" spans="1:5" x14ac:dyDescent="0.25">
      <c r="A1914">
        <v>1501</v>
      </c>
      <c r="B1914" t="s">
        <v>1759</v>
      </c>
      <c r="C1914" t="s">
        <v>2960</v>
      </c>
      <c r="D1914" t="str">
        <f t="shared" si="30"/>
        <v>SEPLAG3026</v>
      </c>
      <c r="E1914" t="s">
        <v>2958</v>
      </c>
    </row>
    <row r="1915" spans="1:5" x14ac:dyDescent="0.25">
      <c r="A1915">
        <v>1501</v>
      </c>
      <c r="B1915" t="s">
        <v>1759</v>
      </c>
      <c r="C1915" t="s">
        <v>2961</v>
      </c>
      <c r="D1915" t="str">
        <f t="shared" si="30"/>
        <v>SEPLAG3027</v>
      </c>
      <c r="E1915" t="s">
        <v>2933</v>
      </c>
    </row>
    <row r="1916" spans="1:5" x14ac:dyDescent="0.25">
      <c r="A1916">
        <v>1501</v>
      </c>
      <c r="B1916" t="s">
        <v>1759</v>
      </c>
      <c r="C1916" t="s">
        <v>2984</v>
      </c>
      <c r="D1916" t="str">
        <f t="shared" si="30"/>
        <v>SEPLAG3029</v>
      </c>
      <c r="E1916" t="s">
        <v>2933</v>
      </c>
    </row>
    <row r="1917" spans="1:5" x14ac:dyDescent="0.25">
      <c r="A1917">
        <v>1501</v>
      </c>
      <c r="B1917" t="s">
        <v>1759</v>
      </c>
      <c r="C1917" t="s">
        <v>467</v>
      </c>
      <c r="D1917" t="str">
        <f t="shared" si="30"/>
        <v>SEPLAG3030</v>
      </c>
      <c r="E1917" t="s">
        <v>2933</v>
      </c>
    </row>
    <row r="1918" spans="1:5" x14ac:dyDescent="0.25">
      <c r="A1918">
        <v>1501</v>
      </c>
      <c r="B1918" t="s">
        <v>1759</v>
      </c>
      <c r="C1918" t="s">
        <v>487</v>
      </c>
      <c r="D1918" t="str">
        <f t="shared" si="30"/>
        <v>SEPLAG3040</v>
      </c>
      <c r="E1918" t="s">
        <v>2933</v>
      </c>
    </row>
    <row r="1919" spans="1:5" x14ac:dyDescent="0.25">
      <c r="A1919">
        <v>1501</v>
      </c>
      <c r="B1919" t="s">
        <v>1759</v>
      </c>
      <c r="C1919" t="s">
        <v>2993</v>
      </c>
      <c r="D1919" t="str">
        <f t="shared" si="30"/>
        <v>SEPLAG3041</v>
      </c>
      <c r="E1919" t="s">
        <v>2933</v>
      </c>
    </row>
    <row r="1920" spans="1:5" x14ac:dyDescent="0.25">
      <c r="A1920">
        <v>1501</v>
      </c>
      <c r="B1920" t="s">
        <v>1759</v>
      </c>
      <c r="C1920" t="s">
        <v>491</v>
      </c>
      <c r="D1920" t="str">
        <f t="shared" si="30"/>
        <v>SEPLAG3099</v>
      </c>
      <c r="E1920" t="s">
        <v>2933</v>
      </c>
    </row>
    <row r="1921" spans="1:5" x14ac:dyDescent="0.25">
      <c r="A1921">
        <v>1501</v>
      </c>
      <c r="B1921" t="s">
        <v>1759</v>
      </c>
      <c r="C1921" t="s">
        <v>2967</v>
      </c>
      <c r="D1921" t="str">
        <f t="shared" si="30"/>
        <v>SEPLAG3101</v>
      </c>
      <c r="E1921" t="s">
        <v>2968</v>
      </c>
    </row>
    <row r="1922" spans="1:5" x14ac:dyDescent="0.25">
      <c r="A1922">
        <v>1501</v>
      </c>
      <c r="B1922" t="s">
        <v>1759</v>
      </c>
      <c r="C1922" t="s">
        <v>294</v>
      </c>
      <c r="D1922" t="str">
        <f t="shared" si="30"/>
        <v>SEPLAG3104</v>
      </c>
      <c r="E1922" t="s">
        <v>2968</v>
      </c>
    </row>
    <row r="1923" spans="1:5" x14ac:dyDescent="0.25">
      <c r="A1923">
        <v>1501</v>
      </c>
      <c r="B1923" t="s">
        <v>1759</v>
      </c>
      <c r="C1923" t="s">
        <v>54</v>
      </c>
      <c r="D1923" t="str">
        <f t="shared" si="30"/>
        <v>SEPLAG3301</v>
      </c>
      <c r="E1923" t="s">
        <v>44</v>
      </c>
    </row>
    <row r="1924" spans="1:5" x14ac:dyDescent="0.25">
      <c r="A1924">
        <v>1501</v>
      </c>
      <c r="B1924" t="s">
        <v>1759</v>
      </c>
      <c r="C1924" t="s">
        <v>2975</v>
      </c>
      <c r="D1924" t="str">
        <f t="shared" si="30"/>
        <v>SEPLAG3302</v>
      </c>
      <c r="E1924" t="s">
        <v>44</v>
      </c>
    </row>
    <row r="1925" spans="1:5" x14ac:dyDescent="0.25">
      <c r="A1925">
        <v>1501</v>
      </c>
      <c r="B1925" t="s">
        <v>1759</v>
      </c>
      <c r="C1925" t="s">
        <v>2977</v>
      </c>
      <c r="D1925" t="str">
        <f t="shared" ref="D1925:D1988" si="31">CONCATENATE(B1925,LEFT(C1925,4))</f>
        <v>SEPLAG3304</v>
      </c>
      <c r="E1925" t="s">
        <v>44</v>
      </c>
    </row>
    <row r="1926" spans="1:5" x14ac:dyDescent="0.25">
      <c r="A1926">
        <v>1501</v>
      </c>
      <c r="B1926" t="s">
        <v>1759</v>
      </c>
      <c r="C1926" t="s">
        <v>309</v>
      </c>
      <c r="D1926" t="str">
        <f t="shared" si="31"/>
        <v>SEPLAG3305</v>
      </c>
      <c r="E1926" t="s">
        <v>2968</v>
      </c>
    </row>
    <row r="1927" spans="1:5" x14ac:dyDescent="0.25">
      <c r="A1927">
        <v>1501</v>
      </c>
      <c r="B1927" t="s">
        <v>1759</v>
      </c>
      <c r="C1927" t="s">
        <v>228</v>
      </c>
      <c r="D1927" t="str">
        <f t="shared" si="31"/>
        <v>SEPLAG3401</v>
      </c>
      <c r="E1927" t="s">
        <v>3231</v>
      </c>
    </row>
    <row r="1928" spans="1:5" x14ac:dyDescent="0.25">
      <c r="A1928">
        <v>1501</v>
      </c>
      <c r="B1928" t="s">
        <v>1759</v>
      </c>
      <c r="C1928" t="s">
        <v>280</v>
      </c>
      <c r="D1928" t="str">
        <f t="shared" si="31"/>
        <v>SEPLAG3403</v>
      </c>
      <c r="E1928" t="s">
        <v>3081</v>
      </c>
    </row>
    <row r="1929" spans="1:5" x14ac:dyDescent="0.25">
      <c r="A1929">
        <v>1501</v>
      </c>
      <c r="B1929" t="s">
        <v>1759</v>
      </c>
      <c r="C1929" t="s">
        <v>296</v>
      </c>
      <c r="D1929" t="str">
        <f t="shared" si="31"/>
        <v>SEPLAG3404</v>
      </c>
      <c r="E1929" t="s">
        <v>3081</v>
      </c>
    </row>
    <row r="1930" spans="1:5" x14ac:dyDescent="0.25">
      <c r="A1930">
        <v>1501</v>
      </c>
      <c r="B1930" t="s">
        <v>1759</v>
      </c>
      <c r="C1930" t="s">
        <v>3201</v>
      </c>
      <c r="D1930" t="str">
        <f t="shared" si="31"/>
        <v>SEPLAG3502</v>
      </c>
      <c r="E1930" t="s">
        <v>1660</v>
      </c>
    </row>
    <row r="1931" spans="1:5" x14ac:dyDescent="0.25">
      <c r="A1931">
        <v>1501</v>
      </c>
      <c r="B1931" t="s">
        <v>1759</v>
      </c>
      <c r="C1931" t="s">
        <v>3012</v>
      </c>
      <c r="D1931" t="str">
        <f t="shared" si="31"/>
        <v>SEPLAG3601</v>
      </c>
      <c r="E1931" t="s">
        <v>65</v>
      </c>
    </row>
    <row r="1932" spans="1:5" x14ac:dyDescent="0.25">
      <c r="A1932">
        <v>1501</v>
      </c>
      <c r="B1932" t="s">
        <v>1759</v>
      </c>
      <c r="C1932" t="s">
        <v>297</v>
      </c>
      <c r="D1932" t="str">
        <f t="shared" si="31"/>
        <v>SEPLAG3604</v>
      </c>
      <c r="E1932" t="s">
        <v>44</v>
      </c>
    </row>
    <row r="1933" spans="1:5" x14ac:dyDescent="0.25">
      <c r="A1933">
        <v>1501</v>
      </c>
      <c r="B1933" t="s">
        <v>1759</v>
      </c>
      <c r="C1933" t="s">
        <v>355</v>
      </c>
      <c r="D1933" t="str">
        <f t="shared" si="31"/>
        <v>SEPLAG3610</v>
      </c>
      <c r="E1933" t="s">
        <v>2968</v>
      </c>
    </row>
    <row r="1934" spans="1:5" x14ac:dyDescent="0.25">
      <c r="A1934">
        <v>1501</v>
      </c>
      <c r="B1934" t="s">
        <v>1759</v>
      </c>
      <c r="C1934" t="s">
        <v>3021</v>
      </c>
      <c r="D1934" t="str">
        <f t="shared" si="31"/>
        <v>SEPLAG3611</v>
      </c>
      <c r="E1934" t="s">
        <v>3107</v>
      </c>
    </row>
    <row r="1935" spans="1:5" x14ac:dyDescent="0.25">
      <c r="A1935">
        <v>1501</v>
      </c>
      <c r="B1935" t="s">
        <v>1759</v>
      </c>
      <c r="C1935" t="s">
        <v>2979</v>
      </c>
      <c r="D1935" t="str">
        <f t="shared" si="31"/>
        <v>SEPLAG3612</v>
      </c>
      <c r="E1935" t="s">
        <v>2968</v>
      </c>
    </row>
    <row r="1936" spans="1:5" x14ac:dyDescent="0.25">
      <c r="A1936">
        <v>1501</v>
      </c>
      <c r="B1936" t="s">
        <v>1759</v>
      </c>
      <c r="C1936" t="s">
        <v>401</v>
      </c>
      <c r="D1936" t="str">
        <f t="shared" si="31"/>
        <v>SEPLAG3617</v>
      </c>
      <c r="E1936" t="s">
        <v>2968</v>
      </c>
    </row>
    <row r="1937" spans="1:5" x14ac:dyDescent="0.25">
      <c r="A1937">
        <v>1501</v>
      </c>
      <c r="B1937" t="s">
        <v>1759</v>
      </c>
      <c r="C1937" t="s">
        <v>2980</v>
      </c>
      <c r="D1937" t="str">
        <f t="shared" si="31"/>
        <v>SEPLAG3701</v>
      </c>
      <c r="E1937" t="s">
        <v>103</v>
      </c>
    </row>
    <row r="1938" spans="1:5" x14ac:dyDescent="0.25">
      <c r="A1938">
        <v>1501</v>
      </c>
      <c r="B1938" t="s">
        <v>1759</v>
      </c>
      <c r="C1938" t="s">
        <v>3050</v>
      </c>
      <c r="D1938" t="str">
        <f t="shared" si="31"/>
        <v>SEPLAG3702</v>
      </c>
      <c r="E1938" t="s">
        <v>2981</v>
      </c>
    </row>
    <row r="1939" spans="1:5" x14ac:dyDescent="0.25">
      <c r="A1939">
        <v>1501</v>
      </c>
      <c r="B1939" t="s">
        <v>1759</v>
      </c>
      <c r="C1939" t="s">
        <v>2983</v>
      </c>
      <c r="D1939" t="str">
        <f t="shared" si="31"/>
        <v>SEPLAG3703</v>
      </c>
      <c r="E1939" t="s">
        <v>117</v>
      </c>
    </row>
    <row r="1940" spans="1:5" x14ac:dyDescent="0.25">
      <c r="A1940">
        <v>1501</v>
      </c>
      <c r="B1940" t="s">
        <v>1759</v>
      </c>
      <c r="C1940" t="s">
        <v>2985</v>
      </c>
      <c r="D1940" t="str">
        <f t="shared" si="31"/>
        <v>SEPLAG3704</v>
      </c>
      <c r="E1940" t="s">
        <v>117</v>
      </c>
    </row>
    <row r="1941" spans="1:5" x14ac:dyDescent="0.25">
      <c r="A1941">
        <v>1501</v>
      </c>
      <c r="B1941" t="s">
        <v>1759</v>
      </c>
      <c r="C1941" t="s">
        <v>2986</v>
      </c>
      <c r="D1941" t="str">
        <f t="shared" si="31"/>
        <v>SEPLAG3705</v>
      </c>
      <c r="E1941" t="s">
        <v>117</v>
      </c>
    </row>
    <row r="1942" spans="1:5" x14ac:dyDescent="0.25">
      <c r="A1942">
        <v>1501</v>
      </c>
      <c r="B1942" t="s">
        <v>1759</v>
      </c>
      <c r="C1942" t="s">
        <v>2988</v>
      </c>
      <c r="D1942" t="str">
        <f t="shared" si="31"/>
        <v>SEPLAG3903</v>
      </c>
      <c r="E1942" t="s">
        <v>2968</v>
      </c>
    </row>
    <row r="1943" spans="1:5" x14ac:dyDescent="0.25">
      <c r="A1943">
        <v>1501</v>
      </c>
      <c r="B1943" t="s">
        <v>1759</v>
      </c>
      <c r="C1943" t="s">
        <v>299</v>
      </c>
      <c r="D1943" t="str">
        <f t="shared" si="31"/>
        <v>SEPLAG3904</v>
      </c>
      <c r="E1943" t="s">
        <v>2968</v>
      </c>
    </row>
    <row r="1944" spans="1:5" x14ac:dyDescent="0.25">
      <c r="A1944">
        <v>1501</v>
      </c>
      <c r="B1944" t="s">
        <v>1759</v>
      </c>
      <c r="C1944" t="s">
        <v>326</v>
      </c>
      <c r="D1944" t="str">
        <f t="shared" si="31"/>
        <v>SEPLAG3906</v>
      </c>
      <c r="E1944" t="s">
        <v>2968</v>
      </c>
    </row>
    <row r="1945" spans="1:5" x14ac:dyDescent="0.25">
      <c r="A1945">
        <v>1501</v>
      </c>
      <c r="B1945" t="s">
        <v>1759</v>
      </c>
      <c r="C1945" t="s">
        <v>2989</v>
      </c>
      <c r="D1945" t="str">
        <f t="shared" si="31"/>
        <v>SEPLAG3908</v>
      </c>
      <c r="E1945" t="s">
        <v>2968</v>
      </c>
    </row>
    <row r="1946" spans="1:5" x14ac:dyDescent="0.25">
      <c r="A1946">
        <v>1501</v>
      </c>
      <c r="B1946" t="s">
        <v>1759</v>
      </c>
      <c r="C1946" t="s">
        <v>346</v>
      </c>
      <c r="D1946" t="str">
        <f t="shared" si="31"/>
        <v>SEPLAG3910</v>
      </c>
      <c r="E1946" t="s">
        <v>2968</v>
      </c>
    </row>
    <row r="1947" spans="1:5" x14ac:dyDescent="0.25">
      <c r="A1947">
        <v>1501</v>
      </c>
      <c r="B1947" t="s">
        <v>1759</v>
      </c>
      <c r="C1947" t="s">
        <v>356</v>
      </c>
      <c r="D1947" t="str">
        <f t="shared" si="31"/>
        <v>SEPLAG3911</v>
      </c>
      <c r="E1947" t="s">
        <v>2968</v>
      </c>
    </row>
    <row r="1948" spans="1:5" x14ac:dyDescent="0.25">
      <c r="A1948">
        <v>1501</v>
      </c>
      <c r="B1948" t="s">
        <v>1759</v>
      </c>
      <c r="C1948" t="s">
        <v>2991</v>
      </c>
      <c r="D1948" t="str">
        <f t="shared" si="31"/>
        <v>SEPLAG3912</v>
      </c>
      <c r="E1948" t="s">
        <v>2992</v>
      </c>
    </row>
    <row r="1949" spans="1:5" x14ac:dyDescent="0.25">
      <c r="A1949">
        <v>1501</v>
      </c>
      <c r="B1949" t="s">
        <v>1759</v>
      </c>
      <c r="C1949" t="s">
        <v>2994</v>
      </c>
      <c r="D1949" t="str">
        <f t="shared" si="31"/>
        <v>SEPLAG3913</v>
      </c>
      <c r="E1949" t="s">
        <v>2992</v>
      </c>
    </row>
    <row r="1950" spans="1:5" x14ac:dyDescent="0.25">
      <c r="A1950">
        <v>1501</v>
      </c>
      <c r="B1950" t="s">
        <v>1759</v>
      </c>
      <c r="C1950" t="s">
        <v>377</v>
      </c>
      <c r="D1950" t="str">
        <f t="shared" si="31"/>
        <v>SEPLAG3914</v>
      </c>
      <c r="E1950" t="s">
        <v>3009</v>
      </c>
    </row>
    <row r="1951" spans="1:5" x14ac:dyDescent="0.25">
      <c r="A1951">
        <v>1501</v>
      </c>
      <c r="B1951" t="s">
        <v>1759</v>
      </c>
      <c r="C1951" t="s">
        <v>384</v>
      </c>
      <c r="D1951" t="str">
        <f t="shared" si="31"/>
        <v>SEPLAG3915</v>
      </c>
      <c r="E1951" t="s">
        <v>2992</v>
      </c>
    </row>
    <row r="1952" spans="1:5" x14ac:dyDescent="0.25">
      <c r="A1952">
        <v>1501</v>
      </c>
      <c r="B1952" t="s">
        <v>1759</v>
      </c>
      <c r="C1952" t="s">
        <v>390</v>
      </c>
      <c r="D1952" t="str">
        <f t="shared" si="31"/>
        <v>SEPLAG3916</v>
      </c>
      <c r="E1952" t="s">
        <v>2968</v>
      </c>
    </row>
    <row r="1953" spans="1:5" x14ac:dyDescent="0.25">
      <c r="A1953">
        <v>1501</v>
      </c>
      <c r="B1953" t="s">
        <v>1759</v>
      </c>
      <c r="C1953" t="s">
        <v>2996</v>
      </c>
      <c r="D1953" t="str">
        <f t="shared" si="31"/>
        <v>SEPLAG3917</v>
      </c>
      <c r="E1953" t="s">
        <v>2958</v>
      </c>
    </row>
    <row r="1954" spans="1:5" x14ac:dyDescent="0.25">
      <c r="A1954">
        <v>1501</v>
      </c>
      <c r="B1954" t="s">
        <v>1759</v>
      </c>
      <c r="C1954" t="s">
        <v>2998</v>
      </c>
      <c r="D1954" t="str">
        <f t="shared" si="31"/>
        <v>SEPLAG3918</v>
      </c>
      <c r="E1954" t="s">
        <v>2958</v>
      </c>
    </row>
    <row r="1955" spans="1:5" x14ac:dyDescent="0.25">
      <c r="A1955">
        <v>1501</v>
      </c>
      <c r="B1955" t="s">
        <v>1759</v>
      </c>
      <c r="C1955" t="s">
        <v>3000</v>
      </c>
      <c r="D1955" t="str">
        <f t="shared" si="31"/>
        <v>SEPLAG3919</v>
      </c>
      <c r="E1955" t="s">
        <v>3001</v>
      </c>
    </row>
    <row r="1956" spans="1:5" x14ac:dyDescent="0.25">
      <c r="A1956">
        <v>1501</v>
      </c>
      <c r="B1956" t="s">
        <v>1759</v>
      </c>
      <c r="C1956" t="s">
        <v>3077</v>
      </c>
      <c r="D1956" t="str">
        <f t="shared" si="31"/>
        <v>SEPLAG3920</v>
      </c>
      <c r="E1956" t="s">
        <v>3107</v>
      </c>
    </row>
    <row r="1957" spans="1:5" x14ac:dyDescent="0.25">
      <c r="A1957">
        <v>1501</v>
      </c>
      <c r="B1957" t="s">
        <v>1759</v>
      </c>
      <c r="C1957" t="s">
        <v>3002</v>
      </c>
      <c r="D1957" t="str">
        <f t="shared" si="31"/>
        <v>SEPLAG3921</v>
      </c>
      <c r="E1957" t="s">
        <v>3001</v>
      </c>
    </row>
    <row r="1958" spans="1:5" x14ac:dyDescent="0.25">
      <c r="A1958">
        <v>1501</v>
      </c>
      <c r="B1958" t="s">
        <v>1759</v>
      </c>
      <c r="C1958" t="s">
        <v>3003</v>
      </c>
      <c r="D1958" t="str">
        <f t="shared" si="31"/>
        <v>SEPLAG3922</v>
      </c>
      <c r="E1958" t="s">
        <v>2954</v>
      </c>
    </row>
    <row r="1959" spans="1:5" x14ac:dyDescent="0.25">
      <c r="A1959">
        <v>1501</v>
      </c>
      <c r="B1959" t="s">
        <v>1759</v>
      </c>
      <c r="C1959" t="s">
        <v>566</v>
      </c>
      <c r="D1959" t="str">
        <f t="shared" si="31"/>
        <v>SEPLAG3924</v>
      </c>
      <c r="E1959" t="s">
        <v>3004</v>
      </c>
    </row>
    <row r="1960" spans="1:5" x14ac:dyDescent="0.25">
      <c r="A1960">
        <v>1501</v>
      </c>
      <c r="B1960" t="s">
        <v>1759</v>
      </c>
      <c r="C1960" t="s">
        <v>443</v>
      </c>
      <c r="D1960" t="str">
        <f t="shared" si="31"/>
        <v>SEPLAG3926</v>
      </c>
      <c r="E1960" t="s">
        <v>3006</v>
      </c>
    </row>
    <row r="1961" spans="1:5" x14ac:dyDescent="0.25">
      <c r="A1961">
        <v>1501</v>
      </c>
      <c r="B1961" t="s">
        <v>1759</v>
      </c>
      <c r="C1961" t="s">
        <v>3008</v>
      </c>
      <c r="D1961" t="str">
        <f t="shared" si="31"/>
        <v>SEPLAG3927</v>
      </c>
      <c r="E1961" t="s">
        <v>3009</v>
      </c>
    </row>
    <row r="1962" spans="1:5" x14ac:dyDescent="0.25">
      <c r="A1962">
        <v>1501</v>
      </c>
      <c r="B1962" t="s">
        <v>1759</v>
      </c>
      <c r="C1962" t="s">
        <v>458</v>
      </c>
      <c r="D1962" t="str">
        <f t="shared" si="31"/>
        <v>SEPLAG3930</v>
      </c>
      <c r="E1962" t="s">
        <v>3006</v>
      </c>
    </row>
    <row r="1963" spans="1:5" x14ac:dyDescent="0.25">
      <c r="A1963">
        <v>1501</v>
      </c>
      <c r="B1963" t="s">
        <v>1759</v>
      </c>
      <c r="C1963" t="s">
        <v>1481</v>
      </c>
      <c r="D1963" t="str">
        <f t="shared" si="31"/>
        <v>SEPLAG3931</v>
      </c>
      <c r="E1963" t="s">
        <v>2968</v>
      </c>
    </row>
    <row r="1964" spans="1:5" x14ac:dyDescent="0.25">
      <c r="A1964">
        <v>1501</v>
      </c>
      <c r="B1964" t="s">
        <v>1759</v>
      </c>
      <c r="C1964" t="s">
        <v>3017</v>
      </c>
      <c r="D1964" t="str">
        <f t="shared" si="31"/>
        <v>SEPLAG3936</v>
      </c>
      <c r="E1964" t="s">
        <v>94</v>
      </c>
    </row>
    <row r="1965" spans="1:5" x14ac:dyDescent="0.25">
      <c r="A1965">
        <v>1501</v>
      </c>
      <c r="B1965" t="s">
        <v>1759</v>
      </c>
      <c r="C1965" t="s">
        <v>3088</v>
      </c>
      <c r="D1965" t="str">
        <f t="shared" si="31"/>
        <v>SEPLAG3937</v>
      </c>
      <c r="E1965" t="s">
        <v>3107</v>
      </c>
    </row>
    <row r="1966" spans="1:5" x14ac:dyDescent="0.25">
      <c r="A1966">
        <v>1501</v>
      </c>
      <c r="B1966" t="s">
        <v>1759</v>
      </c>
      <c r="C1966" t="s">
        <v>3019</v>
      </c>
      <c r="D1966" t="str">
        <f t="shared" si="31"/>
        <v>SEPLAG3940</v>
      </c>
      <c r="E1966" t="s">
        <v>3009</v>
      </c>
    </row>
    <row r="1967" spans="1:5" x14ac:dyDescent="0.25">
      <c r="A1967">
        <v>1501</v>
      </c>
      <c r="B1967" t="s">
        <v>1759</v>
      </c>
      <c r="C1967" t="s">
        <v>480</v>
      </c>
      <c r="D1967" t="str">
        <f t="shared" si="31"/>
        <v>SEPLAG3941</v>
      </c>
      <c r="E1967" t="s">
        <v>2968</v>
      </c>
    </row>
    <row r="1968" spans="1:5" x14ac:dyDescent="0.25">
      <c r="A1968">
        <v>1501</v>
      </c>
      <c r="B1968" t="s">
        <v>1759</v>
      </c>
      <c r="C1968" t="s">
        <v>482</v>
      </c>
      <c r="D1968" t="str">
        <f t="shared" si="31"/>
        <v>SEPLAG3942</v>
      </c>
      <c r="E1968" t="s">
        <v>2968</v>
      </c>
    </row>
    <row r="1969" spans="1:5" x14ac:dyDescent="0.25">
      <c r="A1969">
        <v>1501</v>
      </c>
      <c r="B1969" t="s">
        <v>1759</v>
      </c>
      <c r="C1969" t="s">
        <v>3020</v>
      </c>
      <c r="D1969" t="str">
        <f t="shared" si="31"/>
        <v>SEPLAG3943</v>
      </c>
      <c r="E1969" t="s">
        <v>2958</v>
      </c>
    </row>
    <row r="1970" spans="1:5" x14ac:dyDescent="0.25">
      <c r="A1970">
        <v>1501</v>
      </c>
      <c r="B1970" t="s">
        <v>1759</v>
      </c>
      <c r="C1970" t="s">
        <v>492</v>
      </c>
      <c r="D1970" t="str">
        <f t="shared" si="31"/>
        <v>SEPLAG3948</v>
      </c>
      <c r="E1970" t="s">
        <v>3004</v>
      </c>
    </row>
    <row r="1971" spans="1:5" x14ac:dyDescent="0.25">
      <c r="A1971">
        <v>1501</v>
      </c>
      <c r="B1971" t="s">
        <v>1759</v>
      </c>
      <c r="C1971" t="s">
        <v>496</v>
      </c>
      <c r="D1971" t="str">
        <f t="shared" si="31"/>
        <v>SEPLAG3953</v>
      </c>
      <c r="E1971" t="s">
        <v>3004</v>
      </c>
    </row>
    <row r="1972" spans="1:5" x14ac:dyDescent="0.25">
      <c r="A1972">
        <v>1501</v>
      </c>
      <c r="B1972" t="s">
        <v>1759</v>
      </c>
      <c r="C1972" t="s">
        <v>498</v>
      </c>
      <c r="D1972" t="str">
        <f t="shared" si="31"/>
        <v>SEPLAG3955</v>
      </c>
      <c r="E1972" t="s">
        <v>2968</v>
      </c>
    </row>
    <row r="1973" spans="1:5" x14ac:dyDescent="0.25">
      <c r="A1973">
        <v>1501</v>
      </c>
      <c r="B1973" t="s">
        <v>1759</v>
      </c>
      <c r="C1973" t="s">
        <v>499</v>
      </c>
      <c r="D1973" t="str">
        <f t="shared" si="31"/>
        <v>SEPLAG3956</v>
      </c>
      <c r="E1973" t="s">
        <v>2968</v>
      </c>
    </row>
    <row r="1974" spans="1:5" x14ac:dyDescent="0.25">
      <c r="A1974">
        <v>1501</v>
      </c>
      <c r="B1974" t="s">
        <v>1759</v>
      </c>
      <c r="C1974" t="s">
        <v>3025</v>
      </c>
      <c r="D1974" t="str">
        <f t="shared" si="31"/>
        <v>SEPLAG3959</v>
      </c>
      <c r="E1974" t="s">
        <v>2968</v>
      </c>
    </row>
    <row r="1975" spans="1:5" x14ac:dyDescent="0.25">
      <c r="A1975">
        <v>1501</v>
      </c>
      <c r="B1975" t="s">
        <v>1759</v>
      </c>
      <c r="C1975" t="s">
        <v>3102</v>
      </c>
      <c r="D1975" t="str">
        <f t="shared" si="31"/>
        <v>SEPLAG3960</v>
      </c>
      <c r="E1975" t="s">
        <v>2968</v>
      </c>
    </row>
    <row r="1976" spans="1:5" x14ac:dyDescent="0.25">
      <c r="A1976">
        <v>1501</v>
      </c>
      <c r="B1976" t="s">
        <v>1759</v>
      </c>
      <c r="C1976" t="s">
        <v>3027</v>
      </c>
      <c r="D1976" t="str">
        <f t="shared" si="31"/>
        <v>SEPLAG3961</v>
      </c>
      <c r="E1976" t="s">
        <v>2981</v>
      </c>
    </row>
    <row r="1977" spans="1:5" x14ac:dyDescent="0.25">
      <c r="A1977">
        <v>1501</v>
      </c>
      <c r="B1977" t="s">
        <v>1759</v>
      </c>
      <c r="C1977" t="s">
        <v>3104</v>
      </c>
      <c r="D1977" t="str">
        <f t="shared" si="31"/>
        <v>SEPLAG3964</v>
      </c>
      <c r="E1977" t="s">
        <v>2968</v>
      </c>
    </row>
    <row r="1978" spans="1:5" x14ac:dyDescent="0.25">
      <c r="A1978">
        <v>1501</v>
      </c>
      <c r="B1978" t="s">
        <v>1759</v>
      </c>
      <c r="C1978" t="s">
        <v>1154</v>
      </c>
      <c r="D1978" t="str">
        <f t="shared" si="31"/>
        <v>SEPLAG3969</v>
      </c>
      <c r="E1978" t="s">
        <v>2992</v>
      </c>
    </row>
    <row r="1979" spans="1:5" x14ac:dyDescent="0.25">
      <c r="A1979">
        <v>1501</v>
      </c>
      <c r="B1979" t="s">
        <v>1759</v>
      </c>
      <c r="C1979" t="s">
        <v>3031</v>
      </c>
      <c r="D1979" t="str">
        <f t="shared" si="31"/>
        <v>SEPLAG3970</v>
      </c>
      <c r="E1979" t="s">
        <v>3009</v>
      </c>
    </row>
    <row r="1980" spans="1:5" x14ac:dyDescent="0.25">
      <c r="A1980">
        <v>1501</v>
      </c>
      <c r="B1980" t="s">
        <v>1759</v>
      </c>
      <c r="C1980" t="s">
        <v>514</v>
      </c>
      <c r="D1980" t="str">
        <f t="shared" si="31"/>
        <v>SEPLAG3972</v>
      </c>
      <c r="E1980" t="s">
        <v>2992</v>
      </c>
    </row>
    <row r="1981" spans="1:5" x14ac:dyDescent="0.25">
      <c r="A1981">
        <v>1501</v>
      </c>
      <c r="B1981" t="s">
        <v>1759</v>
      </c>
      <c r="C1981" t="s">
        <v>516</v>
      </c>
      <c r="D1981" t="str">
        <f t="shared" si="31"/>
        <v>SEPLAG3974</v>
      </c>
      <c r="E1981" t="s">
        <v>3131</v>
      </c>
    </row>
    <row r="1982" spans="1:5" x14ac:dyDescent="0.25">
      <c r="A1982">
        <v>1501</v>
      </c>
      <c r="B1982" t="s">
        <v>1759</v>
      </c>
      <c r="C1982" t="s">
        <v>3246</v>
      </c>
      <c r="D1982" t="str">
        <f t="shared" si="31"/>
        <v>SEPLAG3975</v>
      </c>
      <c r="E1982" t="s">
        <v>2968</v>
      </c>
    </row>
    <row r="1983" spans="1:5" x14ac:dyDescent="0.25">
      <c r="A1983">
        <v>1501</v>
      </c>
      <c r="B1983" t="s">
        <v>1759</v>
      </c>
      <c r="C1983" t="s">
        <v>520</v>
      </c>
      <c r="D1983" t="str">
        <f t="shared" si="31"/>
        <v>SEPLAG3978</v>
      </c>
      <c r="E1983" t="s">
        <v>2981</v>
      </c>
    </row>
    <row r="1984" spans="1:5" x14ac:dyDescent="0.25">
      <c r="A1984">
        <v>1501</v>
      </c>
      <c r="B1984" t="s">
        <v>1759</v>
      </c>
      <c r="C1984" t="s">
        <v>521</v>
      </c>
      <c r="D1984" t="str">
        <f t="shared" si="31"/>
        <v>SEPLAG3981</v>
      </c>
      <c r="E1984" t="s">
        <v>2968</v>
      </c>
    </row>
    <row r="1985" spans="1:5" x14ac:dyDescent="0.25">
      <c r="A1985">
        <v>1501</v>
      </c>
      <c r="B1985" t="s">
        <v>1759</v>
      </c>
      <c r="C1985" t="s">
        <v>3036</v>
      </c>
      <c r="D1985" t="str">
        <f t="shared" si="31"/>
        <v>SEPLAG3987</v>
      </c>
      <c r="E1985" t="s">
        <v>2958</v>
      </c>
    </row>
    <row r="1986" spans="1:5" x14ac:dyDescent="0.25">
      <c r="A1986">
        <v>1501</v>
      </c>
      <c r="B1986" t="s">
        <v>1759</v>
      </c>
      <c r="C1986" t="s">
        <v>531</v>
      </c>
      <c r="D1986" t="str">
        <f t="shared" si="31"/>
        <v>SEPLAG3991</v>
      </c>
      <c r="E1986" t="s">
        <v>2968</v>
      </c>
    </row>
    <row r="1987" spans="1:5" x14ac:dyDescent="0.25">
      <c r="A1987">
        <v>1501</v>
      </c>
      <c r="B1987" t="s">
        <v>1759</v>
      </c>
      <c r="C1987" t="s">
        <v>3204</v>
      </c>
      <c r="D1987" t="str">
        <f t="shared" si="31"/>
        <v>SEPLAG3996</v>
      </c>
      <c r="E1987" t="s">
        <v>2968</v>
      </c>
    </row>
    <row r="1988" spans="1:5" x14ac:dyDescent="0.25">
      <c r="A1988">
        <v>1501</v>
      </c>
      <c r="B1988" t="s">
        <v>1759</v>
      </c>
      <c r="C1988" t="s">
        <v>3040</v>
      </c>
      <c r="D1988" t="str">
        <f t="shared" si="31"/>
        <v>SEPLAG3999</v>
      </c>
      <c r="E1988" t="s">
        <v>2968</v>
      </c>
    </row>
    <row r="1989" spans="1:5" x14ac:dyDescent="0.25">
      <c r="A1989">
        <v>1501</v>
      </c>
      <c r="B1989" t="s">
        <v>1759</v>
      </c>
      <c r="C1989" t="s">
        <v>3041</v>
      </c>
      <c r="D1989" t="str">
        <f t="shared" ref="D1989:D2052" si="32">CONCATENATE(B1989,LEFT(C1989,4))</f>
        <v>SEPLAG4002</v>
      </c>
      <c r="E1989" t="s">
        <v>3009</v>
      </c>
    </row>
    <row r="1990" spans="1:5" x14ac:dyDescent="0.25">
      <c r="A1990">
        <v>1501</v>
      </c>
      <c r="B1990" t="s">
        <v>1759</v>
      </c>
      <c r="C1990" t="s">
        <v>3043</v>
      </c>
      <c r="D1990" t="str">
        <f t="shared" si="32"/>
        <v>SEPLAG4003</v>
      </c>
      <c r="E1990" t="s">
        <v>94</v>
      </c>
    </row>
    <row r="1991" spans="1:5" x14ac:dyDescent="0.25">
      <c r="A1991">
        <v>1501</v>
      </c>
      <c r="B1991" t="s">
        <v>1759</v>
      </c>
      <c r="C1991" t="s">
        <v>3045</v>
      </c>
      <c r="D1991" t="str">
        <f t="shared" si="32"/>
        <v>SEPLAG4004</v>
      </c>
      <c r="E1991" t="s">
        <v>3009</v>
      </c>
    </row>
    <row r="1992" spans="1:5" x14ac:dyDescent="0.25">
      <c r="A1992">
        <v>1501</v>
      </c>
      <c r="B1992" t="s">
        <v>1759</v>
      </c>
      <c r="C1992" t="s">
        <v>3047</v>
      </c>
      <c r="D1992" t="str">
        <f t="shared" si="32"/>
        <v>SEPLAG4005</v>
      </c>
      <c r="E1992" t="s">
        <v>3009</v>
      </c>
    </row>
    <row r="1993" spans="1:5" x14ac:dyDescent="0.25">
      <c r="A1993">
        <v>1501</v>
      </c>
      <c r="B1993" t="s">
        <v>1759</v>
      </c>
      <c r="C1993" t="s">
        <v>813</v>
      </c>
      <c r="D1993" t="str">
        <f t="shared" si="32"/>
        <v>SEPLAG4006</v>
      </c>
      <c r="E1993" t="s">
        <v>3057</v>
      </c>
    </row>
    <row r="1994" spans="1:5" x14ac:dyDescent="0.25">
      <c r="A1994">
        <v>1501</v>
      </c>
      <c r="B1994" t="s">
        <v>1759</v>
      </c>
      <c r="C1994" t="s">
        <v>3138</v>
      </c>
      <c r="D1994" t="str">
        <f t="shared" si="32"/>
        <v>SEPLAG4007</v>
      </c>
      <c r="E1994" t="s">
        <v>94</v>
      </c>
    </row>
    <row r="1995" spans="1:5" x14ac:dyDescent="0.25">
      <c r="A1995">
        <v>1501</v>
      </c>
      <c r="B1995" t="s">
        <v>1759</v>
      </c>
      <c r="C1995" t="s">
        <v>3048</v>
      </c>
      <c r="D1995" t="str">
        <f t="shared" si="32"/>
        <v>SEPLAG4701</v>
      </c>
      <c r="E1995" t="s">
        <v>3049</v>
      </c>
    </row>
    <row r="1996" spans="1:5" x14ac:dyDescent="0.25">
      <c r="A1996">
        <v>1501</v>
      </c>
      <c r="B1996" t="s">
        <v>1759</v>
      </c>
      <c r="C1996" t="s">
        <v>265</v>
      </c>
      <c r="D1996" t="str">
        <f t="shared" si="32"/>
        <v>SEPLAG4703</v>
      </c>
      <c r="E1996" t="s">
        <v>3049</v>
      </c>
    </row>
    <row r="1997" spans="1:5" x14ac:dyDescent="0.25">
      <c r="A1997">
        <v>1501</v>
      </c>
      <c r="B1997" t="s">
        <v>1759</v>
      </c>
      <c r="C1997" t="s">
        <v>328</v>
      </c>
      <c r="D1997" t="str">
        <f t="shared" si="32"/>
        <v>SEPLAG4707</v>
      </c>
      <c r="E1997" t="s">
        <v>3049</v>
      </c>
    </row>
    <row r="1998" spans="1:5" x14ac:dyDescent="0.25">
      <c r="A1998">
        <v>1501</v>
      </c>
      <c r="B1998" t="s">
        <v>1759</v>
      </c>
      <c r="C1998" t="s">
        <v>364</v>
      </c>
      <c r="D1998" t="str">
        <f t="shared" si="32"/>
        <v>SEPLAG4799</v>
      </c>
      <c r="E1998" t="s">
        <v>3049</v>
      </c>
    </row>
    <row r="1999" spans="1:5" x14ac:dyDescent="0.25">
      <c r="A1999">
        <v>1501</v>
      </c>
      <c r="B1999" t="s">
        <v>1759</v>
      </c>
      <c r="C1999" t="s">
        <v>240</v>
      </c>
      <c r="D1999" t="str">
        <f t="shared" si="32"/>
        <v>SEPLAG4801</v>
      </c>
      <c r="E1999" t="s">
        <v>2968</v>
      </c>
    </row>
    <row r="2000" spans="1:5" x14ac:dyDescent="0.25">
      <c r="A2000">
        <v>1501</v>
      </c>
      <c r="B2000" t="s">
        <v>1759</v>
      </c>
      <c r="C2000" t="s">
        <v>3205</v>
      </c>
      <c r="D2000" t="str">
        <f t="shared" si="32"/>
        <v>SEPLAG4905</v>
      </c>
      <c r="E2000" t="s">
        <v>65</v>
      </c>
    </row>
    <row r="2001" spans="1:5" x14ac:dyDescent="0.25">
      <c r="A2001">
        <v>1501</v>
      </c>
      <c r="B2001" t="s">
        <v>1759</v>
      </c>
      <c r="C2001" t="s">
        <v>3051</v>
      </c>
      <c r="D2001" t="str">
        <f t="shared" si="32"/>
        <v>SEPLAG5101</v>
      </c>
      <c r="E2001" t="s">
        <v>3052</v>
      </c>
    </row>
    <row r="2002" spans="1:5" x14ac:dyDescent="0.25">
      <c r="A2002">
        <v>1501</v>
      </c>
      <c r="B2002" t="s">
        <v>1759</v>
      </c>
      <c r="C2002" t="s">
        <v>3053</v>
      </c>
      <c r="D2002" t="str">
        <f t="shared" si="32"/>
        <v>SEPLAG5103</v>
      </c>
      <c r="E2002" t="s">
        <v>3052</v>
      </c>
    </row>
    <row r="2003" spans="1:5" x14ac:dyDescent="0.25">
      <c r="A2003">
        <v>1501</v>
      </c>
      <c r="B2003" t="s">
        <v>1759</v>
      </c>
      <c r="C2003" t="s">
        <v>3209</v>
      </c>
      <c r="D2003" t="str">
        <f t="shared" si="32"/>
        <v>SEPLAG5114</v>
      </c>
      <c r="E2003" t="s">
        <v>3055</v>
      </c>
    </row>
    <row r="2004" spans="1:5" x14ac:dyDescent="0.25">
      <c r="A2004">
        <v>1501</v>
      </c>
      <c r="B2004" t="s">
        <v>1759</v>
      </c>
      <c r="C2004" t="s">
        <v>3054</v>
      </c>
      <c r="D2004" t="str">
        <f t="shared" si="32"/>
        <v>SEPLAG5204</v>
      </c>
      <c r="E2004" t="s">
        <v>3055</v>
      </c>
    </row>
    <row r="2005" spans="1:5" x14ac:dyDescent="0.25">
      <c r="A2005">
        <v>1501</v>
      </c>
      <c r="B2005" t="s">
        <v>1759</v>
      </c>
      <c r="C2005" t="s">
        <v>329</v>
      </c>
      <c r="D2005" t="str">
        <f t="shared" si="32"/>
        <v>SEPLAG5206</v>
      </c>
      <c r="E2005" t="s">
        <v>3057</v>
      </c>
    </row>
    <row r="2006" spans="1:5" x14ac:dyDescent="0.25">
      <c r="A2006">
        <v>1501</v>
      </c>
      <c r="B2006" t="s">
        <v>1759</v>
      </c>
      <c r="C2006" t="s">
        <v>3058</v>
      </c>
      <c r="D2006" t="str">
        <f t="shared" si="32"/>
        <v>SEPLAG5207</v>
      </c>
      <c r="E2006" t="s">
        <v>3057</v>
      </c>
    </row>
    <row r="2007" spans="1:5" x14ac:dyDescent="0.25">
      <c r="A2007">
        <v>1501</v>
      </c>
      <c r="B2007" t="s">
        <v>1759</v>
      </c>
      <c r="C2007" t="s">
        <v>3060</v>
      </c>
      <c r="D2007" t="str">
        <f t="shared" si="32"/>
        <v>SEPLAG5208</v>
      </c>
      <c r="E2007" t="s">
        <v>3057</v>
      </c>
    </row>
    <row r="2008" spans="1:5" x14ac:dyDescent="0.25">
      <c r="A2008">
        <v>1501</v>
      </c>
      <c r="B2008" t="s">
        <v>1759</v>
      </c>
      <c r="C2008" t="s">
        <v>359</v>
      </c>
      <c r="D2008" t="str">
        <f t="shared" si="32"/>
        <v>SEPLAG5209</v>
      </c>
      <c r="E2008" t="s">
        <v>3055</v>
      </c>
    </row>
    <row r="2009" spans="1:5" x14ac:dyDescent="0.25">
      <c r="A2009">
        <v>1501</v>
      </c>
      <c r="B2009" t="s">
        <v>1759</v>
      </c>
      <c r="C2009" t="s">
        <v>3063</v>
      </c>
      <c r="D2009" t="str">
        <f t="shared" si="32"/>
        <v>SEPLAG5210</v>
      </c>
      <c r="E2009" t="s">
        <v>3055</v>
      </c>
    </row>
    <row r="2010" spans="1:5" x14ac:dyDescent="0.25">
      <c r="A2010">
        <v>1501</v>
      </c>
      <c r="B2010" t="s">
        <v>1759</v>
      </c>
      <c r="C2010" t="s">
        <v>3064</v>
      </c>
      <c r="D2010" t="str">
        <f t="shared" si="32"/>
        <v>SEPLAG5212</v>
      </c>
      <c r="E2010" t="s">
        <v>3055</v>
      </c>
    </row>
    <row r="2011" spans="1:5" x14ac:dyDescent="0.25">
      <c r="A2011">
        <v>1501</v>
      </c>
      <c r="B2011" t="s">
        <v>1759</v>
      </c>
      <c r="C2011" t="s">
        <v>391</v>
      </c>
      <c r="D2011" t="str">
        <f t="shared" si="32"/>
        <v>SEPLAG5214</v>
      </c>
      <c r="E2011" t="s">
        <v>3055</v>
      </c>
    </row>
    <row r="2012" spans="1:5" x14ac:dyDescent="0.25">
      <c r="A2012">
        <v>1501</v>
      </c>
      <c r="B2012" t="s">
        <v>1759</v>
      </c>
      <c r="C2012" t="s">
        <v>403</v>
      </c>
      <c r="D2012" t="str">
        <f t="shared" si="32"/>
        <v>SEPLAG5216</v>
      </c>
      <c r="E2012" t="s">
        <v>3067</v>
      </c>
    </row>
    <row r="2013" spans="1:5" x14ac:dyDescent="0.25">
      <c r="A2013">
        <v>1501</v>
      </c>
      <c r="B2013" t="s">
        <v>1759</v>
      </c>
      <c r="C2013" t="s">
        <v>3068</v>
      </c>
      <c r="D2013" t="str">
        <f t="shared" si="32"/>
        <v>SEPLAG5220</v>
      </c>
      <c r="E2013" t="s">
        <v>3057</v>
      </c>
    </row>
    <row r="2014" spans="1:5" x14ac:dyDescent="0.25">
      <c r="A2014">
        <v>1501</v>
      </c>
      <c r="B2014" t="s">
        <v>1759</v>
      </c>
      <c r="C2014" t="s">
        <v>449</v>
      </c>
      <c r="D2014" t="str">
        <f t="shared" si="32"/>
        <v>SEPLAG5225</v>
      </c>
      <c r="E2014" t="s">
        <v>3055</v>
      </c>
    </row>
    <row r="2015" spans="1:5" x14ac:dyDescent="0.25">
      <c r="A2015">
        <v>1501</v>
      </c>
      <c r="B2015" t="s">
        <v>1759</v>
      </c>
      <c r="C2015" t="s">
        <v>3070</v>
      </c>
      <c r="D2015" t="str">
        <f t="shared" si="32"/>
        <v>SEPLAG5226</v>
      </c>
      <c r="E2015" t="s">
        <v>3055</v>
      </c>
    </row>
    <row r="2016" spans="1:5" x14ac:dyDescent="0.25">
      <c r="A2016">
        <v>1501</v>
      </c>
      <c r="B2016" t="s">
        <v>1759</v>
      </c>
      <c r="C2016" t="s">
        <v>459</v>
      </c>
      <c r="D2016" t="str">
        <f t="shared" si="32"/>
        <v>SEPLAG5299</v>
      </c>
      <c r="E2016" t="s">
        <v>3055</v>
      </c>
    </row>
    <row r="2017" spans="1:5" x14ac:dyDescent="0.25">
      <c r="A2017">
        <v>1501</v>
      </c>
      <c r="B2017" t="s">
        <v>1759</v>
      </c>
      <c r="C2017" t="s">
        <v>243</v>
      </c>
      <c r="D2017" t="str">
        <f t="shared" si="32"/>
        <v>SEPLAG6101</v>
      </c>
      <c r="E2017" t="s">
        <v>3219</v>
      </c>
    </row>
    <row r="2018" spans="1:5" x14ac:dyDescent="0.25">
      <c r="A2018">
        <v>1501</v>
      </c>
      <c r="B2018" t="s">
        <v>1759</v>
      </c>
      <c r="C2018" t="s">
        <v>3211</v>
      </c>
      <c r="D2018" t="str">
        <f t="shared" si="32"/>
        <v>SEPLAG9108</v>
      </c>
      <c r="E2018" t="s">
        <v>3212</v>
      </c>
    </row>
    <row r="2019" spans="1:5" x14ac:dyDescent="0.25">
      <c r="A2019">
        <v>1501</v>
      </c>
      <c r="B2019" t="s">
        <v>1759</v>
      </c>
      <c r="C2019" t="s">
        <v>3290</v>
      </c>
      <c r="D2019" t="str">
        <f t="shared" si="32"/>
        <v>SEPLAG9117</v>
      </c>
      <c r="E2019" t="s">
        <v>3212</v>
      </c>
    </row>
    <row r="2020" spans="1:5" x14ac:dyDescent="0.25">
      <c r="A2020">
        <v>1501</v>
      </c>
      <c r="B2020" t="s">
        <v>1759</v>
      </c>
      <c r="C2020" t="s">
        <v>3074</v>
      </c>
      <c r="D2020" t="str">
        <f t="shared" si="32"/>
        <v>SEPLAG9202</v>
      </c>
      <c r="E2020" t="s">
        <v>3075</v>
      </c>
    </row>
    <row r="2021" spans="1:5" x14ac:dyDescent="0.25">
      <c r="A2021">
        <v>1501</v>
      </c>
      <c r="B2021" t="s">
        <v>1759</v>
      </c>
      <c r="C2021" t="s">
        <v>320</v>
      </c>
      <c r="D2021" t="str">
        <f t="shared" si="32"/>
        <v>SEPLAG9305</v>
      </c>
      <c r="E2021" t="s">
        <v>2968</v>
      </c>
    </row>
    <row r="2022" spans="1:5" x14ac:dyDescent="0.25">
      <c r="A2022">
        <v>1501</v>
      </c>
      <c r="B2022" t="s">
        <v>1759</v>
      </c>
      <c r="C2022" t="s">
        <v>331</v>
      </c>
      <c r="D2022" t="str">
        <f t="shared" si="32"/>
        <v>SEPLAG9306</v>
      </c>
      <c r="E2022" t="s">
        <v>3076</v>
      </c>
    </row>
    <row r="2023" spans="1:5" x14ac:dyDescent="0.25">
      <c r="A2023">
        <v>1501</v>
      </c>
      <c r="B2023" t="s">
        <v>1759</v>
      </c>
      <c r="C2023" t="s">
        <v>367</v>
      </c>
      <c r="D2023" t="str">
        <f t="shared" si="32"/>
        <v>SEPLAG9310</v>
      </c>
      <c r="E2023" t="s">
        <v>2968</v>
      </c>
    </row>
    <row r="2024" spans="1:5" x14ac:dyDescent="0.25">
      <c r="A2024">
        <v>1501</v>
      </c>
      <c r="B2024" t="s">
        <v>1759</v>
      </c>
      <c r="C2024" t="s">
        <v>3079</v>
      </c>
      <c r="D2024" t="str">
        <f t="shared" si="32"/>
        <v>SEPLAG9399</v>
      </c>
      <c r="E2024" t="s">
        <v>2968</v>
      </c>
    </row>
    <row r="2025" spans="1:5" x14ac:dyDescent="0.25">
      <c r="A2025">
        <v>1502</v>
      </c>
      <c r="B2025" t="e">
        <v>#N/A</v>
      </c>
      <c r="C2025" t="s">
        <v>256</v>
      </c>
      <c r="D2025" t="e">
        <f t="shared" si="32"/>
        <v>#N/A</v>
      </c>
      <c r="E2025" t="s">
        <v>2933</v>
      </c>
    </row>
    <row r="2026" spans="1:5" x14ac:dyDescent="0.25">
      <c r="A2026">
        <v>1502</v>
      </c>
      <c r="B2026" t="e">
        <v>#N/A</v>
      </c>
      <c r="C2026" t="s">
        <v>979</v>
      </c>
      <c r="D2026" t="e">
        <f t="shared" si="32"/>
        <v>#N/A</v>
      </c>
      <c r="E2026" t="s">
        <v>2933</v>
      </c>
    </row>
    <row r="2027" spans="1:5" x14ac:dyDescent="0.25">
      <c r="A2027">
        <v>1502</v>
      </c>
      <c r="B2027" t="e">
        <v>#N/A</v>
      </c>
      <c r="C2027" t="s">
        <v>2937</v>
      </c>
      <c r="D2027" t="e">
        <f t="shared" si="32"/>
        <v>#N/A</v>
      </c>
      <c r="E2027" t="s">
        <v>2933</v>
      </c>
    </row>
    <row r="2028" spans="1:5" x14ac:dyDescent="0.25">
      <c r="A2028">
        <v>1502</v>
      </c>
      <c r="B2028" t="e">
        <v>#N/A</v>
      </c>
      <c r="C2028" t="s">
        <v>2939</v>
      </c>
      <c r="D2028" t="e">
        <f t="shared" si="32"/>
        <v>#N/A</v>
      </c>
      <c r="E2028" t="s">
        <v>2933</v>
      </c>
    </row>
    <row r="2029" spans="1:5" x14ac:dyDescent="0.25">
      <c r="A2029">
        <v>1502</v>
      </c>
      <c r="B2029" t="e">
        <v>#N/A</v>
      </c>
      <c r="C2029" t="s">
        <v>2941</v>
      </c>
      <c r="D2029" t="e">
        <f t="shared" si="32"/>
        <v>#N/A</v>
      </c>
      <c r="E2029" t="s">
        <v>2933</v>
      </c>
    </row>
    <row r="2030" spans="1:5" x14ac:dyDescent="0.25">
      <c r="A2030">
        <v>1502</v>
      </c>
      <c r="B2030" t="e">
        <v>#N/A</v>
      </c>
      <c r="C2030" t="s">
        <v>2943</v>
      </c>
      <c r="D2030" t="e">
        <f t="shared" si="32"/>
        <v>#N/A</v>
      </c>
      <c r="E2030" t="s">
        <v>2944</v>
      </c>
    </row>
    <row r="2031" spans="1:5" x14ac:dyDescent="0.25">
      <c r="A2031">
        <v>1502</v>
      </c>
      <c r="B2031" t="e">
        <v>#N/A</v>
      </c>
      <c r="C2031" t="s">
        <v>138</v>
      </c>
      <c r="D2031" t="e">
        <f t="shared" si="32"/>
        <v>#N/A</v>
      </c>
      <c r="E2031" t="s">
        <v>2944</v>
      </c>
    </row>
    <row r="2032" spans="1:5" x14ac:dyDescent="0.25">
      <c r="A2032">
        <v>1502</v>
      </c>
      <c r="B2032" t="e">
        <v>#N/A</v>
      </c>
      <c r="C2032" t="s">
        <v>2948</v>
      </c>
      <c r="D2032" t="e">
        <f t="shared" si="32"/>
        <v>#N/A</v>
      </c>
      <c r="E2032" t="s">
        <v>2933</v>
      </c>
    </row>
    <row r="2033" spans="1:5" x14ac:dyDescent="0.25">
      <c r="A2033">
        <v>1502</v>
      </c>
      <c r="B2033" t="e">
        <v>#N/A</v>
      </c>
      <c r="C2033" t="s">
        <v>2950</v>
      </c>
      <c r="D2033" t="e">
        <f t="shared" si="32"/>
        <v>#N/A</v>
      </c>
      <c r="E2033" t="s">
        <v>2933</v>
      </c>
    </row>
    <row r="2034" spans="1:5" x14ac:dyDescent="0.25">
      <c r="A2034">
        <v>1502</v>
      </c>
      <c r="B2034" t="e">
        <v>#N/A</v>
      </c>
      <c r="C2034" t="s">
        <v>406</v>
      </c>
      <c r="D2034" t="e">
        <f t="shared" si="32"/>
        <v>#N/A</v>
      </c>
      <c r="E2034" t="s">
        <v>2933</v>
      </c>
    </row>
    <row r="2035" spans="1:5" x14ac:dyDescent="0.25">
      <c r="A2035">
        <v>1502</v>
      </c>
      <c r="B2035" t="e">
        <v>#N/A</v>
      </c>
      <c r="C2035" t="s">
        <v>2953</v>
      </c>
      <c r="D2035" t="e">
        <f t="shared" si="32"/>
        <v>#N/A</v>
      </c>
      <c r="E2035" t="s">
        <v>2954</v>
      </c>
    </row>
    <row r="2036" spans="1:5" x14ac:dyDescent="0.25">
      <c r="A2036">
        <v>1502</v>
      </c>
      <c r="B2036" t="e">
        <v>#N/A</v>
      </c>
      <c r="C2036" t="s">
        <v>2955</v>
      </c>
      <c r="D2036" t="e">
        <f t="shared" si="32"/>
        <v>#N/A</v>
      </c>
      <c r="E2036" t="s">
        <v>2933</v>
      </c>
    </row>
    <row r="2037" spans="1:5" x14ac:dyDescent="0.25">
      <c r="A2037">
        <v>1502</v>
      </c>
      <c r="B2037" t="e">
        <v>#N/A</v>
      </c>
      <c r="C2037" t="s">
        <v>2956</v>
      </c>
      <c r="D2037" t="e">
        <f t="shared" si="32"/>
        <v>#N/A</v>
      </c>
      <c r="E2037" t="s">
        <v>2933</v>
      </c>
    </row>
    <row r="2038" spans="1:5" x14ac:dyDescent="0.25">
      <c r="A2038">
        <v>1502</v>
      </c>
      <c r="B2038" t="e">
        <v>#N/A</v>
      </c>
      <c r="C2038" t="s">
        <v>431</v>
      </c>
      <c r="D2038" t="e">
        <f t="shared" si="32"/>
        <v>#N/A</v>
      </c>
      <c r="E2038" t="s">
        <v>2933</v>
      </c>
    </row>
    <row r="2039" spans="1:5" x14ac:dyDescent="0.25">
      <c r="A2039">
        <v>1502</v>
      </c>
      <c r="B2039" t="e">
        <v>#N/A</v>
      </c>
      <c r="C2039" t="s">
        <v>2957</v>
      </c>
      <c r="D2039" t="e">
        <f t="shared" si="32"/>
        <v>#N/A</v>
      </c>
      <c r="E2039" t="s">
        <v>2958</v>
      </c>
    </row>
    <row r="2040" spans="1:5" x14ac:dyDescent="0.25">
      <c r="A2040">
        <v>1502</v>
      </c>
      <c r="B2040" t="e">
        <v>#N/A</v>
      </c>
      <c r="C2040" t="s">
        <v>441</v>
      </c>
      <c r="D2040" t="e">
        <f t="shared" si="32"/>
        <v>#N/A</v>
      </c>
      <c r="E2040" t="s">
        <v>2933</v>
      </c>
    </row>
    <row r="2041" spans="1:5" x14ac:dyDescent="0.25">
      <c r="A2041">
        <v>1502</v>
      </c>
      <c r="B2041" t="e">
        <v>#N/A</v>
      </c>
      <c r="C2041" t="s">
        <v>2959</v>
      </c>
      <c r="D2041" t="e">
        <f t="shared" si="32"/>
        <v>#N/A</v>
      </c>
      <c r="E2041" t="s">
        <v>2933</v>
      </c>
    </row>
    <row r="2042" spans="1:5" x14ac:dyDescent="0.25">
      <c r="A2042">
        <v>1502</v>
      </c>
      <c r="B2042" t="e">
        <v>#N/A</v>
      </c>
      <c r="C2042" t="s">
        <v>2961</v>
      </c>
      <c r="D2042" t="e">
        <f t="shared" si="32"/>
        <v>#N/A</v>
      </c>
      <c r="E2042" t="s">
        <v>2933</v>
      </c>
    </row>
    <row r="2043" spans="1:5" x14ac:dyDescent="0.25">
      <c r="A2043">
        <v>1502</v>
      </c>
      <c r="B2043" t="e">
        <v>#N/A</v>
      </c>
      <c r="C2043" t="s">
        <v>2984</v>
      </c>
      <c r="D2043" t="e">
        <f t="shared" si="32"/>
        <v>#N/A</v>
      </c>
      <c r="E2043" t="s">
        <v>2933</v>
      </c>
    </row>
    <row r="2044" spans="1:5" x14ac:dyDescent="0.25">
      <c r="A2044">
        <v>1502</v>
      </c>
      <c r="B2044" t="e">
        <v>#N/A</v>
      </c>
      <c r="C2044" t="s">
        <v>467</v>
      </c>
      <c r="D2044" t="e">
        <f t="shared" si="32"/>
        <v>#N/A</v>
      </c>
      <c r="E2044" t="s">
        <v>2933</v>
      </c>
    </row>
    <row r="2045" spans="1:5" x14ac:dyDescent="0.25">
      <c r="A2045">
        <v>1502</v>
      </c>
      <c r="B2045" t="e">
        <v>#N/A</v>
      </c>
      <c r="C2045" t="s">
        <v>491</v>
      </c>
      <c r="D2045" t="e">
        <f t="shared" si="32"/>
        <v>#N/A</v>
      </c>
      <c r="E2045" t="s">
        <v>2933</v>
      </c>
    </row>
    <row r="2046" spans="1:5" x14ac:dyDescent="0.25">
      <c r="A2046">
        <v>1502</v>
      </c>
      <c r="B2046" t="e">
        <v>#N/A</v>
      </c>
      <c r="C2046" t="s">
        <v>2977</v>
      </c>
      <c r="D2046" t="e">
        <f t="shared" si="32"/>
        <v>#N/A</v>
      </c>
      <c r="E2046" t="s">
        <v>44</v>
      </c>
    </row>
    <row r="2047" spans="1:5" x14ac:dyDescent="0.25">
      <c r="A2047">
        <v>1502</v>
      </c>
      <c r="B2047" t="e">
        <v>#N/A</v>
      </c>
      <c r="C2047" t="s">
        <v>309</v>
      </c>
      <c r="D2047" t="e">
        <f t="shared" si="32"/>
        <v>#N/A</v>
      </c>
      <c r="E2047" t="s">
        <v>2968</v>
      </c>
    </row>
    <row r="2048" spans="1:5" x14ac:dyDescent="0.25">
      <c r="A2048">
        <v>1502</v>
      </c>
      <c r="B2048" t="e">
        <v>#N/A</v>
      </c>
      <c r="C2048" t="s">
        <v>3201</v>
      </c>
      <c r="D2048" t="e">
        <f t="shared" si="32"/>
        <v>#N/A</v>
      </c>
      <c r="E2048" t="s">
        <v>1660</v>
      </c>
    </row>
    <row r="2049" spans="1:5" x14ac:dyDescent="0.25">
      <c r="A2049">
        <v>1502</v>
      </c>
      <c r="B2049" t="e">
        <v>#N/A</v>
      </c>
      <c r="C2049" t="s">
        <v>2980</v>
      </c>
      <c r="D2049" t="e">
        <f t="shared" si="32"/>
        <v>#N/A</v>
      </c>
      <c r="E2049" t="s">
        <v>2981</v>
      </c>
    </row>
    <row r="2050" spans="1:5" x14ac:dyDescent="0.25">
      <c r="A2050">
        <v>1502</v>
      </c>
      <c r="B2050" t="e">
        <v>#N/A</v>
      </c>
      <c r="C2050" t="s">
        <v>2983</v>
      </c>
      <c r="D2050" t="e">
        <f t="shared" si="32"/>
        <v>#N/A</v>
      </c>
      <c r="E2050" t="s">
        <v>117</v>
      </c>
    </row>
    <row r="2051" spans="1:5" x14ac:dyDescent="0.25">
      <c r="A2051">
        <v>1502</v>
      </c>
      <c r="B2051" t="e">
        <v>#N/A</v>
      </c>
      <c r="C2051" t="s">
        <v>2985</v>
      </c>
      <c r="D2051" t="e">
        <f t="shared" si="32"/>
        <v>#N/A</v>
      </c>
      <c r="E2051" t="s">
        <v>117</v>
      </c>
    </row>
    <row r="2052" spans="1:5" x14ac:dyDescent="0.25">
      <c r="A2052">
        <v>1502</v>
      </c>
      <c r="B2052" t="e">
        <v>#N/A</v>
      </c>
      <c r="C2052" t="s">
        <v>2986</v>
      </c>
      <c r="D2052" t="e">
        <f t="shared" si="32"/>
        <v>#N/A</v>
      </c>
      <c r="E2052" t="s">
        <v>117</v>
      </c>
    </row>
    <row r="2053" spans="1:5" x14ac:dyDescent="0.25">
      <c r="A2053">
        <v>1502</v>
      </c>
      <c r="B2053" t="e">
        <v>#N/A</v>
      </c>
      <c r="C2053" t="s">
        <v>2988</v>
      </c>
      <c r="D2053" t="e">
        <f t="shared" ref="D2053:D2116" si="33">CONCATENATE(B2053,LEFT(C2053,4))</f>
        <v>#N/A</v>
      </c>
      <c r="E2053" t="s">
        <v>87</v>
      </c>
    </row>
    <row r="2054" spans="1:5" x14ac:dyDescent="0.25">
      <c r="A2054">
        <v>1502</v>
      </c>
      <c r="B2054" t="e">
        <v>#N/A</v>
      </c>
      <c r="C2054" t="s">
        <v>299</v>
      </c>
      <c r="D2054" t="e">
        <f t="shared" si="33"/>
        <v>#N/A</v>
      </c>
      <c r="E2054" t="s">
        <v>2968</v>
      </c>
    </row>
    <row r="2055" spans="1:5" x14ac:dyDescent="0.25">
      <c r="A2055">
        <v>1502</v>
      </c>
      <c r="B2055" t="e">
        <v>#N/A</v>
      </c>
      <c r="C2055" t="s">
        <v>2991</v>
      </c>
      <c r="D2055" t="e">
        <f t="shared" si="33"/>
        <v>#N/A</v>
      </c>
      <c r="E2055" t="s">
        <v>2992</v>
      </c>
    </row>
    <row r="2056" spans="1:5" x14ac:dyDescent="0.25">
      <c r="A2056">
        <v>1502</v>
      </c>
      <c r="B2056" t="e">
        <v>#N/A</v>
      </c>
      <c r="C2056" t="s">
        <v>2994</v>
      </c>
      <c r="D2056" t="e">
        <f t="shared" si="33"/>
        <v>#N/A</v>
      </c>
      <c r="E2056" t="s">
        <v>2992</v>
      </c>
    </row>
    <row r="2057" spans="1:5" x14ac:dyDescent="0.25">
      <c r="A2057">
        <v>1502</v>
      </c>
      <c r="B2057" t="e">
        <v>#N/A</v>
      </c>
      <c r="C2057" t="s">
        <v>390</v>
      </c>
      <c r="D2057" t="e">
        <f t="shared" si="33"/>
        <v>#N/A</v>
      </c>
      <c r="E2057" t="s">
        <v>2968</v>
      </c>
    </row>
    <row r="2058" spans="1:5" x14ac:dyDescent="0.25">
      <c r="A2058">
        <v>1502</v>
      </c>
      <c r="B2058" t="e">
        <v>#N/A</v>
      </c>
      <c r="C2058" t="s">
        <v>2996</v>
      </c>
      <c r="D2058" t="e">
        <f t="shared" si="33"/>
        <v>#N/A</v>
      </c>
      <c r="E2058" t="s">
        <v>2958</v>
      </c>
    </row>
    <row r="2059" spans="1:5" x14ac:dyDescent="0.25">
      <c r="A2059">
        <v>1502</v>
      </c>
      <c r="B2059" t="e">
        <v>#N/A</v>
      </c>
      <c r="C2059" t="s">
        <v>3000</v>
      </c>
      <c r="D2059" t="e">
        <f t="shared" si="33"/>
        <v>#N/A</v>
      </c>
      <c r="E2059" t="s">
        <v>3001</v>
      </c>
    </row>
    <row r="2060" spans="1:5" x14ac:dyDescent="0.25">
      <c r="A2060">
        <v>1502</v>
      </c>
      <c r="B2060" t="e">
        <v>#N/A</v>
      </c>
      <c r="C2060" t="s">
        <v>3077</v>
      </c>
      <c r="D2060" t="e">
        <f t="shared" si="33"/>
        <v>#N/A</v>
      </c>
      <c r="E2060" t="s">
        <v>3107</v>
      </c>
    </row>
    <row r="2061" spans="1:5" x14ac:dyDescent="0.25">
      <c r="A2061">
        <v>1502</v>
      </c>
      <c r="B2061" t="e">
        <v>#N/A</v>
      </c>
      <c r="C2061" t="s">
        <v>3002</v>
      </c>
      <c r="D2061" t="e">
        <f t="shared" si="33"/>
        <v>#N/A</v>
      </c>
      <c r="E2061" t="s">
        <v>3001</v>
      </c>
    </row>
    <row r="2062" spans="1:5" x14ac:dyDescent="0.25">
      <c r="A2062">
        <v>1502</v>
      </c>
      <c r="B2062" t="e">
        <v>#N/A</v>
      </c>
      <c r="C2062" t="s">
        <v>3003</v>
      </c>
      <c r="D2062" t="e">
        <f t="shared" si="33"/>
        <v>#N/A</v>
      </c>
      <c r="E2062" t="s">
        <v>2954</v>
      </c>
    </row>
    <row r="2063" spans="1:5" x14ac:dyDescent="0.25">
      <c r="A2063">
        <v>1502</v>
      </c>
      <c r="B2063" t="e">
        <v>#N/A</v>
      </c>
      <c r="C2063" t="s">
        <v>443</v>
      </c>
      <c r="D2063" t="e">
        <f t="shared" si="33"/>
        <v>#N/A</v>
      </c>
      <c r="E2063" t="s">
        <v>3006</v>
      </c>
    </row>
    <row r="2064" spans="1:5" x14ac:dyDescent="0.25">
      <c r="A2064">
        <v>1502</v>
      </c>
      <c r="B2064" t="e">
        <v>#N/A</v>
      </c>
      <c r="C2064" t="s">
        <v>3008</v>
      </c>
      <c r="D2064" t="e">
        <f t="shared" si="33"/>
        <v>#N/A</v>
      </c>
      <c r="E2064" t="s">
        <v>3009</v>
      </c>
    </row>
    <row r="2065" spans="1:5" x14ac:dyDescent="0.25">
      <c r="A2065">
        <v>1502</v>
      </c>
      <c r="B2065" t="e">
        <v>#N/A</v>
      </c>
      <c r="C2065" t="s">
        <v>1481</v>
      </c>
      <c r="D2065" t="e">
        <f t="shared" si="33"/>
        <v>#N/A</v>
      </c>
      <c r="E2065" t="s">
        <v>2968</v>
      </c>
    </row>
    <row r="2066" spans="1:5" x14ac:dyDescent="0.25">
      <c r="A2066">
        <v>1502</v>
      </c>
      <c r="B2066" t="e">
        <v>#N/A</v>
      </c>
      <c r="C2066" t="s">
        <v>3017</v>
      </c>
      <c r="D2066" t="e">
        <f t="shared" si="33"/>
        <v>#N/A</v>
      </c>
      <c r="E2066" t="s">
        <v>94</v>
      </c>
    </row>
    <row r="2067" spans="1:5" x14ac:dyDescent="0.25">
      <c r="A2067">
        <v>1502</v>
      </c>
      <c r="B2067" t="e">
        <v>#N/A</v>
      </c>
      <c r="C2067" t="s">
        <v>3019</v>
      </c>
      <c r="D2067" t="e">
        <f t="shared" si="33"/>
        <v>#N/A</v>
      </c>
      <c r="E2067" t="s">
        <v>3009</v>
      </c>
    </row>
    <row r="2068" spans="1:5" x14ac:dyDescent="0.25">
      <c r="A2068">
        <v>1502</v>
      </c>
      <c r="B2068" t="e">
        <v>#N/A</v>
      </c>
      <c r="C2068" t="s">
        <v>3020</v>
      </c>
      <c r="D2068" t="e">
        <f t="shared" si="33"/>
        <v>#N/A</v>
      </c>
      <c r="E2068" t="s">
        <v>2958</v>
      </c>
    </row>
    <row r="2069" spans="1:5" x14ac:dyDescent="0.25">
      <c r="A2069">
        <v>1502</v>
      </c>
      <c r="B2069" t="e">
        <v>#N/A</v>
      </c>
      <c r="C2069" t="s">
        <v>3025</v>
      </c>
      <c r="D2069" t="e">
        <f t="shared" si="33"/>
        <v>#N/A</v>
      </c>
      <c r="E2069" t="s">
        <v>2968</v>
      </c>
    </row>
    <row r="2070" spans="1:5" x14ac:dyDescent="0.25">
      <c r="A2070">
        <v>1502</v>
      </c>
      <c r="B2070" t="e">
        <v>#N/A</v>
      </c>
      <c r="C2070" t="s">
        <v>3027</v>
      </c>
      <c r="D2070" t="e">
        <f t="shared" si="33"/>
        <v>#N/A</v>
      </c>
      <c r="E2070" t="s">
        <v>2981</v>
      </c>
    </row>
    <row r="2071" spans="1:5" x14ac:dyDescent="0.25">
      <c r="A2071">
        <v>1502</v>
      </c>
      <c r="B2071" t="e">
        <v>#N/A</v>
      </c>
      <c r="C2071" t="s">
        <v>1154</v>
      </c>
      <c r="D2071" t="e">
        <f t="shared" si="33"/>
        <v>#N/A</v>
      </c>
      <c r="E2071" t="s">
        <v>2992</v>
      </c>
    </row>
    <row r="2072" spans="1:5" x14ac:dyDescent="0.25">
      <c r="A2072">
        <v>1502</v>
      </c>
      <c r="B2072" t="e">
        <v>#N/A</v>
      </c>
      <c r="C2072" t="s">
        <v>3031</v>
      </c>
      <c r="D2072" t="e">
        <f t="shared" si="33"/>
        <v>#N/A</v>
      </c>
      <c r="E2072" t="s">
        <v>3009</v>
      </c>
    </row>
    <row r="2073" spans="1:5" x14ac:dyDescent="0.25">
      <c r="A2073">
        <v>1502</v>
      </c>
      <c r="B2073" t="e">
        <v>#N/A</v>
      </c>
      <c r="C2073" t="s">
        <v>514</v>
      </c>
      <c r="D2073" t="e">
        <f t="shared" si="33"/>
        <v>#N/A</v>
      </c>
      <c r="E2073" t="s">
        <v>2992</v>
      </c>
    </row>
    <row r="2074" spans="1:5" x14ac:dyDescent="0.25">
      <c r="A2074">
        <v>1502</v>
      </c>
      <c r="B2074" t="e">
        <v>#N/A</v>
      </c>
      <c r="C2074" t="s">
        <v>521</v>
      </c>
      <c r="D2074" t="e">
        <f t="shared" si="33"/>
        <v>#N/A</v>
      </c>
      <c r="E2074" t="s">
        <v>2968</v>
      </c>
    </row>
    <row r="2075" spans="1:5" x14ac:dyDescent="0.25">
      <c r="A2075">
        <v>1502</v>
      </c>
      <c r="B2075" t="e">
        <v>#N/A</v>
      </c>
      <c r="C2075" t="s">
        <v>3036</v>
      </c>
      <c r="D2075" t="e">
        <f t="shared" si="33"/>
        <v>#N/A</v>
      </c>
      <c r="E2075" t="s">
        <v>2958</v>
      </c>
    </row>
    <row r="2076" spans="1:5" x14ac:dyDescent="0.25">
      <c r="A2076">
        <v>1502</v>
      </c>
      <c r="B2076" t="e">
        <v>#N/A</v>
      </c>
      <c r="C2076" t="s">
        <v>3040</v>
      </c>
      <c r="D2076" t="e">
        <f t="shared" si="33"/>
        <v>#N/A</v>
      </c>
      <c r="E2076" t="s">
        <v>2968</v>
      </c>
    </row>
    <row r="2077" spans="1:5" x14ac:dyDescent="0.25">
      <c r="A2077">
        <v>1502</v>
      </c>
      <c r="B2077" t="e">
        <v>#N/A</v>
      </c>
      <c r="C2077" t="s">
        <v>3041</v>
      </c>
      <c r="D2077" t="e">
        <f t="shared" si="33"/>
        <v>#N/A</v>
      </c>
      <c r="E2077" t="s">
        <v>3009</v>
      </c>
    </row>
    <row r="2078" spans="1:5" x14ac:dyDescent="0.25">
      <c r="A2078">
        <v>1502</v>
      </c>
      <c r="B2078" t="e">
        <v>#N/A</v>
      </c>
      <c r="C2078" t="s">
        <v>3043</v>
      </c>
      <c r="D2078" t="e">
        <f t="shared" si="33"/>
        <v>#N/A</v>
      </c>
      <c r="E2078" t="s">
        <v>94</v>
      </c>
    </row>
    <row r="2079" spans="1:5" x14ac:dyDescent="0.25">
      <c r="A2079">
        <v>1502</v>
      </c>
      <c r="B2079" t="e">
        <v>#N/A</v>
      </c>
      <c r="C2079" t="s">
        <v>3045</v>
      </c>
      <c r="D2079" t="e">
        <f t="shared" si="33"/>
        <v>#N/A</v>
      </c>
      <c r="E2079" t="s">
        <v>3009</v>
      </c>
    </row>
    <row r="2080" spans="1:5" x14ac:dyDescent="0.25">
      <c r="A2080">
        <v>1502</v>
      </c>
      <c r="B2080" t="e">
        <v>#N/A</v>
      </c>
      <c r="C2080" t="s">
        <v>3047</v>
      </c>
      <c r="D2080" t="e">
        <f t="shared" si="33"/>
        <v>#N/A</v>
      </c>
      <c r="E2080" t="s">
        <v>3009</v>
      </c>
    </row>
    <row r="2081" spans="1:5" x14ac:dyDescent="0.25">
      <c r="A2081">
        <v>1502</v>
      </c>
      <c r="B2081" t="e">
        <v>#N/A</v>
      </c>
      <c r="C2081" t="s">
        <v>3048</v>
      </c>
      <c r="D2081" t="e">
        <f t="shared" si="33"/>
        <v>#N/A</v>
      </c>
      <c r="E2081" t="s">
        <v>3049</v>
      </c>
    </row>
    <row r="2082" spans="1:5" x14ac:dyDescent="0.25">
      <c r="A2082">
        <v>1502</v>
      </c>
      <c r="B2082" t="e">
        <v>#N/A</v>
      </c>
      <c r="C2082" t="s">
        <v>265</v>
      </c>
      <c r="D2082" t="e">
        <f t="shared" si="33"/>
        <v>#N/A</v>
      </c>
      <c r="E2082" t="s">
        <v>3049</v>
      </c>
    </row>
    <row r="2083" spans="1:5" x14ac:dyDescent="0.25">
      <c r="A2083">
        <v>1502</v>
      </c>
      <c r="B2083" t="e">
        <v>#N/A</v>
      </c>
      <c r="C2083" t="s">
        <v>328</v>
      </c>
      <c r="D2083" t="e">
        <f t="shared" si="33"/>
        <v>#N/A</v>
      </c>
      <c r="E2083" t="s">
        <v>3049</v>
      </c>
    </row>
    <row r="2084" spans="1:5" x14ac:dyDescent="0.25">
      <c r="A2084">
        <v>1502</v>
      </c>
      <c r="B2084" t="e">
        <v>#N/A</v>
      </c>
      <c r="C2084" t="s">
        <v>364</v>
      </c>
      <c r="D2084" t="e">
        <f t="shared" si="33"/>
        <v>#N/A</v>
      </c>
      <c r="E2084" t="s">
        <v>3049</v>
      </c>
    </row>
    <row r="2085" spans="1:5" x14ac:dyDescent="0.25">
      <c r="A2085">
        <v>1502</v>
      </c>
      <c r="B2085" t="e">
        <v>#N/A</v>
      </c>
      <c r="C2085" t="s">
        <v>3053</v>
      </c>
      <c r="D2085" t="e">
        <f t="shared" si="33"/>
        <v>#N/A</v>
      </c>
      <c r="E2085" t="s">
        <v>3052</v>
      </c>
    </row>
    <row r="2086" spans="1:5" x14ac:dyDescent="0.25">
      <c r="A2086">
        <v>1502</v>
      </c>
      <c r="B2086" t="e">
        <v>#N/A</v>
      </c>
      <c r="C2086" t="s">
        <v>317</v>
      </c>
      <c r="D2086" t="e">
        <f t="shared" si="33"/>
        <v>#N/A</v>
      </c>
      <c r="E2086" t="s">
        <v>3052</v>
      </c>
    </row>
    <row r="2087" spans="1:5" x14ac:dyDescent="0.25">
      <c r="A2087">
        <v>1502</v>
      </c>
      <c r="B2087" t="e">
        <v>#N/A</v>
      </c>
      <c r="C2087" t="s">
        <v>3054</v>
      </c>
      <c r="D2087" t="e">
        <f t="shared" si="33"/>
        <v>#N/A</v>
      </c>
      <c r="E2087" t="s">
        <v>3055</v>
      </c>
    </row>
    <row r="2088" spans="1:5" x14ac:dyDescent="0.25">
      <c r="A2088">
        <v>1502</v>
      </c>
      <c r="B2088" t="e">
        <v>#N/A</v>
      </c>
      <c r="C2088" t="s">
        <v>3058</v>
      </c>
      <c r="D2088" t="e">
        <f t="shared" si="33"/>
        <v>#N/A</v>
      </c>
      <c r="E2088" t="s">
        <v>3057</v>
      </c>
    </row>
    <row r="2089" spans="1:5" x14ac:dyDescent="0.25">
      <c r="A2089">
        <v>1502</v>
      </c>
      <c r="B2089" t="e">
        <v>#N/A</v>
      </c>
      <c r="C2089" t="s">
        <v>3060</v>
      </c>
      <c r="D2089" t="e">
        <f t="shared" si="33"/>
        <v>#N/A</v>
      </c>
      <c r="E2089" t="s">
        <v>3057</v>
      </c>
    </row>
    <row r="2090" spans="1:5" x14ac:dyDescent="0.25">
      <c r="A2090">
        <v>1502</v>
      </c>
      <c r="B2090" t="e">
        <v>#N/A</v>
      </c>
      <c r="C2090" t="s">
        <v>359</v>
      </c>
      <c r="D2090" t="e">
        <f t="shared" si="33"/>
        <v>#N/A</v>
      </c>
      <c r="E2090" t="s">
        <v>3055</v>
      </c>
    </row>
    <row r="2091" spans="1:5" x14ac:dyDescent="0.25">
      <c r="A2091">
        <v>1502</v>
      </c>
      <c r="B2091" t="e">
        <v>#N/A</v>
      </c>
      <c r="C2091" t="s">
        <v>3063</v>
      </c>
      <c r="D2091" t="e">
        <f t="shared" si="33"/>
        <v>#N/A</v>
      </c>
      <c r="E2091" t="s">
        <v>3055</v>
      </c>
    </row>
    <row r="2092" spans="1:5" x14ac:dyDescent="0.25">
      <c r="A2092">
        <v>1502</v>
      </c>
      <c r="B2092" t="e">
        <v>#N/A</v>
      </c>
      <c r="C2092" t="s">
        <v>3064</v>
      </c>
      <c r="D2092" t="e">
        <f t="shared" si="33"/>
        <v>#N/A</v>
      </c>
      <c r="E2092" t="s">
        <v>3055</v>
      </c>
    </row>
    <row r="2093" spans="1:5" x14ac:dyDescent="0.25">
      <c r="A2093">
        <v>1502</v>
      </c>
      <c r="B2093" t="e">
        <v>#N/A</v>
      </c>
      <c r="C2093" t="s">
        <v>391</v>
      </c>
      <c r="D2093" t="e">
        <f t="shared" si="33"/>
        <v>#N/A</v>
      </c>
      <c r="E2093" t="s">
        <v>3055</v>
      </c>
    </row>
    <row r="2094" spans="1:5" x14ac:dyDescent="0.25">
      <c r="A2094">
        <v>1502</v>
      </c>
      <c r="B2094" t="e">
        <v>#N/A</v>
      </c>
      <c r="C2094" t="s">
        <v>403</v>
      </c>
      <c r="D2094" t="e">
        <f t="shared" si="33"/>
        <v>#N/A</v>
      </c>
      <c r="E2094" t="s">
        <v>3067</v>
      </c>
    </row>
    <row r="2095" spans="1:5" x14ac:dyDescent="0.25">
      <c r="A2095">
        <v>1502</v>
      </c>
      <c r="B2095" t="e">
        <v>#N/A</v>
      </c>
      <c r="C2095" t="s">
        <v>419</v>
      </c>
      <c r="D2095" t="e">
        <f t="shared" si="33"/>
        <v>#N/A</v>
      </c>
      <c r="E2095" t="s">
        <v>3055</v>
      </c>
    </row>
    <row r="2096" spans="1:5" x14ac:dyDescent="0.25">
      <c r="A2096">
        <v>1502</v>
      </c>
      <c r="B2096" t="e">
        <v>#N/A</v>
      </c>
      <c r="C2096" t="s">
        <v>3068</v>
      </c>
      <c r="D2096" t="e">
        <f t="shared" si="33"/>
        <v>#N/A</v>
      </c>
      <c r="E2096" t="s">
        <v>3057</v>
      </c>
    </row>
    <row r="2097" spans="1:5" x14ac:dyDescent="0.25">
      <c r="A2097">
        <v>1502</v>
      </c>
      <c r="B2097" t="e">
        <v>#N/A</v>
      </c>
      <c r="C2097" t="s">
        <v>3211</v>
      </c>
      <c r="D2097" t="e">
        <f t="shared" si="33"/>
        <v>#N/A</v>
      </c>
      <c r="E2097" t="s">
        <v>3212</v>
      </c>
    </row>
    <row r="2098" spans="1:5" x14ac:dyDescent="0.25">
      <c r="A2098">
        <v>1502</v>
      </c>
      <c r="B2098" t="e">
        <v>#N/A</v>
      </c>
      <c r="C2098" t="s">
        <v>3074</v>
      </c>
      <c r="D2098" t="e">
        <f t="shared" si="33"/>
        <v>#N/A</v>
      </c>
      <c r="E2098" t="s">
        <v>3075</v>
      </c>
    </row>
    <row r="2099" spans="1:5" x14ac:dyDescent="0.25">
      <c r="A2099">
        <v>1502</v>
      </c>
      <c r="B2099" t="e">
        <v>#N/A</v>
      </c>
      <c r="C2099" t="s">
        <v>3079</v>
      </c>
      <c r="D2099" t="e">
        <f t="shared" si="33"/>
        <v>#N/A</v>
      </c>
      <c r="E2099" t="s">
        <v>2968</v>
      </c>
    </row>
    <row r="2100" spans="1:5" x14ac:dyDescent="0.25">
      <c r="A2100">
        <v>1511</v>
      </c>
      <c r="B2100" t="s">
        <v>1745</v>
      </c>
      <c r="C2100" t="s">
        <v>3281</v>
      </c>
      <c r="D2100" t="str">
        <f t="shared" si="33"/>
        <v>PCMG0805</v>
      </c>
      <c r="E2100" t="s">
        <v>2926</v>
      </c>
    </row>
    <row r="2101" spans="1:5" x14ac:dyDescent="0.25">
      <c r="A2101">
        <v>1511</v>
      </c>
      <c r="B2101" t="s">
        <v>1745</v>
      </c>
      <c r="C2101" t="s">
        <v>332</v>
      </c>
      <c r="D2101" t="str">
        <f t="shared" si="33"/>
        <v>PCMG1314</v>
      </c>
      <c r="E2101" t="s">
        <v>3081</v>
      </c>
    </row>
    <row r="2102" spans="1:5" x14ac:dyDescent="0.25">
      <c r="A2102">
        <v>1511</v>
      </c>
      <c r="B2102" t="s">
        <v>1745</v>
      </c>
      <c r="C2102" t="s">
        <v>2942</v>
      </c>
      <c r="D2102" t="str">
        <f t="shared" si="33"/>
        <v>PCMG1317</v>
      </c>
      <c r="E2102" t="s">
        <v>3081</v>
      </c>
    </row>
    <row r="2103" spans="1:5" x14ac:dyDescent="0.25">
      <c r="A2103">
        <v>1511</v>
      </c>
      <c r="B2103" t="s">
        <v>1745</v>
      </c>
      <c r="C2103" t="s">
        <v>2928</v>
      </c>
      <c r="D2103" t="str">
        <f t="shared" si="33"/>
        <v>PCMG1401</v>
      </c>
      <c r="E2103" t="s">
        <v>44</v>
      </c>
    </row>
    <row r="2104" spans="1:5" x14ac:dyDescent="0.25">
      <c r="A2104">
        <v>1511</v>
      </c>
      <c r="B2104" t="s">
        <v>1745</v>
      </c>
      <c r="C2104" t="s">
        <v>222</v>
      </c>
      <c r="D2104" t="str">
        <f t="shared" si="33"/>
        <v>PCMG1801</v>
      </c>
      <c r="E2104" t="s">
        <v>3230</v>
      </c>
    </row>
    <row r="2105" spans="1:5" x14ac:dyDescent="0.25">
      <c r="A2105">
        <v>1511</v>
      </c>
      <c r="B2105" t="s">
        <v>1745</v>
      </c>
      <c r="C2105" t="s">
        <v>2932</v>
      </c>
      <c r="D2105" t="str">
        <f t="shared" si="33"/>
        <v>PCMG3001</v>
      </c>
      <c r="E2105" t="s">
        <v>2933</v>
      </c>
    </row>
    <row r="2106" spans="1:5" x14ac:dyDescent="0.25">
      <c r="A2106">
        <v>1511</v>
      </c>
      <c r="B2106" t="s">
        <v>1745</v>
      </c>
      <c r="C2106" t="s">
        <v>256</v>
      </c>
      <c r="D2106" t="str">
        <f t="shared" si="33"/>
        <v>PCMG3002</v>
      </c>
      <c r="E2106" t="s">
        <v>2933</v>
      </c>
    </row>
    <row r="2107" spans="1:5" x14ac:dyDescent="0.25">
      <c r="A2107">
        <v>1511</v>
      </c>
      <c r="B2107" t="s">
        <v>1745</v>
      </c>
      <c r="C2107" t="s">
        <v>979</v>
      </c>
      <c r="D2107" t="str">
        <f t="shared" si="33"/>
        <v>PCMG3003</v>
      </c>
      <c r="E2107" t="s">
        <v>2933</v>
      </c>
    </row>
    <row r="2108" spans="1:5" x14ac:dyDescent="0.25">
      <c r="A2108">
        <v>1511</v>
      </c>
      <c r="B2108" t="s">
        <v>1745</v>
      </c>
      <c r="C2108" t="s">
        <v>2937</v>
      </c>
      <c r="D2108" t="str">
        <f t="shared" si="33"/>
        <v>PCMG3004</v>
      </c>
      <c r="E2108" t="s">
        <v>2933</v>
      </c>
    </row>
    <row r="2109" spans="1:5" x14ac:dyDescent="0.25">
      <c r="A2109">
        <v>1511</v>
      </c>
      <c r="B2109" t="s">
        <v>1745</v>
      </c>
      <c r="C2109" t="s">
        <v>2939</v>
      </c>
      <c r="D2109" t="str">
        <f t="shared" si="33"/>
        <v>PCMG3005</v>
      </c>
      <c r="E2109" t="s">
        <v>2933</v>
      </c>
    </row>
    <row r="2110" spans="1:5" x14ac:dyDescent="0.25">
      <c r="A2110">
        <v>1511</v>
      </c>
      <c r="B2110" t="s">
        <v>1745</v>
      </c>
      <c r="C2110" t="s">
        <v>333</v>
      </c>
      <c r="D2110" t="str">
        <f t="shared" si="33"/>
        <v>PCMG3007</v>
      </c>
      <c r="E2110" t="s">
        <v>2933</v>
      </c>
    </row>
    <row r="2111" spans="1:5" x14ac:dyDescent="0.25">
      <c r="A2111">
        <v>1511</v>
      </c>
      <c r="B2111" t="s">
        <v>1745</v>
      </c>
      <c r="C2111" t="s">
        <v>2941</v>
      </c>
      <c r="D2111" t="str">
        <f t="shared" si="33"/>
        <v>PCMG3008</v>
      </c>
      <c r="E2111" t="s">
        <v>2933</v>
      </c>
    </row>
    <row r="2112" spans="1:5" x14ac:dyDescent="0.25">
      <c r="A2112">
        <v>1511</v>
      </c>
      <c r="B2112" t="s">
        <v>1745</v>
      </c>
      <c r="C2112" t="s">
        <v>354</v>
      </c>
      <c r="D2112" t="str">
        <f t="shared" si="33"/>
        <v>PCMG3009</v>
      </c>
      <c r="E2112" t="s">
        <v>2933</v>
      </c>
    </row>
    <row r="2113" spans="1:5" x14ac:dyDescent="0.25">
      <c r="A2113">
        <v>1511</v>
      </c>
      <c r="B2113" t="s">
        <v>1745</v>
      </c>
      <c r="C2113" t="s">
        <v>2943</v>
      </c>
      <c r="D2113" t="str">
        <f t="shared" si="33"/>
        <v>PCMG3010</v>
      </c>
      <c r="E2113" t="s">
        <v>2944</v>
      </c>
    </row>
    <row r="2114" spans="1:5" x14ac:dyDescent="0.25">
      <c r="A2114">
        <v>1511</v>
      </c>
      <c r="B2114" t="s">
        <v>1745</v>
      </c>
      <c r="C2114" t="s">
        <v>369</v>
      </c>
      <c r="D2114" t="str">
        <f t="shared" si="33"/>
        <v>PCMG3011</v>
      </c>
      <c r="E2114" t="s">
        <v>2933</v>
      </c>
    </row>
    <row r="2115" spans="1:5" x14ac:dyDescent="0.25">
      <c r="A2115">
        <v>1511</v>
      </c>
      <c r="B2115" t="s">
        <v>1745</v>
      </c>
      <c r="C2115" t="s">
        <v>138</v>
      </c>
      <c r="D2115" t="str">
        <f t="shared" si="33"/>
        <v>PCMG3012</v>
      </c>
      <c r="E2115" t="s">
        <v>2944</v>
      </c>
    </row>
    <row r="2116" spans="1:5" x14ac:dyDescent="0.25">
      <c r="A2116">
        <v>1511</v>
      </c>
      <c r="B2116" t="s">
        <v>1745</v>
      </c>
      <c r="C2116" t="s">
        <v>2946</v>
      </c>
      <c r="D2116" t="str">
        <f t="shared" si="33"/>
        <v>PCMG3013</v>
      </c>
      <c r="E2116" t="s">
        <v>2933</v>
      </c>
    </row>
    <row r="2117" spans="1:5" x14ac:dyDescent="0.25">
      <c r="A2117">
        <v>1511</v>
      </c>
      <c r="B2117" t="s">
        <v>1745</v>
      </c>
      <c r="C2117" t="s">
        <v>388</v>
      </c>
      <c r="D2117" t="str">
        <f t="shared" ref="D2117:D2180" si="34">CONCATENATE(B2117,LEFT(C2117,4))</f>
        <v>PCMG3014</v>
      </c>
      <c r="E2117" t="s">
        <v>2933</v>
      </c>
    </row>
    <row r="2118" spans="1:5" x14ac:dyDescent="0.25">
      <c r="A2118">
        <v>1511</v>
      </c>
      <c r="B2118" t="s">
        <v>1745</v>
      </c>
      <c r="C2118" t="s">
        <v>2948</v>
      </c>
      <c r="D2118" t="str">
        <f t="shared" si="34"/>
        <v>PCMG3015</v>
      </c>
      <c r="E2118" t="s">
        <v>2933</v>
      </c>
    </row>
    <row r="2119" spans="1:5" x14ac:dyDescent="0.25">
      <c r="A2119">
        <v>1511</v>
      </c>
      <c r="B2119" t="s">
        <v>1745</v>
      </c>
      <c r="C2119" t="s">
        <v>2950</v>
      </c>
      <c r="D2119" t="str">
        <f t="shared" si="34"/>
        <v>PCMG3016</v>
      </c>
      <c r="E2119" t="s">
        <v>2933</v>
      </c>
    </row>
    <row r="2120" spans="1:5" x14ac:dyDescent="0.25">
      <c r="A2120">
        <v>1511</v>
      </c>
      <c r="B2120" t="s">
        <v>1745</v>
      </c>
      <c r="C2120" t="s">
        <v>406</v>
      </c>
      <c r="D2120" t="str">
        <f t="shared" si="34"/>
        <v>PCMG3017</v>
      </c>
      <c r="E2120" t="s">
        <v>2933</v>
      </c>
    </row>
    <row r="2121" spans="1:5" x14ac:dyDescent="0.25">
      <c r="A2121">
        <v>1511</v>
      </c>
      <c r="B2121" t="s">
        <v>1745</v>
      </c>
      <c r="C2121" t="s">
        <v>411</v>
      </c>
      <c r="D2121" t="str">
        <f t="shared" si="34"/>
        <v>PCMG3018</v>
      </c>
      <c r="E2121" t="s">
        <v>2933</v>
      </c>
    </row>
    <row r="2122" spans="1:5" x14ac:dyDescent="0.25">
      <c r="A2122">
        <v>1511</v>
      </c>
      <c r="B2122" t="s">
        <v>1745</v>
      </c>
      <c r="C2122" t="s">
        <v>2953</v>
      </c>
      <c r="D2122" t="str">
        <f t="shared" si="34"/>
        <v>PCMG3019</v>
      </c>
      <c r="E2122" t="s">
        <v>2954</v>
      </c>
    </row>
    <row r="2123" spans="1:5" x14ac:dyDescent="0.25">
      <c r="A2123">
        <v>1511</v>
      </c>
      <c r="B2123" t="s">
        <v>1745</v>
      </c>
      <c r="C2123" t="s">
        <v>2955</v>
      </c>
      <c r="D2123" t="str">
        <f t="shared" si="34"/>
        <v>PCMG3020</v>
      </c>
      <c r="E2123" t="s">
        <v>2933</v>
      </c>
    </row>
    <row r="2124" spans="1:5" x14ac:dyDescent="0.25">
      <c r="A2124">
        <v>1511</v>
      </c>
      <c r="B2124" t="s">
        <v>1745</v>
      </c>
      <c r="C2124" t="s">
        <v>2956</v>
      </c>
      <c r="D2124" t="str">
        <f t="shared" si="34"/>
        <v>PCMG3021</v>
      </c>
      <c r="E2124" t="s">
        <v>2933</v>
      </c>
    </row>
    <row r="2125" spans="1:5" x14ac:dyDescent="0.25">
      <c r="A2125">
        <v>1511</v>
      </c>
      <c r="B2125" t="s">
        <v>1745</v>
      </c>
      <c r="C2125" t="s">
        <v>431</v>
      </c>
      <c r="D2125" t="str">
        <f t="shared" si="34"/>
        <v>PCMG3022</v>
      </c>
      <c r="E2125" t="s">
        <v>2933</v>
      </c>
    </row>
    <row r="2126" spans="1:5" x14ac:dyDescent="0.25">
      <c r="A2126">
        <v>1511</v>
      </c>
      <c r="B2126" t="s">
        <v>1745</v>
      </c>
      <c r="C2126" t="s">
        <v>2957</v>
      </c>
      <c r="D2126" t="str">
        <f t="shared" si="34"/>
        <v>PCMG3023</v>
      </c>
      <c r="E2126" t="s">
        <v>2958</v>
      </c>
    </row>
    <row r="2127" spans="1:5" x14ac:dyDescent="0.25">
      <c r="A2127">
        <v>1511</v>
      </c>
      <c r="B2127" t="s">
        <v>1745</v>
      </c>
      <c r="C2127" t="s">
        <v>441</v>
      </c>
      <c r="D2127" t="str">
        <f t="shared" si="34"/>
        <v>PCMG3024</v>
      </c>
      <c r="E2127" t="s">
        <v>2933</v>
      </c>
    </row>
    <row r="2128" spans="1:5" x14ac:dyDescent="0.25">
      <c r="A2128">
        <v>1511</v>
      </c>
      <c r="B2128" t="s">
        <v>1745</v>
      </c>
      <c r="C2128" t="s">
        <v>2959</v>
      </c>
      <c r="D2128" t="str">
        <f t="shared" si="34"/>
        <v>PCMG3025</v>
      </c>
      <c r="E2128" t="s">
        <v>2933</v>
      </c>
    </row>
    <row r="2129" spans="1:5" x14ac:dyDescent="0.25">
      <c r="A2129">
        <v>1511</v>
      </c>
      <c r="B2129" t="s">
        <v>1745</v>
      </c>
      <c r="C2129" t="s">
        <v>2960</v>
      </c>
      <c r="D2129" t="str">
        <f t="shared" si="34"/>
        <v>PCMG3026</v>
      </c>
      <c r="E2129" t="s">
        <v>2958</v>
      </c>
    </row>
    <row r="2130" spans="1:5" x14ac:dyDescent="0.25">
      <c r="A2130">
        <v>1511</v>
      </c>
      <c r="B2130" t="s">
        <v>1745</v>
      </c>
      <c r="C2130" t="s">
        <v>2961</v>
      </c>
      <c r="D2130" t="str">
        <f t="shared" si="34"/>
        <v>PCMG3027</v>
      </c>
      <c r="E2130" t="s">
        <v>2933</v>
      </c>
    </row>
    <row r="2131" spans="1:5" x14ac:dyDescent="0.25">
      <c r="A2131">
        <v>1511</v>
      </c>
      <c r="B2131" t="s">
        <v>1745</v>
      </c>
      <c r="C2131" t="s">
        <v>467</v>
      </c>
      <c r="D2131" t="str">
        <f t="shared" si="34"/>
        <v>PCMG3030</v>
      </c>
      <c r="E2131" t="s">
        <v>2933</v>
      </c>
    </row>
    <row r="2132" spans="1:5" x14ac:dyDescent="0.25">
      <c r="A2132">
        <v>1511</v>
      </c>
      <c r="B2132" t="s">
        <v>1745</v>
      </c>
      <c r="C2132" t="s">
        <v>470</v>
      </c>
      <c r="D2132" t="str">
        <f t="shared" si="34"/>
        <v>PCMG3031</v>
      </c>
      <c r="E2132" t="s">
        <v>2933</v>
      </c>
    </row>
    <row r="2133" spans="1:5" x14ac:dyDescent="0.25">
      <c r="A2133">
        <v>1511</v>
      </c>
      <c r="B2133" t="s">
        <v>1745</v>
      </c>
      <c r="C2133" t="s">
        <v>2963</v>
      </c>
      <c r="D2133" t="str">
        <f t="shared" si="34"/>
        <v>PCMG3032</v>
      </c>
      <c r="E2133" t="s">
        <v>2933</v>
      </c>
    </row>
    <row r="2134" spans="1:5" x14ac:dyDescent="0.25">
      <c r="A2134">
        <v>1511</v>
      </c>
      <c r="B2134" t="s">
        <v>1745</v>
      </c>
      <c r="C2134" t="s">
        <v>2964</v>
      </c>
      <c r="D2134" t="str">
        <f t="shared" si="34"/>
        <v>PCMG3033</v>
      </c>
      <c r="E2134" t="s">
        <v>2965</v>
      </c>
    </row>
    <row r="2135" spans="1:5" x14ac:dyDescent="0.25">
      <c r="A2135">
        <v>1511</v>
      </c>
      <c r="B2135" t="s">
        <v>1745</v>
      </c>
      <c r="C2135" t="s">
        <v>477</v>
      </c>
      <c r="D2135" t="str">
        <f t="shared" si="34"/>
        <v>PCMG3034</v>
      </c>
      <c r="E2135" t="s">
        <v>2965</v>
      </c>
    </row>
    <row r="2136" spans="1:5" x14ac:dyDescent="0.25">
      <c r="A2136">
        <v>1511</v>
      </c>
      <c r="B2136" t="s">
        <v>1745</v>
      </c>
      <c r="C2136" t="s">
        <v>487</v>
      </c>
      <c r="D2136" t="str">
        <f t="shared" si="34"/>
        <v>PCMG3040</v>
      </c>
      <c r="E2136" t="s">
        <v>2933</v>
      </c>
    </row>
    <row r="2137" spans="1:5" x14ac:dyDescent="0.25">
      <c r="A2137">
        <v>1511</v>
      </c>
      <c r="B2137" t="s">
        <v>1745</v>
      </c>
      <c r="C2137" t="s">
        <v>2993</v>
      </c>
      <c r="D2137" t="str">
        <f t="shared" si="34"/>
        <v>PCMG3041</v>
      </c>
      <c r="E2137" t="s">
        <v>2968</v>
      </c>
    </row>
    <row r="2138" spans="1:5" x14ac:dyDescent="0.25">
      <c r="A2138">
        <v>1511</v>
      </c>
      <c r="B2138" t="s">
        <v>1745</v>
      </c>
      <c r="C2138" t="s">
        <v>491</v>
      </c>
      <c r="D2138" t="str">
        <f t="shared" si="34"/>
        <v>PCMG3099</v>
      </c>
      <c r="E2138" t="s">
        <v>2933</v>
      </c>
    </row>
    <row r="2139" spans="1:5" x14ac:dyDescent="0.25">
      <c r="A2139">
        <v>1511</v>
      </c>
      <c r="B2139" t="s">
        <v>1745</v>
      </c>
      <c r="C2139" t="s">
        <v>2967</v>
      </c>
      <c r="D2139" t="str">
        <f t="shared" si="34"/>
        <v>PCMG3101</v>
      </c>
      <c r="E2139" t="s">
        <v>2968</v>
      </c>
    </row>
    <row r="2140" spans="1:5" x14ac:dyDescent="0.25">
      <c r="A2140">
        <v>1511</v>
      </c>
      <c r="B2140" t="s">
        <v>1745</v>
      </c>
      <c r="C2140" t="s">
        <v>2975</v>
      </c>
      <c r="D2140" t="str">
        <f t="shared" si="34"/>
        <v>PCMG3302</v>
      </c>
      <c r="E2140" t="s">
        <v>44</v>
      </c>
    </row>
    <row r="2141" spans="1:5" x14ac:dyDescent="0.25">
      <c r="A2141">
        <v>1511</v>
      </c>
      <c r="B2141" t="s">
        <v>1745</v>
      </c>
      <c r="C2141" t="s">
        <v>2977</v>
      </c>
      <c r="D2141" t="str">
        <f t="shared" si="34"/>
        <v>PCMG3304</v>
      </c>
      <c r="E2141" t="s">
        <v>44</v>
      </c>
    </row>
    <row r="2142" spans="1:5" x14ac:dyDescent="0.25">
      <c r="A2142">
        <v>1511</v>
      </c>
      <c r="B2142" t="s">
        <v>1745</v>
      </c>
      <c r="C2142" t="s">
        <v>3201</v>
      </c>
      <c r="D2142" t="str">
        <f t="shared" si="34"/>
        <v>PCMG3502</v>
      </c>
      <c r="E2142" t="s">
        <v>1660</v>
      </c>
    </row>
    <row r="2143" spans="1:5" x14ac:dyDescent="0.25">
      <c r="A2143">
        <v>1511</v>
      </c>
      <c r="B2143" t="s">
        <v>1745</v>
      </c>
      <c r="C2143" t="s">
        <v>297</v>
      </c>
      <c r="D2143" t="str">
        <f t="shared" si="34"/>
        <v>PCMG3604</v>
      </c>
      <c r="E2143" t="s">
        <v>44</v>
      </c>
    </row>
    <row r="2144" spans="1:5" x14ac:dyDescent="0.25">
      <c r="A2144">
        <v>1511</v>
      </c>
      <c r="B2144" t="s">
        <v>1745</v>
      </c>
      <c r="C2144" t="s">
        <v>3021</v>
      </c>
      <c r="D2144" t="str">
        <f t="shared" si="34"/>
        <v>PCMG3611</v>
      </c>
      <c r="E2144" t="s">
        <v>3107</v>
      </c>
    </row>
    <row r="2145" spans="1:5" x14ac:dyDescent="0.25">
      <c r="A2145">
        <v>1511</v>
      </c>
      <c r="B2145" t="s">
        <v>1745</v>
      </c>
      <c r="C2145" t="s">
        <v>2979</v>
      </c>
      <c r="D2145" t="str">
        <f t="shared" si="34"/>
        <v>PCMG3612</v>
      </c>
      <c r="E2145" t="s">
        <v>2968</v>
      </c>
    </row>
    <row r="2146" spans="1:5" x14ac:dyDescent="0.25">
      <c r="A2146">
        <v>1511</v>
      </c>
      <c r="B2146" t="s">
        <v>1745</v>
      </c>
      <c r="C2146" t="s">
        <v>407</v>
      </c>
      <c r="D2146" t="str">
        <f t="shared" si="34"/>
        <v>PCMG3618</v>
      </c>
      <c r="E2146" t="s">
        <v>2954</v>
      </c>
    </row>
    <row r="2147" spans="1:5" x14ac:dyDescent="0.25">
      <c r="A2147">
        <v>1511</v>
      </c>
      <c r="B2147" t="s">
        <v>1745</v>
      </c>
      <c r="C2147" t="s">
        <v>3050</v>
      </c>
      <c r="D2147" t="str">
        <f t="shared" si="34"/>
        <v>PCMG3702</v>
      </c>
      <c r="E2147" t="s">
        <v>2981</v>
      </c>
    </row>
    <row r="2148" spans="1:5" x14ac:dyDescent="0.25">
      <c r="A2148">
        <v>1511</v>
      </c>
      <c r="B2148" t="s">
        <v>1745</v>
      </c>
      <c r="C2148" t="s">
        <v>2983</v>
      </c>
      <c r="D2148" t="str">
        <f t="shared" si="34"/>
        <v>PCMG3703</v>
      </c>
      <c r="E2148" t="s">
        <v>117</v>
      </c>
    </row>
    <row r="2149" spans="1:5" x14ac:dyDescent="0.25">
      <c r="A2149">
        <v>1511</v>
      </c>
      <c r="B2149" t="s">
        <v>1745</v>
      </c>
      <c r="C2149" t="s">
        <v>2985</v>
      </c>
      <c r="D2149" t="str">
        <f t="shared" si="34"/>
        <v>PCMG3704</v>
      </c>
      <c r="E2149" t="s">
        <v>117</v>
      </c>
    </row>
    <row r="2150" spans="1:5" x14ac:dyDescent="0.25">
      <c r="A2150">
        <v>1511</v>
      </c>
      <c r="B2150" t="s">
        <v>1745</v>
      </c>
      <c r="C2150" t="s">
        <v>2986</v>
      </c>
      <c r="D2150" t="str">
        <f t="shared" si="34"/>
        <v>PCMG3705</v>
      </c>
      <c r="E2150" t="s">
        <v>117</v>
      </c>
    </row>
    <row r="2151" spans="1:5" x14ac:dyDescent="0.25">
      <c r="A2151">
        <v>1511</v>
      </c>
      <c r="B2151" t="s">
        <v>1745</v>
      </c>
      <c r="C2151" t="s">
        <v>2988</v>
      </c>
      <c r="D2151" t="str">
        <f t="shared" si="34"/>
        <v>PCMG3903</v>
      </c>
      <c r="E2151" t="s">
        <v>87</v>
      </c>
    </row>
    <row r="2152" spans="1:5" x14ac:dyDescent="0.25">
      <c r="A2152">
        <v>1511</v>
      </c>
      <c r="B2152" t="s">
        <v>1745</v>
      </c>
      <c r="C2152" t="s">
        <v>299</v>
      </c>
      <c r="D2152" t="str">
        <f t="shared" si="34"/>
        <v>PCMG3904</v>
      </c>
      <c r="E2152" t="s">
        <v>2968</v>
      </c>
    </row>
    <row r="2153" spans="1:5" x14ac:dyDescent="0.25">
      <c r="A2153">
        <v>1511</v>
      </c>
      <c r="B2153" t="s">
        <v>1745</v>
      </c>
      <c r="C2153" t="s">
        <v>326</v>
      </c>
      <c r="D2153" t="str">
        <f t="shared" si="34"/>
        <v>PCMG3906</v>
      </c>
      <c r="E2153" t="s">
        <v>2968</v>
      </c>
    </row>
    <row r="2154" spans="1:5" x14ac:dyDescent="0.25">
      <c r="A2154">
        <v>1511</v>
      </c>
      <c r="B2154" t="s">
        <v>1745</v>
      </c>
      <c r="C2154" t="s">
        <v>346</v>
      </c>
      <c r="D2154" t="str">
        <f t="shared" si="34"/>
        <v>PCMG3910</v>
      </c>
      <c r="E2154" t="s">
        <v>2968</v>
      </c>
    </row>
    <row r="2155" spans="1:5" x14ac:dyDescent="0.25">
      <c r="A2155">
        <v>1511</v>
      </c>
      <c r="B2155" t="s">
        <v>1745</v>
      </c>
      <c r="C2155" t="s">
        <v>356</v>
      </c>
      <c r="D2155" t="str">
        <f t="shared" si="34"/>
        <v>PCMG3911</v>
      </c>
      <c r="E2155" t="s">
        <v>2968</v>
      </c>
    </row>
    <row r="2156" spans="1:5" x14ac:dyDescent="0.25">
      <c r="A2156">
        <v>1511</v>
      </c>
      <c r="B2156" t="s">
        <v>1745</v>
      </c>
      <c r="C2156" t="s">
        <v>2991</v>
      </c>
      <c r="D2156" t="str">
        <f t="shared" si="34"/>
        <v>PCMG3912</v>
      </c>
      <c r="E2156" t="s">
        <v>2992</v>
      </c>
    </row>
    <row r="2157" spans="1:5" x14ac:dyDescent="0.25">
      <c r="A2157">
        <v>1511</v>
      </c>
      <c r="B2157" t="s">
        <v>1745</v>
      </c>
      <c r="C2157" t="s">
        <v>2994</v>
      </c>
      <c r="D2157" t="str">
        <f t="shared" si="34"/>
        <v>PCMG3913</v>
      </c>
      <c r="E2157" t="s">
        <v>2992</v>
      </c>
    </row>
    <row r="2158" spans="1:5" x14ac:dyDescent="0.25">
      <c r="A2158">
        <v>1511</v>
      </c>
      <c r="B2158" t="s">
        <v>1745</v>
      </c>
      <c r="C2158" t="s">
        <v>384</v>
      </c>
      <c r="D2158" t="str">
        <f t="shared" si="34"/>
        <v>PCMG3915</v>
      </c>
      <c r="E2158" t="s">
        <v>2992</v>
      </c>
    </row>
    <row r="2159" spans="1:5" x14ac:dyDescent="0.25">
      <c r="A2159">
        <v>1511</v>
      </c>
      <c r="B2159" t="s">
        <v>1745</v>
      </c>
      <c r="C2159" t="s">
        <v>2996</v>
      </c>
      <c r="D2159" t="str">
        <f t="shared" si="34"/>
        <v>PCMG3917</v>
      </c>
      <c r="E2159" t="s">
        <v>2958</v>
      </c>
    </row>
    <row r="2160" spans="1:5" x14ac:dyDescent="0.25">
      <c r="A2160">
        <v>1511</v>
      </c>
      <c r="B2160" t="s">
        <v>1745</v>
      </c>
      <c r="C2160" t="s">
        <v>2998</v>
      </c>
      <c r="D2160" t="str">
        <f t="shared" si="34"/>
        <v>PCMG3918</v>
      </c>
      <c r="E2160" t="s">
        <v>2958</v>
      </c>
    </row>
    <row r="2161" spans="1:5" x14ac:dyDescent="0.25">
      <c r="A2161">
        <v>1511</v>
      </c>
      <c r="B2161" t="s">
        <v>1745</v>
      </c>
      <c r="C2161" t="s">
        <v>3000</v>
      </c>
      <c r="D2161" t="str">
        <f t="shared" si="34"/>
        <v>PCMG3919</v>
      </c>
      <c r="E2161" t="s">
        <v>3001</v>
      </c>
    </row>
    <row r="2162" spans="1:5" x14ac:dyDescent="0.25">
      <c r="A2162">
        <v>1511</v>
      </c>
      <c r="B2162" t="s">
        <v>1745</v>
      </c>
      <c r="C2162" t="s">
        <v>3077</v>
      </c>
      <c r="D2162" t="str">
        <f t="shared" si="34"/>
        <v>PCMG3920</v>
      </c>
      <c r="E2162" t="s">
        <v>3107</v>
      </c>
    </row>
    <row r="2163" spans="1:5" x14ac:dyDescent="0.25">
      <c r="A2163">
        <v>1511</v>
      </c>
      <c r="B2163" t="s">
        <v>1745</v>
      </c>
      <c r="C2163" t="s">
        <v>3002</v>
      </c>
      <c r="D2163" t="str">
        <f t="shared" si="34"/>
        <v>PCMG3921</v>
      </c>
      <c r="E2163" t="s">
        <v>3001</v>
      </c>
    </row>
    <row r="2164" spans="1:5" x14ac:dyDescent="0.25">
      <c r="A2164">
        <v>1511</v>
      </c>
      <c r="B2164" t="s">
        <v>1745</v>
      </c>
      <c r="C2164" t="s">
        <v>3003</v>
      </c>
      <c r="D2164" t="str">
        <f t="shared" si="34"/>
        <v>PCMG3922</v>
      </c>
      <c r="E2164" t="s">
        <v>2954</v>
      </c>
    </row>
    <row r="2165" spans="1:5" x14ac:dyDescent="0.25">
      <c r="A2165">
        <v>1511</v>
      </c>
      <c r="B2165" t="s">
        <v>1745</v>
      </c>
      <c r="C2165" t="s">
        <v>566</v>
      </c>
      <c r="D2165" t="str">
        <f t="shared" si="34"/>
        <v>PCMG3924</v>
      </c>
      <c r="E2165" t="s">
        <v>3004</v>
      </c>
    </row>
    <row r="2166" spans="1:5" x14ac:dyDescent="0.25">
      <c r="A2166">
        <v>1511</v>
      </c>
      <c r="B2166" t="s">
        <v>1745</v>
      </c>
      <c r="C2166" t="s">
        <v>443</v>
      </c>
      <c r="D2166" t="str">
        <f t="shared" si="34"/>
        <v>PCMG3926</v>
      </c>
      <c r="E2166" t="s">
        <v>3006</v>
      </c>
    </row>
    <row r="2167" spans="1:5" x14ac:dyDescent="0.25">
      <c r="A2167">
        <v>1511</v>
      </c>
      <c r="B2167" t="s">
        <v>1745</v>
      </c>
      <c r="C2167" t="s">
        <v>3008</v>
      </c>
      <c r="D2167" t="str">
        <f t="shared" si="34"/>
        <v>PCMG3927</v>
      </c>
      <c r="E2167" t="s">
        <v>3009</v>
      </c>
    </row>
    <row r="2168" spans="1:5" x14ac:dyDescent="0.25">
      <c r="A2168">
        <v>1511</v>
      </c>
      <c r="B2168" t="s">
        <v>1745</v>
      </c>
      <c r="C2168" t="s">
        <v>458</v>
      </c>
      <c r="D2168" t="str">
        <f t="shared" si="34"/>
        <v>PCMG3930</v>
      </c>
      <c r="E2168" t="s">
        <v>3006</v>
      </c>
    </row>
    <row r="2169" spans="1:5" x14ac:dyDescent="0.25">
      <c r="A2169">
        <v>1511</v>
      </c>
      <c r="B2169" t="s">
        <v>1745</v>
      </c>
      <c r="C2169" t="s">
        <v>1481</v>
      </c>
      <c r="D2169" t="str">
        <f t="shared" si="34"/>
        <v>PCMG3931</v>
      </c>
      <c r="E2169" t="s">
        <v>2968</v>
      </c>
    </row>
    <row r="2170" spans="1:5" x14ac:dyDescent="0.25">
      <c r="A2170">
        <v>1511</v>
      </c>
      <c r="B2170" t="s">
        <v>1745</v>
      </c>
      <c r="C2170" t="s">
        <v>469</v>
      </c>
      <c r="D2170" t="str">
        <f t="shared" si="34"/>
        <v>PCMG3934</v>
      </c>
      <c r="E2170" t="s">
        <v>2965</v>
      </c>
    </row>
    <row r="2171" spans="1:5" x14ac:dyDescent="0.25">
      <c r="A2171">
        <v>1511</v>
      </c>
      <c r="B2171" t="s">
        <v>1745</v>
      </c>
      <c r="C2171" t="s">
        <v>3015</v>
      </c>
      <c r="D2171" t="str">
        <f t="shared" si="34"/>
        <v>PCMG3935</v>
      </c>
      <c r="E2171" t="s">
        <v>2965</v>
      </c>
    </row>
    <row r="2172" spans="1:5" x14ac:dyDescent="0.25">
      <c r="A2172">
        <v>1511</v>
      </c>
      <c r="B2172" t="s">
        <v>1745</v>
      </c>
      <c r="C2172" t="s">
        <v>3017</v>
      </c>
      <c r="D2172" t="str">
        <f t="shared" si="34"/>
        <v>PCMG3936</v>
      </c>
      <c r="E2172" t="s">
        <v>94</v>
      </c>
    </row>
    <row r="2173" spans="1:5" x14ac:dyDescent="0.25">
      <c r="A2173">
        <v>1511</v>
      </c>
      <c r="B2173" t="s">
        <v>1745</v>
      </c>
      <c r="C2173" t="s">
        <v>3088</v>
      </c>
      <c r="D2173" t="str">
        <f t="shared" si="34"/>
        <v>PCMG3937</v>
      </c>
      <c r="E2173" t="s">
        <v>3107</v>
      </c>
    </row>
    <row r="2174" spans="1:5" x14ac:dyDescent="0.25">
      <c r="A2174">
        <v>1511</v>
      </c>
      <c r="B2174" t="s">
        <v>1745</v>
      </c>
      <c r="C2174" t="s">
        <v>3089</v>
      </c>
      <c r="D2174" t="str">
        <f t="shared" si="34"/>
        <v>PCMG3939</v>
      </c>
      <c r="E2174" t="s">
        <v>2968</v>
      </c>
    </row>
    <row r="2175" spans="1:5" x14ac:dyDescent="0.25">
      <c r="A2175">
        <v>1511</v>
      </c>
      <c r="B2175" t="s">
        <v>1745</v>
      </c>
      <c r="C2175" t="s">
        <v>3019</v>
      </c>
      <c r="D2175" t="str">
        <f t="shared" si="34"/>
        <v>PCMG3940</v>
      </c>
      <c r="E2175" t="s">
        <v>3009</v>
      </c>
    </row>
    <row r="2176" spans="1:5" x14ac:dyDescent="0.25">
      <c r="A2176">
        <v>1511</v>
      </c>
      <c r="B2176" t="s">
        <v>1745</v>
      </c>
      <c r="C2176" t="s">
        <v>482</v>
      </c>
      <c r="D2176" t="str">
        <f t="shared" si="34"/>
        <v>PCMG3942</v>
      </c>
      <c r="E2176" t="s">
        <v>2968</v>
      </c>
    </row>
    <row r="2177" spans="1:5" x14ac:dyDescent="0.25">
      <c r="A2177">
        <v>1511</v>
      </c>
      <c r="B2177" t="s">
        <v>1745</v>
      </c>
      <c r="C2177" t="s">
        <v>3020</v>
      </c>
      <c r="D2177" t="str">
        <f t="shared" si="34"/>
        <v>PCMG3943</v>
      </c>
      <c r="E2177" t="s">
        <v>2958</v>
      </c>
    </row>
    <row r="2178" spans="1:5" x14ac:dyDescent="0.25">
      <c r="A2178">
        <v>1511</v>
      </c>
      <c r="B2178" t="s">
        <v>1745</v>
      </c>
      <c r="C2178" t="s">
        <v>492</v>
      </c>
      <c r="D2178" t="str">
        <f t="shared" si="34"/>
        <v>PCMG3948</v>
      </c>
      <c r="E2178" t="s">
        <v>3004</v>
      </c>
    </row>
    <row r="2179" spans="1:5" x14ac:dyDescent="0.25">
      <c r="A2179">
        <v>1511</v>
      </c>
      <c r="B2179" t="s">
        <v>1745</v>
      </c>
      <c r="C2179" t="s">
        <v>498</v>
      </c>
      <c r="D2179" t="str">
        <f t="shared" si="34"/>
        <v>PCMG3955</v>
      </c>
      <c r="E2179" t="s">
        <v>2968</v>
      </c>
    </row>
    <row r="2180" spans="1:5" x14ac:dyDescent="0.25">
      <c r="A2180">
        <v>1511</v>
      </c>
      <c r="B2180" t="s">
        <v>1745</v>
      </c>
      <c r="C2180" t="s">
        <v>3025</v>
      </c>
      <c r="D2180" t="str">
        <f t="shared" si="34"/>
        <v>PCMG3959</v>
      </c>
      <c r="E2180" t="s">
        <v>2968</v>
      </c>
    </row>
    <row r="2181" spans="1:5" x14ac:dyDescent="0.25">
      <c r="A2181">
        <v>1511</v>
      </c>
      <c r="B2181" t="s">
        <v>1745</v>
      </c>
      <c r="C2181" t="s">
        <v>3102</v>
      </c>
      <c r="D2181" t="str">
        <f t="shared" ref="D2181:D2244" si="35">CONCATENATE(B2181,LEFT(C2181,4))</f>
        <v>PCMG3960</v>
      </c>
      <c r="E2181" t="s">
        <v>103</v>
      </c>
    </row>
    <row r="2182" spans="1:5" x14ac:dyDescent="0.25">
      <c r="A2182">
        <v>1511</v>
      </c>
      <c r="B2182" t="s">
        <v>1745</v>
      </c>
      <c r="C2182" t="s">
        <v>3027</v>
      </c>
      <c r="D2182" t="str">
        <f t="shared" si="35"/>
        <v>PCMG3961</v>
      </c>
      <c r="E2182" t="s">
        <v>2981</v>
      </c>
    </row>
    <row r="2183" spans="1:5" x14ac:dyDescent="0.25">
      <c r="A2183">
        <v>1511</v>
      </c>
      <c r="B2183" t="s">
        <v>1745</v>
      </c>
      <c r="C2183" t="s">
        <v>3103</v>
      </c>
      <c r="D2183" t="str">
        <f t="shared" si="35"/>
        <v>PCMG3962</v>
      </c>
      <c r="E2183" t="s">
        <v>3033</v>
      </c>
    </row>
    <row r="2184" spans="1:5" x14ac:dyDescent="0.25">
      <c r="A2184">
        <v>1511</v>
      </c>
      <c r="B2184" t="s">
        <v>1745</v>
      </c>
      <c r="C2184" t="s">
        <v>3104</v>
      </c>
      <c r="D2184" t="str">
        <f t="shared" si="35"/>
        <v>PCMG3964</v>
      </c>
      <c r="E2184" t="s">
        <v>2968</v>
      </c>
    </row>
    <row r="2185" spans="1:5" x14ac:dyDescent="0.25">
      <c r="A2185">
        <v>1511</v>
      </c>
      <c r="B2185" t="s">
        <v>1745</v>
      </c>
      <c r="C2185" t="s">
        <v>1154</v>
      </c>
      <c r="D2185" t="str">
        <f t="shared" si="35"/>
        <v>PCMG3969</v>
      </c>
      <c r="E2185" t="s">
        <v>2992</v>
      </c>
    </row>
    <row r="2186" spans="1:5" x14ac:dyDescent="0.25">
      <c r="A2186">
        <v>1511</v>
      </c>
      <c r="B2186" t="s">
        <v>1745</v>
      </c>
      <c r="C2186" t="s">
        <v>3031</v>
      </c>
      <c r="D2186" t="str">
        <f t="shared" si="35"/>
        <v>PCMG3970</v>
      </c>
      <c r="E2186" t="s">
        <v>3009</v>
      </c>
    </row>
    <row r="2187" spans="1:5" x14ac:dyDescent="0.25">
      <c r="A2187">
        <v>1511</v>
      </c>
      <c r="B2187" t="s">
        <v>1745</v>
      </c>
      <c r="C2187" t="s">
        <v>513</v>
      </c>
      <c r="D2187" t="str">
        <f t="shared" si="35"/>
        <v>PCMG3971</v>
      </c>
      <c r="E2187" t="s">
        <v>3033</v>
      </c>
    </row>
    <row r="2188" spans="1:5" x14ac:dyDescent="0.25">
      <c r="A2188">
        <v>1511</v>
      </c>
      <c r="B2188" t="s">
        <v>1745</v>
      </c>
      <c r="C2188" t="s">
        <v>516</v>
      </c>
      <c r="D2188" t="str">
        <f t="shared" si="35"/>
        <v>PCMG3974</v>
      </c>
      <c r="E2188" t="s">
        <v>3131</v>
      </c>
    </row>
    <row r="2189" spans="1:5" x14ac:dyDescent="0.25">
      <c r="A2189">
        <v>1511</v>
      </c>
      <c r="B2189" t="s">
        <v>1745</v>
      </c>
      <c r="C2189" t="s">
        <v>520</v>
      </c>
      <c r="D2189" t="str">
        <f t="shared" si="35"/>
        <v>PCMG3978</v>
      </c>
      <c r="E2189" t="s">
        <v>103</v>
      </c>
    </row>
    <row r="2190" spans="1:5" x14ac:dyDescent="0.25">
      <c r="A2190">
        <v>1511</v>
      </c>
      <c r="B2190" t="s">
        <v>1745</v>
      </c>
      <c r="C2190" t="s">
        <v>521</v>
      </c>
      <c r="D2190" t="str">
        <f t="shared" si="35"/>
        <v>PCMG3981</v>
      </c>
      <c r="E2190" t="s">
        <v>2968</v>
      </c>
    </row>
    <row r="2191" spans="1:5" x14ac:dyDescent="0.25">
      <c r="A2191">
        <v>1511</v>
      </c>
      <c r="B2191" t="s">
        <v>1745</v>
      </c>
      <c r="C2191" t="s">
        <v>3036</v>
      </c>
      <c r="D2191" t="str">
        <f t="shared" si="35"/>
        <v>PCMG3987</v>
      </c>
      <c r="E2191" t="s">
        <v>2958</v>
      </c>
    </row>
    <row r="2192" spans="1:5" x14ac:dyDescent="0.25">
      <c r="A2192">
        <v>1511</v>
      </c>
      <c r="B2192" t="s">
        <v>1745</v>
      </c>
      <c r="C2192" t="s">
        <v>531</v>
      </c>
      <c r="D2192" t="str">
        <f t="shared" si="35"/>
        <v>PCMG3991</v>
      </c>
      <c r="E2192" t="s">
        <v>2968</v>
      </c>
    </row>
    <row r="2193" spans="1:5" x14ac:dyDescent="0.25">
      <c r="A2193">
        <v>1511</v>
      </c>
      <c r="B2193" t="s">
        <v>1745</v>
      </c>
      <c r="C2193" t="s">
        <v>3227</v>
      </c>
      <c r="D2193" t="str">
        <f t="shared" si="35"/>
        <v>PCMG3998</v>
      </c>
      <c r="E2193" t="s">
        <v>2944</v>
      </c>
    </row>
    <row r="2194" spans="1:5" x14ac:dyDescent="0.25">
      <c r="A2194">
        <v>1511</v>
      </c>
      <c r="B2194" t="s">
        <v>1745</v>
      </c>
      <c r="C2194" t="s">
        <v>3040</v>
      </c>
      <c r="D2194" t="str">
        <f t="shared" si="35"/>
        <v>PCMG3999</v>
      </c>
      <c r="E2194" t="s">
        <v>2968</v>
      </c>
    </row>
    <row r="2195" spans="1:5" x14ac:dyDescent="0.25">
      <c r="A2195">
        <v>1511</v>
      </c>
      <c r="B2195" t="s">
        <v>1745</v>
      </c>
      <c r="C2195" t="s">
        <v>3041</v>
      </c>
      <c r="D2195" t="str">
        <f t="shared" si="35"/>
        <v>PCMG4002</v>
      </c>
      <c r="E2195" t="s">
        <v>3009</v>
      </c>
    </row>
    <row r="2196" spans="1:5" x14ac:dyDescent="0.25">
      <c r="A2196">
        <v>1511</v>
      </c>
      <c r="B2196" t="s">
        <v>1745</v>
      </c>
      <c r="C2196" t="s">
        <v>3043</v>
      </c>
      <c r="D2196" t="str">
        <f t="shared" si="35"/>
        <v>PCMG4003</v>
      </c>
      <c r="E2196" t="s">
        <v>94</v>
      </c>
    </row>
    <row r="2197" spans="1:5" x14ac:dyDescent="0.25">
      <c r="A2197">
        <v>1511</v>
      </c>
      <c r="B2197" t="s">
        <v>1745</v>
      </c>
      <c r="C2197" t="s">
        <v>3045</v>
      </c>
      <c r="D2197" t="str">
        <f t="shared" si="35"/>
        <v>PCMG4004</v>
      </c>
      <c r="E2197" t="s">
        <v>3009</v>
      </c>
    </row>
    <row r="2198" spans="1:5" x14ac:dyDescent="0.25">
      <c r="A2198">
        <v>1511</v>
      </c>
      <c r="B2198" t="s">
        <v>1745</v>
      </c>
      <c r="C2198" t="s">
        <v>3047</v>
      </c>
      <c r="D2198" t="str">
        <f t="shared" si="35"/>
        <v>PCMG4005</v>
      </c>
      <c r="E2198" t="s">
        <v>3009</v>
      </c>
    </row>
    <row r="2199" spans="1:5" x14ac:dyDescent="0.25">
      <c r="A2199">
        <v>1511</v>
      </c>
      <c r="B2199" t="s">
        <v>1745</v>
      </c>
      <c r="C2199" t="s">
        <v>813</v>
      </c>
      <c r="D2199" t="str">
        <f t="shared" si="35"/>
        <v>PCMG4006</v>
      </c>
      <c r="E2199" t="s">
        <v>3057</v>
      </c>
    </row>
    <row r="2200" spans="1:5" x14ac:dyDescent="0.25">
      <c r="A2200">
        <v>1511</v>
      </c>
      <c r="B2200" t="s">
        <v>1745</v>
      </c>
      <c r="C2200" t="s">
        <v>3138</v>
      </c>
      <c r="D2200" t="str">
        <f t="shared" si="35"/>
        <v>PCMG4007</v>
      </c>
      <c r="E2200" t="s">
        <v>94</v>
      </c>
    </row>
    <row r="2201" spans="1:5" x14ac:dyDescent="0.25">
      <c r="A2201">
        <v>1511</v>
      </c>
      <c r="B2201" t="s">
        <v>1745</v>
      </c>
      <c r="C2201" t="s">
        <v>3048</v>
      </c>
      <c r="D2201" t="str">
        <f t="shared" si="35"/>
        <v>PCMG4701</v>
      </c>
      <c r="E2201" t="s">
        <v>3049</v>
      </c>
    </row>
    <row r="2202" spans="1:5" x14ac:dyDescent="0.25">
      <c r="A2202">
        <v>1511</v>
      </c>
      <c r="B2202" t="s">
        <v>1745</v>
      </c>
      <c r="C2202" t="s">
        <v>265</v>
      </c>
      <c r="D2202" t="str">
        <f t="shared" si="35"/>
        <v>PCMG4703</v>
      </c>
      <c r="E2202" t="s">
        <v>3049</v>
      </c>
    </row>
    <row r="2203" spans="1:5" x14ac:dyDescent="0.25">
      <c r="A2203">
        <v>1511</v>
      </c>
      <c r="B2203" t="s">
        <v>1745</v>
      </c>
      <c r="C2203" t="s">
        <v>328</v>
      </c>
      <c r="D2203" t="str">
        <f t="shared" si="35"/>
        <v>PCMG4707</v>
      </c>
      <c r="E2203" t="s">
        <v>3049</v>
      </c>
    </row>
    <row r="2204" spans="1:5" x14ac:dyDescent="0.25">
      <c r="A2204">
        <v>1511</v>
      </c>
      <c r="B2204" t="s">
        <v>1745</v>
      </c>
      <c r="C2204" t="s">
        <v>357</v>
      </c>
      <c r="D2204" t="str">
        <f t="shared" si="35"/>
        <v>PCMG4710</v>
      </c>
      <c r="E2204" t="s">
        <v>3049</v>
      </c>
    </row>
    <row r="2205" spans="1:5" x14ac:dyDescent="0.25">
      <c r="A2205">
        <v>1511</v>
      </c>
      <c r="B2205" t="s">
        <v>1745</v>
      </c>
      <c r="C2205" t="s">
        <v>3051</v>
      </c>
      <c r="D2205" t="str">
        <f t="shared" si="35"/>
        <v>PCMG5101</v>
      </c>
      <c r="E2205" t="s">
        <v>3052</v>
      </c>
    </row>
    <row r="2206" spans="1:5" x14ac:dyDescent="0.25">
      <c r="A2206">
        <v>1511</v>
      </c>
      <c r="B2206" t="s">
        <v>1745</v>
      </c>
      <c r="C2206" t="s">
        <v>3053</v>
      </c>
      <c r="D2206" t="str">
        <f t="shared" si="35"/>
        <v>PCMG5103</v>
      </c>
      <c r="E2206" t="s">
        <v>3052</v>
      </c>
    </row>
    <row r="2207" spans="1:5" x14ac:dyDescent="0.25">
      <c r="A2207">
        <v>1511</v>
      </c>
      <c r="B2207" t="s">
        <v>1745</v>
      </c>
      <c r="C2207" t="s">
        <v>173</v>
      </c>
      <c r="D2207" t="str">
        <f t="shared" si="35"/>
        <v>PCMG5107</v>
      </c>
      <c r="E2207" t="s">
        <v>3052</v>
      </c>
    </row>
    <row r="2208" spans="1:5" x14ac:dyDescent="0.25">
      <c r="A2208">
        <v>1511</v>
      </c>
      <c r="B2208" t="s">
        <v>1745</v>
      </c>
      <c r="C2208" t="s">
        <v>242</v>
      </c>
      <c r="D2208" t="str">
        <f t="shared" si="35"/>
        <v>PCMG5201</v>
      </c>
      <c r="E2208" t="s">
        <v>2965</v>
      </c>
    </row>
    <row r="2209" spans="1:5" x14ac:dyDescent="0.25">
      <c r="A2209">
        <v>1511</v>
      </c>
      <c r="B2209" t="s">
        <v>1745</v>
      </c>
      <c r="C2209" t="s">
        <v>288</v>
      </c>
      <c r="D2209" t="str">
        <f t="shared" si="35"/>
        <v>PCMG5203</v>
      </c>
      <c r="E2209" t="s">
        <v>3055</v>
      </c>
    </row>
    <row r="2210" spans="1:5" x14ac:dyDescent="0.25">
      <c r="A2210">
        <v>1511</v>
      </c>
      <c r="B2210" t="s">
        <v>1745</v>
      </c>
      <c r="C2210" t="s">
        <v>3054</v>
      </c>
      <c r="D2210" t="str">
        <f t="shared" si="35"/>
        <v>PCMG5204</v>
      </c>
      <c r="E2210" t="s">
        <v>3055</v>
      </c>
    </row>
    <row r="2211" spans="1:5" x14ac:dyDescent="0.25">
      <c r="A2211">
        <v>1511</v>
      </c>
      <c r="B2211" t="s">
        <v>1745</v>
      </c>
      <c r="C2211" t="s">
        <v>329</v>
      </c>
      <c r="D2211" t="str">
        <f t="shared" si="35"/>
        <v>PCMG5206</v>
      </c>
      <c r="E2211" t="s">
        <v>3057</v>
      </c>
    </row>
    <row r="2212" spans="1:5" x14ac:dyDescent="0.25">
      <c r="A2212">
        <v>1511</v>
      </c>
      <c r="B2212" t="s">
        <v>1745</v>
      </c>
      <c r="C2212" t="s">
        <v>3058</v>
      </c>
      <c r="D2212" t="str">
        <f t="shared" si="35"/>
        <v>PCMG5207</v>
      </c>
      <c r="E2212" t="s">
        <v>3057</v>
      </c>
    </row>
    <row r="2213" spans="1:5" x14ac:dyDescent="0.25">
      <c r="A2213">
        <v>1511</v>
      </c>
      <c r="B2213" t="s">
        <v>1745</v>
      </c>
      <c r="C2213" t="s">
        <v>3060</v>
      </c>
      <c r="D2213" t="str">
        <f t="shared" si="35"/>
        <v>PCMG5208</v>
      </c>
      <c r="E2213" t="s">
        <v>3057</v>
      </c>
    </row>
    <row r="2214" spans="1:5" x14ac:dyDescent="0.25">
      <c r="A2214">
        <v>1511</v>
      </c>
      <c r="B2214" t="s">
        <v>1745</v>
      </c>
      <c r="C2214" t="s">
        <v>359</v>
      </c>
      <c r="D2214" t="str">
        <f t="shared" si="35"/>
        <v>PCMG5209</v>
      </c>
      <c r="E2214" t="s">
        <v>3055</v>
      </c>
    </row>
    <row r="2215" spans="1:5" x14ac:dyDescent="0.25">
      <c r="A2215">
        <v>1511</v>
      </c>
      <c r="B2215" t="s">
        <v>1745</v>
      </c>
      <c r="C2215" t="s">
        <v>3063</v>
      </c>
      <c r="D2215" t="str">
        <f t="shared" si="35"/>
        <v>PCMG5210</v>
      </c>
      <c r="E2215" t="s">
        <v>3055</v>
      </c>
    </row>
    <row r="2216" spans="1:5" x14ac:dyDescent="0.25">
      <c r="A2216">
        <v>1511</v>
      </c>
      <c r="B2216" t="s">
        <v>1745</v>
      </c>
      <c r="C2216" t="s">
        <v>3155</v>
      </c>
      <c r="D2216" t="str">
        <f t="shared" si="35"/>
        <v>PCMG5211</v>
      </c>
      <c r="E2216" t="s">
        <v>2944</v>
      </c>
    </row>
    <row r="2217" spans="1:5" x14ac:dyDescent="0.25">
      <c r="A2217">
        <v>1511</v>
      </c>
      <c r="B2217" t="s">
        <v>1745</v>
      </c>
      <c r="C2217" t="s">
        <v>3064</v>
      </c>
      <c r="D2217" t="str">
        <f t="shared" si="35"/>
        <v>PCMG5212</v>
      </c>
      <c r="E2217" t="s">
        <v>3055</v>
      </c>
    </row>
    <row r="2218" spans="1:5" x14ac:dyDescent="0.25">
      <c r="A2218">
        <v>1511</v>
      </c>
      <c r="B2218" t="s">
        <v>1745</v>
      </c>
      <c r="C2218" t="s">
        <v>385</v>
      </c>
      <c r="D2218" t="str">
        <f t="shared" si="35"/>
        <v>PCMG5213</v>
      </c>
      <c r="E2218" t="s">
        <v>3055</v>
      </c>
    </row>
    <row r="2219" spans="1:5" x14ac:dyDescent="0.25">
      <c r="A2219">
        <v>1511</v>
      </c>
      <c r="B2219" t="s">
        <v>1745</v>
      </c>
      <c r="C2219" t="s">
        <v>391</v>
      </c>
      <c r="D2219" t="str">
        <f t="shared" si="35"/>
        <v>PCMG5214</v>
      </c>
      <c r="E2219" t="s">
        <v>3055</v>
      </c>
    </row>
    <row r="2220" spans="1:5" x14ac:dyDescent="0.25">
      <c r="A2220">
        <v>1511</v>
      </c>
      <c r="B2220" t="s">
        <v>1745</v>
      </c>
      <c r="C2220" t="s">
        <v>403</v>
      </c>
      <c r="D2220" t="str">
        <f t="shared" si="35"/>
        <v>PCMG5216</v>
      </c>
      <c r="E2220" t="s">
        <v>3055</v>
      </c>
    </row>
    <row r="2221" spans="1:5" x14ac:dyDescent="0.25">
      <c r="A2221">
        <v>1511</v>
      </c>
      <c r="B2221" t="s">
        <v>1745</v>
      </c>
      <c r="C2221" t="s">
        <v>409</v>
      </c>
      <c r="D2221" t="str">
        <f t="shared" si="35"/>
        <v>PCMG5217</v>
      </c>
      <c r="E2221" t="s">
        <v>3055</v>
      </c>
    </row>
    <row r="2222" spans="1:5" x14ac:dyDescent="0.25">
      <c r="A2222">
        <v>1511</v>
      </c>
      <c r="B2222" t="s">
        <v>1745</v>
      </c>
      <c r="C2222" t="s">
        <v>3068</v>
      </c>
      <c r="D2222" t="str">
        <f t="shared" si="35"/>
        <v>PCMG5220</v>
      </c>
      <c r="E2222" t="s">
        <v>3057</v>
      </c>
    </row>
    <row r="2223" spans="1:5" x14ac:dyDescent="0.25">
      <c r="A2223">
        <v>1511</v>
      </c>
      <c r="B2223" t="s">
        <v>1745</v>
      </c>
      <c r="C2223" t="s">
        <v>434</v>
      </c>
      <c r="D2223" t="str">
        <f t="shared" si="35"/>
        <v>PCMG5222</v>
      </c>
      <c r="E2223" t="s">
        <v>3055</v>
      </c>
    </row>
    <row r="2224" spans="1:5" x14ac:dyDescent="0.25">
      <c r="A2224">
        <v>1511</v>
      </c>
      <c r="B2224" t="s">
        <v>1745</v>
      </c>
      <c r="C2224" t="s">
        <v>449</v>
      </c>
      <c r="D2224" t="str">
        <f t="shared" si="35"/>
        <v>PCMG5225</v>
      </c>
      <c r="E2224" t="s">
        <v>3055</v>
      </c>
    </row>
    <row r="2225" spans="1:5" x14ac:dyDescent="0.25">
      <c r="A2225">
        <v>1511</v>
      </c>
      <c r="B2225" t="s">
        <v>1745</v>
      </c>
      <c r="C2225" t="s">
        <v>3072</v>
      </c>
      <c r="D2225" t="str">
        <f t="shared" si="35"/>
        <v>PCMG5227</v>
      </c>
      <c r="E2225" t="s">
        <v>3055</v>
      </c>
    </row>
    <row r="2226" spans="1:5" x14ac:dyDescent="0.25">
      <c r="A2226">
        <v>1511</v>
      </c>
      <c r="B2226" t="s">
        <v>1745</v>
      </c>
      <c r="C2226" t="s">
        <v>3074</v>
      </c>
      <c r="D2226" t="str">
        <f t="shared" si="35"/>
        <v>PCMG9202</v>
      </c>
      <c r="E2226" t="s">
        <v>3075</v>
      </c>
    </row>
    <row r="2227" spans="1:5" x14ac:dyDescent="0.25">
      <c r="A2227">
        <v>1511</v>
      </c>
      <c r="B2227" t="s">
        <v>1745</v>
      </c>
      <c r="C2227" t="s">
        <v>250</v>
      </c>
      <c r="D2227" t="str">
        <f t="shared" si="35"/>
        <v>PCMG9301</v>
      </c>
      <c r="E2227" t="s">
        <v>2968</v>
      </c>
    </row>
    <row r="2228" spans="1:5" x14ac:dyDescent="0.25">
      <c r="A2228">
        <v>1511</v>
      </c>
      <c r="B2228" t="s">
        <v>1745</v>
      </c>
      <c r="C2228" t="s">
        <v>331</v>
      </c>
      <c r="D2228" t="str">
        <f t="shared" si="35"/>
        <v>PCMG9306</v>
      </c>
      <c r="E2228" t="s">
        <v>3076</v>
      </c>
    </row>
    <row r="2229" spans="1:5" x14ac:dyDescent="0.25">
      <c r="A2229">
        <v>1511</v>
      </c>
      <c r="B2229" t="s">
        <v>1745</v>
      </c>
      <c r="C2229" t="s">
        <v>360</v>
      </c>
      <c r="D2229" t="str">
        <f t="shared" si="35"/>
        <v>PCMG9309</v>
      </c>
      <c r="E2229" t="s">
        <v>2968</v>
      </c>
    </row>
    <row r="2230" spans="1:5" x14ac:dyDescent="0.25">
      <c r="A2230">
        <v>1511</v>
      </c>
      <c r="B2230" t="s">
        <v>1745</v>
      </c>
      <c r="C2230" t="s">
        <v>367</v>
      </c>
      <c r="D2230" t="str">
        <f t="shared" si="35"/>
        <v>PCMG9310</v>
      </c>
      <c r="E2230" t="s">
        <v>2968</v>
      </c>
    </row>
    <row r="2231" spans="1:5" x14ac:dyDescent="0.25">
      <c r="A2231">
        <v>1511</v>
      </c>
      <c r="B2231" t="s">
        <v>1745</v>
      </c>
      <c r="C2231" t="s">
        <v>380</v>
      </c>
      <c r="D2231" t="str">
        <f t="shared" si="35"/>
        <v>PCMG9312</v>
      </c>
      <c r="E2231" t="s">
        <v>2968</v>
      </c>
    </row>
    <row r="2232" spans="1:5" x14ac:dyDescent="0.25">
      <c r="A2232">
        <v>1511</v>
      </c>
      <c r="B2232" t="s">
        <v>1745</v>
      </c>
      <c r="C2232" t="s">
        <v>3192</v>
      </c>
      <c r="D2232" t="str">
        <f t="shared" si="35"/>
        <v>PCMG9316</v>
      </c>
      <c r="E2232" t="s">
        <v>2968</v>
      </c>
    </row>
    <row r="2233" spans="1:5" x14ac:dyDescent="0.25">
      <c r="A2233">
        <v>1511</v>
      </c>
      <c r="B2233" t="s">
        <v>1745</v>
      </c>
      <c r="C2233" t="s">
        <v>3079</v>
      </c>
      <c r="D2233" t="str">
        <f t="shared" si="35"/>
        <v>PCMG9399</v>
      </c>
      <c r="E2233" t="s">
        <v>2968</v>
      </c>
    </row>
    <row r="2234" spans="1:5" x14ac:dyDescent="0.25">
      <c r="A2234">
        <v>1521</v>
      </c>
      <c r="B2234" t="s">
        <v>1712</v>
      </c>
      <c r="C2234" t="s">
        <v>2928</v>
      </c>
      <c r="D2234" t="str">
        <f t="shared" si="35"/>
        <v>CGE1401</v>
      </c>
      <c r="E2234" t="s">
        <v>44</v>
      </c>
    </row>
    <row r="2235" spans="1:5" x14ac:dyDescent="0.25">
      <c r="A2235">
        <v>1521</v>
      </c>
      <c r="B2235" t="s">
        <v>1712</v>
      </c>
      <c r="C2235" t="s">
        <v>2930</v>
      </c>
      <c r="D2235" t="str">
        <f t="shared" si="35"/>
        <v>CGE1501</v>
      </c>
      <c r="E2235" t="s">
        <v>44</v>
      </c>
    </row>
    <row r="2236" spans="1:5" x14ac:dyDescent="0.25">
      <c r="A2236">
        <v>1521</v>
      </c>
      <c r="B2236" t="s">
        <v>1712</v>
      </c>
      <c r="C2236" t="s">
        <v>2932</v>
      </c>
      <c r="D2236" t="str">
        <f t="shared" si="35"/>
        <v>CGE3001</v>
      </c>
      <c r="E2236" t="s">
        <v>2933</v>
      </c>
    </row>
    <row r="2237" spans="1:5" x14ac:dyDescent="0.25">
      <c r="A2237">
        <v>1521</v>
      </c>
      <c r="B2237" t="s">
        <v>1712</v>
      </c>
      <c r="C2237" t="s">
        <v>979</v>
      </c>
      <c r="D2237" t="str">
        <f t="shared" si="35"/>
        <v>CGE3003</v>
      </c>
      <c r="E2237" t="s">
        <v>2933</v>
      </c>
    </row>
    <row r="2238" spans="1:5" x14ac:dyDescent="0.25">
      <c r="A2238">
        <v>1521</v>
      </c>
      <c r="B2238" t="s">
        <v>1712</v>
      </c>
      <c r="C2238" t="s">
        <v>2939</v>
      </c>
      <c r="D2238" t="str">
        <f t="shared" si="35"/>
        <v>CGE3005</v>
      </c>
      <c r="E2238" t="s">
        <v>2933</v>
      </c>
    </row>
    <row r="2239" spans="1:5" x14ac:dyDescent="0.25">
      <c r="A2239">
        <v>1521</v>
      </c>
      <c r="B2239" t="s">
        <v>1712</v>
      </c>
      <c r="C2239" t="s">
        <v>2948</v>
      </c>
      <c r="D2239" t="str">
        <f t="shared" si="35"/>
        <v>CGE3015</v>
      </c>
      <c r="E2239" t="s">
        <v>2933</v>
      </c>
    </row>
    <row r="2240" spans="1:5" x14ac:dyDescent="0.25">
      <c r="A2240">
        <v>1521</v>
      </c>
      <c r="B2240" t="s">
        <v>1712</v>
      </c>
      <c r="C2240" t="s">
        <v>2950</v>
      </c>
      <c r="D2240" t="str">
        <f t="shared" si="35"/>
        <v>CGE3016</v>
      </c>
      <c r="E2240" t="s">
        <v>2933</v>
      </c>
    </row>
    <row r="2241" spans="1:5" x14ac:dyDescent="0.25">
      <c r="A2241">
        <v>1521</v>
      </c>
      <c r="B2241" t="s">
        <v>1712</v>
      </c>
      <c r="C2241" t="s">
        <v>406</v>
      </c>
      <c r="D2241" t="str">
        <f t="shared" si="35"/>
        <v>CGE3017</v>
      </c>
      <c r="E2241" t="s">
        <v>2933</v>
      </c>
    </row>
    <row r="2242" spans="1:5" x14ac:dyDescent="0.25">
      <c r="A2242">
        <v>1521</v>
      </c>
      <c r="B2242" t="s">
        <v>1712</v>
      </c>
      <c r="C2242" t="s">
        <v>431</v>
      </c>
      <c r="D2242" t="str">
        <f t="shared" si="35"/>
        <v>CGE3022</v>
      </c>
      <c r="E2242" t="s">
        <v>2933</v>
      </c>
    </row>
    <row r="2243" spans="1:5" x14ac:dyDescent="0.25">
      <c r="A2243">
        <v>1521</v>
      </c>
      <c r="B2243" t="s">
        <v>1712</v>
      </c>
      <c r="C2243" t="s">
        <v>441</v>
      </c>
      <c r="D2243" t="str">
        <f t="shared" si="35"/>
        <v>CGE3024</v>
      </c>
      <c r="E2243" t="s">
        <v>2933</v>
      </c>
    </row>
    <row r="2244" spans="1:5" x14ac:dyDescent="0.25">
      <c r="A2244">
        <v>1521</v>
      </c>
      <c r="B2244" t="s">
        <v>1712</v>
      </c>
      <c r="C2244" t="s">
        <v>2960</v>
      </c>
      <c r="D2244" t="str">
        <f t="shared" si="35"/>
        <v>CGE3026</v>
      </c>
      <c r="E2244" t="s">
        <v>2958</v>
      </c>
    </row>
    <row r="2245" spans="1:5" x14ac:dyDescent="0.25">
      <c r="A2245">
        <v>1521</v>
      </c>
      <c r="B2245" t="s">
        <v>1712</v>
      </c>
      <c r="C2245" t="s">
        <v>470</v>
      </c>
      <c r="D2245" t="str">
        <f t="shared" ref="D2245:D2308" si="36">CONCATENATE(B2245,LEFT(C2245,4))</f>
        <v>CGE3031</v>
      </c>
      <c r="E2245" t="s">
        <v>2933</v>
      </c>
    </row>
    <row r="2246" spans="1:5" x14ac:dyDescent="0.25">
      <c r="A2246">
        <v>1521</v>
      </c>
      <c r="B2246" t="s">
        <v>1712</v>
      </c>
      <c r="C2246" t="s">
        <v>2967</v>
      </c>
      <c r="D2246" t="str">
        <f t="shared" si="36"/>
        <v>CGE3101</v>
      </c>
      <c r="E2246" t="s">
        <v>2968</v>
      </c>
    </row>
    <row r="2247" spans="1:5" x14ac:dyDescent="0.25">
      <c r="A2247">
        <v>1521</v>
      </c>
      <c r="B2247" t="s">
        <v>1712</v>
      </c>
      <c r="C2247" t="s">
        <v>54</v>
      </c>
      <c r="D2247" t="str">
        <f t="shared" si="36"/>
        <v>CGE3301</v>
      </c>
      <c r="E2247" t="s">
        <v>44</v>
      </c>
    </row>
    <row r="2248" spans="1:5" x14ac:dyDescent="0.25">
      <c r="A2248">
        <v>1521</v>
      </c>
      <c r="B2248" t="s">
        <v>1712</v>
      </c>
      <c r="C2248" t="s">
        <v>2975</v>
      </c>
      <c r="D2248" t="str">
        <f t="shared" si="36"/>
        <v>CGE3302</v>
      </c>
      <c r="E2248" t="s">
        <v>44</v>
      </c>
    </row>
    <row r="2249" spans="1:5" x14ac:dyDescent="0.25">
      <c r="A2249">
        <v>1521</v>
      </c>
      <c r="B2249" t="s">
        <v>1712</v>
      </c>
      <c r="C2249" t="s">
        <v>2977</v>
      </c>
      <c r="D2249" t="str">
        <f t="shared" si="36"/>
        <v>CGE3304</v>
      </c>
      <c r="E2249" t="s">
        <v>44</v>
      </c>
    </row>
    <row r="2250" spans="1:5" x14ac:dyDescent="0.25">
      <c r="A2250">
        <v>1521</v>
      </c>
      <c r="B2250" t="s">
        <v>1712</v>
      </c>
      <c r="C2250" t="s">
        <v>3233</v>
      </c>
      <c r="D2250" t="str">
        <f t="shared" si="36"/>
        <v>CGE3501</v>
      </c>
      <c r="E2250" t="s">
        <v>2968</v>
      </c>
    </row>
    <row r="2251" spans="1:5" x14ac:dyDescent="0.25">
      <c r="A2251">
        <v>1521</v>
      </c>
      <c r="B2251" t="s">
        <v>1712</v>
      </c>
      <c r="C2251" t="s">
        <v>3012</v>
      </c>
      <c r="D2251" t="str">
        <f t="shared" si="36"/>
        <v>CGE3601</v>
      </c>
      <c r="E2251" t="s">
        <v>65</v>
      </c>
    </row>
    <row r="2252" spans="1:5" x14ac:dyDescent="0.25">
      <c r="A2252">
        <v>1521</v>
      </c>
      <c r="B2252" t="s">
        <v>1712</v>
      </c>
      <c r="C2252" t="s">
        <v>297</v>
      </c>
      <c r="D2252" t="str">
        <f t="shared" si="36"/>
        <v>CGE3604</v>
      </c>
      <c r="E2252" t="s">
        <v>44</v>
      </c>
    </row>
    <row r="2253" spans="1:5" x14ac:dyDescent="0.25">
      <c r="A2253">
        <v>1521</v>
      </c>
      <c r="B2253" t="s">
        <v>1712</v>
      </c>
      <c r="C2253" t="s">
        <v>355</v>
      </c>
      <c r="D2253" t="str">
        <f t="shared" si="36"/>
        <v>CGE3610</v>
      </c>
      <c r="E2253" t="s">
        <v>2968</v>
      </c>
    </row>
    <row r="2254" spans="1:5" x14ac:dyDescent="0.25">
      <c r="A2254">
        <v>1521</v>
      </c>
      <c r="B2254" t="s">
        <v>1712</v>
      </c>
      <c r="C2254" t="s">
        <v>2979</v>
      </c>
      <c r="D2254" t="str">
        <f t="shared" si="36"/>
        <v>CGE3612</v>
      </c>
      <c r="E2254" t="s">
        <v>2968</v>
      </c>
    </row>
    <row r="2255" spans="1:5" x14ac:dyDescent="0.25">
      <c r="A2255">
        <v>1521</v>
      </c>
      <c r="B2255" t="s">
        <v>1712</v>
      </c>
      <c r="C2255" t="s">
        <v>471</v>
      </c>
      <c r="D2255" t="str">
        <f t="shared" si="36"/>
        <v>CGE3699</v>
      </c>
      <c r="E2255" t="s">
        <v>2968</v>
      </c>
    </row>
    <row r="2256" spans="1:5" x14ac:dyDescent="0.25">
      <c r="A2256">
        <v>1521</v>
      </c>
      <c r="B2256" t="s">
        <v>1712</v>
      </c>
      <c r="C2256" t="s">
        <v>2985</v>
      </c>
      <c r="D2256" t="str">
        <f t="shared" si="36"/>
        <v>CGE3704</v>
      </c>
      <c r="E2256" t="s">
        <v>117</v>
      </c>
    </row>
    <row r="2257" spans="1:5" x14ac:dyDescent="0.25">
      <c r="A2257">
        <v>1521</v>
      </c>
      <c r="B2257" t="s">
        <v>1712</v>
      </c>
      <c r="C2257" t="s">
        <v>2986</v>
      </c>
      <c r="D2257" t="str">
        <f t="shared" si="36"/>
        <v>CGE3705</v>
      </c>
      <c r="E2257" t="s">
        <v>117</v>
      </c>
    </row>
    <row r="2258" spans="1:5" x14ac:dyDescent="0.25">
      <c r="A2258">
        <v>1521</v>
      </c>
      <c r="B2258" t="s">
        <v>1712</v>
      </c>
      <c r="C2258" t="s">
        <v>2988</v>
      </c>
      <c r="D2258" t="str">
        <f t="shared" si="36"/>
        <v>CGE3903</v>
      </c>
      <c r="E2258" t="s">
        <v>2968</v>
      </c>
    </row>
    <row r="2259" spans="1:5" x14ac:dyDescent="0.25">
      <c r="A2259">
        <v>1521</v>
      </c>
      <c r="B2259" t="s">
        <v>1712</v>
      </c>
      <c r="C2259" t="s">
        <v>299</v>
      </c>
      <c r="D2259" t="str">
        <f t="shared" si="36"/>
        <v>CGE3904</v>
      </c>
      <c r="E2259" t="s">
        <v>2968</v>
      </c>
    </row>
    <row r="2260" spans="1:5" x14ac:dyDescent="0.25">
      <c r="A2260">
        <v>1521</v>
      </c>
      <c r="B2260" t="s">
        <v>1712</v>
      </c>
      <c r="C2260" t="s">
        <v>346</v>
      </c>
      <c r="D2260" t="str">
        <f t="shared" si="36"/>
        <v>CGE3910</v>
      </c>
      <c r="E2260" t="s">
        <v>2968</v>
      </c>
    </row>
    <row r="2261" spans="1:5" x14ac:dyDescent="0.25">
      <c r="A2261">
        <v>1521</v>
      </c>
      <c r="B2261" t="s">
        <v>1712</v>
      </c>
      <c r="C2261" t="s">
        <v>356</v>
      </c>
      <c r="D2261" t="str">
        <f t="shared" si="36"/>
        <v>CGE3911</v>
      </c>
      <c r="E2261" t="s">
        <v>2968</v>
      </c>
    </row>
    <row r="2262" spans="1:5" x14ac:dyDescent="0.25">
      <c r="A2262">
        <v>1521</v>
      </c>
      <c r="B2262" t="s">
        <v>1712</v>
      </c>
      <c r="C2262" t="s">
        <v>384</v>
      </c>
      <c r="D2262" t="str">
        <f t="shared" si="36"/>
        <v>CGE3915</v>
      </c>
      <c r="E2262" t="s">
        <v>2992</v>
      </c>
    </row>
    <row r="2263" spans="1:5" x14ac:dyDescent="0.25">
      <c r="A2263">
        <v>1521</v>
      </c>
      <c r="B2263" t="s">
        <v>1712</v>
      </c>
      <c r="C2263" t="s">
        <v>2996</v>
      </c>
      <c r="D2263" t="str">
        <f t="shared" si="36"/>
        <v>CGE3917</v>
      </c>
      <c r="E2263" t="s">
        <v>2958</v>
      </c>
    </row>
    <row r="2264" spans="1:5" x14ac:dyDescent="0.25">
      <c r="A2264">
        <v>1521</v>
      </c>
      <c r="B2264" t="s">
        <v>1712</v>
      </c>
      <c r="C2264" t="s">
        <v>2998</v>
      </c>
      <c r="D2264" t="str">
        <f t="shared" si="36"/>
        <v>CGE3918</v>
      </c>
      <c r="E2264" t="s">
        <v>2958</v>
      </c>
    </row>
    <row r="2265" spans="1:5" x14ac:dyDescent="0.25">
      <c r="A2265">
        <v>1521</v>
      </c>
      <c r="B2265" t="s">
        <v>1712</v>
      </c>
      <c r="C2265" t="s">
        <v>3002</v>
      </c>
      <c r="D2265" t="str">
        <f t="shared" si="36"/>
        <v>CGE3921</v>
      </c>
      <c r="E2265" t="s">
        <v>3001</v>
      </c>
    </row>
    <row r="2266" spans="1:5" x14ac:dyDescent="0.25">
      <c r="A2266">
        <v>1521</v>
      </c>
      <c r="B2266" t="s">
        <v>1712</v>
      </c>
      <c r="C2266" t="s">
        <v>566</v>
      </c>
      <c r="D2266" t="str">
        <f t="shared" si="36"/>
        <v>CGE3924</v>
      </c>
      <c r="E2266" t="s">
        <v>3004</v>
      </c>
    </row>
    <row r="2267" spans="1:5" x14ac:dyDescent="0.25">
      <c r="A2267">
        <v>1521</v>
      </c>
      <c r="B2267" t="s">
        <v>1712</v>
      </c>
      <c r="C2267" t="s">
        <v>443</v>
      </c>
      <c r="D2267" t="str">
        <f t="shared" si="36"/>
        <v>CGE3926</v>
      </c>
      <c r="E2267" t="s">
        <v>3006</v>
      </c>
    </row>
    <row r="2268" spans="1:5" x14ac:dyDescent="0.25">
      <c r="A2268">
        <v>1521</v>
      </c>
      <c r="B2268" t="s">
        <v>1712</v>
      </c>
      <c r="C2268" t="s">
        <v>3008</v>
      </c>
      <c r="D2268" t="str">
        <f t="shared" si="36"/>
        <v>CGE3927</v>
      </c>
      <c r="E2268" t="s">
        <v>3009</v>
      </c>
    </row>
    <row r="2269" spans="1:5" x14ac:dyDescent="0.25">
      <c r="A2269">
        <v>1521</v>
      </c>
      <c r="B2269" t="s">
        <v>1712</v>
      </c>
      <c r="C2269" t="s">
        <v>1481</v>
      </c>
      <c r="D2269" t="str">
        <f t="shared" si="36"/>
        <v>CGE3931</v>
      </c>
      <c r="E2269" t="s">
        <v>2968</v>
      </c>
    </row>
    <row r="2270" spans="1:5" x14ac:dyDescent="0.25">
      <c r="A2270">
        <v>1521</v>
      </c>
      <c r="B2270" t="s">
        <v>1712</v>
      </c>
      <c r="C2270" t="s">
        <v>3017</v>
      </c>
      <c r="D2270" t="str">
        <f t="shared" si="36"/>
        <v>CGE3936</v>
      </c>
      <c r="E2270" t="s">
        <v>94</v>
      </c>
    </row>
    <row r="2271" spans="1:5" x14ac:dyDescent="0.25">
      <c r="A2271">
        <v>1521</v>
      </c>
      <c r="B2271" t="s">
        <v>1712</v>
      </c>
      <c r="C2271" t="s">
        <v>3019</v>
      </c>
      <c r="D2271" t="str">
        <f t="shared" si="36"/>
        <v>CGE3940</v>
      </c>
      <c r="E2271" t="s">
        <v>3009</v>
      </c>
    </row>
    <row r="2272" spans="1:5" x14ac:dyDescent="0.25">
      <c r="A2272">
        <v>1521</v>
      </c>
      <c r="B2272" t="s">
        <v>1712</v>
      </c>
      <c r="C2272" t="s">
        <v>480</v>
      </c>
      <c r="D2272" t="str">
        <f t="shared" si="36"/>
        <v>CGE3941</v>
      </c>
      <c r="E2272" t="s">
        <v>2968</v>
      </c>
    </row>
    <row r="2273" spans="1:5" x14ac:dyDescent="0.25">
      <c r="A2273">
        <v>1521</v>
      </c>
      <c r="B2273" t="s">
        <v>1712</v>
      </c>
      <c r="C2273" t="s">
        <v>3020</v>
      </c>
      <c r="D2273" t="str">
        <f t="shared" si="36"/>
        <v>CGE3943</v>
      </c>
      <c r="E2273" t="s">
        <v>2958</v>
      </c>
    </row>
    <row r="2274" spans="1:5" x14ac:dyDescent="0.25">
      <c r="A2274">
        <v>1521</v>
      </c>
      <c r="B2274" t="s">
        <v>1712</v>
      </c>
      <c r="C2274" t="s">
        <v>492</v>
      </c>
      <c r="D2274" t="str">
        <f t="shared" si="36"/>
        <v>CGE3948</v>
      </c>
      <c r="E2274" t="s">
        <v>3004</v>
      </c>
    </row>
    <row r="2275" spans="1:5" x14ac:dyDescent="0.25">
      <c r="A2275">
        <v>1521</v>
      </c>
      <c r="B2275" t="s">
        <v>1712</v>
      </c>
      <c r="C2275" t="s">
        <v>498</v>
      </c>
      <c r="D2275" t="str">
        <f t="shared" si="36"/>
        <v>CGE3955</v>
      </c>
      <c r="E2275" t="s">
        <v>2968</v>
      </c>
    </row>
    <row r="2276" spans="1:5" x14ac:dyDescent="0.25">
      <c r="A2276">
        <v>1521</v>
      </c>
      <c r="B2276" t="s">
        <v>1712</v>
      </c>
      <c r="C2276" t="s">
        <v>3040</v>
      </c>
      <c r="D2276" t="str">
        <f t="shared" si="36"/>
        <v>CGE3999</v>
      </c>
      <c r="E2276" t="s">
        <v>2968</v>
      </c>
    </row>
    <row r="2277" spans="1:5" x14ac:dyDescent="0.25">
      <c r="A2277">
        <v>1521</v>
      </c>
      <c r="B2277" t="s">
        <v>1712</v>
      </c>
      <c r="C2277" t="s">
        <v>3041</v>
      </c>
      <c r="D2277" t="str">
        <f t="shared" si="36"/>
        <v>CGE4002</v>
      </c>
      <c r="E2277" t="s">
        <v>3009</v>
      </c>
    </row>
    <row r="2278" spans="1:5" x14ac:dyDescent="0.25">
      <c r="A2278">
        <v>1521</v>
      </c>
      <c r="B2278" t="s">
        <v>1712</v>
      </c>
      <c r="C2278" t="s">
        <v>3043</v>
      </c>
      <c r="D2278" t="str">
        <f t="shared" si="36"/>
        <v>CGE4003</v>
      </c>
      <c r="E2278" t="s">
        <v>94</v>
      </c>
    </row>
    <row r="2279" spans="1:5" x14ac:dyDescent="0.25">
      <c r="A2279">
        <v>1521</v>
      </c>
      <c r="B2279" t="s">
        <v>1712</v>
      </c>
      <c r="C2279" t="s">
        <v>3045</v>
      </c>
      <c r="D2279" t="str">
        <f t="shared" si="36"/>
        <v>CGE4004</v>
      </c>
      <c r="E2279" t="s">
        <v>3009</v>
      </c>
    </row>
    <row r="2280" spans="1:5" x14ac:dyDescent="0.25">
      <c r="A2280">
        <v>1521</v>
      </c>
      <c r="B2280" t="s">
        <v>1712</v>
      </c>
      <c r="C2280" t="s">
        <v>813</v>
      </c>
      <c r="D2280" t="str">
        <f t="shared" si="36"/>
        <v>CGE4006</v>
      </c>
      <c r="E2280" t="s">
        <v>3057</v>
      </c>
    </row>
    <row r="2281" spans="1:5" x14ac:dyDescent="0.25">
      <c r="A2281">
        <v>1521</v>
      </c>
      <c r="B2281" t="s">
        <v>1712</v>
      </c>
      <c r="C2281" t="s">
        <v>3138</v>
      </c>
      <c r="D2281" t="str">
        <f t="shared" si="36"/>
        <v>CGE4007</v>
      </c>
      <c r="E2281" t="s">
        <v>94</v>
      </c>
    </row>
    <row r="2282" spans="1:5" x14ac:dyDescent="0.25">
      <c r="A2282">
        <v>1521</v>
      </c>
      <c r="B2282" t="s">
        <v>1712</v>
      </c>
      <c r="C2282" t="s">
        <v>364</v>
      </c>
      <c r="D2282" t="str">
        <f t="shared" si="36"/>
        <v>CGE4799</v>
      </c>
      <c r="E2282" t="s">
        <v>3049</v>
      </c>
    </row>
    <row r="2283" spans="1:5" x14ac:dyDescent="0.25">
      <c r="A2283">
        <v>1521</v>
      </c>
      <c r="B2283" t="s">
        <v>1712</v>
      </c>
      <c r="C2283" t="s">
        <v>3205</v>
      </c>
      <c r="D2283" t="str">
        <f t="shared" si="36"/>
        <v>CGE4905</v>
      </c>
      <c r="E2283" t="s">
        <v>65</v>
      </c>
    </row>
    <row r="2284" spans="1:5" x14ac:dyDescent="0.25">
      <c r="A2284">
        <v>1521</v>
      </c>
      <c r="B2284" t="s">
        <v>1712</v>
      </c>
      <c r="C2284" t="s">
        <v>3058</v>
      </c>
      <c r="D2284" t="str">
        <f t="shared" si="36"/>
        <v>CGE5207</v>
      </c>
      <c r="E2284" t="s">
        <v>3057</v>
      </c>
    </row>
    <row r="2285" spans="1:5" x14ac:dyDescent="0.25">
      <c r="A2285">
        <v>1521</v>
      </c>
      <c r="B2285" t="s">
        <v>1712</v>
      </c>
      <c r="C2285" t="s">
        <v>3060</v>
      </c>
      <c r="D2285" t="str">
        <f t="shared" si="36"/>
        <v>CGE5208</v>
      </c>
      <c r="E2285" t="s">
        <v>3057</v>
      </c>
    </row>
    <row r="2286" spans="1:5" x14ac:dyDescent="0.25">
      <c r="A2286">
        <v>1521</v>
      </c>
      <c r="B2286" t="s">
        <v>1712</v>
      </c>
      <c r="C2286" t="s">
        <v>3064</v>
      </c>
      <c r="D2286" t="str">
        <f t="shared" si="36"/>
        <v>CGE5212</v>
      </c>
      <c r="E2286" t="s">
        <v>3055</v>
      </c>
    </row>
    <row r="2287" spans="1:5" x14ac:dyDescent="0.25">
      <c r="A2287">
        <v>1521</v>
      </c>
      <c r="B2287" t="s">
        <v>1712</v>
      </c>
      <c r="C2287" t="s">
        <v>391</v>
      </c>
      <c r="D2287" t="str">
        <f t="shared" si="36"/>
        <v>CGE5214</v>
      </c>
      <c r="E2287" t="s">
        <v>3055</v>
      </c>
    </row>
    <row r="2288" spans="1:5" x14ac:dyDescent="0.25">
      <c r="A2288">
        <v>1521</v>
      </c>
      <c r="B2288" t="s">
        <v>1712</v>
      </c>
      <c r="C2288" t="s">
        <v>3074</v>
      </c>
      <c r="D2288" t="str">
        <f t="shared" si="36"/>
        <v>CGE9202</v>
      </c>
      <c r="E2288" t="s">
        <v>3075</v>
      </c>
    </row>
    <row r="2289" spans="1:5" x14ac:dyDescent="0.25">
      <c r="A2289">
        <v>1521</v>
      </c>
      <c r="B2289" t="s">
        <v>1712</v>
      </c>
      <c r="C2289" t="s">
        <v>360</v>
      </c>
      <c r="D2289" t="str">
        <f t="shared" si="36"/>
        <v>CGE9309</v>
      </c>
      <c r="E2289" t="s">
        <v>2968</v>
      </c>
    </row>
    <row r="2290" spans="1:5" x14ac:dyDescent="0.25">
      <c r="A2290">
        <v>1521</v>
      </c>
      <c r="B2290" t="s">
        <v>1712</v>
      </c>
      <c r="C2290" t="s">
        <v>440</v>
      </c>
      <c r="D2290" t="str">
        <f t="shared" si="36"/>
        <v>CGE9326</v>
      </c>
      <c r="E2290" t="s">
        <v>2968</v>
      </c>
    </row>
    <row r="2291" spans="1:5" x14ac:dyDescent="0.25">
      <c r="A2291">
        <v>1521</v>
      </c>
      <c r="B2291" t="s">
        <v>1712</v>
      </c>
      <c r="C2291" t="s">
        <v>3079</v>
      </c>
      <c r="D2291" t="str">
        <f t="shared" si="36"/>
        <v>CGE9399</v>
      </c>
      <c r="E2291" t="s">
        <v>2968</v>
      </c>
    </row>
    <row r="2292" spans="1:5" x14ac:dyDescent="0.25">
      <c r="A2292">
        <v>1541</v>
      </c>
      <c r="B2292" t="s">
        <v>1716</v>
      </c>
      <c r="C2292" t="s">
        <v>332</v>
      </c>
      <c r="D2292" t="str">
        <f t="shared" si="36"/>
        <v>ESPMG1314</v>
      </c>
      <c r="E2292" t="s">
        <v>3081</v>
      </c>
    </row>
    <row r="2293" spans="1:5" x14ac:dyDescent="0.25">
      <c r="A2293">
        <v>1541</v>
      </c>
      <c r="B2293" t="s">
        <v>1716</v>
      </c>
      <c r="C2293" t="s">
        <v>2942</v>
      </c>
      <c r="D2293" t="str">
        <f t="shared" si="36"/>
        <v>ESPMG1317</v>
      </c>
      <c r="E2293" t="s">
        <v>3081</v>
      </c>
    </row>
    <row r="2294" spans="1:5" x14ac:dyDescent="0.25">
      <c r="A2294">
        <v>1541</v>
      </c>
      <c r="B2294" t="s">
        <v>1716</v>
      </c>
      <c r="C2294" t="s">
        <v>2928</v>
      </c>
      <c r="D2294" t="str">
        <f t="shared" si="36"/>
        <v>ESPMG1401</v>
      </c>
      <c r="E2294" t="s">
        <v>44</v>
      </c>
    </row>
    <row r="2295" spans="1:5" x14ac:dyDescent="0.25">
      <c r="A2295">
        <v>1541</v>
      </c>
      <c r="B2295" t="s">
        <v>1716</v>
      </c>
      <c r="C2295" t="s">
        <v>2951</v>
      </c>
      <c r="D2295" t="str">
        <f t="shared" si="36"/>
        <v>ESPMG2001</v>
      </c>
      <c r="E2295" t="s">
        <v>2926</v>
      </c>
    </row>
    <row r="2296" spans="1:5" x14ac:dyDescent="0.25">
      <c r="A2296">
        <v>1541</v>
      </c>
      <c r="B2296" t="s">
        <v>1716</v>
      </c>
      <c r="C2296" t="s">
        <v>979</v>
      </c>
      <c r="D2296" t="str">
        <f t="shared" si="36"/>
        <v>ESPMG3003</v>
      </c>
      <c r="E2296" t="s">
        <v>2933</v>
      </c>
    </row>
    <row r="2297" spans="1:5" x14ac:dyDescent="0.25">
      <c r="A2297">
        <v>1541</v>
      </c>
      <c r="B2297" t="s">
        <v>1716</v>
      </c>
      <c r="C2297" t="s">
        <v>2937</v>
      </c>
      <c r="D2297" t="str">
        <f t="shared" si="36"/>
        <v>ESPMG3004</v>
      </c>
      <c r="E2297" t="s">
        <v>2933</v>
      </c>
    </row>
    <row r="2298" spans="1:5" x14ac:dyDescent="0.25">
      <c r="A2298">
        <v>1541</v>
      </c>
      <c r="B2298" t="s">
        <v>1716</v>
      </c>
      <c r="C2298" t="s">
        <v>2939</v>
      </c>
      <c r="D2298" t="str">
        <f t="shared" si="36"/>
        <v>ESPMG3005</v>
      </c>
      <c r="E2298" t="s">
        <v>2933</v>
      </c>
    </row>
    <row r="2299" spans="1:5" x14ac:dyDescent="0.25">
      <c r="A2299">
        <v>1541</v>
      </c>
      <c r="B2299" t="s">
        <v>1716</v>
      </c>
      <c r="C2299" t="s">
        <v>2941</v>
      </c>
      <c r="D2299" t="str">
        <f t="shared" si="36"/>
        <v>ESPMG3008</v>
      </c>
      <c r="E2299" t="s">
        <v>2933</v>
      </c>
    </row>
    <row r="2300" spans="1:5" x14ac:dyDescent="0.25">
      <c r="A2300">
        <v>1541</v>
      </c>
      <c r="B2300" t="s">
        <v>1716</v>
      </c>
      <c r="C2300" t="s">
        <v>2943</v>
      </c>
      <c r="D2300" t="str">
        <f t="shared" si="36"/>
        <v>ESPMG3010</v>
      </c>
      <c r="E2300" t="s">
        <v>2944</v>
      </c>
    </row>
    <row r="2301" spans="1:5" x14ac:dyDescent="0.25">
      <c r="A2301">
        <v>1541</v>
      </c>
      <c r="B2301" t="s">
        <v>1716</v>
      </c>
      <c r="C2301" t="s">
        <v>2946</v>
      </c>
      <c r="D2301" t="str">
        <f t="shared" si="36"/>
        <v>ESPMG3013</v>
      </c>
      <c r="E2301" t="s">
        <v>2933</v>
      </c>
    </row>
    <row r="2302" spans="1:5" x14ac:dyDescent="0.25">
      <c r="A2302">
        <v>1541</v>
      </c>
      <c r="B2302" t="s">
        <v>1716</v>
      </c>
      <c r="C2302" t="s">
        <v>2948</v>
      </c>
      <c r="D2302" t="str">
        <f t="shared" si="36"/>
        <v>ESPMG3015</v>
      </c>
      <c r="E2302" t="s">
        <v>2933</v>
      </c>
    </row>
    <row r="2303" spans="1:5" x14ac:dyDescent="0.25">
      <c r="A2303">
        <v>1541</v>
      </c>
      <c r="B2303" t="s">
        <v>1716</v>
      </c>
      <c r="C2303" t="s">
        <v>2950</v>
      </c>
      <c r="D2303" t="str">
        <f t="shared" si="36"/>
        <v>ESPMG3016</v>
      </c>
      <c r="E2303" t="s">
        <v>2933</v>
      </c>
    </row>
    <row r="2304" spans="1:5" x14ac:dyDescent="0.25">
      <c r="A2304">
        <v>1541</v>
      </c>
      <c r="B2304" t="s">
        <v>1716</v>
      </c>
      <c r="C2304" t="s">
        <v>406</v>
      </c>
      <c r="D2304" t="str">
        <f t="shared" si="36"/>
        <v>ESPMG3017</v>
      </c>
      <c r="E2304" t="s">
        <v>2933</v>
      </c>
    </row>
    <row r="2305" spans="1:5" x14ac:dyDescent="0.25">
      <c r="A2305">
        <v>1541</v>
      </c>
      <c r="B2305" t="s">
        <v>1716</v>
      </c>
      <c r="C2305" t="s">
        <v>2953</v>
      </c>
      <c r="D2305" t="str">
        <f t="shared" si="36"/>
        <v>ESPMG3019</v>
      </c>
      <c r="E2305" t="s">
        <v>2954</v>
      </c>
    </row>
    <row r="2306" spans="1:5" x14ac:dyDescent="0.25">
      <c r="A2306">
        <v>1541</v>
      </c>
      <c r="B2306" t="s">
        <v>1716</v>
      </c>
      <c r="C2306" t="s">
        <v>2955</v>
      </c>
      <c r="D2306" t="str">
        <f t="shared" si="36"/>
        <v>ESPMG3020</v>
      </c>
      <c r="E2306" t="s">
        <v>2933</v>
      </c>
    </row>
    <row r="2307" spans="1:5" x14ac:dyDescent="0.25">
      <c r="A2307">
        <v>1541</v>
      </c>
      <c r="B2307" t="s">
        <v>1716</v>
      </c>
      <c r="C2307" t="s">
        <v>431</v>
      </c>
      <c r="D2307" t="str">
        <f t="shared" si="36"/>
        <v>ESPMG3022</v>
      </c>
      <c r="E2307" t="s">
        <v>2933</v>
      </c>
    </row>
    <row r="2308" spans="1:5" x14ac:dyDescent="0.25">
      <c r="A2308">
        <v>1541</v>
      </c>
      <c r="B2308" t="s">
        <v>1716</v>
      </c>
      <c r="C2308" t="s">
        <v>441</v>
      </c>
      <c r="D2308" t="str">
        <f t="shared" si="36"/>
        <v>ESPMG3024</v>
      </c>
      <c r="E2308" t="s">
        <v>2933</v>
      </c>
    </row>
    <row r="2309" spans="1:5" x14ac:dyDescent="0.25">
      <c r="A2309">
        <v>1541</v>
      </c>
      <c r="B2309" t="s">
        <v>1716</v>
      </c>
      <c r="C2309" t="s">
        <v>2959</v>
      </c>
      <c r="D2309" t="str">
        <f t="shared" ref="D2309:D2372" si="37">CONCATENATE(B2309,LEFT(C2309,4))</f>
        <v>ESPMG3025</v>
      </c>
      <c r="E2309" t="s">
        <v>2933</v>
      </c>
    </row>
    <row r="2310" spans="1:5" x14ac:dyDescent="0.25">
      <c r="A2310">
        <v>1541</v>
      </c>
      <c r="B2310" t="s">
        <v>1716</v>
      </c>
      <c r="C2310" t="s">
        <v>2960</v>
      </c>
      <c r="D2310" t="str">
        <f t="shared" si="37"/>
        <v>ESPMG3026</v>
      </c>
      <c r="E2310" t="s">
        <v>2958</v>
      </c>
    </row>
    <row r="2311" spans="1:5" x14ac:dyDescent="0.25">
      <c r="A2311">
        <v>1541</v>
      </c>
      <c r="B2311" t="s">
        <v>1716</v>
      </c>
      <c r="C2311" t="s">
        <v>2961</v>
      </c>
      <c r="D2311" t="str">
        <f t="shared" si="37"/>
        <v>ESPMG3027</v>
      </c>
      <c r="E2311" t="s">
        <v>2933</v>
      </c>
    </row>
    <row r="2312" spans="1:5" x14ac:dyDescent="0.25">
      <c r="A2312">
        <v>1541</v>
      </c>
      <c r="B2312" t="s">
        <v>1716</v>
      </c>
      <c r="C2312" t="s">
        <v>467</v>
      </c>
      <c r="D2312" t="str">
        <f t="shared" si="37"/>
        <v>ESPMG3030</v>
      </c>
      <c r="E2312" t="s">
        <v>2933</v>
      </c>
    </row>
    <row r="2313" spans="1:5" x14ac:dyDescent="0.25">
      <c r="A2313">
        <v>1541</v>
      </c>
      <c r="B2313" t="s">
        <v>1716</v>
      </c>
      <c r="C2313" t="s">
        <v>3242</v>
      </c>
      <c r="D2313" t="str">
        <f t="shared" si="37"/>
        <v>ESPMG3036</v>
      </c>
      <c r="E2313" t="s">
        <v>2933</v>
      </c>
    </row>
    <row r="2314" spans="1:5" x14ac:dyDescent="0.25">
      <c r="A2314">
        <v>1541</v>
      </c>
      <c r="B2314" t="s">
        <v>1716</v>
      </c>
      <c r="C2314" t="s">
        <v>491</v>
      </c>
      <c r="D2314" t="str">
        <f t="shared" si="37"/>
        <v>ESPMG3099</v>
      </c>
      <c r="E2314" t="s">
        <v>2933</v>
      </c>
    </row>
    <row r="2315" spans="1:5" x14ac:dyDescent="0.25">
      <c r="A2315">
        <v>1541</v>
      </c>
      <c r="B2315" t="s">
        <v>1716</v>
      </c>
      <c r="C2315" t="s">
        <v>227</v>
      </c>
      <c r="D2315" t="str">
        <f t="shared" si="37"/>
        <v>ESPMG3201</v>
      </c>
      <c r="E2315" t="s">
        <v>2968</v>
      </c>
    </row>
    <row r="2316" spans="1:5" x14ac:dyDescent="0.25">
      <c r="A2316">
        <v>1541</v>
      </c>
      <c r="B2316" t="s">
        <v>1716</v>
      </c>
      <c r="C2316" t="s">
        <v>54</v>
      </c>
      <c r="D2316" t="str">
        <f t="shared" si="37"/>
        <v>ESPMG3301</v>
      </c>
      <c r="E2316" t="s">
        <v>44</v>
      </c>
    </row>
    <row r="2317" spans="1:5" x14ac:dyDescent="0.25">
      <c r="A2317">
        <v>1541</v>
      </c>
      <c r="B2317" t="s">
        <v>1716</v>
      </c>
      <c r="C2317" t="s">
        <v>2975</v>
      </c>
      <c r="D2317" t="str">
        <f t="shared" si="37"/>
        <v>ESPMG3302</v>
      </c>
      <c r="E2317" t="s">
        <v>44</v>
      </c>
    </row>
    <row r="2318" spans="1:5" x14ac:dyDescent="0.25">
      <c r="A2318">
        <v>1541</v>
      </c>
      <c r="B2318" t="s">
        <v>1716</v>
      </c>
      <c r="C2318" t="s">
        <v>3200</v>
      </c>
      <c r="D2318" t="str">
        <f t="shared" si="37"/>
        <v>ESPMG3303</v>
      </c>
      <c r="E2318" t="s">
        <v>44</v>
      </c>
    </row>
    <row r="2319" spans="1:5" x14ac:dyDescent="0.25">
      <c r="A2319">
        <v>1541</v>
      </c>
      <c r="B2319" t="s">
        <v>1716</v>
      </c>
      <c r="C2319" t="s">
        <v>2977</v>
      </c>
      <c r="D2319" t="str">
        <f t="shared" si="37"/>
        <v>ESPMG3304</v>
      </c>
      <c r="E2319" t="s">
        <v>44</v>
      </c>
    </row>
    <row r="2320" spans="1:5" x14ac:dyDescent="0.25">
      <c r="A2320">
        <v>1541</v>
      </c>
      <c r="B2320" t="s">
        <v>1716</v>
      </c>
      <c r="C2320" t="s">
        <v>309</v>
      </c>
      <c r="D2320" t="str">
        <f t="shared" si="37"/>
        <v>ESPMG3305</v>
      </c>
      <c r="E2320" t="s">
        <v>44</v>
      </c>
    </row>
    <row r="2321" spans="1:5" x14ac:dyDescent="0.25">
      <c r="A2321">
        <v>1541</v>
      </c>
      <c r="B2321" t="s">
        <v>1716</v>
      </c>
      <c r="C2321" t="s">
        <v>228</v>
      </c>
      <c r="D2321" t="str">
        <f t="shared" si="37"/>
        <v>ESPMG3401</v>
      </c>
      <c r="E2321" t="s">
        <v>2968</v>
      </c>
    </row>
    <row r="2322" spans="1:5" x14ac:dyDescent="0.25">
      <c r="A2322">
        <v>1541</v>
      </c>
      <c r="B2322" t="s">
        <v>1716</v>
      </c>
      <c r="C2322" t="s">
        <v>3233</v>
      </c>
      <c r="D2322" t="str">
        <f t="shared" si="37"/>
        <v>ESPMG3501</v>
      </c>
      <c r="E2322" t="s">
        <v>2968</v>
      </c>
    </row>
    <row r="2323" spans="1:5" x14ac:dyDescent="0.25">
      <c r="A2323">
        <v>1541</v>
      </c>
      <c r="B2323" t="s">
        <v>1716</v>
      </c>
      <c r="C2323" t="s">
        <v>3201</v>
      </c>
      <c r="D2323" t="str">
        <f t="shared" si="37"/>
        <v>ESPMG3502</v>
      </c>
      <c r="E2323" t="s">
        <v>1660</v>
      </c>
    </row>
    <row r="2324" spans="1:5" x14ac:dyDescent="0.25">
      <c r="A2324">
        <v>1541</v>
      </c>
      <c r="B2324" t="s">
        <v>1716</v>
      </c>
      <c r="C2324" t="s">
        <v>297</v>
      </c>
      <c r="D2324" t="str">
        <f t="shared" si="37"/>
        <v>ESPMG3604</v>
      </c>
      <c r="E2324" t="s">
        <v>44</v>
      </c>
    </row>
    <row r="2325" spans="1:5" x14ac:dyDescent="0.25">
      <c r="A2325">
        <v>1541</v>
      </c>
      <c r="B2325" t="s">
        <v>1716</v>
      </c>
      <c r="C2325" t="s">
        <v>3234</v>
      </c>
      <c r="D2325" t="str">
        <f t="shared" si="37"/>
        <v>ESPMG3605</v>
      </c>
      <c r="E2325" t="s">
        <v>2968</v>
      </c>
    </row>
    <row r="2326" spans="1:5" x14ac:dyDescent="0.25">
      <c r="A2326">
        <v>1541</v>
      </c>
      <c r="B2326" t="s">
        <v>1716</v>
      </c>
      <c r="C2326" t="s">
        <v>355</v>
      </c>
      <c r="D2326" t="str">
        <f t="shared" si="37"/>
        <v>ESPMG3610</v>
      </c>
      <c r="E2326" t="s">
        <v>2968</v>
      </c>
    </row>
    <row r="2327" spans="1:5" x14ac:dyDescent="0.25">
      <c r="A2327">
        <v>1541</v>
      </c>
      <c r="B2327" t="s">
        <v>1716</v>
      </c>
      <c r="C2327" t="s">
        <v>2979</v>
      </c>
      <c r="D2327" t="str">
        <f t="shared" si="37"/>
        <v>ESPMG3612</v>
      </c>
      <c r="E2327" t="s">
        <v>2968</v>
      </c>
    </row>
    <row r="2328" spans="1:5" x14ac:dyDescent="0.25">
      <c r="A2328">
        <v>1541</v>
      </c>
      <c r="B2328" t="s">
        <v>1716</v>
      </c>
      <c r="C2328" t="s">
        <v>407</v>
      </c>
      <c r="D2328" t="str">
        <f t="shared" si="37"/>
        <v>ESPMG3618</v>
      </c>
      <c r="E2328" t="s">
        <v>2954</v>
      </c>
    </row>
    <row r="2329" spans="1:5" x14ac:dyDescent="0.25">
      <c r="A2329">
        <v>1541</v>
      </c>
      <c r="B2329" t="s">
        <v>1716</v>
      </c>
      <c r="C2329" t="s">
        <v>432</v>
      </c>
      <c r="D2329" t="str">
        <f t="shared" si="37"/>
        <v>ESPMG3623</v>
      </c>
      <c r="E2329" t="s">
        <v>3006</v>
      </c>
    </row>
    <row r="2330" spans="1:5" x14ac:dyDescent="0.25">
      <c r="A2330">
        <v>1541</v>
      </c>
      <c r="B2330" t="s">
        <v>1716</v>
      </c>
      <c r="C2330" t="s">
        <v>442</v>
      </c>
      <c r="D2330" t="str">
        <f t="shared" si="37"/>
        <v>ESPMG3625</v>
      </c>
      <c r="E2330" t="s">
        <v>2968</v>
      </c>
    </row>
    <row r="2331" spans="1:5" x14ac:dyDescent="0.25">
      <c r="A2331">
        <v>1541</v>
      </c>
      <c r="B2331" t="s">
        <v>1716</v>
      </c>
      <c r="C2331" t="s">
        <v>447</v>
      </c>
      <c r="D2331" t="str">
        <f t="shared" si="37"/>
        <v>ESPMG3626</v>
      </c>
      <c r="E2331" t="s">
        <v>2968</v>
      </c>
    </row>
    <row r="2332" spans="1:5" x14ac:dyDescent="0.25">
      <c r="A2332">
        <v>1541</v>
      </c>
      <c r="B2332" t="s">
        <v>1716</v>
      </c>
      <c r="C2332" t="s">
        <v>468</v>
      </c>
      <c r="D2332" t="str">
        <f t="shared" si="37"/>
        <v>ESPMG3631</v>
      </c>
      <c r="E2332" t="s">
        <v>3004</v>
      </c>
    </row>
    <row r="2333" spans="1:5" x14ac:dyDescent="0.25">
      <c r="A2333">
        <v>1541</v>
      </c>
      <c r="B2333" t="s">
        <v>1716</v>
      </c>
      <c r="C2333" t="s">
        <v>471</v>
      </c>
      <c r="D2333" t="str">
        <f t="shared" si="37"/>
        <v>ESPMG3699</v>
      </c>
      <c r="E2333" t="s">
        <v>2968</v>
      </c>
    </row>
    <row r="2334" spans="1:5" x14ac:dyDescent="0.25">
      <c r="A2334">
        <v>1541</v>
      </c>
      <c r="B2334" t="s">
        <v>1716</v>
      </c>
      <c r="C2334" t="s">
        <v>2980</v>
      </c>
      <c r="D2334" t="str">
        <f t="shared" si="37"/>
        <v>ESPMG3701</v>
      </c>
      <c r="E2334" t="s">
        <v>103</v>
      </c>
    </row>
    <row r="2335" spans="1:5" x14ac:dyDescent="0.25">
      <c r="A2335">
        <v>1541</v>
      </c>
      <c r="B2335" t="s">
        <v>1716</v>
      </c>
      <c r="C2335" t="s">
        <v>3050</v>
      </c>
      <c r="D2335" t="str">
        <f t="shared" si="37"/>
        <v>ESPMG3702</v>
      </c>
      <c r="E2335" t="s">
        <v>2981</v>
      </c>
    </row>
    <row r="2336" spans="1:5" x14ac:dyDescent="0.25">
      <c r="A2336">
        <v>1541</v>
      </c>
      <c r="B2336" t="s">
        <v>1716</v>
      </c>
      <c r="C2336" t="s">
        <v>2983</v>
      </c>
      <c r="D2336" t="str">
        <f t="shared" si="37"/>
        <v>ESPMG3703</v>
      </c>
      <c r="E2336" t="s">
        <v>117</v>
      </c>
    </row>
    <row r="2337" spans="1:5" x14ac:dyDescent="0.25">
      <c r="A2337">
        <v>1541</v>
      </c>
      <c r="B2337" t="s">
        <v>1716</v>
      </c>
      <c r="C2337" t="s">
        <v>2985</v>
      </c>
      <c r="D2337" t="str">
        <f t="shared" si="37"/>
        <v>ESPMG3704</v>
      </c>
      <c r="E2337" t="s">
        <v>117</v>
      </c>
    </row>
    <row r="2338" spans="1:5" x14ac:dyDescent="0.25">
      <c r="A2338">
        <v>1541</v>
      </c>
      <c r="B2338" t="s">
        <v>1716</v>
      </c>
      <c r="C2338" t="s">
        <v>2986</v>
      </c>
      <c r="D2338" t="str">
        <f t="shared" si="37"/>
        <v>ESPMG3705</v>
      </c>
      <c r="E2338" t="s">
        <v>117</v>
      </c>
    </row>
    <row r="2339" spans="1:5" x14ac:dyDescent="0.25">
      <c r="A2339">
        <v>1541</v>
      </c>
      <c r="B2339" t="s">
        <v>1716</v>
      </c>
      <c r="C2339" t="s">
        <v>2988</v>
      </c>
      <c r="D2339" t="str">
        <f t="shared" si="37"/>
        <v>ESPMG3903</v>
      </c>
      <c r="E2339" t="s">
        <v>87</v>
      </c>
    </row>
    <row r="2340" spans="1:5" x14ac:dyDescent="0.25">
      <c r="A2340">
        <v>1541</v>
      </c>
      <c r="B2340" t="s">
        <v>1716</v>
      </c>
      <c r="C2340" t="s">
        <v>299</v>
      </c>
      <c r="D2340" t="str">
        <f t="shared" si="37"/>
        <v>ESPMG3904</v>
      </c>
      <c r="E2340" t="s">
        <v>2968</v>
      </c>
    </row>
    <row r="2341" spans="1:5" x14ac:dyDescent="0.25">
      <c r="A2341">
        <v>1541</v>
      </c>
      <c r="B2341" t="s">
        <v>1716</v>
      </c>
      <c r="C2341" t="s">
        <v>326</v>
      </c>
      <c r="D2341" t="str">
        <f t="shared" si="37"/>
        <v>ESPMG3906</v>
      </c>
      <c r="E2341" t="s">
        <v>2968</v>
      </c>
    </row>
    <row r="2342" spans="1:5" x14ac:dyDescent="0.25">
      <c r="A2342">
        <v>1541</v>
      </c>
      <c r="B2342" t="s">
        <v>1716</v>
      </c>
      <c r="C2342" t="s">
        <v>346</v>
      </c>
      <c r="D2342" t="str">
        <f t="shared" si="37"/>
        <v>ESPMG3910</v>
      </c>
      <c r="E2342" t="s">
        <v>2968</v>
      </c>
    </row>
    <row r="2343" spans="1:5" x14ac:dyDescent="0.25">
      <c r="A2343">
        <v>1541</v>
      </c>
      <c r="B2343" t="s">
        <v>1716</v>
      </c>
      <c r="C2343" t="s">
        <v>2991</v>
      </c>
      <c r="D2343" t="str">
        <f t="shared" si="37"/>
        <v>ESPMG3912</v>
      </c>
      <c r="E2343" t="s">
        <v>2992</v>
      </c>
    </row>
    <row r="2344" spans="1:5" x14ac:dyDescent="0.25">
      <c r="A2344">
        <v>1541</v>
      </c>
      <c r="B2344" t="s">
        <v>1716</v>
      </c>
      <c r="C2344" t="s">
        <v>377</v>
      </c>
      <c r="D2344" t="str">
        <f t="shared" si="37"/>
        <v>ESPMG3914</v>
      </c>
      <c r="E2344" t="s">
        <v>3009</v>
      </c>
    </row>
    <row r="2345" spans="1:5" x14ac:dyDescent="0.25">
      <c r="A2345">
        <v>1541</v>
      </c>
      <c r="B2345" t="s">
        <v>1716</v>
      </c>
      <c r="C2345" t="s">
        <v>384</v>
      </c>
      <c r="D2345" t="str">
        <f t="shared" si="37"/>
        <v>ESPMG3915</v>
      </c>
      <c r="E2345" t="s">
        <v>2992</v>
      </c>
    </row>
    <row r="2346" spans="1:5" x14ac:dyDescent="0.25">
      <c r="A2346">
        <v>1541</v>
      </c>
      <c r="B2346" t="s">
        <v>1716</v>
      </c>
      <c r="C2346" t="s">
        <v>2996</v>
      </c>
      <c r="D2346" t="str">
        <f t="shared" si="37"/>
        <v>ESPMG3917</v>
      </c>
      <c r="E2346" t="s">
        <v>2958</v>
      </c>
    </row>
    <row r="2347" spans="1:5" x14ac:dyDescent="0.25">
      <c r="A2347">
        <v>1541</v>
      </c>
      <c r="B2347" t="s">
        <v>1716</v>
      </c>
      <c r="C2347" t="s">
        <v>3000</v>
      </c>
      <c r="D2347" t="str">
        <f t="shared" si="37"/>
        <v>ESPMG3919</v>
      </c>
      <c r="E2347" t="s">
        <v>3001</v>
      </c>
    </row>
    <row r="2348" spans="1:5" x14ac:dyDescent="0.25">
      <c r="A2348">
        <v>1541</v>
      </c>
      <c r="B2348" t="s">
        <v>1716</v>
      </c>
      <c r="C2348" t="s">
        <v>3002</v>
      </c>
      <c r="D2348" t="str">
        <f t="shared" si="37"/>
        <v>ESPMG3921</v>
      </c>
      <c r="E2348" t="s">
        <v>3001</v>
      </c>
    </row>
    <row r="2349" spans="1:5" x14ac:dyDescent="0.25">
      <c r="A2349">
        <v>1541</v>
      </c>
      <c r="B2349" t="s">
        <v>1716</v>
      </c>
      <c r="C2349" t="s">
        <v>3003</v>
      </c>
      <c r="D2349" t="str">
        <f t="shared" si="37"/>
        <v>ESPMG3922</v>
      </c>
      <c r="E2349" t="s">
        <v>2954</v>
      </c>
    </row>
    <row r="2350" spans="1:5" x14ac:dyDescent="0.25">
      <c r="A2350">
        <v>1541</v>
      </c>
      <c r="B2350" t="s">
        <v>1716</v>
      </c>
      <c r="C2350" t="s">
        <v>566</v>
      </c>
      <c r="D2350" t="str">
        <f t="shared" si="37"/>
        <v>ESPMG3924</v>
      </c>
      <c r="E2350" t="s">
        <v>3004</v>
      </c>
    </row>
    <row r="2351" spans="1:5" x14ac:dyDescent="0.25">
      <c r="A2351">
        <v>1541</v>
      </c>
      <c r="B2351" t="s">
        <v>1716</v>
      </c>
      <c r="C2351" t="s">
        <v>443</v>
      </c>
      <c r="D2351" t="str">
        <f t="shared" si="37"/>
        <v>ESPMG3926</v>
      </c>
      <c r="E2351" t="s">
        <v>3006</v>
      </c>
    </row>
    <row r="2352" spans="1:5" x14ac:dyDescent="0.25">
      <c r="A2352">
        <v>1541</v>
      </c>
      <c r="B2352" t="s">
        <v>1716</v>
      </c>
      <c r="C2352" t="s">
        <v>3008</v>
      </c>
      <c r="D2352" t="str">
        <f t="shared" si="37"/>
        <v>ESPMG3927</v>
      </c>
      <c r="E2352" t="s">
        <v>3009</v>
      </c>
    </row>
    <row r="2353" spans="1:5" x14ac:dyDescent="0.25">
      <c r="A2353">
        <v>1541</v>
      </c>
      <c r="B2353" t="s">
        <v>1716</v>
      </c>
      <c r="C2353" t="s">
        <v>458</v>
      </c>
      <c r="D2353" t="str">
        <f t="shared" si="37"/>
        <v>ESPMG3930</v>
      </c>
      <c r="E2353" t="s">
        <v>3006</v>
      </c>
    </row>
    <row r="2354" spans="1:5" x14ac:dyDescent="0.25">
      <c r="A2354">
        <v>1541</v>
      </c>
      <c r="B2354" t="s">
        <v>1716</v>
      </c>
      <c r="C2354" t="s">
        <v>1481</v>
      </c>
      <c r="D2354" t="str">
        <f t="shared" si="37"/>
        <v>ESPMG3931</v>
      </c>
      <c r="E2354" t="s">
        <v>2968</v>
      </c>
    </row>
    <row r="2355" spans="1:5" x14ac:dyDescent="0.25">
      <c r="A2355">
        <v>1541</v>
      </c>
      <c r="B2355" t="s">
        <v>1716</v>
      </c>
      <c r="C2355" t="s">
        <v>3017</v>
      </c>
      <c r="D2355" t="str">
        <f t="shared" si="37"/>
        <v>ESPMG3936</v>
      </c>
      <c r="E2355" t="s">
        <v>94</v>
      </c>
    </row>
    <row r="2356" spans="1:5" x14ac:dyDescent="0.25">
      <c r="A2356">
        <v>1541</v>
      </c>
      <c r="B2356" t="s">
        <v>1716</v>
      </c>
      <c r="C2356" t="s">
        <v>3202</v>
      </c>
      <c r="D2356" t="str">
        <f t="shared" si="37"/>
        <v>ESPMG3938</v>
      </c>
      <c r="E2356" t="s">
        <v>3291</v>
      </c>
    </row>
    <row r="2357" spans="1:5" x14ac:dyDescent="0.25">
      <c r="A2357">
        <v>1541</v>
      </c>
      <c r="B2357" t="s">
        <v>1716</v>
      </c>
      <c r="C2357" t="s">
        <v>3019</v>
      </c>
      <c r="D2357" t="str">
        <f t="shared" si="37"/>
        <v>ESPMG3940</v>
      </c>
      <c r="E2357" t="s">
        <v>3009</v>
      </c>
    </row>
    <row r="2358" spans="1:5" x14ac:dyDescent="0.25">
      <c r="A2358">
        <v>1541</v>
      </c>
      <c r="B2358" t="s">
        <v>1716</v>
      </c>
      <c r="C2358" t="s">
        <v>3020</v>
      </c>
      <c r="D2358" t="str">
        <f t="shared" si="37"/>
        <v>ESPMG3943</v>
      </c>
      <c r="E2358" t="s">
        <v>2958</v>
      </c>
    </row>
    <row r="2359" spans="1:5" x14ac:dyDescent="0.25">
      <c r="A2359">
        <v>1541</v>
      </c>
      <c r="B2359" t="s">
        <v>1716</v>
      </c>
      <c r="C2359" t="s">
        <v>492</v>
      </c>
      <c r="D2359" t="str">
        <f t="shared" si="37"/>
        <v>ESPMG3948</v>
      </c>
      <c r="E2359" t="s">
        <v>3004</v>
      </c>
    </row>
    <row r="2360" spans="1:5" x14ac:dyDescent="0.25">
      <c r="A2360">
        <v>1541</v>
      </c>
      <c r="B2360" t="s">
        <v>1716</v>
      </c>
      <c r="C2360" t="s">
        <v>3022</v>
      </c>
      <c r="D2360" t="str">
        <f t="shared" si="37"/>
        <v>ESPMG3950</v>
      </c>
      <c r="E2360" t="s">
        <v>44</v>
      </c>
    </row>
    <row r="2361" spans="1:5" x14ac:dyDescent="0.25">
      <c r="A2361">
        <v>1541</v>
      </c>
      <c r="B2361" t="s">
        <v>1716</v>
      </c>
      <c r="C2361" t="s">
        <v>3098</v>
      </c>
      <c r="D2361" t="str">
        <f t="shared" si="37"/>
        <v>ESPMG3952</v>
      </c>
      <c r="E2361" t="s">
        <v>65</v>
      </c>
    </row>
    <row r="2362" spans="1:5" x14ac:dyDescent="0.25">
      <c r="A2362">
        <v>1541</v>
      </c>
      <c r="B2362" t="s">
        <v>1716</v>
      </c>
      <c r="C2362" t="s">
        <v>498</v>
      </c>
      <c r="D2362" t="str">
        <f t="shared" si="37"/>
        <v>ESPMG3955</v>
      </c>
      <c r="E2362" t="s">
        <v>2968</v>
      </c>
    </row>
    <row r="2363" spans="1:5" x14ac:dyDescent="0.25">
      <c r="A2363">
        <v>1541</v>
      </c>
      <c r="B2363" t="s">
        <v>1716</v>
      </c>
      <c r="C2363" t="s">
        <v>499</v>
      </c>
      <c r="D2363" t="str">
        <f t="shared" si="37"/>
        <v>ESPMG3956</v>
      </c>
      <c r="E2363" t="s">
        <v>2968</v>
      </c>
    </row>
    <row r="2364" spans="1:5" x14ac:dyDescent="0.25">
      <c r="A2364">
        <v>1541</v>
      </c>
      <c r="B2364" t="s">
        <v>1716</v>
      </c>
      <c r="C2364" t="s">
        <v>3027</v>
      </c>
      <c r="D2364" t="str">
        <f t="shared" si="37"/>
        <v>ESPMG3961</v>
      </c>
      <c r="E2364" t="s">
        <v>2981</v>
      </c>
    </row>
    <row r="2365" spans="1:5" x14ac:dyDescent="0.25">
      <c r="A2365">
        <v>1541</v>
      </c>
      <c r="B2365" t="s">
        <v>1716</v>
      </c>
      <c r="C2365" t="s">
        <v>1154</v>
      </c>
      <c r="D2365" t="str">
        <f t="shared" si="37"/>
        <v>ESPMG3969</v>
      </c>
      <c r="E2365" t="s">
        <v>2992</v>
      </c>
    </row>
    <row r="2366" spans="1:5" x14ac:dyDescent="0.25">
      <c r="A2366">
        <v>1541</v>
      </c>
      <c r="B2366" t="s">
        <v>1716</v>
      </c>
      <c r="C2366" t="s">
        <v>3031</v>
      </c>
      <c r="D2366" t="str">
        <f t="shared" si="37"/>
        <v>ESPMG3970</v>
      </c>
      <c r="E2366" t="s">
        <v>3009</v>
      </c>
    </row>
    <row r="2367" spans="1:5" x14ac:dyDescent="0.25">
      <c r="A2367">
        <v>1541</v>
      </c>
      <c r="B2367" t="s">
        <v>1716</v>
      </c>
      <c r="C2367" t="s">
        <v>514</v>
      </c>
      <c r="D2367" t="str">
        <f t="shared" si="37"/>
        <v>ESPMG3972</v>
      </c>
      <c r="E2367" t="s">
        <v>2992</v>
      </c>
    </row>
    <row r="2368" spans="1:5" x14ac:dyDescent="0.25">
      <c r="A2368">
        <v>1541</v>
      </c>
      <c r="B2368" t="s">
        <v>1716</v>
      </c>
      <c r="C2368" t="s">
        <v>521</v>
      </c>
      <c r="D2368" t="str">
        <f t="shared" si="37"/>
        <v>ESPMG3981</v>
      </c>
      <c r="E2368" t="s">
        <v>2968</v>
      </c>
    </row>
    <row r="2369" spans="1:5" x14ac:dyDescent="0.25">
      <c r="A2369">
        <v>1541</v>
      </c>
      <c r="B2369" t="s">
        <v>1716</v>
      </c>
      <c r="C2369" t="s">
        <v>531</v>
      </c>
      <c r="D2369" t="str">
        <f t="shared" si="37"/>
        <v>ESPMG3991</v>
      </c>
      <c r="E2369" t="s">
        <v>2968</v>
      </c>
    </row>
    <row r="2370" spans="1:5" x14ac:dyDescent="0.25">
      <c r="A2370">
        <v>1541</v>
      </c>
      <c r="B2370" t="s">
        <v>1716</v>
      </c>
      <c r="C2370" t="s">
        <v>3040</v>
      </c>
      <c r="D2370" t="str">
        <f t="shared" si="37"/>
        <v>ESPMG3999</v>
      </c>
      <c r="E2370" t="s">
        <v>2968</v>
      </c>
    </row>
    <row r="2371" spans="1:5" x14ac:dyDescent="0.25">
      <c r="A2371">
        <v>1541</v>
      </c>
      <c r="B2371" t="s">
        <v>1716</v>
      </c>
      <c r="C2371" t="s">
        <v>3041</v>
      </c>
      <c r="D2371" t="str">
        <f t="shared" si="37"/>
        <v>ESPMG4002</v>
      </c>
      <c r="E2371" t="s">
        <v>3009</v>
      </c>
    </row>
    <row r="2372" spans="1:5" x14ac:dyDescent="0.25">
      <c r="A2372">
        <v>1541</v>
      </c>
      <c r="B2372" t="s">
        <v>1716</v>
      </c>
      <c r="C2372" t="s">
        <v>3043</v>
      </c>
      <c r="D2372" t="str">
        <f t="shared" si="37"/>
        <v>ESPMG4003</v>
      </c>
      <c r="E2372" t="s">
        <v>94</v>
      </c>
    </row>
    <row r="2373" spans="1:5" x14ac:dyDescent="0.25">
      <c r="A2373">
        <v>1541</v>
      </c>
      <c r="B2373" t="s">
        <v>1716</v>
      </c>
      <c r="C2373" t="s">
        <v>3045</v>
      </c>
      <c r="D2373" t="str">
        <f t="shared" ref="D2373:D2436" si="38">CONCATENATE(B2373,LEFT(C2373,4))</f>
        <v>ESPMG4004</v>
      </c>
      <c r="E2373" t="s">
        <v>3009</v>
      </c>
    </row>
    <row r="2374" spans="1:5" x14ac:dyDescent="0.25">
      <c r="A2374">
        <v>1541</v>
      </c>
      <c r="B2374" t="s">
        <v>1716</v>
      </c>
      <c r="C2374" t="s">
        <v>3047</v>
      </c>
      <c r="D2374" t="str">
        <f t="shared" si="38"/>
        <v>ESPMG4005</v>
      </c>
      <c r="E2374" t="s">
        <v>3009</v>
      </c>
    </row>
    <row r="2375" spans="1:5" x14ac:dyDescent="0.25">
      <c r="A2375">
        <v>1541</v>
      </c>
      <c r="B2375" t="s">
        <v>1716</v>
      </c>
      <c r="C2375" t="s">
        <v>813</v>
      </c>
      <c r="D2375" t="str">
        <f t="shared" si="38"/>
        <v>ESPMG4006</v>
      </c>
      <c r="E2375" t="s">
        <v>3057</v>
      </c>
    </row>
    <row r="2376" spans="1:5" x14ac:dyDescent="0.25">
      <c r="A2376">
        <v>1541</v>
      </c>
      <c r="B2376" t="s">
        <v>1716</v>
      </c>
      <c r="C2376" t="s">
        <v>3048</v>
      </c>
      <c r="D2376" t="str">
        <f t="shared" si="38"/>
        <v>ESPMG4701</v>
      </c>
      <c r="E2376" t="s">
        <v>3049</v>
      </c>
    </row>
    <row r="2377" spans="1:5" x14ac:dyDescent="0.25">
      <c r="A2377">
        <v>1541</v>
      </c>
      <c r="B2377" t="s">
        <v>1716</v>
      </c>
      <c r="C2377" t="s">
        <v>265</v>
      </c>
      <c r="D2377" t="str">
        <f t="shared" si="38"/>
        <v>ESPMG4703</v>
      </c>
      <c r="E2377" t="s">
        <v>3049</v>
      </c>
    </row>
    <row r="2378" spans="1:5" x14ac:dyDescent="0.25">
      <c r="A2378">
        <v>1541</v>
      </c>
      <c r="B2378" t="s">
        <v>1716</v>
      </c>
      <c r="C2378" t="s">
        <v>328</v>
      </c>
      <c r="D2378" t="str">
        <f t="shared" si="38"/>
        <v>ESPMG4707</v>
      </c>
      <c r="E2378" t="s">
        <v>3049</v>
      </c>
    </row>
    <row r="2379" spans="1:5" x14ac:dyDescent="0.25">
      <c r="A2379">
        <v>1541</v>
      </c>
      <c r="B2379" t="s">
        <v>1716</v>
      </c>
      <c r="C2379" t="s">
        <v>364</v>
      </c>
      <c r="D2379" t="str">
        <f t="shared" si="38"/>
        <v>ESPMG4799</v>
      </c>
      <c r="E2379" t="s">
        <v>3049</v>
      </c>
    </row>
    <row r="2380" spans="1:5" x14ac:dyDescent="0.25">
      <c r="A2380">
        <v>1541</v>
      </c>
      <c r="B2380" t="s">
        <v>1716</v>
      </c>
      <c r="C2380" t="s">
        <v>3240</v>
      </c>
      <c r="D2380" t="str">
        <f t="shared" si="38"/>
        <v>ESPMG4904</v>
      </c>
      <c r="E2380" t="s">
        <v>2926</v>
      </c>
    </row>
    <row r="2381" spans="1:5" x14ac:dyDescent="0.25">
      <c r="A2381">
        <v>1541</v>
      </c>
      <c r="B2381" t="s">
        <v>1716</v>
      </c>
      <c r="C2381" t="s">
        <v>3051</v>
      </c>
      <c r="D2381" t="str">
        <f t="shared" si="38"/>
        <v>ESPMG5101</v>
      </c>
      <c r="E2381" t="s">
        <v>3052</v>
      </c>
    </row>
    <row r="2382" spans="1:5" x14ac:dyDescent="0.25">
      <c r="A2382">
        <v>1541</v>
      </c>
      <c r="B2382" t="s">
        <v>1716</v>
      </c>
      <c r="C2382" t="s">
        <v>3284</v>
      </c>
      <c r="D2382" t="str">
        <f t="shared" si="38"/>
        <v>ESPMG5102</v>
      </c>
      <c r="E2382" t="s">
        <v>3291</v>
      </c>
    </row>
    <row r="2383" spans="1:5" x14ac:dyDescent="0.25">
      <c r="A2383">
        <v>1541</v>
      </c>
      <c r="B2383" t="s">
        <v>1716</v>
      </c>
      <c r="C2383" t="s">
        <v>3054</v>
      </c>
      <c r="D2383" t="str">
        <f t="shared" si="38"/>
        <v>ESPMG5204</v>
      </c>
      <c r="E2383" t="s">
        <v>3055</v>
      </c>
    </row>
    <row r="2384" spans="1:5" x14ac:dyDescent="0.25">
      <c r="A2384">
        <v>1541</v>
      </c>
      <c r="B2384" t="s">
        <v>1716</v>
      </c>
      <c r="C2384" t="s">
        <v>3058</v>
      </c>
      <c r="D2384" t="str">
        <f t="shared" si="38"/>
        <v>ESPMG5207</v>
      </c>
      <c r="E2384" t="s">
        <v>3057</v>
      </c>
    </row>
    <row r="2385" spans="1:5" x14ac:dyDescent="0.25">
      <c r="A2385">
        <v>1541</v>
      </c>
      <c r="B2385" t="s">
        <v>1716</v>
      </c>
      <c r="C2385" t="s">
        <v>3060</v>
      </c>
      <c r="D2385" t="str">
        <f t="shared" si="38"/>
        <v>ESPMG5208</v>
      </c>
      <c r="E2385" t="s">
        <v>3057</v>
      </c>
    </row>
    <row r="2386" spans="1:5" x14ac:dyDescent="0.25">
      <c r="A2386">
        <v>1541</v>
      </c>
      <c r="B2386" t="s">
        <v>1716</v>
      </c>
      <c r="C2386" t="s">
        <v>3063</v>
      </c>
      <c r="D2386" t="str">
        <f t="shared" si="38"/>
        <v>ESPMG5210</v>
      </c>
      <c r="E2386" t="s">
        <v>3055</v>
      </c>
    </row>
    <row r="2387" spans="1:5" x14ac:dyDescent="0.25">
      <c r="A2387">
        <v>1541</v>
      </c>
      <c r="B2387" t="s">
        <v>1716</v>
      </c>
      <c r="C2387" t="s">
        <v>3064</v>
      </c>
      <c r="D2387" t="str">
        <f t="shared" si="38"/>
        <v>ESPMG5212</v>
      </c>
      <c r="E2387" t="s">
        <v>3055</v>
      </c>
    </row>
    <row r="2388" spans="1:5" x14ac:dyDescent="0.25">
      <c r="A2388">
        <v>1541</v>
      </c>
      <c r="B2388" t="s">
        <v>1716</v>
      </c>
      <c r="C2388" t="s">
        <v>391</v>
      </c>
      <c r="D2388" t="str">
        <f t="shared" si="38"/>
        <v>ESPMG5214</v>
      </c>
      <c r="E2388" t="s">
        <v>3055</v>
      </c>
    </row>
    <row r="2389" spans="1:5" x14ac:dyDescent="0.25">
      <c r="A2389">
        <v>1541</v>
      </c>
      <c r="B2389" t="s">
        <v>1716</v>
      </c>
      <c r="C2389" t="s">
        <v>449</v>
      </c>
      <c r="D2389" t="str">
        <f t="shared" si="38"/>
        <v>ESPMG5225</v>
      </c>
      <c r="E2389" t="s">
        <v>3055</v>
      </c>
    </row>
    <row r="2390" spans="1:5" x14ac:dyDescent="0.25">
      <c r="A2390">
        <v>1541</v>
      </c>
      <c r="B2390" t="s">
        <v>1716</v>
      </c>
      <c r="C2390" t="s">
        <v>3070</v>
      </c>
      <c r="D2390" t="str">
        <f t="shared" si="38"/>
        <v>ESPMG5226</v>
      </c>
      <c r="E2390" t="s">
        <v>3055</v>
      </c>
    </row>
    <row r="2391" spans="1:5" x14ac:dyDescent="0.25">
      <c r="A2391">
        <v>1541</v>
      </c>
      <c r="B2391" t="s">
        <v>1716</v>
      </c>
      <c r="C2391" t="s">
        <v>3220</v>
      </c>
      <c r="D2391" t="str">
        <f t="shared" si="38"/>
        <v>ESPMG9201</v>
      </c>
      <c r="E2391" t="s">
        <v>3075</v>
      </c>
    </row>
    <row r="2392" spans="1:5" x14ac:dyDescent="0.25">
      <c r="A2392">
        <v>1541</v>
      </c>
      <c r="B2392" t="s">
        <v>1716</v>
      </c>
      <c r="C2392" t="s">
        <v>3074</v>
      </c>
      <c r="D2392" t="str">
        <f t="shared" si="38"/>
        <v>ESPMG9202</v>
      </c>
      <c r="E2392" t="s">
        <v>3075</v>
      </c>
    </row>
    <row r="2393" spans="1:5" x14ac:dyDescent="0.25">
      <c r="A2393">
        <v>1541</v>
      </c>
      <c r="B2393" t="s">
        <v>1716</v>
      </c>
      <c r="C2393" t="s">
        <v>331</v>
      </c>
      <c r="D2393" t="str">
        <f t="shared" si="38"/>
        <v>ESPMG9306</v>
      </c>
      <c r="E2393" t="s">
        <v>3076</v>
      </c>
    </row>
    <row r="2394" spans="1:5" x14ac:dyDescent="0.25">
      <c r="A2394">
        <v>1541</v>
      </c>
      <c r="B2394" t="s">
        <v>1716</v>
      </c>
      <c r="C2394" t="s">
        <v>360</v>
      </c>
      <c r="D2394" t="str">
        <f t="shared" si="38"/>
        <v>ESPMG9309</v>
      </c>
      <c r="E2394" t="s">
        <v>2968</v>
      </c>
    </row>
    <row r="2395" spans="1:5" x14ac:dyDescent="0.25">
      <c r="A2395">
        <v>1541</v>
      </c>
      <c r="B2395" t="s">
        <v>1716</v>
      </c>
      <c r="C2395" t="s">
        <v>367</v>
      </c>
      <c r="D2395" t="str">
        <f t="shared" si="38"/>
        <v>ESPMG9310</v>
      </c>
      <c r="E2395" t="s">
        <v>2968</v>
      </c>
    </row>
    <row r="2396" spans="1:5" x14ac:dyDescent="0.25">
      <c r="A2396">
        <v>1541</v>
      </c>
      <c r="B2396" t="s">
        <v>1716</v>
      </c>
      <c r="C2396" t="s">
        <v>440</v>
      </c>
      <c r="D2396" t="str">
        <f t="shared" si="38"/>
        <v>ESPMG9326</v>
      </c>
      <c r="E2396" t="s">
        <v>2968</v>
      </c>
    </row>
    <row r="2397" spans="1:5" x14ac:dyDescent="0.25">
      <c r="A2397">
        <v>1541</v>
      </c>
      <c r="B2397" t="s">
        <v>1716</v>
      </c>
      <c r="C2397" t="s">
        <v>3079</v>
      </c>
      <c r="D2397" t="str">
        <f t="shared" si="38"/>
        <v>ESPMG9399</v>
      </c>
      <c r="E2397" t="s">
        <v>2968</v>
      </c>
    </row>
    <row r="2398" spans="1:5" x14ac:dyDescent="0.25">
      <c r="A2398">
        <v>1551</v>
      </c>
      <c r="B2398" t="e">
        <v>#N/A</v>
      </c>
      <c r="C2398" t="s">
        <v>2928</v>
      </c>
      <c r="D2398" t="e">
        <f t="shared" si="38"/>
        <v>#N/A</v>
      </c>
      <c r="E2398" t="s">
        <v>44</v>
      </c>
    </row>
    <row r="2399" spans="1:5" x14ac:dyDescent="0.25">
      <c r="A2399">
        <v>1551</v>
      </c>
      <c r="B2399" t="e">
        <v>#N/A</v>
      </c>
      <c r="C2399" t="s">
        <v>2937</v>
      </c>
      <c r="D2399" t="e">
        <f t="shared" si="38"/>
        <v>#N/A</v>
      </c>
      <c r="E2399" t="s">
        <v>2933</v>
      </c>
    </row>
    <row r="2400" spans="1:5" x14ac:dyDescent="0.25">
      <c r="A2400">
        <v>1551</v>
      </c>
      <c r="B2400" t="e">
        <v>#N/A</v>
      </c>
      <c r="C2400" t="s">
        <v>2939</v>
      </c>
      <c r="D2400" t="e">
        <f t="shared" si="38"/>
        <v>#N/A</v>
      </c>
      <c r="E2400" t="s">
        <v>2933</v>
      </c>
    </row>
    <row r="2401" spans="1:5" x14ac:dyDescent="0.25">
      <c r="A2401">
        <v>1551</v>
      </c>
      <c r="B2401" t="e">
        <v>#N/A</v>
      </c>
      <c r="C2401" t="s">
        <v>2946</v>
      </c>
      <c r="D2401" t="e">
        <f t="shared" si="38"/>
        <v>#N/A</v>
      </c>
      <c r="E2401" t="s">
        <v>2933</v>
      </c>
    </row>
    <row r="2402" spans="1:5" x14ac:dyDescent="0.25">
      <c r="A2402">
        <v>1551</v>
      </c>
      <c r="B2402" t="e">
        <v>#N/A</v>
      </c>
      <c r="C2402" t="s">
        <v>2950</v>
      </c>
      <c r="D2402" t="e">
        <f t="shared" si="38"/>
        <v>#N/A</v>
      </c>
      <c r="E2402" t="s">
        <v>2933</v>
      </c>
    </row>
    <row r="2403" spans="1:5" x14ac:dyDescent="0.25">
      <c r="A2403">
        <v>1551</v>
      </c>
      <c r="B2403" t="e">
        <v>#N/A</v>
      </c>
      <c r="C2403" t="s">
        <v>431</v>
      </c>
      <c r="D2403" t="e">
        <f t="shared" si="38"/>
        <v>#N/A</v>
      </c>
      <c r="E2403" t="s">
        <v>2933</v>
      </c>
    </row>
    <row r="2404" spans="1:5" x14ac:dyDescent="0.25">
      <c r="A2404">
        <v>1551</v>
      </c>
      <c r="B2404" t="e">
        <v>#N/A</v>
      </c>
      <c r="C2404" t="s">
        <v>441</v>
      </c>
      <c r="D2404" t="e">
        <f t="shared" si="38"/>
        <v>#N/A</v>
      </c>
      <c r="E2404" t="s">
        <v>2933</v>
      </c>
    </row>
    <row r="2405" spans="1:5" x14ac:dyDescent="0.25">
      <c r="A2405">
        <v>1551</v>
      </c>
      <c r="B2405" t="e">
        <v>#N/A</v>
      </c>
      <c r="C2405" t="s">
        <v>2960</v>
      </c>
      <c r="D2405" t="e">
        <f t="shared" si="38"/>
        <v>#N/A</v>
      </c>
      <c r="E2405" t="s">
        <v>2958</v>
      </c>
    </row>
    <row r="2406" spans="1:5" x14ac:dyDescent="0.25">
      <c r="A2406">
        <v>1551</v>
      </c>
      <c r="B2406" t="e">
        <v>#N/A</v>
      </c>
      <c r="C2406" t="s">
        <v>467</v>
      </c>
      <c r="D2406" t="e">
        <f t="shared" si="38"/>
        <v>#N/A</v>
      </c>
      <c r="E2406" t="s">
        <v>2933</v>
      </c>
    </row>
    <row r="2407" spans="1:5" x14ac:dyDescent="0.25">
      <c r="A2407">
        <v>1551</v>
      </c>
      <c r="B2407" t="e">
        <v>#N/A</v>
      </c>
      <c r="C2407" t="s">
        <v>470</v>
      </c>
      <c r="D2407" t="e">
        <f t="shared" si="38"/>
        <v>#N/A</v>
      </c>
      <c r="E2407" t="s">
        <v>2933</v>
      </c>
    </row>
    <row r="2408" spans="1:5" x14ac:dyDescent="0.25">
      <c r="A2408">
        <v>1551</v>
      </c>
      <c r="B2408" t="e">
        <v>#N/A</v>
      </c>
      <c r="C2408" t="s">
        <v>2963</v>
      </c>
      <c r="D2408" t="e">
        <f t="shared" si="38"/>
        <v>#N/A</v>
      </c>
      <c r="E2408" t="s">
        <v>2933</v>
      </c>
    </row>
    <row r="2409" spans="1:5" x14ac:dyDescent="0.25">
      <c r="A2409">
        <v>1551</v>
      </c>
      <c r="B2409" t="e">
        <v>#N/A</v>
      </c>
      <c r="C2409" t="s">
        <v>2967</v>
      </c>
      <c r="D2409" t="e">
        <f t="shared" si="38"/>
        <v>#N/A</v>
      </c>
      <c r="E2409" t="s">
        <v>2968</v>
      </c>
    </row>
    <row r="2410" spans="1:5" x14ac:dyDescent="0.25">
      <c r="A2410">
        <v>1551</v>
      </c>
      <c r="B2410" t="e">
        <v>#N/A</v>
      </c>
      <c r="C2410" t="s">
        <v>2975</v>
      </c>
      <c r="D2410" t="e">
        <f t="shared" si="38"/>
        <v>#N/A</v>
      </c>
      <c r="E2410" t="s">
        <v>44</v>
      </c>
    </row>
    <row r="2411" spans="1:5" x14ac:dyDescent="0.25">
      <c r="A2411">
        <v>1551</v>
      </c>
      <c r="B2411" t="e">
        <v>#N/A</v>
      </c>
      <c r="C2411" t="s">
        <v>2977</v>
      </c>
      <c r="D2411" t="e">
        <f t="shared" si="38"/>
        <v>#N/A</v>
      </c>
      <c r="E2411" t="s">
        <v>44</v>
      </c>
    </row>
    <row r="2412" spans="1:5" x14ac:dyDescent="0.25">
      <c r="A2412">
        <v>1551</v>
      </c>
      <c r="B2412" t="e">
        <v>#N/A</v>
      </c>
      <c r="C2412" t="s">
        <v>3012</v>
      </c>
      <c r="D2412" t="e">
        <f t="shared" si="38"/>
        <v>#N/A</v>
      </c>
      <c r="E2412" t="s">
        <v>65</v>
      </c>
    </row>
    <row r="2413" spans="1:5" x14ac:dyDescent="0.25">
      <c r="A2413">
        <v>1551</v>
      </c>
      <c r="B2413" t="e">
        <v>#N/A</v>
      </c>
      <c r="C2413" t="s">
        <v>3050</v>
      </c>
      <c r="D2413" t="e">
        <f t="shared" si="38"/>
        <v>#N/A</v>
      </c>
      <c r="E2413" t="s">
        <v>2981</v>
      </c>
    </row>
    <row r="2414" spans="1:5" x14ac:dyDescent="0.25">
      <c r="A2414">
        <v>1551</v>
      </c>
      <c r="B2414" t="e">
        <v>#N/A</v>
      </c>
      <c r="C2414" t="s">
        <v>2983</v>
      </c>
      <c r="D2414" t="e">
        <f t="shared" si="38"/>
        <v>#N/A</v>
      </c>
      <c r="E2414" t="s">
        <v>117</v>
      </c>
    </row>
    <row r="2415" spans="1:5" x14ac:dyDescent="0.25">
      <c r="A2415">
        <v>1551</v>
      </c>
      <c r="B2415" t="e">
        <v>#N/A</v>
      </c>
      <c r="C2415" t="s">
        <v>2985</v>
      </c>
      <c r="D2415" t="e">
        <f t="shared" si="38"/>
        <v>#N/A</v>
      </c>
      <c r="E2415" t="s">
        <v>117</v>
      </c>
    </row>
    <row r="2416" spans="1:5" x14ac:dyDescent="0.25">
      <c r="A2416">
        <v>1551</v>
      </c>
      <c r="B2416" t="e">
        <v>#N/A</v>
      </c>
      <c r="C2416" t="s">
        <v>299</v>
      </c>
      <c r="D2416" t="e">
        <f t="shared" si="38"/>
        <v>#N/A</v>
      </c>
      <c r="E2416" t="s">
        <v>2968</v>
      </c>
    </row>
    <row r="2417" spans="1:5" x14ac:dyDescent="0.25">
      <c r="A2417">
        <v>1551</v>
      </c>
      <c r="B2417" t="e">
        <v>#N/A</v>
      </c>
      <c r="C2417" t="s">
        <v>2994</v>
      </c>
      <c r="D2417" t="e">
        <f t="shared" si="38"/>
        <v>#N/A</v>
      </c>
      <c r="E2417" t="s">
        <v>2992</v>
      </c>
    </row>
    <row r="2418" spans="1:5" x14ac:dyDescent="0.25">
      <c r="A2418">
        <v>1551</v>
      </c>
      <c r="B2418" t="e">
        <v>#N/A</v>
      </c>
      <c r="C2418" t="s">
        <v>384</v>
      </c>
      <c r="D2418" t="e">
        <f t="shared" si="38"/>
        <v>#N/A</v>
      </c>
      <c r="E2418" t="s">
        <v>2992</v>
      </c>
    </row>
    <row r="2419" spans="1:5" x14ac:dyDescent="0.25">
      <c r="A2419">
        <v>1551</v>
      </c>
      <c r="B2419" t="e">
        <v>#N/A</v>
      </c>
      <c r="C2419" t="s">
        <v>2996</v>
      </c>
      <c r="D2419" t="e">
        <f t="shared" si="38"/>
        <v>#N/A</v>
      </c>
      <c r="E2419" t="s">
        <v>2958</v>
      </c>
    </row>
    <row r="2420" spans="1:5" x14ac:dyDescent="0.25">
      <c r="A2420">
        <v>1551</v>
      </c>
      <c r="B2420" t="e">
        <v>#N/A</v>
      </c>
      <c r="C2420" t="s">
        <v>3000</v>
      </c>
      <c r="D2420" t="e">
        <f t="shared" si="38"/>
        <v>#N/A</v>
      </c>
      <c r="E2420" t="s">
        <v>3001</v>
      </c>
    </row>
    <row r="2421" spans="1:5" x14ac:dyDescent="0.25">
      <c r="A2421">
        <v>1551</v>
      </c>
      <c r="B2421" t="e">
        <v>#N/A</v>
      </c>
      <c r="C2421" t="s">
        <v>3077</v>
      </c>
      <c r="D2421" t="e">
        <f t="shared" si="38"/>
        <v>#N/A</v>
      </c>
      <c r="E2421" t="s">
        <v>3107</v>
      </c>
    </row>
    <row r="2422" spans="1:5" x14ac:dyDescent="0.25">
      <c r="A2422">
        <v>1551</v>
      </c>
      <c r="B2422" t="e">
        <v>#N/A</v>
      </c>
      <c r="C2422" t="s">
        <v>3002</v>
      </c>
      <c r="D2422" t="e">
        <f t="shared" si="38"/>
        <v>#N/A</v>
      </c>
      <c r="E2422" t="s">
        <v>3001</v>
      </c>
    </row>
    <row r="2423" spans="1:5" x14ac:dyDescent="0.25">
      <c r="A2423">
        <v>1551</v>
      </c>
      <c r="B2423" t="e">
        <v>#N/A</v>
      </c>
      <c r="C2423" t="s">
        <v>3003</v>
      </c>
      <c r="D2423" t="e">
        <f t="shared" si="38"/>
        <v>#N/A</v>
      </c>
      <c r="E2423" t="s">
        <v>2954</v>
      </c>
    </row>
    <row r="2424" spans="1:5" x14ac:dyDescent="0.25">
      <c r="A2424">
        <v>1551</v>
      </c>
      <c r="B2424" t="e">
        <v>#N/A</v>
      </c>
      <c r="C2424" t="s">
        <v>3008</v>
      </c>
      <c r="D2424" t="e">
        <f t="shared" si="38"/>
        <v>#N/A</v>
      </c>
      <c r="E2424" t="s">
        <v>3009</v>
      </c>
    </row>
    <row r="2425" spans="1:5" x14ac:dyDescent="0.25">
      <c r="A2425">
        <v>1551</v>
      </c>
      <c r="B2425" t="e">
        <v>#N/A</v>
      </c>
      <c r="C2425" t="s">
        <v>1481</v>
      </c>
      <c r="D2425" t="e">
        <f t="shared" si="38"/>
        <v>#N/A</v>
      </c>
      <c r="E2425" t="s">
        <v>2968</v>
      </c>
    </row>
    <row r="2426" spans="1:5" x14ac:dyDescent="0.25">
      <c r="A2426">
        <v>1551</v>
      </c>
      <c r="B2426" t="e">
        <v>#N/A</v>
      </c>
      <c r="C2426" t="s">
        <v>3017</v>
      </c>
      <c r="D2426" t="e">
        <f t="shared" si="38"/>
        <v>#N/A</v>
      </c>
      <c r="E2426" t="s">
        <v>94</v>
      </c>
    </row>
    <row r="2427" spans="1:5" x14ac:dyDescent="0.25">
      <c r="A2427">
        <v>1551</v>
      </c>
      <c r="B2427" t="e">
        <v>#N/A</v>
      </c>
      <c r="C2427" t="s">
        <v>482</v>
      </c>
      <c r="D2427" t="e">
        <f t="shared" si="38"/>
        <v>#N/A</v>
      </c>
      <c r="E2427" t="s">
        <v>2968</v>
      </c>
    </row>
    <row r="2428" spans="1:5" x14ac:dyDescent="0.25">
      <c r="A2428">
        <v>1551</v>
      </c>
      <c r="B2428" t="e">
        <v>#N/A</v>
      </c>
      <c r="C2428" t="s">
        <v>3020</v>
      </c>
      <c r="D2428" t="e">
        <f t="shared" si="38"/>
        <v>#N/A</v>
      </c>
      <c r="E2428" t="s">
        <v>2958</v>
      </c>
    </row>
    <row r="2429" spans="1:5" x14ac:dyDescent="0.25">
      <c r="A2429">
        <v>1551</v>
      </c>
      <c r="B2429" t="e">
        <v>#N/A</v>
      </c>
      <c r="C2429" t="s">
        <v>3096</v>
      </c>
      <c r="D2429" t="e">
        <f t="shared" si="38"/>
        <v>#N/A</v>
      </c>
      <c r="E2429" t="s">
        <v>3004</v>
      </c>
    </row>
    <row r="2430" spans="1:5" x14ac:dyDescent="0.25">
      <c r="A2430">
        <v>1551</v>
      </c>
      <c r="B2430" t="e">
        <v>#N/A</v>
      </c>
      <c r="C2430" t="s">
        <v>3102</v>
      </c>
      <c r="D2430" t="e">
        <f t="shared" si="38"/>
        <v>#N/A</v>
      </c>
      <c r="E2430" t="s">
        <v>2968</v>
      </c>
    </row>
    <row r="2431" spans="1:5" x14ac:dyDescent="0.25">
      <c r="A2431">
        <v>1551</v>
      </c>
      <c r="B2431" t="e">
        <v>#N/A</v>
      </c>
      <c r="C2431" t="s">
        <v>1154</v>
      </c>
      <c r="D2431" t="e">
        <f t="shared" si="38"/>
        <v>#N/A</v>
      </c>
      <c r="E2431" t="s">
        <v>2992</v>
      </c>
    </row>
    <row r="2432" spans="1:5" x14ac:dyDescent="0.25">
      <c r="A2432">
        <v>1551</v>
      </c>
      <c r="B2432" t="e">
        <v>#N/A</v>
      </c>
      <c r="C2432" t="s">
        <v>520</v>
      </c>
      <c r="D2432" t="e">
        <f t="shared" si="38"/>
        <v>#N/A</v>
      </c>
      <c r="E2432" t="s">
        <v>2981</v>
      </c>
    </row>
    <row r="2433" spans="1:5" x14ac:dyDescent="0.25">
      <c r="A2433">
        <v>1551</v>
      </c>
      <c r="B2433" t="e">
        <v>#N/A</v>
      </c>
      <c r="C2433" t="s">
        <v>531</v>
      </c>
      <c r="D2433" t="e">
        <f t="shared" si="38"/>
        <v>#N/A</v>
      </c>
      <c r="E2433" t="s">
        <v>2968</v>
      </c>
    </row>
    <row r="2434" spans="1:5" x14ac:dyDescent="0.25">
      <c r="A2434">
        <v>1551</v>
      </c>
      <c r="B2434" t="e">
        <v>#N/A</v>
      </c>
      <c r="C2434" t="s">
        <v>3040</v>
      </c>
      <c r="D2434" t="e">
        <f t="shared" si="38"/>
        <v>#N/A</v>
      </c>
      <c r="E2434" t="s">
        <v>2968</v>
      </c>
    </row>
    <row r="2435" spans="1:5" x14ac:dyDescent="0.25">
      <c r="A2435">
        <v>1551</v>
      </c>
      <c r="B2435" t="e">
        <v>#N/A</v>
      </c>
      <c r="C2435" t="s">
        <v>3041</v>
      </c>
      <c r="D2435" t="e">
        <f t="shared" si="38"/>
        <v>#N/A</v>
      </c>
      <c r="E2435" t="s">
        <v>3009</v>
      </c>
    </row>
    <row r="2436" spans="1:5" x14ac:dyDescent="0.25">
      <c r="A2436">
        <v>1551</v>
      </c>
      <c r="B2436" t="e">
        <v>#N/A</v>
      </c>
      <c r="C2436" t="s">
        <v>3043</v>
      </c>
      <c r="D2436" t="e">
        <f t="shared" si="38"/>
        <v>#N/A</v>
      </c>
      <c r="E2436" t="s">
        <v>94</v>
      </c>
    </row>
    <row r="2437" spans="1:5" x14ac:dyDescent="0.25">
      <c r="A2437">
        <v>1551</v>
      </c>
      <c r="B2437" t="e">
        <v>#N/A</v>
      </c>
      <c r="C2437" t="s">
        <v>813</v>
      </c>
      <c r="D2437" t="e">
        <f t="shared" ref="D2437:D2500" si="39">CONCATENATE(B2437,LEFT(C2437,4))</f>
        <v>#N/A</v>
      </c>
      <c r="E2437" t="s">
        <v>3057</v>
      </c>
    </row>
    <row r="2438" spans="1:5" x14ac:dyDescent="0.25">
      <c r="A2438">
        <v>1551</v>
      </c>
      <c r="B2438" t="e">
        <v>#N/A</v>
      </c>
      <c r="C2438" t="s">
        <v>3138</v>
      </c>
      <c r="D2438" t="e">
        <f t="shared" si="39"/>
        <v>#N/A</v>
      </c>
      <c r="E2438" t="s">
        <v>94</v>
      </c>
    </row>
    <row r="2439" spans="1:5" x14ac:dyDescent="0.25">
      <c r="A2439">
        <v>1551</v>
      </c>
      <c r="B2439" t="e">
        <v>#N/A</v>
      </c>
      <c r="C2439" t="s">
        <v>3058</v>
      </c>
      <c r="D2439" t="e">
        <f t="shared" si="39"/>
        <v>#N/A</v>
      </c>
      <c r="E2439" t="s">
        <v>3057</v>
      </c>
    </row>
    <row r="2440" spans="1:5" x14ac:dyDescent="0.25">
      <c r="A2440">
        <v>1551</v>
      </c>
      <c r="B2440" t="e">
        <v>#N/A</v>
      </c>
      <c r="C2440" t="s">
        <v>3060</v>
      </c>
      <c r="D2440" t="e">
        <f t="shared" si="39"/>
        <v>#N/A</v>
      </c>
      <c r="E2440" t="s">
        <v>3057</v>
      </c>
    </row>
    <row r="2441" spans="1:5" x14ac:dyDescent="0.25">
      <c r="A2441">
        <v>1551</v>
      </c>
      <c r="B2441" t="e">
        <v>#N/A</v>
      </c>
      <c r="C2441" t="s">
        <v>391</v>
      </c>
      <c r="D2441" t="e">
        <f t="shared" si="39"/>
        <v>#N/A</v>
      </c>
      <c r="E2441" t="s">
        <v>3055</v>
      </c>
    </row>
    <row r="2442" spans="1:5" x14ac:dyDescent="0.25">
      <c r="A2442">
        <v>1551</v>
      </c>
      <c r="B2442" t="e">
        <v>#N/A</v>
      </c>
      <c r="C2442" t="s">
        <v>429</v>
      </c>
      <c r="D2442" t="e">
        <f t="shared" si="39"/>
        <v>#N/A</v>
      </c>
      <c r="E2442" t="s">
        <v>3055</v>
      </c>
    </row>
    <row r="2443" spans="1:5" x14ac:dyDescent="0.25">
      <c r="A2443">
        <v>1551</v>
      </c>
      <c r="B2443" t="e">
        <v>#N/A</v>
      </c>
      <c r="C2443" t="s">
        <v>3220</v>
      </c>
      <c r="D2443" t="e">
        <f t="shared" si="39"/>
        <v>#N/A</v>
      </c>
      <c r="E2443" t="s">
        <v>3075</v>
      </c>
    </row>
    <row r="2444" spans="1:5" x14ac:dyDescent="0.25">
      <c r="A2444">
        <v>1551</v>
      </c>
      <c r="B2444" t="e">
        <v>#N/A</v>
      </c>
      <c r="C2444" t="s">
        <v>3074</v>
      </c>
      <c r="D2444" t="e">
        <f t="shared" si="39"/>
        <v>#N/A</v>
      </c>
      <c r="E2444" t="s">
        <v>3075</v>
      </c>
    </row>
    <row r="2445" spans="1:5" x14ac:dyDescent="0.25">
      <c r="A2445">
        <v>1551</v>
      </c>
      <c r="B2445" t="e">
        <v>#N/A</v>
      </c>
      <c r="C2445" t="s">
        <v>320</v>
      </c>
      <c r="D2445" t="e">
        <f t="shared" si="39"/>
        <v>#N/A</v>
      </c>
      <c r="E2445" t="s">
        <v>2968</v>
      </c>
    </row>
    <row r="2446" spans="1:5" x14ac:dyDescent="0.25">
      <c r="A2446">
        <v>1551</v>
      </c>
      <c r="B2446" t="e">
        <v>#N/A</v>
      </c>
      <c r="C2446" t="s">
        <v>3079</v>
      </c>
      <c r="D2446" t="e">
        <f t="shared" si="39"/>
        <v>#N/A</v>
      </c>
      <c r="E2446" t="s">
        <v>2968</v>
      </c>
    </row>
    <row r="2447" spans="1:5" x14ac:dyDescent="0.25">
      <c r="A2447">
        <v>1571</v>
      </c>
      <c r="B2447" t="e">
        <v>#N/A</v>
      </c>
      <c r="C2447" t="s">
        <v>332</v>
      </c>
      <c r="D2447" t="e">
        <f t="shared" si="39"/>
        <v>#N/A</v>
      </c>
      <c r="E2447" t="s">
        <v>3081</v>
      </c>
    </row>
    <row r="2448" spans="1:5" x14ac:dyDescent="0.25">
      <c r="A2448">
        <v>1571</v>
      </c>
      <c r="B2448" t="e">
        <v>#N/A</v>
      </c>
      <c r="C2448" t="s">
        <v>2928</v>
      </c>
      <c r="D2448" t="e">
        <f t="shared" si="39"/>
        <v>#N/A</v>
      </c>
      <c r="E2448" t="s">
        <v>44</v>
      </c>
    </row>
    <row r="2449" spans="1:5" x14ac:dyDescent="0.25">
      <c r="A2449">
        <v>1571</v>
      </c>
      <c r="B2449" t="e">
        <v>#N/A</v>
      </c>
      <c r="C2449" t="s">
        <v>2937</v>
      </c>
      <c r="D2449" t="e">
        <f t="shared" si="39"/>
        <v>#N/A</v>
      </c>
      <c r="E2449" t="s">
        <v>2933</v>
      </c>
    </row>
    <row r="2450" spans="1:5" x14ac:dyDescent="0.25">
      <c r="A2450">
        <v>1571</v>
      </c>
      <c r="B2450" t="e">
        <v>#N/A</v>
      </c>
      <c r="C2450" t="s">
        <v>2939</v>
      </c>
      <c r="D2450" t="e">
        <f t="shared" si="39"/>
        <v>#N/A</v>
      </c>
      <c r="E2450" t="s">
        <v>2933</v>
      </c>
    </row>
    <row r="2451" spans="1:5" x14ac:dyDescent="0.25">
      <c r="A2451">
        <v>1571</v>
      </c>
      <c r="B2451" t="e">
        <v>#N/A</v>
      </c>
      <c r="C2451" t="s">
        <v>2943</v>
      </c>
      <c r="D2451" t="e">
        <f t="shared" si="39"/>
        <v>#N/A</v>
      </c>
      <c r="E2451" t="s">
        <v>2944</v>
      </c>
    </row>
    <row r="2452" spans="1:5" x14ac:dyDescent="0.25">
      <c r="A2452">
        <v>1571</v>
      </c>
      <c r="B2452" t="e">
        <v>#N/A</v>
      </c>
      <c r="C2452" t="s">
        <v>2948</v>
      </c>
      <c r="D2452" t="e">
        <f t="shared" si="39"/>
        <v>#N/A</v>
      </c>
      <c r="E2452" t="s">
        <v>2933</v>
      </c>
    </row>
    <row r="2453" spans="1:5" x14ac:dyDescent="0.25">
      <c r="A2453">
        <v>1571</v>
      </c>
      <c r="B2453" t="e">
        <v>#N/A</v>
      </c>
      <c r="C2453" t="s">
        <v>2950</v>
      </c>
      <c r="D2453" t="e">
        <f t="shared" si="39"/>
        <v>#N/A</v>
      </c>
      <c r="E2453" t="s">
        <v>2933</v>
      </c>
    </row>
    <row r="2454" spans="1:5" x14ac:dyDescent="0.25">
      <c r="A2454">
        <v>1571</v>
      </c>
      <c r="B2454" t="e">
        <v>#N/A</v>
      </c>
      <c r="C2454" t="s">
        <v>406</v>
      </c>
      <c r="D2454" t="e">
        <f t="shared" si="39"/>
        <v>#N/A</v>
      </c>
      <c r="E2454" t="s">
        <v>2933</v>
      </c>
    </row>
    <row r="2455" spans="1:5" x14ac:dyDescent="0.25">
      <c r="A2455">
        <v>1571</v>
      </c>
      <c r="B2455" t="e">
        <v>#N/A</v>
      </c>
      <c r="C2455" t="s">
        <v>2955</v>
      </c>
      <c r="D2455" t="e">
        <f t="shared" si="39"/>
        <v>#N/A</v>
      </c>
      <c r="E2455" t="s">
        <v>2933</v>
      </c>
    </row>
    <row r="2456" spans="1:5" x14ac:dyDescent="0.25">
      <c r="A2456">
        <v>1571</v>
      </c>
      <c r="B2456" t="e">
        <v>#N/A</v>
      </c>
      <c r="C2456" t="s">
        <v>431</v>
      </c>
      <c r="D2456" t="e">
        <f t="shared" si="39"/>
        <v>#N/A</v>
      </c>
      <c r="E2456" t="s">
        <v>2933</v>
      </c>
    </row>
    <row r="2457" spans="1:5" x14ac:dyDescent="0.25">
      <c r="A2457">
        <v>1571</v>
      </c>
      <c r="B2457" t="e">
        <v>#N/A</v>
      </c>
      <c r="C2457" t="s">
        <v>2960</v>
      </c>
      <c r="D2457" t="e">
        <f t="shared" si="39"/>
        <v>#N/A</v>
      </c>
      <c r="E2457" t="s">
        <v>2958</v>
      </c>
    </row>
    <row r="2458" spans="1:5" x14ac:dyDescent="0.25">
      <c r="A2458">
        <v>1571</v>
      </c>
      <c r="B2458" t="e">
        <v>#N/A</v>
      </c>
      <c r="C2458" t="s">
        <v>2975</v>
      </c>
      <c r="D2458" t="e">
        <f t="shared" si="39"/>
        <v>#N/A</v>
      </c>
      <c r="E2458" t="s">
        <v>44</v>
      </c>
    </row>
    <row r="2459" spans="1:5" x14ac:dyDescent="0.25">
      <c r="A2459">
        <v>1571</v>
      </c>
      <c r="B2459" t="e">
        <v>#N/A</v>
      </c>
      <c r="C2459" t="s">
        <v>2977</v>
      </c>
      <c r="D2459" t="e">
        <f t="shared" si="39"/>
        <v>#N/A</v>
      </c>
      <c r="E2459" t="s">
        <v>44</v>
      </c>
    </row>
    <row r="2460" spans="1:5" x14ac:dyDescent="0.25">
      <c r="A2460">
        <v>1571</v>
      </c>
      <c r="B2460" t="e">
        <v>#N/A</v>
      </c>
      <c r="C2460" t="s">
        <v>3012</v>
      </c>
      <c r="D2460" t="e">
        <f t="shared" si="39"/>
        <v>#N/A</v>
      </c>
      <c r="E2460" t="s">
        <v>65</v>
      </c>
    </row>
    <row r="2461" spans="1:5" x14ac:dyDescent="0.25">
      <c r="A2461">
        <v>1571</v>
      </c>
      <c r="B2461" t="e">
        <v>#N/A</v>
      </c>
      <c r="C2461" t="s">
        <v>2979</v>
      </c>
      <c r="D2461" t="e">
        <f t="shared" si="39"/>
        <v>#N/A</v>
      </c>
      <c r="E2461" t="s">
        <v>2968</v>
      </c>
    </row>
    <row r="2462" spans="1:5" x14ac:dyDescent="0.25">
      <c r="A2462">
        <v>1571</v>
      </c>
      <c r="B2462" t="e">
        <v>#N/A</v>
      </c>
      <c r="C2462" t="s">
        <v>2983</v>
      </c>
      <c r="D2462" t="e">
        <f t="shared" si="39"/>
        <v>#N/A</v>
      </c>
      <c r="E2462" t="s">
        <v>117</v>
      </c>
    </row>
    <row r="2463" spans="1:5" x14ac:dyDescent="0.25">
      <c r="A2463">
        <v>1571</v>
      </c>
      <c r="B2463" t="e">
        <v>#N/A</v>
      </c>
      <c r="C2463" t="s">
        <v>2985</v>
      </c>
      <c r="D2463" t="e">
        <f t="shared" si="39"/>
        <v>#N/A</v>
      </c>
      <c r="E2463" t="s">
        <v>117</v>
      </c>
    </row>
    <row r="2464" spans="1:5" x14ac:dyDescent="0.25">
      <c r="A2464">
        <v>1571</v>
      </c>
      <c r="B2464" t="e">
        <v>#N/A</v>
      </c>
      <c r="C2464" t="s">
        <v>346</v>
      </c>
      <c r="D2464" t="e">
        <f t="shared" si="39"/>
        <v>#N/A</v>
      </c>
      <c r="E2464" t="s">
        <v>2968</v>
      </c>
    </row>
    <row r="2465" spans="1:5" x14ac:dyDescent="0.25">
      <c r="A2465">
        <v>1571</v>
      </c>
      <c r="B2465" t="e">
        <v>#N/A</v>
      </c>
      <c r="C2465" t="s">
        <v>2991</v>
      </c>
      <c r="D2465" t="e">
        <f t="shared" si="39"/>
        <v>#N/A</v>
      </c>
      <c r="E2465" t="s">
        <v>2992</v>
      </c>
    </row>
    <row r="2466" spans="1:5" x14ac:dyDescent="0.25">
      <c r="A2466">
        <v>1571</v>
      </c>
      <c r="B2466" t="e">
        <v>#N/A</v>
      </c>
      <c r="C2466" t="s">
        <v>2996</v>
      </c>
      <c r="D2466" t="e">
        <f t="shared" si="39"/>
        <v>#N/A</v>
      </c>
      <c r="E2466" t="s">
        <v>2958</v>
      </c>
    </row>
    <row r="2467" spans="1:5" x14ac:dyDescent="0.25">
      <c r="A2467">
        <v>1571</v>
      </c>
      <c r="B2467" t="e">
        <v>#N/A</v>
      </c>
      <c r="C2467" t="s">
        <v>3000</v>
      </c>
      <c r="D2467" t="e">
        <f t="shared" si="39"/>
        <v>#N/A</v>
      </c>
      <c r="E2467" t="s">
        <v>3001</v>
      </c>
    </row>
    <row r="2468" spans="1:5" x14ac:dyDescent="0.25">
      <c r="A2468">
        <v>1571</v>
      </c>
      <c r="B2468" t="e">
        <v>#N/A</v>
      </c>
      <c r="C2468" t="s">
        <v>3002</v>
      </c>
      <c r="D2468" t="e">
        <f t="shared" si="39"/>
        <v>#N/A</v>
      </c>
      <c r="E2468" t="s">
        <v>3001</v>
      </c>
    </row>
    <row r="2469" spans="1:5" x14ac:dyDescent="0.25">
      <c r="A2469">
        <v>1571</v>
      </c>
      <c r="B2469" t="e">
        <v>#N/A</v>
      </c>
      <c r="C2469" t="s">
        <v>3003</v>
      </c>
      <c r="D2469" t="e">
        <f t="shared" si="39"/>
        <v>#N/A</v>
      </c>
      <c r="E2469" t="s">
        <v>2954</v>
      </c>
    </row>
    <row r="2470" spans="1:5" x14ac:dyDescent="0.25">
      <c r="A2470">
        <v>1571</v>
      </c>
      <c r="B2470" t="e">
        <v>#N/A</v>
      </c>
      <c r="C2470" t="s">
        <v>443</v>
      </c>
      <c r="D2470" t="e">
        <f t="shared" si="39"/>
        <v>#N/A</v>
      </c>
      <c r="E2470" t="s">
        <v>3006</v>
      </c>
    </row>
    <row r="2471" spans="1:5" x14ac:dyDescent="0.25">
      <c r="A2471">
        <v>1571</v>
      </c>
      <c r="B2471" t="e">
        <v>#N/A</v>
      </c>
      <c r="C2471" t="s">
        <v>3008</v>
      </c>
      <c r="D2471" t="e">
        <f t="shared" si="39"/>
        <v>#N/A</v>
      </c>
      <c r="E2471" t="s">
        <v>3009</v>
      </c>
    </row>
    <row r="2472" spans="1:5" x14ac:dyDescent="0.25">
      <c r="A2472">
        <v>1571</v>
      </c>
      <c r="B2472" t="e">
        <v>#N/A</v>
      </c>
      <c r="C2472" t="s">
        <v>3017</v>
      </c>
      <c r="D2472" t="e">
        <f t="shared" si="39"/>
        <v>#N/A</v>
      </c>
      <c r="E2472" t="s">
        <v>94</v>
      </c>
    </row>
    <row r="2473" spans="1:5" x14ac:dyDescent="0.25">
      <c r="A2473">
        <v>1571</v>
      </c>
      <c r="B2473" t="e">
        <v>#N/A</v>
      </c>
      <c r="C2473" t="s">
        <v>3088</v>
      </c>
      <c r="D2473" t="e">
        <f t="shared" si="39"/>
        <v>#N/A</v>
      </c>
      <c r="E2473" t="s">
        <v>3107</v>
      </c>
    </row>
    <row r="2474" spans="1:5" x14ac:dyDescent="0.25">
      <c r="A2474">
        <v>1571</v>
      </c>
      <c r="B2474" t="e">
        <v>#N/A</v>
      </c>
      <c r="C2474" t="s">
        <v>3019</v>
      </c>
      <c r="D2474" t="e">
        <f t="shared" si="39"/>
        <v>#N/A</v>
      </c>
      <c r="E2474" t="s">
        <v>3009</v>
      </c>
    </row>
    <row r="2475" spans="1:5" x14ac:dyDescent="0.25">
      <c r="A2475">
        <v>1571</v>
      </c>
      <c r="B2475" t="e">
        <v>#N/A</v>
      </c>
      <c r="C2475" t="s">
        <v>3020</v>
      </c>
      <c r="D2475" t="e">
        <f t="shared" si="39"/>
        <v>#N/A</v>
      </c>
      <c r="E2475" t="s">
        <v>2958</v>
      </c>
    </row>
    <row r="2476" spans="1:5" x14ac:dyDescent="0.25">
      <c r="A2476">
        <v>1571</v>
      </c>
      <c r="B2476" t="e">
        <v>#N/A</v>
      </c>
      <c r="C2476" t="s">
        <v>3036</v>
      </c>
      <c r="D2476" t="e">
        <f t="shared" si="39"/>
        <v>#N/A</v>
      </c>
      <c r="E2476" t="s">
        <v>2958</v>
      </c>
    </row>
    <row r="2477" spans="1:5" x14ac:dyDescent="0.25">
      <c r="A2477">
        <v>1571</v>
      </c>
      <c r="B2477" t="e">
        <v>#N/A</v>
      </c>
      <c r="C2477" t="s">
        <v>3040</v>
      </c>
      <c r="D2477" t="e">
        <f t="shared" si="39"/>
        <v>#N/A</v>
      </c>
      <c r="E2477" t="s">
        <v>2968</v>
      </c>
    </row>
    <row r="2478" spans="1:5" x14ac:dyDescent="0.25">
      <c r="A2478">
        <v>1571</v>
      </c>
      <c r="B2478" t="e">
        <v>#N/A</v>
      </c>
      <c r="C2478" t="s">
        <v>3041</v>
      </c>
      <c r="D2478" t="e">
        <f t="shared" si="39"/>
        <v>#N/A</v>
      </c>
      <c r="E2478" t="s">
        <v>3009</v>
      </c>
    </row>
    <row r="2479" spans="1:5" x14ac:dyDescent="0.25">
      <c r="A2479">
        <v>1571</v>
      </c>
      <c r="B2479" t="e">
        <v>#N/A</v>
      </c>
      <c r="C2479" t="s">
        <v>3043</v>
      </c>
      <c r="D2479" t="e">
        <f t="shared" si="39"/>
        <v>#N/A</v>
      </c>
      <c r="E2479" t="s">
        <v>94</v>
      </c>
    </row>
    <row r="2480" spans="1:5" x14ac:dyDescent="0.25">
      <c r="A2480">
        <v>1571</v>
      </c>
      <c r="B2480" t="e">
        <v>#N/A</v>
      </c>
      <c r="C2480" t="s">
        <v>3045</v>
      </c>
      <c r="D2480" t="e">
        <f t="shared" si="39"/>
        <v>#N/A</v>
      </c>
      <c r="E2480" t="s">
        <v>3009</v>
      </c>
    </row>
    <row r="2481" spans="1:5" x14ac:dyDescent="0.25">
      <c r="A2481">
        <v>1571</v>
      </c>
      <c r="B2481" t="e">
        <v>#N/A</v>
      </c>
      <c r="C2481" t="s">
        <v>3048</v>
      </c>
      <c r="D2481" t="e">
        <f t="shared" si="39"/>
        <v>#N/A</v>
      </c>
      <c r="E2481" t="s">
        <v>3049</v>
      </c>
    </row>
    <row r="2482" spans="1:5" x14ac:dyDescent="0.25">
      <c r="A2482">
        <v>1571</v>
      </c>
      <c r="B2482" t="e">
        <v>#N/A</v>
      </c>
      <c r="C2482" t="s">
        <v>328</v>
      </c>
      <c r="D2482" t="e">
        <f t="shared" si="39"/>
        <v>#N/A</v>
      </c>
      <c r="E2482" t="s">
        <v>3049</v>
      </c>
    </row>
    <row r="2483" spans="1:5" x14ac:dyDescent="0.25">
      <c r="A2483">
        <v>1571</v>
      </c>
      <c r="B2483" t="e">
        <v>#N/A</v>
      </c>
      <c r="C2483" t="s">
        <v>364</v>
      </c>
      <c r="D2483" t="e">
        <f t="shared" si="39"/>
        <v>#N/A</v>
      </c>
      <c r="E2483" t="s">
        <v>3049</v>
      </c>
    </row>
    <row r="2484" spans="1:5" x14ac:dyDescent="0.25">
      <c r="A2484">
        <v>1571</v>
      </c>
      <c r="B2484" t="e">
        <v>#N/A</v>
      </c>
      <c r="C2484" t="s">
        <v>3205</v>
      </c>
      <c r="D2484" t="e">
        <f t="shared" si="39"/>
        <v>#N/A</v>
      </c>
      <c r="E2484" t="s">
        <v>65</v>
      </c>
    </row>
    <row r="2485" spans="1:5" x14ac:dyDescent="0.25">
      <c r="A2485">
        <v>1571</v>
      </c>
      <c r="B2485" t="e">
        <v>#N/A</v>
      </c>
      <c r="C2485" t="s">
        <v>3074</v>
      </c>
      <c r="D2485" t="e">
        <f t="shared" si="39"/>
        <v>#N/A</v>
      </c>
      <c r="E2485" t="s">
        <v>3075</v>
      </c>
    </row>
    <row r="2486" spans="1:5" x14ac:dyDescent="0.25">
      <c r="A2486">
        <v>1571</v>
      </c>
      <c r="B2486" t="e">
        <v>#N/A</v>
      </c>
      <c r="C2486" t="s">
        <v>360</v>
      </c>
      <c r="D2486" t="e">
        <f t="shared" si="39"/>
        <v>#N/A</v>
      </c>
      <c r="E2486" t="s">
        <v>2968</v>
      </c>
    </row>
    <row r="2487" spans="1:5" x14ac:dyDescent="0.25">
      <c r="A2487">
        <v>1591</v>
      </c>
      <c r="B2487" t="e">
        <v>#N/A</v>
      </c>
      <c r="C2487" t="s">
        <v>2928</v>
      </c>
      <c r="D2487" t="e">
        <f t="shared" si="39"/>
        <v>#N/A</v>
      </c>
      <c r="E2487" t="s">
        <v>44</v>
      </c>
    </row>
    <row r="2488" spans="1:5" x14ac:dyDescent="0.25">
      <c r="A2488">
        <v>1591</v>
      </c>
      <c r="B2488" t="e">
        <v>#N/A</v>
      </c>
      <c r="C2488" t="s">
        <v>2960</v>
      </c>
      <c r="D2488" t="e">
        <f t="shared" si="39"/>
        <v>#N/A</v>
      </c>
      <c r="E2488" t="s">
        <v>2958</v>
      </c>
    </row>
    <row r="2489" spans="1:5" x14ac:dyDescent="0.25">
      <c r="A2489">
        <v>1591</v>
      </c>
      <c r="B2489" t="e">
        <v>#N/A</v>
      </c>
      <c r="C2489" t="s">
        <v>2975</v>
      </c>
      <c r="D2489" t="e">
        <f t="shared" si="39"/>
        <v>#N/A</v>
      </c>
      <c r="E2489" t="s">
        <v>44</v>
      </c>
    </row>
    <row r="2490" spans="1:5" x14ac:dyDescent="0.25">
      <c r="A2490">
        <v>1591</v>
      </c>
      <c r="B2490" t="e">
        <v>#N/A</v>
      </c>
      <c r="C2490" t="s">
        <v>2977</v>
      </c>
      <c r="D2490" t="e">
        <f t="shared" si="39"/>
        <v>#N/A</v>
      </c>
      <c r="E2490" t="s">
        <v>44</v>
      </c>
    </row>
    <row r="2491" spans="1:5" x14ac:dyDescent="0.25">
      <c r="A2491">
        <v>1591</v>
      </c>
      <c r="B2491" t="e">
        <v>#N/A</v>
      </c>
      <c r="C2491" t="s">
        <v>2985</v>
      </c>
      <c r="D2491" t="e">
        <f t="shared" si="39"/>
        <v>#N/A</v>
      </c>
      <c r="E2491" t="s">
        <v>117</v>
      </c>
    </row>
    <row r="2492" spans="1:5" x14ac:dyDescent="0.25">
      <c r="A2492">
        <v>1591</v>
      </c>
      <c r="B2492" t="e">
        <v>#N/A</v>
      </c>
      <c r="C2492" t="s">
        <v>2998</v>
      </c>
      <c r="D2492" t="e">
        <f t="shared" si="39"/>
        <v>#N/A</v>
      </c>
      <c r="E2492" t="s">
        <v>2958</v>
      </c>
    </row>
    <row r="2493" spans="1:5" x14ac:dyDescent="0.25">
      <c r="A2493">
        <v>1591</v>
      </c>
      <c r="B2493" t="e">
        <v>#N/A</v>
      </c>
      <c r="C2493" t="s">
        <v>443</v>
      </c>
      <c r="D2493" t="e">
        <f t="shared" si="39"/>
        <v>#N/A</v>
      </c>
      <c r="E2493" t="s">
        <v>3006</v>
      </c>
    </row>
    <row r="2494" spans="1:5" x14ac:dyDescent="0.25">
      <c r="A2494">
        <v>1591</v>
      </c>
      <c r="B2494" t="e">
        <v>#N/A</v>
      </c>
      <c r="C2494" t="s">
        <v>3040</v>
      </c>
      <c r="D2494" t="e">
        <f t="shared" si="39"/>
        <v>#N/A</v>
      </c>
      <c r="E2494" t="s">
        <v>2968</v>
      </c>
    </row>
    <row r="2495" spans="1:5" x14ac:dyDescent="0.25">
      <c r="A2495">
        <v>1591</v>
      </c>
      <c r="B2495" t="e">
        <v>#N/A</v>
      </c>
      <c r="C2495" t="s">
        <v>317</v>
      </c>
      <c r="D2495" t="e">
        <f t="shared" si="39"/>
        <v>#N/A</v>
      </c>
      <c r="E2495" t="s">
        <v>3052</v>
      </c>
    </row>
    <row r="2496" spans="1:5" x14ac:dyDescent="0.25">
      <c r="A2496">
        <v>1591</v>
      </c>
      <c r="B2496" t="e">
        <v>#N/A</v>
      </c>
      <c r="C2496" t="s">
        <v>173</v>
      </c>
      <c r="D2496" t="e">
        <f t="shared" si="39"/>
        <v>#N/A</v>
      </c>
      <c r="E2496" t="s">
        <v>3052</v>
      </c>
    </row>
    <row r="2497" spans="1:5" x14ac:dyDescent="0.25">
      <c r="A2497">
        <v>1591</v>
      </c>
      <c r="B2497" t="e">
        <v>#N/A</v>
      </c>
      <c r="C2497" t="s">
        <v>3147</v>
      </c>
      <c r="D2497" t="e">
        <f t="shared" si="39"/>
        <v>#N/A</v>
      </c>
      <c r="E2497" t="s">
        <v>3052</v>
      </c>
    </row>
    <row r="2498" spans="1:5" x14ac:dyDescent="0.25">
      <c r="A2498">
        <v>1591</v>
      </c>
      <c r="B2498" t="e">
        <v>#N/A</v>
      </c>
      <c r="C2498" t="s">
        <v>3209</v>
      </c>
      <c r="D2498" t="e">
        <f t="shared" si="39"/>
        <v>#N/A</v>
      </c>
      <c r="E2498" t="s">
        <v>3052</v>
      </c>
    </row>
    <row r="2499" spans="1:5" x14ac:dyDescent="0.25">
      <c r="A2499">
        <v>1591</v>
      </c>
      <c r="B2499" t="e">
        <v>#N/A</v>
      </c>
      <c r="C2499" t="s">
        <v>3074</v>
      </c>
      <c r="D2499" t="e">
        <f t="shared" si="39"/>
        <v>#N/A</v>
      </c>
      <c r="E2499" t="s">
        <v>3075</v>
      </c>
    </row>
    <row r="2500" spans="1:5" x14ac:dyDescent="0.25">
      <c r="A2500">
        <v>1591</v>
      </c>
      <c r="B2500" t="e">
        <v>#N/A</v>
      </c>
      <c r="C2500" t="s">
        <v>331</v>
      </c>
      <c r="D2500" t="e">
        <f t="shared" si="39"/>
        <v>#N/A</v>
      </c>
      <c r="E2500" t="s">
        <v>3076</v>
      </c>
    </row>
    <row r="2501" spans="1:5" x14ac:dyDescent="0.25">
      <c r="A2501">
        <v>1631</v>
      </c>
      <c r="B2501" t="s">
        <v>1749</v>
      </c>
      <c r="C2501" t="s">
        <v>332</v>
      </c>
      <c r="D2501" t="str">
        <f t="shared" ref="D2501:D2564" si="40">CONCATENATE(B2501,LEFT(C2501,4))</f>
        <v>SEC.GERAL1314</v>
      </c>
      <c r="E2501" t="s">
        <v>3081</v>
      </c>
    </row>
    <row r="2502" spans="1:5" x14ac:dyDescent="0.25">
      <c r="A2502">
        <v>1631</v>
      </c>
      <c r="B2502" t="s">
        <v>1749</v>
      </c>
      <c r="C2502" t="s">
        <v>2928</v>
      </c>
      <c r="D2502" t="str">
        <f t="shared" si="40"/>
        <v>SEC.GERAL1401</v>
      </c>
      <c r="E2502" t="s">
        <v>44</v>
      </c>
    </row>
    <row r="2503" spans="1:5" x14ac:dyDescent="0.25">
      <c r="A2503">
        <v>1631</v>
      </c>
      <c r="B2503" t="s">
        <v>1749</v>
      </c>
      <c r="C2503" t="s">
        <v>2937</v>
      </c>
      <c r="D2503" t="str">
        <f t="shared" si="40"/>
        <v>SEC.GERAL3004</v>
      </c>
      <c r="E2503" t="s">
        <v>2933</v>
      </c>
    </row>
    <row r="2504" spans="1:5" x14ac:dyDescent="0.25">
      <c r="A2504">
        <v>1631</v>
      </c>
      <c r="B2504" t="s">
        <v>1749</v>
      </c>
      <c r="C2504" t="s">
        <v>2939</v>
      </c>
      <c r="D2504" t="str">
        <f t="shared" si="40"/>
        <v>SEC.GERAL3005</v>
      </c>
      <c r="E2504" t="s">
        <v>2933</v>
      </c>
    </row>
    <row r="2505" spans="1:5" x14ac:dyDescent="0.25">
      <c r="A2505">
        <v>1631</v>
      </c>
      <c r="B2505" t="s">
        <v>1749</v>
      </c>
      <c r="C2505" t="s">
        <v>2943</v>
      </c>
      <c r="D2505" t="str">
        <f t="shared" si="40"/>
        <v>SEC.GERAL3010</v>
      </c>
      <c r="E2505" t="s">
        <v>2944</v>
      </c>
    </row>
    <row r="2506" spans="1:5" x14ac:dyDescent="0.25">
      <c r="A2506">
        <v>1631</v>
      </c>
      <c r="B2506" t="s">
        <v>1749</v>
      </c>
      <c r="C2506" t="s">
        <v>2948</v>
      </c>
      <c r="D2506" t="str">
        <f t="shared" si="40"/>
        <v>SEC.GERAL3015</v>
      </c>
      <c r="E2506" t="s">
        <v>2933</v>
      </c>
    </row>
    <row r="2507" spans="1:5" x14ac:dyDescent="0.25">
      <c r="A2507">
        <v>1631</v>
      </c>
      <c r="B2507" t="s">
        <v>1749</v>
      </c>
      <c r="C2507" t="s">
        <v>2950</v>
      </c>
      <c r="D2507" t="str">
        <f t="shared" si="40"/>
        <v>SEC.GERAL3016</v>
      </c>
      <c r="E2507" t="s">
        <v>2933</v>
      </c>
    </row>
    <row r="2508" spans="1:5" x14ac:dyDescent="0.25">
      <c r="A2508">
        <v>1631</v>
      </c>
      <c r="B2508" t="s">
        <v>1749</v>
      </c>
      <c r="C2508" t="s">
        <v>406</v>
      </c>
      <c r="D2508" t="str">
        <f t="shared" si="40"/>
        <v>SEC.GERAL3017</v>
      </c>
      <c r="E2508" t="s">
        <v>2933</v>
      </c>
    </row>
    <row r="2509" spans="1:5" x14ac:dyDescent="0.25">
      <c r="A2509">
        <v>1631</v>
      </c>
      <c r="B2509" t="s">
        <v>1749</v>
      </c>
      <c r="C2509" t="s">
        <v>2955</v>
      </c>
      <c r="D2509" t="str">
        <f t="shared" si="40"/>
        <v>SEC.GERAL3020</v>
      </c>
      <c r="E2509" t="s">
        <v>2933</v>
      </c>
    </row>
    <row r="2510" spans="1:5" x14ac:dyDescent="0.25">
      <c r="A2510">
        <v>1631</v>
      </c>
      <c r="B2510" t="s">
        <v>1749</v>
      </c>
      <c r="C2510" t="s">
        <v>431</v>
      </c>
      <c r="D2510" t="str">
        <f t="shared" si="40"/>
        <v>SEC.GERAL3022</v>
      </c>
      <c r="E2510" t="s">
        <v>2933</v>
      </c>
    </row>
    <row r="2511" spans="1:5" x14ac:dyDescent="0.25">
      <c r="A2511">
        <v>1631</v>
      </c>
      <c r="B2511" t="s">
        <v>1749</v>
      </c>
      <c r="C2511" t="s">
        <v>2957</v>
      </c>
      <c r="D2511" t="str">
        <f t="shared" si="40"/>
        <v>SEC.GERAL3023</v>
      </c>
      <c r="E2511" t="s">
        <v>2958</v>
      </c>
    </row>
    <row r="2512" spans="1:5" x14ac:dyDescent="0.25">
      <c r="A2512">
        <v>1631</v>
      </c>
      <c r="B2512" t="s">
        <v>1749</v>
      </c>
      <c r="C2512" t="s">
        <v>441</v>
      </c>
      <c r="D2512" t="str">
        <f t="shared" si="40"/>
        <v>SEC.GERAL3024</v>
      </c>
      <c r="E2512" t="s">
        <v>2933</v>
      </c>
    </row>
    <row r="2513" spans="1:5" x14ac:dyDescent="0.25">
      <c r="A2513">
        <v>1631</v>
      </c>
      <c r="B2513" t="s">
        <v>1749</v>
      </c>
      <c r="C2513" t="s">
        <v>2960</v>
      </c>
      <c r="D2513" t="str">
        <f t="shared" si="40"/>
        <v>SEC.GERAL3026</v>
      </c>
      <c r="E2513" t="s">
        <v>2958</v>
      </c>
    </row>
    <row r="2514" spans="1:5" x14ac:dyDescent="0.25">
      <c r="A2514">
        <v>1631</v>
      </c>
      <c r="B2514" t="s">
        <v>1749</v>
      </c>
      <c r="C2514" t="s">
        <v>470</v>
      </c>
      <c r="D2514" t="str">
        <f t="shared" si="40"/>
        <v>SEC.GERAL3031</v>
      </c>
      <c r="E2514" t="s">
        <v>2933</v>
      </c>
    </row>
    <row r="2515" spans="1:5" x14ac:dyDescent="0.25">
      <c r="A2515">
        <v>1631</v>
      </c>
      <c r="B2515" t="s">
        <v>1749</v>
      </c>
      <c r="C2515" t="s">
        <v>2963</v>
      </c>
      <c r="D2515" t="str">
        <f t="shared" si="40"/>
        <v>SEC.GERAL3032</v>
      </c>
      <c r="E2515" t="s">
        <v>2933</v>
      </c>
    </row>
    <row r="2516" spans="1:5" x14ac:dyDescent="0.25">
      <c r="A2516">
        <v>1631</v>
      </c>
      <c r="B2516" t="s">
        <v>1749</v>
      </c>
      <c r="C2516" t="s">
        <v>487</v>
      </c>
      <c r="D2516" t="str">
        <f t="shared" si="40"/>
        <v>SEC.GERAL3040</v>
      </c>
      <c r="E2516" t="s">
        <v>2933</v>
      </c>
    </row>
    <row r="2517" spans="1:5" x14ac:dyDescent="0.25">
      <c r="A2517">
        <v>1631</v>
      </c>
      <c r="B2517" t="s">
        <v>1749</v>
      </c>
      <c r="C2517" t="s">
        <v>491</v>
      </c>
      <c r="D2517" t="str">
        <f t="shared" si="40"/>
        <v>SEC.GERAL3099</v>
      </c>
      <c r="E2517" t="s">
        <v>2933</v>
      </c>
    </row>
    <row r="2518" spans="1:5" x14ac:dyDescent="0.25">
      <c r="A2518">
        <v>1631</v>
      </c>
      <c r="B2518" t="s">
        <v>1749</v>
      </c>
      <c r="C2518" t="s">
        <v>2967</v>
      </c>
      <c r="D2518" t="str">
        <f t="shared" si="40"/>
        <v>SEC.GERAL3101</v>
      </c>
      <c r="E2518" t="s">
        <v>2968</v>
      </c>
    </row>
    <row r="2519" spans="1:5" x14ac:dyDescent="0.25">
      <c r="A2519">
        <v>1631</v>
      </c>
      <c r="B2519" t="s">
        <v>1749</v>
      </c>
      <c r="C2519" t="s">
        <v>54</v>
      </c>
      <c r="D2519" t="str">
        <f t="shared" si="40"/>
        <v>SEC.GERAL3301</v>
      </c>
      <c r="E2519" t="s">
        <v>44</v>
      </c>
    </row>
    <row r="2520" spans="1:5" x14ac:dyDescent="0.25">
      <c r="A2520">
        <v>1631</v>
      </c>
      <c r="B2520" t="s">
        <v>1749</v>
      </c>
      <c r="C2520" t="s">
        <v>2975</v>
      </c>
      <c r="D2520" t="str">
        <f t="shared" si="40"/>
        <v>SEC.GERAL3302</v>
      </c>
      <c r="E2520" t="s">
        <v>44</v>
      </c>
    </row>
    <row r="2521" spans="1:5" x14ac:dyDescent="0.25">
      <c r="A2521">
        <v>1631</v>
      </c>
      <c r="B2521" t="s">
        <v>1749</v>
      </c>
      <c r="C2521" t="s">
        <v>2977</v>
      </c>
      <c r="D2521" t="str">
        <f t="shared" si="40"/>
        <v>SEC.GERAL3304</v>
      </c>
      <c r="E2521" t="s">
        <v>44</v>
      </c>
    </row>
    <row r="2522" spans="1:5" x14ac:dyDescent="0.25">
      <c r="A2522">
        <v>1631</v>
      </c>
      <c r="B2522" t="s">
        <v>1749</v>
      </c>
      <c r="C2522" t="s">
        <v>309</v>
      </c>
      <c r="D2522" t="str">
        <f t="shared" si="40"/>
        <v>SEC.GERAL3305</v>
      </c>
      <c r="E2522" t="s">
        <v>44</v>
      </c>
    </row>
    <row r="2523" spans="1:5" x14ac:dyDescent="0.25">
      <c r="A2523">
        <v>1631</v>
      </c>
      <c r="B2523" t="s">
        <v>1749</v>
      </c>
      <c r="C2523" t="s">
        <v>3201</v>
      </c>
      <c r="D2523" t="str">
        <f t="shared" si="40"/>
        <v>SEC.GERAL3502</v>
      </c>
      <c r="E2523" t="s">
        <v>1660</v>
      </c>
    </row>
    <row r="2524" spans="1:5" x14ac:dyDescent="0.25">
      <c r="A2524">
        <v>1631</v>
      </c>
      <c r="B2524" t="s">
        <v>1749</v>
      </c>
      <c r="C2524" t="s">
        <v>355</v>
      </c>
      <c r="D2524" t="str">
        <f t="shared" si="40"/>
        <v>SEC.GERAL3610</v>
      </c>
      <c r="E2524" t="s">
        <v>2968</v>
      </c>
    </row>
    <row r="2525" spans="1:5" x14ac:dyDescent="0.25">
      <c r="A2525">
        <v>1631</v>
      </c>
      <c r="B2525" t="s">
        <v>1749</v>
      </c>
      <c r="C2525" t="s">
        <v>2979</v>
      </c>
      <c r="D2525" t="str">
        <f t="shared" si="40"/>
        <v>SEC.GERAL3612</v>
      </c>
      <c r="E2525" t="s">
        <v>2968</v>
      </c>
    </row>
    <row r="2526" spans="1:5" x14ac:dyDescent="0.25">
      <c r="A2526">
        <v>1631</v>
      </c>
      <c r="B2526" t="s">
        <v>1749</v>
      </c>
      <c r="C2526" t="s">
        <v>3023</v>
      </c>
      <c r="D2526" t="str">
        <f t="shared" si="40"/>
        <v>SEC.GERAL3616</v>
      </c>
      <c r="E2526" t="s">
        <v>2958</v>
      </c>
    </row>
    <row r="2527" spans="1:5" x14ac:dyDescent="0.25">
      <c r="A2527">
        <v>1631</v>
      </c>
      <c r="B2527" t="s">
        <v>1749</v>
      </c>
      <c r="C2527" t="s">
        <v>471</v>
      </c>
      <c r="D2527" t="str">
        <f t="shared" si="40"/>
        <v>SEC.GERAL3699</v>
      </c>
      <c r="E2527" t="s">
        <v>2968</v>
      </c>
    </row>
    <row r="2528" spans="1:5" x14ac:dyDescent="0.25">
      <c r="A2528">
        <v>1631</v>
      </c>
      <c r="B2528" t="s">
        <v>1749</v>
      </c>
      <c r="C2528" t="s">
        <v>2983</v>
      </c>
      <c r="D2528" t="str">
        <f t="shared" si="40"/>
        <v>SEC.GERAL3703</v>
      </c>
      <c r="E2528" t="s">
        <v>117</v>
      </c>
    </row>
    <row r="2529" spans="1:5" x14ac:dyDescent="0.25">
      <c r="A2529">
        <v>1631</v>
      </c>
      <c r="B2529" t="s">
        <v>1749</v>
      </c>
      <c r="C2529" t="s">
        <v>2985</v>
      </c>
      <c r="D2529" t="str">
        <f t="shared" si="40"/>
        <v>SEC.GERAL3704</v>
      </c>
      <c r="E2529" t="s">
        <v>117</v>
      </c>
    </row>
    <row r="2530" spans="1:5" x14ac:dyDescent="0.25">
      <c r="A2530">
        <v>1631</v>
      </c>
      <c r="B2530" t="s">
        <v>1749</v>
      </c>
      <c r="C2530" t="s">
        <v>2986</v>
      </c>
      <c r="D2530" t="str">
        <f t="shared" si="40"/>
        <v>SEC.GERAL3705</v>
      </c>
      <c r="E2530" t="s">
        <v>117</v>
      </c>
    </row>
    <row r="2531" spans="1:5" x14ac:dyDescent="0.25">
      <c r="A2531">
        <v>1631</v>
      </c>
      <c r="B2531" t="s">
        <v>1749</v>
      </c>
      <c r="C2531" t="s">
        <v>2989</v>
      </c>
      <c r="D2531" t="str">
        <f t="shared" si="40"/>
        <v>SEC.GERAL3908</v>
      </c>
      <c r="E2531" t="s">
        <v>2968</v>
      </c>
    </row>
    <row r="2532" spans="1:5" x14ac:dyDescent="0.25">
      <c r="A2532">
        <v>1631</v>
      </c>
      <c r="B2532" t="s">
        <v>1749</v>
      </c>
      <c r="C2532" t="s">
        <v>336</v>
      </c>
      <c r="D2532" t="str">
        <f t="shared" si="40"/>
        <v>SEC.GERAL3909</v>
      </c>
      <c r="E2532" t="s">
        <v>2968</v>
      </c>
    </row>
    <row r="2533" spans="1:5" x14ac:dyDescent="0.25">
      <c r="A2533">
        <v>1631</v>
      </c>
      <c r="B2533" t="s">
        <v>1749</v>
      </c>
      <c r="C2533" t="s">
        <v>356</v>
      </c>
      <c r="D2533" t="str">
        <f t="shared" si="40"/>
        <v>SEC.GERAL3911</v>
      </c>
      <c r="E2533" t="s">
        <v>2968</v>
      </c>
    </row>
    <row r="2534" spans="1:5" x14ac:dyDescent="0.25">
      <c r="A2534">
        <v>1631</v>
      </c>
      <c r="B2534" t="s">
        <v>1749</v>
      </c>
      <c r="C2534" t="s">
        <v>2996</v>
      </c>
      <c r="D2534" t="str">
        <f t="shared" si="40"/>
        <v>SEC.GERAL3917</v>
      </c>
      <c r="E2534" t="s">
        <v>2958</v>
      </c>
    </row>
    <row r="2535" spans="1:5" x14ac:dyDescent="0.25">
      <c r="A2535">
        <v>1631</v>
      </c>
      <c r="B2535" t="s">
        <v>1749</v>
      </c>
      <c r="C2535" t="s">
        <v>2998</v>
      </c>
      <c r="D2535" t="str">
        <f t="shared" si="40"/>
        <v>SEC.GERAL3918</v>
      </c>
      <c r="E2535" t="s">
        <v>2958</v>
      </c>
    </row>
    <row r="2536" spans="1:5" x14ac:dyDescent="0.25">
      <c r="A2536">
        <v>1631</v>
      </c>
      <c r="B2536" t="s">
        <v>1749</v>
      </c>
      <c r="C2536" t="s">
        <v>3000</v>
      </c>
      <c r="D2536" t="str">
        <f t="shared" si="40"/>
        <v>SEC.GERAL3919</v>
      </c>
      <c r="E2536" t="s">
        <v>3001</v>
      </c>
    </row>
    <row r="2537" spans="1:5" x14ac:dyDescent="0.25">
      <c r="A2537">
        <v>1631</v>
      </c>
      <c r="B2537" t="s">
        <v>1749</v>
      </c>
      <c r="C2537" t="s">
        <v>3002</v>
      </c>
      <c r="D2537" t="str">
        <f t="shared" si="40"/>
        <v>SEC.GERAL3921</v>
      </c>
      <c r="E2537" t="s">
        <v>3001</v>
      </c>
    </row>
    <row r="2538" spans="1:5" x14ac:dyDescent="0.25">
      <c r="A2538">
        <v>1631</v>
      </c>
      <c r="B2538" t="s">
        <v>1749</v>
      </c>
      <c r="C2538" t="s">
        <v>428</v>
      </c>
      <c r="D2538" t="str">
        <f t="shared" si="40"/>
        <v>SEC.GERAL3923</v>
      </c>
      <c r="E2538" t="s">
        <v>2968</v>
      </c>
    </row>
    <row r="2539" spans="1:5" x14ac:dyDescent="0.25">
      <c r="A2539">
        <v>1631</v>
      </c>
      <c r="B2539" t="s">
        <v>1749</v>
      </c>
      <c r="C2539" t="s">
        <v>566</v>
      </c>
      <c r="D2539" t="str">
        <f t="shared" si="40"/>
        <v>SEC.GERAL3924</v>
      </c>
      <c r="E2539" t="s">
        <v>3004</v>
      </c>
    </row>
    <row r="2540" spans="1:5" x14ac:dyDescent="0.25">
      <c r="A2540">
        <v>1631</v>
      </c>
      <c r="B2540" t="s">
        <v>1749</v>
      </c>
      <c r="C2540" t="s">
        <v>443</v>
      </c>
      <c r="D2540" t="str">
        <f t="shared" si="40"/>
        <v>SEC.GERAL3926</v>
      </c>
      <c r="E2540" t="s">
        <v>3006</v>
      </c>
    </row>
    <row r="2541" spans="1:5" x14ac:dyDescent="0.25">
      <c r="A2541">
        <v>1631</v>
      </c>
      <c r="B2541" t="s">
        <v>1749</v>
      </c>
      <c r="C2541" t="s">
        <v>458</v>
      </c>
      <c r="D2541" t="str">
        <f t="shared" si="40"/>
        <v>SEC.GERAL3930</v>
      </c>
      <c r="E2541" t="s">
        <v>3006</v>
      </c>
    </row>
    <row r="2542" spans="1:5" x14ac:dyDescent="0.25">
      <c r="A2542">
        <v>1631</v>
      </c>
      <c r="B2542" t="s">
        <v>1749</v>
      </c>
      <c r="C2542" t="s">
        <v>1481</v>
      </c>
      <c r="D2542" t="str">
        <f t="shared" si="40"/>
        <v>SEC.GERAL3931</v>
      </c>
      <c r="E2542" t="s">
        <v>2968</v>
      </c>
    </row>
    <row r="2543" spans="1:5" x14ac:dyDescent="0.25">
      <c r="A2543">
        <v>1631</v>
      </c>
      <c r="B2543" t="s">
        <v>1749</v>
      </c>
      <c r="C2543" t="s">
        <v>3017</v>
      </c>
      <c r="D2543" t="str">
        <f t="shared" si="40"/>
        <v>SEC.GERAL3936</v>
      </c>
      <c r="E2543" t="s">
        <v>94</v>
      </c>
    </row>
    <row r="2544" spans="1:5" x14ac:dyDescent="0.25">
      <c r="A2544">
        <v>1631</v>
      </c>
      <c r="B2544" t="s">
        <v>1749</v>
      </c>
      <c r="C2544" t="s">
        <v>3089</v>
      </c>
      <c r="D2544" t="str">
        <f t="shared" si="40"/>
        <v>SEC.GERAL3939</v>
      </c>
      <c r="E2544" t="s">
        <v>2968</v>
      </c>
    </row>
    <row r="2545" spans="1:5" x14ac:dyDescent="0.25">
      <c r="A2545">
        <v>1631</v>
      </c>
      <c r="B2545" t="s">
        <v>1749</v>
      </c>
      <c r="C2545" t="s">
        <v>3019</v>
      </c>
      <c r="D2545" t="str">
        <f t="shared" si="40"/>
        <v>SEC.GERAL3940</v>
      </c>
      <c r="E2545" t="s">
        <v>3009</v>
      </c>
    </row>
    <row r="2546" spans="1:5" x14ac:dyDescent="0.25">
      <c r="A2546">
        <v>1631</v>
      </c>
      <c r="B2546" t="s">
        <v>1749</v>
      </c>
      <c r="C2546" t="s">
        <v>3020</v>
      </c>
      <c r="D2546" t="str">
        <f t="shared" si="40"/>
        <v>SEC.GERAL3943</v>
      </c>
      <c r="E2546" t="s">
        <v>2958</v>
      </c>
    </row>
    <row r="2547" spans="1:5" x14ac:dyDescent="0.25">
      <c r="A2547">
        <v>1631</v>
      </c>
      <c r="B2547" t="s">
        <v>1749</v>
      </c>
      <c r="C2547" t="s">
        <v>3022</v>
      </c>
      <c r="D2547" t="str">
        <f t="shared" si="40"/>
        <v>SEC.GERAL3950</v>
      </c>
      <c r="E2547" t="s">
        <v>44</v>
      </c>
    </row>
    <row r="2548" spans="1:5" x14ac:dyDescent="0.25">
      <c r="A2548">
        <v>1631</v>
      </c>
      <c r="B2548" t="s">
        <v>1749</v>
      </c>
      <c r="C2548" t="s">
        <v>3098</v>
      </c>
      <c r="D2548" t="str">
        <f t="shared" si="40"/>
        <v>SEC.GERAL3952</v>
      </c>
      <c r="E2548" t="s">
        <v>65</v>
      </c>
    </row>
    <row r="2549" spans="1:5" x14ac:dyDescent="0.25">
      <c r="A2549">
        <v>1631</v>
      </c>
      <c r="B2549" t="s">
        <v>1749</v>
      </c>
      <c r="C2549" t="s">
        <v>498</v>
      </c>
      <c r="D2549" t="str">
        <f t="shared" si="40"/>
        <v>SEC.GERAL3955</v>
      </c>
      <c r="E2549" t="s">
        <v>2968</v>
      </c>
    </row>
    <row r="2550" spans="1:5" x14ac:dyDescent="0.25">
      <c r="A2550">
        <v>1631</v>
      </c>
      <c r="B2550" t="s">
        <v>1749</v>
      </c>
      <c r="C2550" t="s">
        <v>511</v>
      </c>
      <c r="D2550" t="str">
        <f t="shared" si="40"/>
        <v>SEC.GERAL3968</v>
      </c>
      <c r="E2550" t="s">
        <v>2968</v>
      </c>
    </row>
    <row r="2551" spans="1:5" x14ac:dyDescent="0.25">
      <c r="A2551">
        <v>1631</v>
      </c>
      <c r="B2551" t="s">
        <v>1749</v>
      </c>
      <c r="C2551" t="s">
        <v>1154</v>
      </c>
      <c r="D2551" t="str">
        <f t="shared" si="40"/>
        <v>SEC.GERAL3969</v>
      </c>
      <c r="E2551" t="s">
        <v>2992</v>
      </c>
    </row>
    <row r="2552" spans="1:5" x14ac:dyDescent="0.25">
      <c r="A2552">
        <v>1631</v>
      </c>
      <c r="B2552" t="s">
        <v>1749</v>
      </c>
      <c r="C2552" t="s">
        <v>3031</v>
      </c>
      <c r="D2552" t="str">
        <f t="shared" si="40"/>
        <v>SEC.GERAL3970</v>
      </c>
      <c r="E2552" t="s">
        <v>3009</v>
      </c>
    </row>
    <row r="2553" spans="1:5" x14ac:dyDescent="0.25">
      <c r="A2553">
        <v>1631</v>
      </c>
      <c r="B2553" t="s">
        <v>1749</v>
      </c>
      <c r="C2553" t="s">
        <v>3036</v>
      </c>
      <c r="D2553" t="str">
        <f t="shared" si="40"/>
        <v>SEC.GERAL3987</v>
      </c>
      <c r="E2553" t="s">
        <v>2958</v>
      </c>
    </row>
    <row r="2554" spans="1:5" x14ac:dyDescent="0.25">
      <c r="A2554">
        <v>1631</v>
      </c>
      <c r="B2554" t="s">
        <v>1749</v>
      </c>
      <c r="C2554" t="s">
        <v>3040</v>
      </c>
      <c r="D2554" t="str">
        <f t="shared" si="40"/>
        <v>SEC.GERAL3999</v>
      </c>
      <c r="E2554" t="s">
        <v>2968</v>
      </c>
    </row>
    <row r="2555" spans="1:5" x14ac:dyDescent="0.25">
      <c r="A2555">
        <v>1631</v>
      </c>
      <c r="B2555" t="s">
        <v>1749</v>
      </c>
      <c r="C2555" t="s">
        <v>3041</v>
      </c>
      <c r="D2555" t="str">
        <f t="shared" si="40"/>
        <v>SEC.GERAL4002</v>
      </c>
      <c r="E2555" t="s">
        <v>3009</v>
      </c>
    </row>
    <row r="2556" spans="1:5" x14ac:dyDescent="0.25">
      <c r="A2556">
        <v>1631</v>
      </c>
      <c r="B2556" t="s">
        <v>1749</v>
      </c>
      <c r="C2556" t="s">
        <v>3043</v>
      </c>
      <c r="D2556" t="str">
        <f t="shared" si="40"/>
        <v>SEC.GERAL4003</v>
      </c>
      <c r="E2556" t="s">
        <v>94</v>
      </c>
    </row>
    <row r="2557" spans="1:5" x14ac:dyDescent="0.25">
      <c r="A2557">
        <v>1631</v>
      </c>
      <c r="B2557" t="s">
        <v>1749</v>
      </c>
      <c r="C2557" t="s">
        <v>3045</v>
      </c>
      <c r="D2557" t="str">
        <f t="shared" si="40"/>
        <v>SEC.GERAL4004</v>
      </c>
      <c r="E2557" t="s">
        <v>3009</v>
      </c>
    </row>
    <row r="2558" spans="1:5" x14ac:dyDescent="0.25">
      <c r="A2558">
        <v>1631</v>
      </c>
      <c r="B2558" t="s">
        <v>1749</v>
      </c>
      <c r="C2558" t="s">
        <v>242</v>
      </c>
      <c r="D2558" t="str">
        <f t="shared" si="40"/>
        <v>SEC.GERAL5201</v>
      </c>
      <c r="E2558" t="s">
        <v>2965</v>
      </c>
    </row>
    <row r="2559" spans="1:5" x14ac:dyDescent="0.25">
      <c r="A2559">
        <v>1631</v>
      </c>
      <c r="B2559" t="s">
        <v>1749</v>
      </c>
      <c r="C2559" t="s">
        <v>329</v>
      </c>
      <c r="D2559" t="str">
        <f t="shared" si="40"/>
        <v>SEC.GERAL5206</v>
      </c>
      <c r="E2559" t="s">
        <v>3057</v>
      </c>
    </row>
    <row r="2560" spans="1:5" x14ac:dyDescent="0.25">
      <c r="A2560">
        <v>1631</v>
      </c>
      <c r="B2560" t="s">
        <v>1749</v>
      </c>
      <c r="C2560" t="s">
        <v>3058</v>
      </c>
      <c r="D2560" t="str">
        <f t="shared" si="40"/>
        <v>SEC.GERAL5207</v>
      </c>
      <c r="E2560" t="s">
        <v>3057</v>
      </c>
    </row>
    <row r="2561" spans="1:5" x14ac:dyDescent="0.25">
      <c r="A2561">
        <v>1631</v>
      </c>
      <c r="B2561" t="s">
        <v>1749</v>
      </c>
      <c r="C2561" t="s">
        <v>3060</v>
      </c>
      <c r="D2561" t="str">
        <f t="shared" si="40"/>
        <v>SEC.GERAL5208</v>
      </c>
      <c r="E2561" t="s">
        <v>3057</v>
      </c>
    </row>
    <row r="2562" spans="1:5" x14ac:dyDescent="0.25">
      <c r="A2562">
        <v>1631</v>
      </c>
      <c r="B2562" t="s">
        <v>1749</v>
      </c>
      <c r="C2562" t="s">
        <v>3064</v>
      </c>
      <c r="D2562" t="str">
        <f t="shared" si="40"/>
        <v>SEC.GERAL5212</v>
      </c>
      <c r="E2562" t="s">
        <v>3055</v>
      </c>
    </row>
    <row r="2563" spans="1:5" x14ac:dyDescent="0.25">
      <c r="A2563">
        <v>1631</v>
      </c>
      <c r="B2563" t="s">
        <v>1749</v>
      </c>
      <c r="C2563" t="s">
        <v>3074</v>
      </c>
      <c r="D2563" t="str">
        <f t="shared" si="40"/>
        <v>SEC.GERAL9202</v>
      </c>
      <c r="E2563" t="s">
        <v>3075</v>
      </c>
    </row>
    <row r="2564" spans="1:5" x14ac:dyDescent="0.25">
      <c r="A2564">
        <v>1631</v>
      </c>
      <c r="B2564" t="s">
        <v>1749</v>
      </c>
      <c r="C2564" t="s">
        <v>3079</v>
      </c>
      <c r="D2564" t="str">
        <f t="shared" si="40"/>
        <v>SEC.GERAL9399</v>
      </c>
      <c r="E2564" t="s">
        <v>2968</v>
      </c>
    </row>
    <row r="2565" spans="1:5" x14ac:dyDescent="0.25">
      <c r="A2565">
        <v>1641</v>
      </c>
      <c r="B2565" t="e">
        <v>#N/A</v>
      </c>
      <c r="C2565" t="s">
        <v>332</v>
      </c>
      <c r="D2565" t="e">
        <f t="shared" ref="D2565:D2628" si="41">CONCATENATE(B2565,LEFT(C2565,4))</f>
        <v>#N/A</v>
      </c>
      <c r="E2565" t="s">
        <v>3081</v>
      </c>
    </row>
    <row r="2566" spans="1:5" x14ac:dyDescent="0.25">
      <c r="A2566">
        <v>1641</v>
      </c>
      <c r="B2566" t="e">
        <v>#N/A</v>
      </c>
      <c r="C2566" t="s">
        <v>2942</v>
      </c>
      <c r="D2566" t="e">
        <f t="shared" si="41"/>
        <v>#N/A</v>
      </c>
      <c r="E2566" t="s">
        <v>3081</v>
      </c>
    </row>
    <row r="2567" spans="1:5" x14ac:dyDescent="0.25">
      <c r="A2567">
        <v>1641</v>
      </c>
      <c r="B2567" t="e">
        <v>#N/A</v>
      </c>
      <c r="C2567" t="s">
        <v>2928</v>
      </c>
      <c r="D2567" t="e">
        <f t="shared" si="41"/>
        <v>#N/A</v>
      </c>
      <c r="E2567" t="s">
        <v>44</v>
      </c>
    </row>
    <row r="2568" spans="1:5" x14ac:dyDescent="0.25">
      <c r="A2568">
        <v>1641</v>
      </c>
      <c r="B2568" t="e">
        <v>#N/A</v>
      </c>
      <c r="C2568" t="s">
        <v>2932</v>
      </c>
      <c r="D2568" t="e">
        <f t="shared" si="41"/>
        <v>#N/A</v>
      </c>
      <c r="E2568" t="s">
        <v>2933</v>
      </c>
    </row>
    <row r="2569" spans="1:5" x14ac:dyDescent="0.25">
      <c r="A2569">
        <v>1641</v>
      </c>
      <c r="B2569" t="e">
        <v>#N/A</v>
      </c>
      <c r="C2569" t="s">
        <v>2939</v>
      </c>
      <c r="D2569" t="e">
        <f t="shared" si="41"/>
        <v>#N/A</v>
      </c>
      <c r="E2569" t="s">
        <v>2933</v>
      </c>
    </row>
    <row r="2570" spans="1:5" x14ac:dyDescent="0.25">
      <c r="A2570">
        <v>1641</v>
      </c>
      <c r="B2570" t="e">
        <v>#N/A</v>
      </c>
      <c r="C2570" t="s">
        <v>2941</v>
      </c>
      <c r="D2570" t="e">
        <f t="shared" si="41"/>
        <v>#N/A</v>
      </c>
      <c r="E2570" t="s">
        <v>2933</v>
      </c>
    </row>
    <row r="2571" spans="1:5" x14ac:dyDescent="0.25">
      <c r="A2571">
        <v>1641</v>
      </c>
      <c r="B2571" t="e">
        <v>#N/A</v>
      </c>
      <c r="C2571" t="s">
        <v>406</v>
      </c>
      <c r="D2571" t="e">
        <f t="shared" si="41"/>
        <v>#N/A</v>
      </c>
      <c r="E2571" t="s">
        <v>2933</v>
      </c>
    </row>
    <row r="2572" spans="1:5" x14ac:dyDescent="0.25">
      <c r="A2572">
        <v>1641</v>
      </c>
      <c r="B2572" t="e">
        <v>#N/A</v>
      </c>
      <c r="C2572" t="s">
        <v>2957</v>
      </c>
      <c r="D2572" t="e">
        <f t="shared" si="41"/>
        <v>#N/A</v>
      </c>
      <c r="E2572" t="s">
        <v>2958</v>
      </c>
    </row>
    <row r="2573" spans="1:5" x14ac:dyDescent="0.25">
      <c r="A2573">
        <v>1641</v>
      </c>
      <c r="B2573" t="e">
        <v>#N/A</v>
      </c>
      <c r="C2573" t="s">
        <v>2960</v>
      </c>
      <c r="D2573" t="e">
        <f t="shared" si="41"/>
        <v>#N/A</v>
      </c>
      <c r="E2573" t="s">
        <v>2958</v>
      </c>
    </row>
    <row r="2574" spans="1:5" x14ac:dyDescent="0.25">
      <c r="A2574">
        <v>1641</v>
      </c>
      <c r="B2574" t="e">
        <v>#N/A</v>
      </c>
      <c r="C2574" t="s">
        <v>227</v>
      </c>
      <c r="D2574" t="e">
        <f t="shared" si="41"/>
        <v>#N/A</v>
      </c>
      <c r="E2574" t="s">
        <v>2968</v>
      </c>
    </row>
    <row r="2575" spans="1:5" x14ac:dyDescent="0.25">
      <c r="A2575">
        <v>1641</v>
      </c>
      <c r="B2575" t="e">
        <v>#N/A</v>
      </c>
      <c r="C2575" t="s">
        <v>54</v>
      </c>
      <c r="D2575" t="e">
        <f t="shared" si="41"/>
        <v>#N/A</v>
      </c>
      <c r="E2575" t="s">
        <v>44</v>
      </c>
    </row>
    <row r="2576" spans="1:5" x14ac:dyDescent="0.25">
      <c r="A2576">
        <v>1641</v>
      </c>
      <c r="B2576" t="e">
        <v>#N/A</v>
      </c>
      <c r="C2576" t="s">
        <v>2975</v>
      </c>
      <c r="D2576" t="e">
        <f t="shared" si="41"/>
        <v>#N/A</v>
      </c>
      <c r="E2576" t="s">
        <v>44</v>
      </c>
    </row>
    <row r="2577" spans="1:5" x14ac:dyDescent="0.25">
      <c r="A2577">
        <v>1641</v>
      </c>
      <c r="B2577" t="e">
        <v>#N/A</v>
      </c>
      <c r="C2577" t="s">
        <v>2977</v>
      </c>
      <c r="D2577" t="e">
        <f t="shared" si="41"/>
        <v>#N/A</v>
      </c>
      <c r="E2577" t="s">
        <v>44</v>
      </c>
    </row>
    <row r="2578" spans="1:5" x14ac:dyDescent="0.25">
      <c r="A2578">
        <v>1641</v>
      </c>
      <c r="B2578" t="e">
        <v>#N/A</v>
      </c>
      <c r="C2578" t="s">
        <v>309</v>
      </c>
      <c r="D2578" t="e">
        <f t="shared" si="41"/>
        <v>#N/A</v>
      </c>
      <c r="E2578" t="s">
        <v>44</v>
      </c>
    </row>
    <row r="2579" spans="1:5" x14ac:dyDescent="0.25">
      <c r="A2579">
        <v>1641</v>
      </c>
      <c r="B2579" t="e">
        <v>#N/A</v>
      </c>
      <c r="C2579" t="s">
        <v>297</v>
      </c>
      <c r="D2579" t="e">
        <f t="shared" si="41"/>
        <v>#N/A</v>
      </c>
      <c r="E2579" t="s">
        <v>44</v>
      </c>
    </row>
    <row r="2580" spans="1:5" x14ac:dyDescent="0.25">
      <c r="A2580">
        <v>1641</v>
      </c>
      <c r="B2580" t="e">
        <v>#N/A</v>
      </c>
      <c r="C2580" t="s">
        <v>3234</v>
      </c>
      <c r="D2580" t="e">
        <f t="shared" si="41"/>
        <v>#N/A</v>
      </c>
      <c r="E2580" t="s">
        <v>2968</v>
      </c>
    </row>
    <row r="2581" spans="1:5" x14ac:dyDescent="0.25">
      <c r="A2581">
        <v>1641</v>
      </c>
      <c r="B2581" t="e">
        <v>#N/A</v>
      </c>
      <c r="C2581" t="s">
        <v>355</v>
      </c>
      <c r="D2581" t="e">
        <f t="shared" si="41"/>
        <v>#N/A</v>
      </c>
      <c r="E2581" t="s">
        <v>2968</v>
      </c>
    </row>
    <row r="2582" spans="1:5" x14ac:dyDescent="0.25">
      <c r="A2582">
        <v>1641</v>
      </c>
      <c r="B2582" t="e">
        <v>#N/A</v>
      </c>
      <c r="C2582" t="s">
        <v>2979</v>
      </c>
      <c r="D2582" t="e">
        <f t="shared" si="41"/>
        <v>#N/A</v>
      </c>
      <c r="E2582" t="s">
        <v>2968</v>
      </c>
    </row>
    <row r="2583" spans="1:5" x14ac:dyDescent="0.25">
      <c r="A2583">
        <v>1641</v>
      </c>
      <c r="B2583" t="e">
        <v>#N/A</v>
      </c>
      <c r="C2583" t="s">
        <v>2980</v>
      </c>
      <c r="D2583" t="e">
        <f t="shared" si="41"/>
        <v>#N/A</v>
      </c>
      <c r="E2583" t="s">
        <v>103</v>
      </c>
    </row>
    <row r="2584" spans="1:5" x14ac:dyDescent="0.25">
      <c r="A2584">
        <v>1641</v>
      </c>
      <c r="B2584" t="e">
        <v>#N/A</v>
      </c>
      <c r="C2584" t="s">
        <v>2983</v>
      </c>
      <c r="D2584" t="e">
        <f t="shared" si="41"/>
        <v>#N/A</v>
      </c>
      <c r="E2584" t="s">
        <v>117</v>
      </c>
    </row>
    <row r="2585" spans="1:5" x14ac:dyDescent="0.25">
      <c r="A2585">
        <v>1641</v>
      </c>
      <c r="B2585" t="e">
        <v>#N/A</v>
      </c>
      <c r="C2585" t="s">
        <v>2985</v>
      </c>
      <c r="D2585" t="e">
        <f t="shared" si="41"/>
        <v>#N/A</v>
      </c>
      <c r="E2585" t="s">
        <v>117</v>
      </c>
    </row>
    <row r="2586" spans="1:5" x14ac:dyDescent="0.25">
      <c r="A2586">
        <v>1641</v>
      </c>
      <c r="B2586" t="e">
        <v>#N/A</v>
      </c>
      <c r="C2586" t="s">
        <v>346</v>
      </c>
      <c r="D2586" t="e">
        <f t="shared" si="41"/>
        <v>#N/A</v>
      </c>
      <c r="E2586" t="s">
        <v>2968</v>
      </c>
    </row>
    <row r="2587" spans="1:5" x14ac:dyDescent="0.25">
      <c r="A2587">
        <v>1641</v>
      </c>
      <c r="B2587" t="e">
        <v>#N/A</v>
      </c>
      <c r="C2587" t="s">
        <v>2991</v>
      </c>
      <c r="D2587" t="e">
        <f t="shared" si="41"/>
        <v>#N/A</v>
      </c>
      <c r="E2587" t="s">
        <v>2992</v>
      </c>
    </row>
    <row r="2588" spans="1:5" x14ac:dyDescent="0.25">
      <c r="A2588">
        <v>1641</v>
      </c>
      <c r="B2588" t="e">
        <v>#N/A</v>
      </c>
      <c r="C2588" t="s">
        <v>2994</v>
      </c>
      <c r="D2588" t="e">
        <f t="shared" si="41"/>
        <v>#N/A</v>
      </c>
      <c r="E2588" t="s">
        <v>2992</v>
      </c>
    </row>
    <row r="2589" spans="1:5" x14ac:dyDescent="0.25">
      <c r="A2589">
        <v>1641</v>
      </c>
      <c r="B2589" t="e">
        <v>#N/A</v>
      </c>
      <c r="C2589" t="s">
        <v>2996</v>
      </c>
      <c r="D2589" t="e">
        <f t="shared" si="41"/>
        <v>#N/A</v>
      </c>
      <c r="E2589" t="s">
        <v>2958</v>
      </c>
    </row>
    <row r="2590" spans="1:5" x14ac:dyDescent="0.25">
      <c r="A2590">
        <v>1641</v>
      </c>
      <c r="B2590" t="e">
        <v>#N/A</v>
      </c>
      <c r="C2590" t="s">
        <v>2998</v>
      </c>
      <c r="D2590" t="e">
        <f t="shared" si="41"/>
        <v>#N/A</v>
      </c>
      <c r="E2590" t="s">
        <v>2958</v>
      </c>
    </row>
    <row r="2591" spans="1:5" x14ac:dyDescent="0.25">
      <c r="A2591">
        <v>1641</v>
      </c>
      <c r="B2591" t="e">
        <v>#N/A</v>
      </c>
      <c r="C2591" t="s">
        <v>3000</v>
      </c>
      <c r="D2591" t="e">
        <f t="shared" si="41"/>
        <v>#N/A</v>
      </c>
      <c r="E2591" t="s">
        <v>3001</v>
      </c>
    </row>
    <row r="2592" spans="1:5" x14ac:dyDescent="0.25">
      <c r="A2592">
        <v>1641</v>
      </c>
      <c r="B2592" t="e">
        <v>#N/A</v>
      </c>
      <c r="C2592" t="s">
        <v>566</v>
      </c>
      <c r="D2592" t="e">
        <f t="shared" si="41"/>
        <v>#N/A</v>
      </c>
      <c r="E2592" t="s">
        <v>3004</v>
      </c>
    </row>
    <row r="2593" spans="1:5" x14ac:dyDescent="0.25">
      <c r="A2593">
        <v>1641</v>
      </c>
      <c r="B2593" t="e">
        <v>#N/A</v>
      </c>
      <c r="C2593" t="s">
        <v>443</v>
      </c>
      <c r="D2593" t="e">
        <f t="shared" si="41"/>
        <v>#N/A</v>
      </c>
      <c r="E2593" t="s">
        <v>3006</v>
      </c>
    </row>
    <row r="2594" spans="1:5" x14ac:dyDescent="0.25">
      <c r="A2594">
        <v>1641</v>
      </c>
      <c r="B2594" t="e">
        <v>#N/A</v>
      </c>
      <c r="C2594" t="s">
        <v>3008</v>
      </c>
      <c r="D2594" t="e">
        <f t="shared" si="41"/>
        <v>#N/A</v>
      </c>
      <c r="E2594" t="s">
        <v>3009</v>
      </c>
    </row>
    <row r="2595" spans="1:5" x14ac:dyDescent="0.25">
      <c r="A2595">
        <v>1641</v>
      </c>
      <c r="B2595" t="e">
        <v>#N/A</v>
      </c>
      <c r="C2595" t="s">
        <v>458</v>
      </c>
      <c r="D2595" t="e">
        <f t="shared" si="41"/>
        <v>#N/A</v>
      </c>
      <c r="E2595" t="s">
        <v>3006</v>
      </c>
    </row>
    <row r="2596" spans="1:5" x14ac:dyDescent="0.25">
      <c r="A2596">
        <v>1641</v>
      </c>
      <c r="B2596" t="e">
        <v>#N/A</v>
      </c>
      <c r="C2596" t="s">
        <v>1481</v>
      </c>
      <c r="D2596" t="e">
        <f t="shared" si="41"/>
        <v>#N/A</v>
      </c>
      <c r="E2596" t="s">
        <v>2968</v>
      </c>
    </row>
    <row r="2597" spans="1:5" x14ac:dyDescent="0.25">
      <c r="A2597">
        <v>1641</v>
      </c>
      <c r="B2597" t="e">
        <v>#N/A</v>
      </c>
      <c r="C2597" t="s">
        <v>3017</v>
      </c>
      <c r="D2597" t="e">
        <f t="shared" si="41"/>
        <v>#N/A</v>
      </c>
      <c r="E2597" t="s">
        <v>94</v>
      </c>
    </row>
    <row r="2598" spans="1:5" x14ac:dyDescent="0.25">
      <c r="A2598">
        <v>1641</v>
      </c>
      <c r="B2598" t="e">
        <v>#N/A</v>
      </c>
      <c r="C2598" t="s">
        <v>3019</v>
      </c>
      <c r="D2598" t="e">
        <f t="shared" si="41"/>
        <v>#N/A</v>
      </c>
      <c r="E2598" t="s">
        <v>3009</v>
      </c>
    </row>
    <row r="2599" spans="1:5" x14ac:dyDescent="0.25">
      <c r="A2599">
        <v>1641</v>
      </c>
      <c r="B2599" t="e">
        <v>#N/A</v>
      </c>
      <c r="C2599" t="s">
        <v>3020</v>
      </c>
      <c r="D2599" t="e">
        <f t="shared" si="41"/>
        <v>#N/A</v>
      </c>
      <c r="E2599" t="s">
        <v>2958</v>
      </c>
    </row>
    <row r="2600" spans="1:5" x14ac:dyDescent="0.25">
      <c r="A2600">
        <v>1641</v>
      </c>
      <c r="B2600" t="e">
        <v>#N/A</v>
      </c>
      <c r="C2600" t="s">
        <v>492</v>
      </c>
      <c r="D2600" t="e">
        <f t="shared" si="41"/>
        <v>#N/A</v>
      </c>
      <c r="E2600" t="s">
        <v>3004</v>
      </c>
    </row>
    <row r="2601" spans="1:5" x14ac:dyDescent="0.25">
      <c r="A2601">
        <v>1641</v>
      </c>
      <c r="B2601" t="e">
        <v>#N/A</v>
      </c>
      <c r="C2601" t="s">
        <v>3098</v>
      </c>
      <c r="D2601" t="e">
        <f t="shared" si="41"/>
        <v>#N/A</v>
      </c>
      <c r="E2601" t="s">
        <v>65</v>
      </c>
    </row>
    <row r="2602" spans="1:5" x14ac:dyDescent="0.25">
      <c r="A2602">
        <v>1641</v>
      </c>
      <c r="B2602" t="e">
        <v>#N/A</v>
      </c>
      <c r="C2602" t="s">
        <v>498</v>
      </c>
      <c r="D2602" t="e">
        <f t="shared" si="41"/>
        <v>#N/A</v>
      </c>
      <c r="E2602" t="s">
        <v>2968</v>
      </c>
    </row>
    <row r="2603" spans="1:5" x14ac:dyDescent="0.25">
      <c r="A2603">
        <v>1641</v>
      </c>
      <c r="B2603" t="e">
        <v>#N/A</v>
      </c>
      <c r="C2603" t="s">
        <v>3104</v>
      </c>
      <c r="D2603" t="e">
        <f t="shared" si="41"/>
        <v>#N/A</v>
      </c>
      <c r="E2603" t="s">
        <v>2968</v>
      </c>
    </row>
    <row r="2604" spans="1:5" x14ac:dyDescent="0.25">
      <c r="A2604">
        <v>1641</v>
      </c>
      <c r="B2604" t="e">
        <v>#N/A</v>
      </c>
      <c r="C2604" t="s">
        <v>3036</v>
      </c>
      <c r="D2604" t="e">
        <f t="shared" si="41"/>
        <v>#N/A</v>
      </c>
      <c r="E2604" t="s">
        <v>2958</v>
      </c>
    </row>
    <row r="2605" spans="1:5" x14ac:dyDescent="0.25">
      <c r="A2605">
        <v>1641</v>
      </c>
      <c r="B2605" t="e">
        <v>#N/A</v>
      </c>
      <c r="C2605" t="s">
        <v>3043</v>
      </c>
      <c r="D2605" t="e">
        <f t="shared" si="41"/>
        <v>#N/A</v>
      </c>
      <c r="E2605" t="s">
        <v>94</v>
      </c>
    </row>
    <row r="2606" spans="1:5" x14ac:dyDescent="0.25">
      <c r="A2606">
        <v>1641</v>
      </c>
      <c r="B2606" t="e">
        <v>#N/A</v>
      </c>
      <c r="C2606" t="s">
        <v>3045</v>
      </c>
      <c r="D2606" t="e">
        <f t="shared" si="41"/>
        <v>#N/A</v>
      </c>
      <c r="E2606" t="s">
        <v>3009</v>
      </c>
    </row>
    <row r="2607" spans="1:5" x14ac:dyDescent="0.25">
      <c r="A2607">
        <v>1641</v>
      </c>
      <c r="B2607" t="e">
        <v>#N/A</v>
      </c>
      <c r="C2607" t="s">
        <v>3123</v>
      </c>
      <c r="D2607" t="e">
        <f t="shared" si="41"/>
        <v>#N/A</v>
      </c>
      <c r="E2607" t="s">
        <v>2968</v>
      </c>
    </row>
    <row r="2608" spans="1:5" x14ac:dyDescent="0.25">
      <c r="A2608">
        <v>1641</v>
      </c>
      <c r="B2608" t="e">
        <v>#N/A</v>
      </c>
      <c r="C2608" t="s">
        <v>3127</v>
      </c>
      <c r="D2608" t="e">
        <f t="shared" si="41"/>
        <v>#N/A</v>
      </c>
      <c r="E2608" t="s">
        <v>3218</v>
      </c>
    </row>
    <row r="2609" spans="1:5" x14ac:dyDescent="0.25">
      <c r="A2609">
        <v>1641</v>
      </c>
      <c r="B2609" t="e">
        <v>#N/A</v>
      </c>
      <c r="C2609" t="s">
        <v>3048</v>
      </c>
      <c r="D2609" t="e">
        <f t="shared" si="41"/>
        <v>#N/A</v>
      </c>
      <c r="E2609" t="s">
        <v>3049</v>
      </c>
    </row>
    <row r="2610" spans="1:5" x14ac:dyDescent="0.25">
      <c r="A2610">
        <v>1641</v>
      </c>
      <c r="B2610" t="e">
        <v>#N/A</v>
      </c>
      <c r="C2610" t="s">
        <v>265</v>
      </c>
      <c r="D2610" t="e">
        <f t="shared" si="41"/>
        <v>#N/A</v>
      </c>
      <c r="E2610" t="s">
        <v>3049</v>
      </c>
    </row>
    <row r="2611" spans="1:5" x14ac:dyDescent="0.25">
      <c r="A2611">
        <v>1641</v>
      </c>
      <c r="B2611" t="e">
        <v>#N/A</v>
      </c>
      <c r="C2611" t="s">
        <v>328</v>
      </c>
      <c r="D2611" t="e">
        <f t="shared" si="41"/>
        <v>#N/A</v>
      </c>
      <c r="E2611" t="s">
        <v>3049</v>
      </c>
    </row>
    <row r="2612" spans="1:5" x14ac:dyDescent="0.25">
      <c r="A2612">
        <v>1641</v>
      </c>
      <c r="B2612" t="e">
        <v>#N/A</v>
      </c>
      <c r="C2612" t="s">
        <v>403</v>
      </c>
      <c r="D2612" t="e">
        <f t="shared" si="41"/>
        <v>#N/A</v>
      </c>
      <c r="E2612" t="s">
        <v>3067</v>
      </c>
    </row>
    <row r="2613" spans="1:5" x14ac:dyDescent="0.25">
      <c r="A2613">
        <v>1641</v>
      </c>
      <c r="B2613" t="e">
        <v>#N/A</v>
      </c>
      <c r="C2613" t="s">
        <v>3074</v>
      </c>
      <c r="D2613" t="e">
        <f t="shared" si="41"/>
        <v>#N/A</v>
      </c>
      <c r="E2613" t="s">
        <v>3075</v>
      </c>
    </row>
    <row r="2614" spans="1:5" x14ac:dyDescent="0.25">
      <c r="A2614">
        <v>1641</v>
      </c>
      <c r="B2614" t="e">
        <v>#N/A</v>
      </c>
      <c r="C2614" t="s">
        <v>331</v>
      </c>
      <c r="D2614" t="e">
        <f t="shared" si="41"/>
        <v>#N/A</v>
      </c>
      <c r="E2614" t="s">
        <v>3076</v>
      </c>
    </row>
    <row r="2615" spans="1:5" x14ac:dyDescent="0.25">
      <c r="A2615">
        <v>1641</v>
      </c>
      <c r="B2615" t="e">
        <v>#N/A</v>
      </c>
      <c r="C2615" t="s">
        <v>3079</v>
      </c>
      <c r="D2615" t="e">
        <f t="shared" si="41"/>
        <v>#N/A</v>
      </c>
      <c r="E2615" t="s">
        <v>2968</v>
      </c>
    </row>
    <row r="2616" spans="1:5" x14ac:dyDescent="0.25">
      <c r="A2616">
        <v>1651</v>
      </c>
      <c r="B2616" t="e">
        <v>#N/A</v>
      </c>
      <c r="C2616" t="s">
        <v>2928</v>
      </c>
      <c r="D2616" t="e">
        <f t="shared" si="41"/>
        <v>#N/A</v>
      </c>
      <c r="E2616" t="s">
        <v>44</v>
      </c>
    </row>
    <row r="2617" spans="1:5" x14ac:dyDescent="0.25">
      <c r="A2617">
        <v>1651</v>
      </c>
      <c r="B2617" t="e">
        <v>#N/A</v>
      </c>
      <c r="C2617" t="s">
        <v>2932</v>
      </c>
      <c r="D2617" t="e">
        <f t="shared" si="41"/>
        <v>#N/A</v>
      </c>
      <c r="E2617" t="s">
        <v>2933</v>
      </c>
    </row>
    <row r="2618" spans="1:5" x14ac:dyDescent="0.25">
      <c r="A2618">
        <v>1651</v>
      </c>
      <c r="B2618" t="e">
        <v>#N/A</v>
      </c>
      <c r="C2618" t="s">
        <v>979</v>
      </c>
      <c r="D2618" t="e">
        <f t="shared" si="41"/>
        <v>#N/A</v>
      </c>
      <c r="E2618" t="s">
        <v>2933</v>
      </c>
    </row>
    <row r="2619" spans="1:5" x14ac:dyDescent="0.25">
      <c r="A2619">
        <v>1651</v>
      </c>
      <c r="B2619" t="e">
        <v>#N/A</v>
      </c>
      <c r="C2619" t="s">
        <v>2939</v>
      </c>
      <c r="D2619" t="e">
        <f t="shared" si="41"/>
        <v>#N/A</v>
      </c>
      <c r="E2619" t="s">
        <v>2933</v>
      </c>
    </row>
    <row r="2620" spans="1:5" x14ac:dyDescent="0.25">
      <c r="A2620">
        <v>1651</v>
      </c>
      <c r="B2620" t="e">
        <v>#N/A</v>
      </c>
      <c r="C2620" t="s">
        <v>2941</v>
      </c>
      <c r="D2620" t="e">
        <f t="shared" si="41"/>
        <v>#N/A</v>
      </c>
      <c r="E2620" t="s">
        <v>2933</v>
      </c>
    </row>
    <row r="2621" spans="1:5" x14ac:dyDescent="0.25">
      <c r="A2621">
        <v>1651</v>
      </c>
      <c r="B2621" t="e">
        <v>#N/A</v>
      </c>
      <c r="C2621" t="s">
        <v>2946</v>
      </c>
      <c r="D2621" t="e">
        <f t="shared" si="41"/>
        <v>#N/A</v>
      </c>
      <c r="E2621" t="s">
        <v>2933</v>
      </c>
    </row>
    <row r="2622" spans="1:5" x14ac:dyDescent="0.25">
      <c r="A2622">
        <v>1651</v>
      </c>
      <c r="B2622" t="e">
        <v>#N/A</v>
      </c>
      <c r="C2622" t="s">
        <v>2948</v>
      </c>
      <c r="D2622" t="e">
        <f t="shared" si="41"/>
        <v>#N/A</v>
      </c>
      <c r="E2622" t="s">
        <v>2933</v>
      </c>
    </row>
    <row r="2623" spans="1:5" x14ac:dyDescent="0.25">
      <c r="A2623">
        <v>1651</v>
      </c>
      <c r="B2623" t="e">
        <v>#N/A</v>
      </c>
      <c r="C2623" t="s">
        <v>2950</v>
      </c>
      <c r="D2623" t="e">
        <f t="shared" si="41"/>
        <v>#N/A</v>
      </c>
      <c r="E2623" t="s">
        <v>2933</v>
      </c>
    </row>
    <row r="2624" spans="1:5" x14ac:dyDescent="0.25">
      <c r="A2624">
        <v>1651</v>
      </c>
      <c r="B2624" t="e">
        <v>#N/A</v>
      </c>
      <c r="C2624" t="s">
        <v>406</v>
      </c>
      <c r="D2624" t="e">
        <f t="shared" si="41"/>
        <v>#N/A</v>
      </c>
      <c r="E2624" t="s">
        <v>2933</v>
      </c>
    </row>
    <row r="2625" spans="1:5" x14ac:dyDescent="0.25">
      <c r="A2625">
        <v>1651</v>
      </c>
      <c r="B2625" t="e">
        <v>#N/A</v>
      </c>
      <c r="C2625" t="s">
        <v>2953</v>
      </c>
      <c r="D2625" t="e">
        <f t="shared" si="41"/>
        <v>#N/A</v>
      </c>
      <c r="E2625" t="s">
        <v>2954</v>
      </c>
    </row>
    <row r="2626" spans="1:5" x14ac:dyDescent="0.25">
      <c r="A2626">
        <v>1651</v>
      </c>
      <c r="B2626" t="e">
        <v>#N/A</v>
      </c>
      <c r="C2626" t="s">
        <v>2955</v>
      </c>
      <c r="D2626" t="e">
        <f t="shared" si="41"/>
        <v>#N/A</v>
      </c>
      <c r="E2626" t="s">
        <v>2933</v>
      </c>
    </row>
    <row r="2627" spans="1:5" x14ac:dyDescent="0.25">
      <c r="A2627">
        <v>1651</v>
      </c>
      <c r="B2627" t="e">
        <v>#N/A</v>
      </c>
      <c r="C2627" t="s">
        <v>431</v>
      </c>
      <c r="D2627" t="e">
        <f t="shared" si="41"/>
        <v>#N/A</v>
      </c>
      <c r="E2627" t="s">
        <v>2933</v>
      </c>
    </row>
    <row r="2628" spans="1:5" x14ac:dyDescent="0.25">
      <c r="A2628">
        <v>1651</v>
      </c>
      <c r="B2628" t="e">
        <v>#N/A</v>
      </c>
      <c r="C2628" t="s">
        <v>2957</v>
      </c>
      <c r="D2628" t="e">
        <f t="shared" si="41"/>
        <v>#N/A</v>
      </c>
      <c r="E2628" t="s">
        <v>2958</v>
      </c>
    </row>
    <row r="2629" spans="1:5" x14ac:dyDescent="0.25">
      <c r="A2629">
        <v>1651</v>
      </c>
      <c r="B2629" t="e">
        <v>#N/A</v>
      </c>
      <c r="C2629" t="s">
        <v>2959</v>
      </c>
      <c r="D2629" t="e">
        <f t="shared" ref="D2629:D2692" si="42">CONCATENATE(B2629,LEFT(C2629,4))</f>
        <v>#N/A</v>
      </c>
      <c r="E2629" t="s">
        <v>2933</v>
      </c>
    </row>
    <row r="2630" spans="1:5" x14ac:dyDescent="0.25">
      <c r="A2630">
        <v>1651</v>
      </c>
      <c r="B2630" t="e">
        <v>#N/A</v>
      </c>
      <c r="C2630" t="s">
        <v>2960</v>
      </c>
      <c r="D2630" t="e">
        <f t="shared" si="42"/>
        <v>#N/A</v>
      </c>
      <c r="E2630" t="s">
        <v>2958</v>
      </c>
    </row>
    <row r="2631" spans="1:5" x14ac:dyDescent="0.25">
      <c r="A2631">
        <v>1651</v>
      </c>
      <c r="B2631" t="e">
        <v>#N/A</v>
      </c>
      <c r="C2631" t="s">
        <v>467</v>
      </c>
      <c r="D2631" t="e">
        <f t="shared" si="42"/>
        <v>#N/A</v>
      </c>
      <c r="E2631" t="s">
        <v>2933</v>
      </c>
    </row>
    <row r="2632" spans="1:5" x14ac:dyDescent="0.25">
      <c r="A2632">
        <v>1651</v>
      </c>
      <c r="B2632" t="e">
        <v>#N/A</v>
      </c>
      <c r="C2632" t="s">
        <v>2963</v>
      </c>
      <c r="D2632" t="e">
        <f t="shared" si="42"/>
        <v>#N/A</v>
      </c>
      <c r="E2632" t="s">
        <v>2933</v>
      </c>
    </row>
    <row r="2633" spans="1:5" x14ac:dyDescent="0.25">
      <c r="A2633">
        <v>1651</v>
      </c>
      <c r="B2633" t="e">
        <v>#N/A</v>
      </c>
      <c r="C2633" t="s">
        <v>491</v>
      </c>
      <c r="D2633" t="e">
        <f t="shared" si="42"/>
        <v>#N/A</v>
      </c>
      <c r="E2633" t="s">
        <v>2933</v>
      </c>
    </row>
    <row r="2634" spans="1:5" x14ac:dyDescent="0.25">
      <c r="A2634">
        <v>1651</v>
      </c>
      <c r="B2634" t="e">
        <v>#N/A</v>
      </c>
      <c r="C2634" t="s">
        <v>54</v>
      </c>
      <c r="D2634" t="e">
        <f t="shared" si="42"/>
        <v>#N/A</v>
      </c>
      <c r="E2634" t="s">
        <v>44</v>
      </c>
    </row>
    <row r="2635" spans="1:5" x14ac:dyDescent="0.25">
      <c r="A2635">
        <v>1651</v>
      </c>
      <c r="B2635" t="e">
        <v>#N/A</v>
      </c>
      <c r="C2635" t="s">
        <v>2975</v>
      </c>
      <c r="D2635" t="e">
        <f t="shared" si="42"/>
        <v>#N/A</v>
      </c>
      <c r="E2635" t="s">
        <v>44</v>
      </c>
    </row>
    <row r="2636" spans="1:5" x14ac:dyDescent="0.25">
      <c r="A2636">
        <v>1651</v>
      </c>
      <c r="B2636" t="e">
        <v>#N/A</v>
      </c>
      <c r="C2636" t="s">
        <v>2977</v>
      </c>
      <c r="D2636" t="e">
        <f t="shared" si="42"/>
        <v>#N/A</v>
      </c>
      <c r="E2636" t="s">
        <v>44</v>
      </c>
    </row>
    <row r="2637" spans="1:5" x14ac:dyDescent="0.25">
      <c r="A2637">
        <v>1651</v>
      </c>
      <c r="B2637" t="e">
        <v>#N/A</v>
      </c>
      <c r="C2637" t="s">
        <v>309</v>
      </c>
      <c r="D2637" t="e">
        <f t="shared" si="42"/>
        <v>#N/A</v>
      </c>
      <c r="E2637" t="s">
        <v>44</v>
      </c>
    </row>
    <row r="2638" spans="1:5" x14ac:dyDescent="0.25">
      <c r="A2638">
        <v>1651</v>
      </c>
      <c r="B2638" t="e">
        <v>#N/A</v>
      </c>
      <c r="C2638" t="s">
        <v>297</v>
      </c>
      <c r="D2638" t="e">
        <f t="shared" si="42"/>
        <v>#N/A</v>
      </c>
      <c r="E2638" t="s">
        <v>44</v>
      </c>
    </row>
    <row r="2639" spans="1:5" x14ac:dyDescent="0.25">
      <c r="A2639">
        <v>1651</v>
      </c>
      <c r="B2639" t="e">
        <v>#N/A</v>
      </c>
      <c r="C2639" t="s">
        <v>3234</v>
      </c>
      <c r="D2639" t="e">
        <f t="shared" si="42"/>
        <v>#N/A</v>
      </c>
      <c r="E2639" t="s">
        <v>2968</v>
      </c>
    </row>
    <row r="2640" spans="1:5" x14ac:dyDescent="0.25">
      <c r="A2640">
        <v>1651</v>
      </c>
      <c r="B2640" t="e">
        <v>#N/A</v>
      </c>
      <c r="C2640" t="s">
        <v>355</v>
      </c>
      <c r="D2640" t="e">
        <f t="shared" si="42"/>
        <v>#N/A</v>
      </c>
      <c r="E2640" t="s">
        <v>2968</v>
      </c>
    </row>
    <row r="2641" spans="1:5" x14ac:dyDescent="0.25">
      <c r="A2641">
        <v>1651</v>
      </c>
      <c r="B2641" t="e">
        <v>#N/A</v>
      </c>
      <c r="C2641" t="s">
        <v>2979</v>
      </c>
      <c r="D2641" t="e">
        <f t="shared" si="42"/>
        <v>#N/A</v>
      </c>
      <c r="E2641" t="s">
        <v>2968</v>
      </c>
    </row>
    <row r="2642" spans="1:5" x14ac:dyDescent="0.25">
      <c r="A2642">
        <v>1651</v>
      </c>
      <c r="B2642" t="e">
        <v>#N/A</v>
      </c>
      <c r="C2642" t="s">
        <v>2983</v>
      </c>
      <c r="D2642" t="e">
        <f t="shared" si="42"/>
        <v>#N/A</v>
      </c>
      <c r="E2642" t="s">
        <v>117</v>
      </c>
    </row>
    <row r="2643" spans="1:5" x14ac:dyDescent="0.25">
      <c r="A2643">
        <v>1651</v>
      </c>
      <c r="B2643" t="e">
        <v>#N/A</v>
      </c>
      <c r="C2643" t="s">
        <v>2985</v>
      </c>
      <c r="D2643" t="e">
        <f t="shared" si="42"/>
        <v>#N/A</v>
      </c>
      <c r="E2643" t="s">
        <v>117</v>
      </c>
    </row>
    <row r="2644" spans="1:5" x14ac:dyDescent="0.25">
      <c r="A2644">
        <v>1651</v>
      </c>
      <c r="B2644" t="e">
        <v>#N/A</v>
      </c>
      <c r="C2644" t="s">
        <v>2988</v>
      </c>
      <c r="D2644" t="e">
        <f t="shared" si="42"/>
        <v>#N/A</v>
      </c>
      <c r="E2644" t="s">
        <v>2968</v>
      </c>
    </row>
    <row r="2645" spans="1:5" x14ac:dyDescent="0.25">
      <c r="A2645">
        <v>1651</v>
      </c>
      <c r="B2645" t="e">
        <v>#N/A</v>
      </c>
      <c r="C2645" t="s">
        <v>346</v>
      </c>
      <c r="D2645" t="e">
        <f t="shared" si="42"/>
        <v>#N/A</v>
      </c>
      <c r="E2645" t="s">
        <v>2968</v>
      </c>
    </row>
    <row r="2646" spans="1:5" x14ac:dyDescent="0.25">
      <c r="A2646">
        <v>1651</v>
      </c>
      <c r="B2646" t="e">
        <v>#N/A</v>
      </c>
      <c r="C2646" t="s">
        <v>356</v>
      </c>
      <c r="D2646" t="e">
        <f t="shared" si="42"/>
        <v>#N/A</v>
      </c>
      <c r="E2646" t="s">
        <v>2968</v>
      </c>
    </row>
    <row r="2647" spans="1:5" x14ac:dyDescent="0.25">
      <c r="A2647">
        <v>1651</v>
      </c>
      <c r="B2647" t="e">
        <v>#N/A</v>
      </c>
      <c r="C2647" t="s">
        <v>2991</v>
      </c>
      <c r="D2647" t="e">
        <f t="shared" si="42"/>
        <v>#N/A</v>
      </c>
      <c r="E2647" t="s">
        <v>2992</v>
      </c>
    </row>
    <row r="2648" spans="1:5" x14ac:dyDescent="0.25">
      <c r="A2648">
        <v>1651</v>
      </c>
      <c r="B2648" t="e">
        <v>#N/A</v>
      </c>
      <c r="C2648" t="s">
        <v>2994</v>
      </c>
      <c r="D2648" t="e">
        <f t="shared" si="42"/>
        <v>#N/A</v>
      </c>
      <c r="E2648" t="s">
        <v>2992</v>
      </c>
    </row>
    <row r="2649" spans="1:5" x14ac:dyDescent="0.25">
      <c r="A2649">
        <v>1651</v>
      </c>
      <c r="B2649" t="e">
        <v>#N/A</v>
      </c>
      <c r="C2649" t="s">
        <v>2996</v>
      </c>
      <c r="D2649" t="e">
        <f t="shared" si="42"/>
        <v>#N/A</v>
      </c>
      <c r="E2649" t="s">
        <v>2958</v>
      </c>
    </row>
    <row r="2650" spans="1:5" x14ac:dyDescent="0.25">
      <c r="A2650">
        <v>1651</v>
      </c>
      <c r="B2650" t="e">
        <v>#N/A</v>
      </c>
      <c r="C2650" t="s">
        <v>2998</v>
      </c>
      <c r="D2650" t="e">
        <f t="shared" si="42"/>
        <v>#N/A</v>
      </c>
      <c r="E2650" t="s">
        <v>2958</v>
      </c>
    </row>
    <row r="2651" spans="1:5" x14ac:dyDescent="0.25">
      <c r="A2651">
        <v>1651</v>
      </c>
      <c r="B2651" t="e">
        <v>#N/A</v>
      </c>
      <c r="C2651" t="s">
        <v>3000</v>
      </c>
      <c r="D2651" t="e">
        <f t="shared" si="42"/>
        <v>#N/A</v>
      </c>
      <c r="E2651" t="s">
        <v>3001</v>
      </c>
    </row>
    <row r="2652" spans="1:5" x14ac:dyDescent="0.25">
      <c r="A2652">
        <v>1651</v>
      </c>
      <c r="B2652" t="e">
        <v>#N/A</v>
      </c>
      <c r="C2652" t="s">
        <v>3002</v>
      </c>
      <c r="D2652" t="e">
        <f t="shared" si="42"/>
        <v>#N/A</v>
      </c>
      <c r="E2652" t="s">
        <v>3001</v>
      </c>
    </row>
    <row r="2653" spans="1:5" x14ac:dyDescent="0.25">
      <c r="A2653">
        <v>1651</v>
      </c>
      <c r="B2653" t="e">
        <v>#N/A</v>
      </c>
      <c r="C2653" t="s">
        <v>443</v>
      </c>
      <c r="D2653" t="e">
        <f t="shared" si="42"/>
        <v>#N/A</v>
      </c>
      <c r="E2653" t="s">
        <v>3006</v>
      </c>
    </row>
    <row r="2654" spans="1:5" x14ac:dyDescent="0.25">
      <c r="A2654">
        <v>1651</v>
      </c>
      <c r="B2654" t="e">
        <v>#N/A</v>
      </c>
      <c r="C2654" t="s">
        <v>3008</v>
      </c>
      <c r="D2654" t="e">
        <f t="shared" si="42"/>
        <v>#N/A</v>
      </c>
      <c r="E2654" t="s">
        <v>3009</v>
      </c>
    </row>
    <row r="2655" spans="1:5" x14ac:dyDescent="0.25">
      <c r="A2655">
        <v>1651</v>
      </c>
      <c r="B2655" t="e">
        <v>#N/A</v>
      </c>
      <c r="C2655" t="s">
        <v>1481</v>
      </c>
      <c r="D2655" t="e">
        <f t="shared" si="42"/>
        <v>#N/A</v>
      </c>
      <c r="E2655" t="s">
        <v>2968</v>
      </c>
    </row>
    <row r="2656" spans="1:5" x14ac:dyDescent="0.25">
      <c r="A2656">
        <v>1651</v>
      </c>
      <c r="B2656" t="e">
        <v>#N/A</v>
      </c>
      <c r="C2656" t="s">
        <v>3017</v>
      </c>
      <c r="D2656" t="e">
        <f t="shared" si="42"/>
        <v>#N/A</v>
      </c>
      <c r="E2656" t="s">
        <v>94</v>
      </c>
    </row>
    <row r="2657" spans="1:5" x14ac:dyDescent="0.25">
      <c r="A2657">
        <v>1651</v>
      </c>
      <c r="B2657" t="e">
        <v>#N/A</v>
      </c>
      <c r="C2657" t="s">
        <v>3019</v>
      </c>
      <c r="D2657" t="e">
        <f t="shared" si="42"/>
        <v>#N/A</v>
      </c>
      <c r="E2657" t="s">
        <v>3009</v>
      </c>
    </row>
    <row r="2658" spans="1:5" x14ac:dyDescent="0.25">
      <c r="A2658">
        <v>1651</v>
      </c>
      <c r="B2658" t="e">
        <v>#N/A</v>
      </c>
      <c r="C2658" t="s">
        <v>3020</v>
      </c>
      <c r="D2658" t="e">
        <f t="shared" si="42"/>
        <v>#N/A</v>
      </c>
      <c r="E2658" t="s">
        <v>2958</v>
      </c>
    </row>
    <row r="2659" spans="1:5" x14ac:dyDescent="0.25">
      <c r="A2659">
        <v>1651</v>
      </c>
      <c r="B2659" t="e">
        <v>#N/A</v>
      </c>
      <c r="C2659" t="s">
        <v>492</v>
      </c>
      <c r="D2659" t="e">
        <f t="shared" si="42"/>
        <v>#N/A</v>
      </c>
      <c r="E2659" t="s">
        <v>3004</v>
      </c>
    </row>
    <row r="2660" spans="1:5" x14ac:dyDescent="0.25">
      <c r="A2660">
        <v>1651</v>
      </c>
      <c r="B2660" t="e">
        <v>#N/A</v>
      </c>
      <c r="C2660" t="s">
        <v>3096</v>
      </c>
      <c r="D2660" t="e">
        <f t="shared" si="42"/>
        <v>#N/A</v>
      </c>
      <c r="E2660" t="s">
        <v>3004</v>
      </c>
    </row>
    <row r="2661" spans="1:5" x14ac:dyDescent="0.25">
      <c r="A2661">
        <v>1651</v>
      </c>
      <c r="B2661" t="e">
        <v>#N/A</v>
      </c>
      <c r="C2661" t="s">
        <v>3098</v>
      </c>
      <c r="D2661" t="e">
        <f t="shared" si="42"/>
        <v>#N/A</v>
      </c>
      <c r="E2661" t="s">
        <v>65</v>
      </c>
    </row>
    <row r="2662" spans="1:5" x14ac:dyDescent="0.25">
      <c r="A2662">
        <v>1651</v>
      </c>
      <c r="B2662" t="e">
        <v>#N/A</v>
      </c>
      <c r="C2662" t="s">
        <v>496</v>
      </c>
      <c r="D2662" t="e">
        <f t="shared" si="42"/>
        <v>#N/A</v>
      </c>
      <c r="E2662" t="s">
        <v>3004</v>
      </c>
    </row>
    <row r="2663" spans="1:5" x14ac:dyDescent="0.25">
      <c r="A2663">
        <v>1651</v>
      </c>
      <c r="B2663" t="e">
        <v>#N/A</v>
      </c>
      <c r="C2663" t="s">
        <v>498</v>
      </c>
      <c r="D2663" t="e">
        <f t="shared" si="42"/>
        <v>#N/A</v>
      </c>
      <c r="E2663" t="s">
        <v>2968</v>
      </c>
    </row>
    <row r="2664" spans="1:5" x14ac:dyDescent="0.25">
      <c r="A2664">
        <v>1651</v>
      </c>
      <c r="B2664" t="e">
        <v>#N/A</v>
      </c>
      <c r="C2664" t="s">
        <v>499</v>
      </c>
      <c r="D2664" t="e">
        <f t="shared" si="42"/>
        <v>#N/A</v>
      </c>
      <c r="E2664" t="s">
        <v>2968</v>
      </c>
    </row>
    <row r="2665" spans="1:5" x14ac:dyDescent="0.25">
      <c r="A2665">
        <v>1651</v>
      </c>
      <c r="B2665" t="e">
        <v>#N/A</v>
      </c>
      <c r="C2665" t="s">
        <v>3027</v>
      </c>
      <c r="D2665" t="e">
        <f t="shared" si="42"/>
        <v>#N/A</v>
      </c>
      <c r="E2665" t="s">
        <v>103</v>
      </c>
    </row>
    <row r="2666" spans="1:5" x14ac:dyDescent="0.25">
      <c r="A2666">
        <v>1651</v>
      </c>
      <c r="B2666" t="e">
        <v>#N/A</v>
      </c>
      <c r="C2666" t="s">
        <v>3036</v>
      </c>
      <c r="D2666" t="e">
        <f t="shared" si="42"/>
        <v>#N/A</v>
      </c>
      <c r="E2666" t="s">
        <v>2958</v>
      </c>
    </row>
    <row r="2667" spans="1:5" x14ac:dyDescent="0.25">
      <c r="A2667">
        <v>1651</v>
      </c>
      <c r="B2667" t="e">
        <v>#N/A</v>
      </c>
      <c r="C2667" t="s">
        <v>3040</v>
      </c>
      <c r="D2667" t="e">
        <f t="shared" si="42"/>
        <v>#N/A</v>
      </c>
      <c r="E2667" t="s">
        <v>2968</v>
      </c>
    </row>
    <row r="2668" spans="1:5" x14ac:dyDescent="0.25">
      <c r="A2668">
        <v>1651</v>
      </c>
      <c r="B2668" t="e">
        <v>#N/A</v>
      </c>
      <c r="C2668" t="s">
        <v>3043</v>
      </c>
      <c r="D2668" t="e">
        <f t="shared" si="42"/>
        <v>#N/A</v>
      </c>
      <c r="E2668" t="s">
        <v>94</v>
      </c>
    </row>
    <row r="2669" spans="1:5" x14ac:dyDescent="0.25">
      <c r="A2669">
        <v>1651</v>
      </c>
      <c r="B2669" t="e">
        <v>#N/A</v>
      </c>
      <c r="C2669" t="s">
        <v>3045</v>
      </c>
      <c r="D2669" t="e">
        <f t="shared" si="42"/>
        <v>#N/A</v>
      </c>
      <c r="E2669" t="s">
        <v>3009</v>
      </c>
    </row>
    <row r="2670" spans="1:5" x14ac:dyDescent="0.25">
      <c r="A2670">
        <v>1651</v>
      </c>
      <c r="B2670" t="e">
        <v>#N/A</v>
      </c>
      <c r="C2670" t="s">
        <v>3128</v>
      </c>
      <c r="D2670" t="e">
        <f t="shared" si="42"/>
        <v>#N/A</v>
      </c>
      <c r="E2670" t="s">
        <v>3239</v>
      </c>
    </row>
    <row r="2671" spans="1:5" x14ac:dyDescent="0.25">
      <c r="A2671">
        <v>1651</v>
      </c>
      <c r="B2671" t="e">
        <v>#N/A</v>
      </c>
      <c r="C2671" t="s">
        <v>3048</v>
      </c>
      <c r="D2671" t="e">
        <f t="shared" si="42"/>
        <v>#N/A</v>
      </c>
      <c r="E2671" t="s">
        <v>3049</v>
      </c>
    </row>
    <row r="2672" spans="1:5" x14ac:dyDescent="0.25">
      <c r="A2672">
        <v>1651</v>
      </c>
      <c r="B2672" t="e">
        <v>#N/A</v>
      </c>
      <c r="C2672" t="s">
        <v>328</v>
      </c>
      <c r="D2672" t="e">
        <f t="shared" si="42"/>
        <v>#N/A</v>
      </c>
      <c r="E2672" t="s">
        <v>3049</v>
      </c>
    </row>
    <row r="2673" spans="1:5" x14ac:dyDescent="0.25">
      <c r="A2673">
        <v>1651</v>
      </c>
      <c r="B2673" t="e">
        <v>#N/A</v>
      </c>
      <c r="C2673" t="s">
        <v>3058</v>
      </c>
      <c r="D2673" t="e">
        <f t="shared" si="42"/>
        <v>#N/A</v>
      </c>
      <c r="E2673" t="s">
        <v>3057</v>
      </c>
    </row>
    <row r="2674" spans="1:5" x14ac:dyDescent="0.25">
      <c r="A2674">
        <v>1651</v>
      </c>
      <c r="B2674" t="e">
        <v>#N/A</v>
      </c>
      <c r="C2674" t="s">
        <v>3060</v>
      </c>
      <c r="D2674" t="e">
        <f t="shared" si="42"/>
        <v>#N/A</v>
      </c>
      <c r="E2674" t="s">
        <v>3057</v>
      </c>
    </row>
    <row r="2675" spans="1:5" x14ac:dyDescent="0.25">
      <c r="A2675">
        <v>1651</v>
      </c>
      <c r="B2675" t="e">
        <v>#N/A</v>
      </c>
      <c r="C2675" t="s">
        <v>3064</v>
      </c>
      <c r="D2675" t="e">
        <f t="shared" si="42"/>
        <v>#N/A</v>
      </c>
      <c r="E2675" t="s">
        <v>3055</v>
      </c>
    </row>
    <row r="2676" spans="1:5" x14ac:dyDescent="0.25">
      <c r="A2676">
        <v>1651</v>
      </c>
      <c r="B2676" t="e">
        <v>#N/A</v>
      </c>
      <c r="C2676" t="s">
        <v>409</v>
      </c>
      <c r="D2676" t="e">
        <f t="shared" si="42"/>
        <v>#N/A</v>
      </c>
      <c r="E2676" t="s">
        <v>3067</v>
      </c>
    </row>
    <row r="2677" spans="1:5" x14ac:dyDescent="0.25">
      <c r="A2677">
        <v>1651</v>
      </c>
      <c r="B2677" t="e">
        <v>#N/A</v>
      </c>
      <c r="C2677" t="s">
        <v>3074</v>
      </c>
      <c r="D2677" t="e">
        <f t="shared" si="42"/>
        <v>#N/A</v>
      </c>
      <c r="E2677" t="s">
        <v>3075</v>
      </c>
    </row>
    <row r="2678" spans="1:5" x14ac:dyDescent="0.25">
      <c r="A2678">
        <v>1651</v>
      </c>
      <c r="B2678" t="e">
        <v>#N/A</v>
      </c>
      <c r="C2678" t="s">
        <v>331</v>
      </c>
      <c r="D2678" t="e">
        <f t="shared" si="42"/>
        <v>#N/A</v>
      </c>
      <c r="E2678" t="s">
        <v>3076</v>
      </c>
    </row>
    <row r="2679" spans="1:5" x14ac:dyDescent="0.25">
      <c r="A2679">
        <v>1651</v>
      </c>
      <c r="B2679" t="e">
        <v>#N/A</v>
      </c>
      <c r="C2679" t="s">
        <v>367</v>
      </c>
      <c r="D2679" t="e">
        <f t="shared" si="42"/>
        <v>#N/A</v>
      </c>
      <c r="E2679" t="s">
        <v>2968</v>
      </c>
    </row>
    <row r="2680" spans="1:5" x14ac:dyDescent="0.25">
      <c r="A2680">
        <v>1651</v>
      </c>
      <c r="B2680" t="e">
        <v>#N/A</v>
      </c>
      <c r="C2680" t="s">
        <v>3079</v>
      </c>
      <c r="D2680" t="e">
        <f t="shared" si="42"/>
        <v>#N/A</v>
      </c>
      <c r="E2680" t="s">
        <v>2968</v>
      </c>
    </row>
    <row r="2681" spans="1:5" x14ac:dyDescent="0.25">
      <c r="A2681">
        <v>1671</v>
      </c>
      <c r="B2681" t="e">
        <v>#N/A</v>
      </c>
      <c r="C2681" t="s">
        <v>2928</v>
      </c>
      <c r="D2681" t="e">
        <f t="shared" si="42"/>
        <v>#N/A</v>
      </c>
      <c r="E2681" t="s">
        <v>44</v>
      </c>
    </row>
    <row r="2682" spans="1:5" x14ac:dyDescent="0.25">
      <c r="A2682">
        <v>1671</v>
      </c>
      <c r="B2682" t="e">
        <v>#N/A</v>
      </c>
      <c r="C2682" t="s">
        <v>2952</v>
      </c>
      <c r="D2682" t="e">
        <f t="shared" si="42"/>
        <v>#N/A</v>
      </c>
      <c r="E2682" t="s">
        <v>3245</v>
      </c>
    </row>
    <row r="2683" spans="1:5" x14ac:dyDescent="0.25">
      <c r="A2683">
        <v>1671</v>
      </c>
      <c r="B2683" t="e">
        <v>#N/A</v>
      </c>
      <c r="C2683" t="s">
        <v>2932</v>
      </c>
      <c r="D2683" t="e">
        <f t="shared" si="42"/>
        <v>#N/A</v>
      </c>
      <c r="E2683" t="s">
        <v>2933</v>
      </c>
    </row>
    <row r="2684" spans="1:5" x14ac:dyDescent="0.25">
      <c r="A2684">
        <v>1671</v>
      </c>
      <c r="B2684" t="e">
        <v>#N/A</v>
      </c>
      <c r="C2684" t="s">
        <v>256</v>
      </c>
      <c r="D2684" t="e">
        <f t="shared" si="42"/>
        <v>#N/A</v>
      </c>
      <c r="E2684" t="s">
        <v>2933</v>
      </c>
    </row>
    <row r="2685" spans="1:5" x14ac:dyDescent="0.25">
      <c r="A2685">
        <v>1671</v>
      </c>
      <c r="B2685" t="e">
        <v>#N/A</v>
      </c>
      <c r="C2685" t="s">
        <v>2939</v>
      </c>
      <c r="D2685" t="e">
        <f t="shared" si="42"/>
        <v>#N/A</v>
      </c>
      <c r="E2685" t="s">
        <v>2933</v>
      </c>
    </row>
    <row r="2686" spans="1:5" x14ac:dyDescent="0.25">
      <c r="A2686">
        <v>1671</v>
      </c>
      <c r="B2686" t="e">
        <v>#N/A</v>
      </c>
      <c r="C2686" t="s">
        <v>2941</v>
      </c>
      <c r="D2686" t="e">
        <f t="shared" si="42"/>
        <v>#N/A</v>
      </c>
      <c r="E2686" t="s">
        <v>2933</v>
      </c>
    </row>
    <row r="2687" spans="1:5" x14ac:dyDescent="0.25">
      <c r="A2687">
        <v>1671</v>
      </c>
      <c r="B2687" t="e">
        <v>#N/A</v>
      </c>
      <c r="C2687" t="s">
        <v>2950</v>
      </c>
      <c r="D2687" t="e">
        <f t="shared" si="42"/>
        <v>#N/A</v>
      </c>
      <c r="E2687" t="s">
        <v>2933</v>
      </c>
    </row>
    <row r="2688" spans="1:5" x14ac:dyDescent="0.25">
      <c r="A2688">
        <v>1671</v>
      </c>
      <c r="B2688" t="e">
        <v>#N/A</v>
      </c>
      <c r="C2688" t="s">
        <v>2953</v>
      </c>
      <c r="D2688" t="e">
        <f t="shared" si="42"/>
        <v>#N/A</v>
      </c>
      <c r="E2688" t="s">
        <v>2954</v>
      </c>
    </row>
    <row r="2689" spans="1:5" x14ac:dyDescent="0.25">
      <c r="A2689">
        <v>1671</v>
      </c>
      <c r="B2689" t="e">
        <v>#N/A</v>
      </c>
      <c r="C2689" t="s">
        <v>2955</v>
      </c>
      <c r="D2689" t="e">
        <f t="shared" si="42"/>
        <v>#N/A</v>
      </c>
      <c r="E2689" t="s">
        <v>2933</v>
      </c>
    </row>
    <row r="2690" spans="1:5" x14ac:dyDescent="0.25">
      <c r="A2690">
        <v>1671</v>
      </c>
      <c r="B2690" t="e">
        <v>#N/A</v>
      </c>
      <c r="C2690" t="s">
        <v>2956</v>
      </c>
      <c r="D2690" t="e">
        <f t="shared" si="42"/>
        <v>#N/A</v>
      </c>
      <c r="E2690" t="s">
        <v>2933</v>
      </c>
    </row>
    <row r="2691" spans="1:5" x14ac:dyDescent="0.25">
      <c r="A2691">
        <v>1671</v>
      </c>
      <c r="B2691" t="e">
        <v>#N/A</v>
      </c>
      <c r="C2691" t="s">
        <v>431</v>
      </c>
      <c r="D2691" t="e">
        <f t="shared" si="42"/>
        <v>#N/A</v>
      </c>
      <c r="E2691" t="s">
        <v>2933</v>
      </c>
    </row>
    <row r="2692" spans="1:5" x14ac:dyDescent="0.25">
      <c r="A2692">
        <v>1671</v>
      </c>
      <c r="B2692" t="e">
        <v>#N/A</v>
      </c>
      <c r="C2692" t="s">
        <v>441</v>
      </c>
      <c r="D2692" t="e">
        <f t="shared" si="42"/>
        <v>#N/A</v>
      </c>
      <c r="E2692" t="s">
        <v>2933</v>
      </c>
    </row>
    <row r="2693" spans="1:5" x14ac:dyDescent="0.25">
      <c r="A2693">
        <v>1671</v>
      </c>
      <c r="B2693" t="e">
        <v>#N/A</v>
      </c>
      <c r="C2693" t="s">
        <v>2960</v>
      </c>
      <c r="D2693" t="e">
        <f t="shared" ref="D2693:D2756" si="43">CONCATENATE(B2693,LEFT(C2693,4))</f>
        <v>#N/A</v>
      </c>
      <c r="E2693" t="s">
        <v>2958</v>
      </c>
    </row>
    <row r="2694" spans="1:5" x14ac:dyDescent="0.25">
      <c r="A2694">
        <v>1671</v>
      </c>
      <c r="B2694" t="e">
        <v>#N/A</v>
      </c>
      <c r="C2694" t="s">
        <v>2961</v>
      </c>
      <c r="D2694" t="e">
        <f t="shared" si="43"/>
        <v>#N/A</v>
      </c>
      <c r="E2694" t="s">
        <v>2933</v>
      </c>
    </row>
    <row r="2695" spans="1:5" x14ac:dyDescent="0.25">
      <c r="A2695">
        <v>1671</v>
      </c>
      <c r="B2695" t="e">
        <v>#N/A</v>
      </c>
      <c r="C2695" t="s">
        <v>467</v>
      </c>
      <c r="D2695" t="e">
        <f t="shared" si="43"/>
        <v>#N/A</v>
      </c>
      <c r="E2695" t="s">
        <v>2933</v>
      </c>
    </row>
    <row r="2696" spans="1:5" x14ac:dyDescent="0.25">
      <c r="A2696">
        <v>1671</v>
      </c>
      <c r="B2696" t="e">
        <v>#N/A</v>
      </c>
      <c r="C2696" t="s">
        <v>2967</v>
      </c>
      <c r="D2696" t="e">
        <f t="shared" si="43"/>
        <v>#N/A</v>
      </c>
      <c r="E2696" t="s">
        <v>2968</v>
      </c>
    </row>
    <row r="2697" spans="1:5" x14ac:dyDescent="0.25">
      <c r="A2697">
        <v>1671</v>
      </c>
      <c r="B2697" t="e">
        <v>#N/A</v>
      </c>
      <c r="C2697" t="s">
        <v>54</v>
      </c>
      <c r="D2697" t="e">
        <f t="shared" si="43"/>
        <v>#N/A</v>
      </c>
      <c r="E2697" t="s">
        <v>44</v>
      </c>
    </row>
    <row r="2698" spans="1:5" x14ac:dyDescent="0.25">
      <c r="A2698">
        <v>1671</v>
      </c>
      <c r="B2698" t="e">
        <v>#N/A</v>
      </c>
      <c r="C2698" t="s">
        <v>2975</v>
      </c>
      <c r="D2698" t="e">
        <f t="shared" si="43"/>
        <v>#N/A</v>
      </c>
      <c r="E2698" t="s">
        <v>44</v>
      </c>
    </row>
    <row r="2699" spans="1:5" x14ac:dyDescent="0.25">
      <c r="A2699">
        <v>1671</v>
      </c>
      <c r="B2699" t="e">
        <v>#N/A</v>
      </c>
      <c r="C2699" t="s">
        <v>2977</v>
      </c>
      <c r="D2699" t="e">
        <f t="shared" si="43"/>
        <v>#N/A</v>
      </c>
      <c r="E2699" t="s">
        <v>44</v>
      </c>
    </row>
    <row r="2700" spans="1:5" x14ac:dyDescent="0.25">
      <c r="A2700">
        <v>1671</v>
      </c>
      <c r="B2700" t="e">
        <v>#N/A</v>
      </c>
      <c r="C2700" t="s">
        <v>297</v>
      </c>
      <c r="D2700" t="e">
        <f t="shared" si="43"/>
        <v>#N/A</v>
      </c>
      <c r="E2700" t="s">
        <v>44</v>
      </c>
    </row>
    <row r="2701" spans="1:5" x14ac:dyDescent="0.25">
      <c r="A2701">
        <v>1671</v>
      </c>
      <c r="B2701" t="e">
        <v>#N/A</v>
      </c>
      <c r="C2701" t="s">
        <v>2979</v>
      </c>
      <c r="D2701" t="e">
        <f t="shared" si="43"/>
        <v>#N/A</v>
      </c>
      <c r="E2701" t="s">
        <v>2968</v>
      </c>
    </row>
    <row r="2702" spans="1:5" x14ac:dyDescent="0.25">
      <c r="A2702">
        <v>1671</v>
      </c>
      <c r="B2702" t="e">
        <v>#N/A</v>
      </c>
      <c r="C2702" t="s">
        <v>471</v>
      </c>
      <c r="D2702" t="e">
        <f t="shared" si="43"/>
        <v>#N/A</v>
      </c>
      <c r="E2702" t="s">
        <v>2968</v>
      </c>
    </row>
    <row r="2703" spans="1:5" x14ac:dyDescent="0.25">
      <c r="A2703">
        <v>1671</v>
      </c>
      <c r="B2703" t="e">
        <v>#N/A</v>
      </c>
      <c r="C2703" t="s">
        <v>2983</v>
      </c>
      <c r="D2703" t="e">
        <f t="shared" si="43"/>
        <v>#N/A</v>
      </c>
      <c r="E2703" t="s">
        <v>117</v>
      </c>
    </row>
    <row r="2704" spans="1:5" x14ac:dyDescent="0.25">
      <c r="A2704">
        <v>1671</v>
      </c>
      <c r="B2704" t="e">
        <v>#N/A</v>
      </c>
      <c r="C2704" t="s">
        <v>2985</v>
      </c>
      <c r="D2704" t="e">
        <f t="shared" si="43"/>
        <v>#N/A</v>
      </c>
      <c r="E2704" t="s">
        <v>117</v>
      </c>
    </row>
    <row r="2705" spans="1:5" x14ac:dyDescent="0.25">
      <c r="A2705">
        <v>1671</v>
      </c>
      <c r="B2705" t="e">
        <v>#N/A</v>
      </c>
      <c r="C2705" t="s">
        <v>2988</v>
      </c>
      <c r="D2705" t="e">
        <f t="shared" si="43"/>
        <v>#N/A</v>
      </c>
      <c r="E2705" t="s">
        <v>2968</v>
      </c>
    </row>
    <row r="2706" spans="1:5" x14ac:dyDescent="0.25">
      <c r="A2706">
        <v>1671</v>
      </c>
      <c r="B2706" t="e">
        <v>#N/A</v>
      </c>
      <c r="C2706" t="s">
        <v>346</v>
      </c>
      <c r="D2706" t="e">
        <f t="shared" si="43"/>
        <v>#N/A</v>
      </c>
      <c r="E2706" t="s">
        <v>2968</v>
      </c>
    </row>
    <row r="2707" spans="1:5" x14ac:dyDescent="0.25">
      <c r="A2707">
        <v>1671</v>
      </c>
      <c r="B2707" t="e">
        <v>#N/A</v>
      </c>
      <c r="C2707" t="s">
        <v>2991</v>
      </c>
      <c r="D2707" t="e">
        <f t="shared" si="43"/>
        <v>#N/A</v>
      </c>
      <c r="E2707" t="s">
        <v>2992</v>
      </c>
    </row>
    <row r="2708" spans="1:5" x14ac:dyDescent="0.25">
      <c r="A2708">
        <v>1671</v>
      </c>
      <c r="B2708" t="e">
        <v>#N/A</v>
      </c>
      <c r="C2708" t="s">
        <v>2994</v>
      </c>
      <c r="D2708" t="e">
        <f t="shared" si="43"/>
        <v>#N/A</v>
      </c>
      <c r="E2708" t="s">
        <v>2992</v>
      </c>
    </row>
    <row r="2709" spans="1:5" x14ac:dyDescent="0.25">
      <c r="A2709">
        <v>1671</v>
      </c>
      <c r="B2709" t="e">
        <v>#N/A</v>
      </c>
      <c r="C2709" t="s">
        <v>2996</v>
      </c>
      <c r="D2709" t="e">
        <f t="shared" si="43"/>
        <v>#N/A</v>
      </c>
      <c r="E2709" t="s">
        <v>2958</v>
      </c>
    </row>
    <row r="2710" spans="1:5" x14ac:dyDescent="0.25">
      <c r="A2710">
        <v>1671</v>
      </c>
      <c r="B2710" t="e">
        <v>#N/A</v>
      </c>
      <c r="C2710" t="s">
        <v>3002</v>
      </c>
      <c r="D2710" t="e">
        <f t="shared" si="43"/>
        <v>#N/A</v>
      </c>
      <c r="E2710" t="s">
        <v>3001</v>
      </c>
    </row>
    <row r="2711" spans="1:5" x14ac:dyDescent="0.25">
      <c r="A2711">
        <v>1671</v>
      </c>
      <c r="B2711" t="e">
        <v>#N/A</v>
      </c>
      <c r="C2711" t="s">
        <v>443</v>
      </c>
      <c r="D2711" t="e">
        <f t="shared" si="43"/>
        <v>#N/A</v>
      </c>
      <c r="E2711" t="s">
        <v>3006</v>
      </c>
    </row>
    <row r="2712" spans="1:5" x14ac:dyDescent="0.25">
      <c r="A2712">
        <v>1671</v>
      </c>
      <c r="B2712" t="e">
        <v>#N/A</v>
      </c>
      <c r="C2712" t="s">
        <v>3008</v>
      </c>
      <c r="D2712" t="e">
        <f t="shared" si="43"/>
        <v>#N/A</v>
      </c>
      <c r="E2712" t="s">
        <v>3009</v>
      </c>
    </row>
    <row r="2713" spans="1:5" x14ac:dyDescent="0.25">
      <c r="A2713">
        <v>1671</v>
      </c>
      <c r="B2713" t="e">
        <v>#N/A</v>
      </c>
      <c r="C2713" t="s">
        <v>3017</v>
      </c>
      <c r="D2713" t="e">
        <f t="shared" si="43"/>
        <v>#N/A</v>
      </c>
      <c r="E2713" t="s">
        <v>94</v>
      </c>
    </row>
    <row r="2714" spans="1:5" x14ac:dyDescent="0.25">
      <c r="A2714">
        <v>1671</v>
      </c>
      <c r="B2714" t="e">
        <v>#N/A</v>
      </c>
      <c r="C2714" t="s">
        <v>3088</v>
      </c>
      <c r="D2714" t="e">
        <f t="shared" si="43"/>
        <v>#N/A</v>
      </c>
      <c r="E2714" t="s">
        <v>3107</v>
      </c>
    </row>
    <row r="2715" spans="1:5" x14ac:dyDescent="0.25">
      <c r="A2715">
        <v>1671</v>
      </c>
      <c r="B2715" t="e">
        <v>#N/A</v>
      </c>
      <c r="C2715" t="s">
        <v>3019</v>
      </c>
      <c r="D2715" t="e">
        <f t="shared" si="43"/>
        <v>#N/A</v>
      </c>
      <c r="E2715" t="s">
        <v>3009</v>
      </c>
    </row>
    <row r="2716" spans="1:5" x14ac:dyDescent="0.25">
      <c r="A2716">
        <v>1671</v>
      </c>
      <c r="B2716" t="e">
        <v>#N/A</v>
      </c>
      <c r="C2716" t="s">
        <v>3020</v>
      </c>
      <c r="D2716" t="e">
        <f t="shared" si="43"/>
        <v>#N/A</v>
      </c>
      <c r="E2716" t="s">
        <v>2958</v>
      </c>
    </row>
    <row r="2717" spans="1:5" x14ac:dyDescent="0.25">
      <c r="A2717">
        <v>1671</v>
      </c>
      <c r="B2717" t="e">
        <v>#N/A</v>
      </c>
      <c r="C2717" t="s">
        <v>488</v>
      </c>
      <c r="D2717" t="e">
        <f t="shared" si="43"/>
        <v>#N/A</v>
      </c>
      <c r="E2717" t="s">
        <v>3235</v>
      </c>
    </row>
    <row r="2718" spans="1:5" x14ac:dyDescent="0.25">
      <c r="A2718">
        <v>1671</v>
      </c>
      <c r="B2718" t="e">
        <v>#N/A</v>
      </c>
      <c r="C2718" t="s">
        <v>3098</v>
      </c>
      <c r="D2718" t="e">
        <f t="shared" si="43"/>
        <v>#N/A</v>
      </c>
      <c r="E2718" t="s">
        <v>65</v>
      </c>
    </row>
    <row r="2719" spans="1:5" x14ac:dyDescent="0.25">
      <c r="A2719">
        <v>1671</v>
      </c>
      <c r="B2719" t="e">
        <v>#N/A</v>
      </c>
      <c r="C2719" t="s">
        <v>498</v>
      </c>
      <c r="D2719" t="e">
        <f t="shared" si="43"/>
        <v>#N/A</v>
      </c>
      <c r="E2719" t="s">
        <v>2968</v>
      </c>
    </row>
    <row r="2720" spans="1:5" x14ac:dyDescent="0.25">
      <c r="A2720">
        <v>1671</v>
      </c>
      <c r="B2720" t="e">
        <v>#N/A</v>
      </c>
      <c r="C2720" t="s">
        <v>3025</v>
      </c>
      <c r="D2720" t="e">
        <f t="shared" si="43"/>
        <v>#N/A</v>
      </c>
      <c r="E2720" t="s">
        <v>2968</v>
      </c>
    </row>
    <row r="2721" spans="1:5" x14ac:dyDescent="0.25">
      <c r="A2721">
        <v>1671</v>
      </c>
      <c r="B2721" t="e">
        <v>#N/A</v>
      </c>
      <c r="C2721" t="s">
        <v>3103</v>
      </c>
      <c r="D2721" t="e">
        <f t="shared" si="43"/>
        <v>#N/A</v>
      </c>
      <c r="E2721" t="s">
        <v>3033</v>
      </c>
    </row>
    <row r="2722" spans="1:5" x14ac:dyDescent="0.25">
      <c r="A2722">
        <v>1671</v>
      </c>
      <c r="B2722" t="e">
        <v>#N/A</v>
      </c>
      <c r="C2722" t="s">
        <v>3246</v>
      </c>
      <c r="D2722" t="e">
        <f t="shared" si="43"/>
        <v>#N/A</v>
      </c>
      <c r="E2722" t="s">
        <v>2968</v>
      </c>
    </row>
    <row r="2723" spans="1:5" x14ac:dyDescent="0.25">
      <c r="A2723">
        <v>1671</v>
      </c>
      <c r="B2723" t="e">
        <v>#N/A</v>
      </c>
      <c r="C2723" t="s">
        <v>3036</v>
      </c>
      <c r="D2723" t="e">
        <f t="shared" si="43"/>
        <v>#N/A</v>
      </c>
      <c r="E2723" t="s">
        <v>2958</v>
      </c>
    </row>
    <row r="2724" spans="1:5" x14ac:dyDescent="0.25">
      <c r="A2724">
        <v>1671</v>
      </c>
      <c r="B2724" t="e">
        <v>#N/A</v>
      </c>
      <c r="C2724" t="s">
        <v>3040</v>
      </c>
      <c r="D2724" t="e">
        <f t="shared" si="43"/>
        <v>#N/A</v>
      </c>
      <c r="E2724" t="s">
        <v>2968</v>
      </c>
    </row>
    <row r="2725" spans="1:5" x14ac:dyDescent="0.25">
      <c r="A2725">
        <v>1671</v>
      </c>
      <c r="B2725" t="e">
        <v>#N/A</v>
      </c>
      <c r="C2725" t="s">
        <v>3041</v>
      </c>
      <c r="D2725" t="e">
        <f t="shared" si="43"/>
        <v>#N/A</v>
      </c>
      <c r="E2725" t="s">
        <v>3009</v>
      </c>
    </row>
    <row r="2726" spans="1:5" x14ac:dyDescent="0.25">
      <c r="A2726">
        <v>1671</v>
      </c>
      <c r="B2726" t="e">
        <v>#N/A</v>
      </c>
      <c r="C2726" t="s">
        <v>3043</v>
      </c>
      <c r="D2726" t="e">
        <f t="shared" si="43"/>
        <v>#N/A</v>
      </c>
      <c r="E2726" t="s">
        <v>94</v>
      </c>
    </row>
    <row r="2727" spans="1:5" x14ac:dyDescent="0.25">
      <c r="A2727">
        <v>1671</v>
      </c>
      <c r="B2727" t="e">
        <v>#N/A</v>
      </c>
      <c r="C2727" t="s">
        <v>3045</v>
      </c>
      <c r="D2727" t="e">
        <f t="shared" si="43"/>
        <v>#N/A</v>
      </c>
      <c r="E2727" t="s">
        <v>3009</v>
      </c>
    </row>
    <row r="2728" spans="1:5" x14ac:dyDescent="0.25">
      <c r="A2728">
        <v>1671</v>
      </c>
      <c r="B2728" t="e">
        <v>#N/A</v>
      </c>
      <c r="C2728" t="s">
        <v>3123</v>
      </c>
      <c r="D2728" t="e">
        <f t="shared" si="43"/>
        <v>#N/A</v>
      </c>
      <c r="E2728" t="s">
        <v>2968</v>
      </c>
    </row>
    <row r="2729" spans="1:5" x14ac:dyDescent="0.25">
      <c r="A2729">
        <v>1671</v>
      </c>
      <c r="B2729" t="e">
        <v>#N/A</v>
      </c>
      <c r="C2729" t="s">
        <v>3127</v>
      </c>
      <c r="D2729" t="e">
        <f t="shared" si="43"/>
        <v>#N/A</v>
      </c>
      <c r="E2729" t="s">
        <v>3218</v>
      </c>
    </row>
    <row r="2730" spans="1:5" x14ac:dyDescent="0.25">
      <c r="A2730">
        <v>1671</v>
      </c>
      <c r="B2730" t="e">
        <v>#N/A</v>
      </c>
      <c r="C2730" t="s">
        <v>3128</v>
      </c>
      <c r="D2730" t="e">
        <f t="shared" si="43"/>
        <v>#N/A</v>
      </c>
      <c r="E2730" t="s">
        <v>3239</v>
      </c>
    </row>
    <row r="2731" spans="1:5" x14ac:dyDescent="0.25">
      <c r="A2731">
        <v>1671</v>
      </c>
      <c r="B2731" t="e">
        <v>#N/A</v>
      </c>
      <c r="C2731" t="s">
        <v>3048</v>
      </c>
      <c r="D2731" t="e">
        <f t="shared" si="43"/>
        <v>#N/A</v>
      </c>
      <c r="E2731" t="s">
        <v>3049</v>
      </c>
    </row>
    <row r="2732" spans="1:5" x14ac:dyDescent="0.25">
      <c r="A2732">
        <v>1671</v>
      </c>
      <c r="B2732" t="e">
        <v>#N/A</v>
      </c>
      <c r="C2732" t="s">
        <v>265</v>
      </c>
      <c r="D2732" t="e">
        <f t="shared" si="43"/>
        <v>#N/A</v>
      </c>
      <c r="E2732" t="s">
        <v>3049</v>
      </c>
    </row>
    <row r="2733" spans="1:5" x14ac:dyDescent="0.25">
      <c r="A2733">
        <v>1671</v>
      </c>
      <c r="B2733" t="e">
        <v>#N/A</v>
      </c>
      <c r="C2733" t="s">
        <v>364</v>
      </c>
      <c r="D2733" t="e">
        <f t="shared" si="43"/>
        <v>#N/A</v>
      </c>
      <c r="E2733" t="s">
        <v>3049</v>
      </c>
    </row>
    <row r="2734" spans="1:5" x14ac:dyDescent="0.25">
      <c r="A2734">
        <v>1671</v>
      </c>
      <c r="B2734" t="e">
        <v>#N/A</v>
      </c>
      <c r="C2734" t="s">
        <v>240</v>
      </c>
      <c r="D2734" t="e">
        <f t="shared" si="43"/>
        <v>#N/A</v>
      </c>
      <c r="E2734" t="s">
        <v>2968</v>
      </c>
    </row>
    <row r="2735" spans="1:5" x14ac:dyDescent="0.25">
      <c r="A2735">
        <v>1671</v>
      </c>
      <c r="B2735" t="e">
        <v>#N/A</v>
      </c>
      <c r="C2735" t="s">
        <v>385</v>
      </c>
      <c r="D2735" t="e">
        <f t="shared" si="43"/>
        <v>#N/A</v>
      </c>
      <c r="E2735" t="s">
        <v>3055</v>
      </c>
    </row>
    <row r="2736" spans="1:5" x14ac:dyDescent="0.25">
      <c r="A2736">
        <v>1671</v>
      </c>
      <c r="B2736" t="e">
        <v>#N/A</v>
      </c>
      <c r="C2736" t="s">
        <v>3074</v>
      </c>
      <c r="D2736" t="e">
        <f t="shared" si="43"/>
        <v>#N/A</v>
      </c>
      <c r="E2736" t="s">
        <v>3075</v>
      </c>
    </row>
    <row r="2737" spans="1:5" x14ac:dyDescent="0.25">
      <c r="A2737">
        <v>1671</v>
      </c>
      <c r="B2737" t="e">
        <v>#N/A</v>
      </c>
      <c r="C2737" t="s">
        <v>331</v>
      </c>
      <c r="D2737" t="e">
        <f t="shared" si="43"/>
        <v>#N/A</v>
      </c>
      <c r="E2737" t="s">
        <v>3076</v>
      </c>
    </row>
    <row r="2738" spans="1:5" x14ac:dyDescent="0.25">
      <c r="A2738">
        <v>1671</v>
      </c>
      <c r="B2738" t="e">
        <v>#N/A</v>
      </c>
      <c r="C2738" t="s">
        <v>3079</v>
      </c>
      <c r="D2738" t="e">
        <f t="shared" si="43"/>
        <v>#N/A</v>
      </c>
      <c r="E2738" t="s">
        <v>2968</v>
      </c>
    </row>
    <row r="2739" spans="1:5" x14ac:dyDescent="0.25">
      <c r="A2739">
        <v>1691</v>
      </c>
      <c r="B2739" t="e">
        <v>#N/A</v>
      </c>
      <c r="C2739" t="s">
        <v>332</v>
      </c>
      <c r="D2739" t="e">
        <f t="shared" si="43"/>
        <v>#N/A</v>
      </c>
      <c r="E2739" t="s">
        <v>3081</v>
      </c>
    </row>
    <row r="2740" spans="1:5" x14ac:dyDescent="0.25">
      <c r="A2740">
        <v>1691</v>
      </c>
      <c r="B2740" t="e">
        <v>#N/A</v>
      </c>
      <c r="C2740" t="s">
        <v>2928</v>
      </c>
      <c r="D2740" t="e">
        <f t="shared" si="43"/>
        <v>#N/A</v>
      </c>
      <c r="E2740" t="s">
        <v>44</v>
      </c>
    </row>
    <row r="2741" spans="1:5" x14ac:dyDescent="0.25">
      <c r="A2741">
        <v>1691</v>
      </c>
      <c r="B2741" t="e">
        <v>#N/A</v>
      </c>
      <c r="C2741" t="s">
        <v>2932</v>
      </c>
      <c r="D2741" t="e">
        <f t="shared" si="43"/>
        <v>#N/A</v>
      </c>
      <c r="E2741" t="s">
        <v>2933</v>
      </c>
    </row>
    <row r="2742" spans="1:5" x14ac:dyDescent="0.25">
      <c r="A2742">
        <v>1691</v>
      </c>
      <c r="B2742" t="e">
        <v>#N/A</v>
      </c>
      <c r="C2742" t="s">
        <v>256</v>
      </c>
      <c r="D2742" t="e">
        <f t="shared" si="43"/>
        <v>#N/A</v>
      </c>
      <c r="E2742" t="s">
        <v>2933</v>
      </c>
    </row>
    <row r="2743" spans="1:5" x14ac:dyDescent="0.25">
      <c r="A2743">
        <v>1691</v>
      </c>
      <c r="B2743" t="e">
        <v>#N/A</v>
      </c>
      <c r="C2743" t="s">
        <v>979</v>
      </c>
      <c r="D2743" t="e">
        <f t="shared" si="43"/>
        <v>#N/A</v>
      </c>
      <c r="E2743" t="s">
        <v>2933</v>
      </c>
    </row>
    <row r="2744" spans="1:5" x14ac:dyDescent="0.25">
      <c r="A2744">
        <v>1691</v>
      </c>
      <c r="B2744" t="e">
        <v>#N/A</v>
      </c>
      <c r="C2744" t="s">
        <v>2939</v>
      </c>
      <c r="D2744" t="e">
        <f t="shared" si="43"/>
        <v>#N/A</v>
      </c>
      <c r="E2744" t="s">
        <v>2933</v>
      </c>
    </row>
    <row r="2745" spans="1:5" x14ac:dyDescent="0.25">
      <c r="A2745">
        <v>1691</v>
      </c>
      <c r="B2745" t="e">
        <v>#N/A</v>
      </c>
      <c r="C2745" t="s">
        <v>2941</v>
      </c>
      <c r="D2745" t="e">
        <f t="shared" si="43"/>
        <v>#N/A</v>
      </c>
      <c r="E2745" t="s">
        <v>2933</v>
      </c>
    </row>
    <row r="2746" spans="1:5" x14ac:dyDescent="0.25">
      <c r="A2746">
        <v>1691</v>
      </c>
      <c r="B2746" t="e">
        <v>#N/A</v>
      </c>
      <c r="C2746" t="s">
        <v>2943</v>
      </c>
      <c r="D2746" t="e">
        <f t="shared" si="43"/>
        <v>#N/A</v>
      </c>
      <c r="E2746" t="s">
        <v>2944</v>
      </c>
    </row>
    <row r="2747" spans="1:5" x14ac:dyDescent="0.25">
      <c r="A2747">
        <v>1691</v>
      </c>
      <c r="B2747" t="e">
        <v>#N/A</v>
      </c>
      <c r="C2747" t="s">
        <v>369</v>
      </c>
      <c r="D2747" t="e">
        <f t="shared" si="43"/>
        <v>#N/A</v>
      </c>
      <c r="E2747" t="s">
        <v>2933</v>
      </c>
    </row>
    <row r="2748" spans="1:5" x14ac:dyDescent="0.25">
      <c r="A2748">
        <v>1691</v>
      </c>
      <c r="B2748" t="e">
        <v>#N/A</v>
      </c>
      <c r="C2748" t="s">
        <v>138</v>
      </c>
      <c r="D2748" t="e">
        <f t="shared" si="43"/>
        <v>#N/A</v>
      </c>
      <c r="E2748" t="s">
        <v>2944</v>
      </c>
    </row>
    <row r="2749" spans="1:5" x14ac:dyDescent="0.25">
      <c r="A2749">
        <v>1691</v>
      </c>
      <c r="B2749" t="e">
        <v>#N/A</v>
      </c>
      <c r="C2749" t="s">
        <v>2946</v>
      </c>
      <c r="D2749" t="e">
        <f t="shared" si="43"/>
        <v>#N/A</v>
      </c>
      <c r="E2749" t="s">
        <v>2933</v>
      </c>
    </row>
    <row r="2750" spans="1:5" x14ac:dyDescent="0.25">
      <c r="A2750">
        <v>1691</v>
      </c>
      <c r="B2750" t="e">
        <v>#N/A</v>
      </c>
      <c r="C2750" t="s">
        <v>2948</v>
      </c>
      <c r="D2750" t="e">
        <f t="shared" si="43"/>
        <v>#N/A</v>
      </c>
      <c r="E2750" t="s">
        <v>2933</v>
      </c>
    </row>
    <row r="2751" spans="1:5" x14ac:dyDescent="0.25">
      <c r="A2751">
        <v>1691</v>
      </c>
      <c r="B2751" t="e">
        <v>#N/A</v>
      </c>
      <c r="C2751" t="s">
        <v>2950</v>
      </c>
      <c r="D2751" t="e">
        <f t="shared" si="43"/>
        <v>#N/A</v>
      </c>
      <c r="E2751" t="s">
        <v>2933</v>
      </c>
    </row>
    <row r="2752" spans="1:5" x14ac:dyDescent="0.25">
      <c r="A2752">
        <v>1691</v>
      </c>
      <c r="B2752" t="e">
        <v>#N/A</v>
      </c>
      <c r="C2752" t="s">
        <v>406</v>
      </c>
      <c r="D2752" t="e">
        <f t="shared" si="43"/>
        <v>#N/A</v>
      </c>
      <c r="E2752" t="s">
        <v>2933</v>
      </c>
    </row>
    <row r="2753" spans="1:5" x14ac:dyDescent="0.25">
      <c r="A2753">
        <v>1691</v>
      </c>
      <c r="B2753" t="e">
        <v>#N/A</v>
      </c>
      <c r="C2753" t="s">
        <v>2955</v>
      </c>
      <c r="D2753" t="e">
        <f t="shared" si="43"/>
        <v>#N/A</v>
      </c>
      <c r="E2753" t="s">
        <v>2933</v>
      </c>
    </row>
    <row r="2754" spans="1:5" x14ac:dyDescent="0.25">
      <c r="A2754">
        <v>1691</v>
      </c>
      <c r="B2754" t="e">
        <v>#N/A</v>
      </c>
      <c r="C2754" t="s">
        <v>2956</v>
      </c>
      <c r="D2754" t="e">
        <f t="shared" si="43"/>
        <v>#N/A</v>
      </c>
      <c r="E2754" t="s">
        <v>2933</v>
      </c>
    </row>
    <row r="2755" spans="1:5" x14ac:dyDescent="0.25">
      <c r="A2755">
        <v>1691</v>
      </c>
      <c r="B2755" t="e">
        <v>#N/A</v>
      </c>
      <c r="C2755" t="s">
        <v>431</v>
      </c>
      <c r="D2755" t="e">
        <f t="shared" si="43"/>
        <v>#N/A</v>
      </c>
      <c r="E2755" t="s">
        <v>2933</v>
      </c>
    </row>
    <row r="2756" spans="1:5" x14ac:dyDescent="0.25">
      <c r="A2756">
        <v>1691</v>
      </c>
      <c r="B2756" t="e">
        <v>#N/A</v>
      </c>
      <c r="C2756" t="s">
        <v>441</v>
      </c>
      <c r="D2756" t="e">
        <f t="shared" si="43"/>
        <v>#N/A</v>
      </c>
      <c r="E2756" t="s">
        <v>2933</v>
      </c>
    </row>
    <row r="2757" spans="1:5" x14ac:dyDescent="0.25">
      <c r="A2757">
        <v>1691</v>
      </c>
      <c r="B2757" t="e">
        <v>#N/A</v>
      </c>
      <c r="C2757" t="s">
        <v>2960</v>
      </c>
      <c r="D2757" t="e">
        <f t="shared" ref="D2757:D2820" si="44">CONCATENATE(B2757,LEFT(C2757,4))</f>
        <v>#N/A</v>
      </c>
      <c r="E2757" t="s">
        <v>2958</v>
      </c>
    </row>
    <row r="2758" spans="1:5" x14ac:dyDescent="0.25">
      <c r="A2758">
        <v>1691</v>
      </c>
      <c r="B2758" t="e">
        <v>#N/A</v>
      </c>
      <c r="C2758" t="s">
        <v>2961</v>
      </c>
      <c r="D2758" t="e">
        <f t="shared" si="44"/>
        <v>#N/A</v>
      </c>
      <c r="E2758" t="s">
        <v>2933</v>
      </c>
    </row>
    <row r="2759" spans="1:5" x14ac:dyDescent="0.25">
      <c r="A2759">
        <v>1691</v>
      </c>
      <c r="B2759" t="e">
        <v>#N/A</v>
      </c>
      <c r="C2759" t="s">
        <v>487</v>
      </c>
      <c r="D2759" t="e">
        <f t="shared" si="44"/>
        <v>#N/A</v>
      </c>
      <c r="E2759" t="s">
        <v>2933</v>
      </c>
    </row>
    <row r="2760" spans="1:5" x14ac:dyDescent="0.25">
      <c r="A2760">
        <v>1691</v>
      </c>
      <c r="B2760" t="e">
        <v>#N/A</v>
      </c>
      <c r="C2760" t="s">
        <v>491</v>
      </c>
      <c r="D2760" t="e">
        <f t="shared" si="44"/>
        <v>#N/A</v>
      </c>
      <c r="E2760" t="s">
        <v>2933</v>
      </c>
    </row>
    <row r="2761" spans="1:5" x14ac:dyDescent="0.25">
      <c r="A2761">
        <v>1691</v>
      </c>
      <c r="B2761" t="e">
        <v>#N/A</v>
      </c>
      <c r="C2761" t="s">
        <v>227</v>
      </c>
      <c r="D2761" t="e">
        <f t="shared" si="44"/>
        <v>#N/A</v>
      </c>
      <c r="E2761" t="s">
        <v>2968</v>
      </c>
    </row>
    <row r="2762" spans="1:5" x14ac:dyDescent="0.25">
      <c r="A2762">
        <v>1691</v>
      </c>
      <c r="B2762" t="e">
        <v>#N/A</v>
      </c>
      <c r="C2762" t="s">
        <v>54</v>
      </c>
      <c r="D2762" t="e">
        <f t="shared" si="44"/>
        <v>#N/A</v>
      </c>
      <c r="E2762" t="s">
        <v>44</v>
      </c>
    </row>
    <row r="2763" spans="1:5" x14ac:dyDescent="0.25">
      <c r="A2763">
        <v>1691</v>
      </c>
      <c r="B2763" t="e">
        <v>#N/A</v>
      </c>
      <c r="C2763" t="s">
        <v>2975</v>
      </c>
      <c r="D2763" t="e">
        <f t="shared" si="44"/>
        <v>#N/A</v>
      </c>
      <c r="E2763" t="s">
        <v>44</v>
      </c>
    </row>
    <row r="2764" spans="1:5" x14ac:dyDescent="0.25">
      <c r="A2764">
        <v>1691</v>
      </c>
      <c r="B2764" t="e">
        <v>#N/A</v>
      </c>
      <c r="C2764" t="s">
        <v>2977</v>
      </c>
      <c r="D2764" t="e">
        <f t="shared" si="44"/>
        <v>#N/A</v>
      </c>
      <c r="E2764" t="s">
        <v>44</v>
      </c>
    </row>
    <row r="2765" spans="1:5" x14ac:dyDescent="0.25">
      <c r="A2765">
        <v>1691</v>
      </c>
      <c r="B2765" t="e">
        <v>#N/A</v>
      </c>
      <c r="C2765" t="s">
        <v>309</v>
      </c>
      <c r="D2765" t="e">
        <f t="shared" si="44"/>
        <v>#N/A</v>
      </c>
      <c r="E2765" t="s">
        <v>44</v>
      </c>
    </row>
    <row r="2766" spans="1:5" x14ac:dyDescent="0.25">
      <c r="A2766">
        <v>1691</v>
      </c>
      <c r="B2766" t="e">
        <v>#N/A</v>
      </c>
      <c r="C2766" t="s">
        <v>3012</v>
      </c>
      <c r="D2766" t="e">
        <f t="shared" si="44"/>
        <v>#N/A</v>
      </c>
      <c r="E2766" t="s">
        <v>65</v>
      </c>
    </row>
    <row r="2767" spans="1:5" x14ac:dyDescent="0.25">
      <c r="A2767">
        <v>1691</v>
      </c>
      <c r="B2767" t="e">
        <v>#N/A</v>
      </c>
      <c r="C2767" t="s">
        <v>297</v>
      </c>
      <c r="D2767" t="e">
        <f t="shared" si="44"/>
        <v>#N/A</v>
      </c>
      <c r="E2767" t="s">
        <v>44</v>
      </c>
    </row>
    <row r="2768" spans="1:5" x14ac:dyDescent="0.25">
      <c r="A2768">
        <v>1691</v>
      </c>
      <c r="B2768" t="e">
        <v>#N/A</v>
      </c>
      <c r="C2768" t="s">
        <v>355</v>
      </c>
      <c r="D2768" t="e">
        <f t="shared" si="44"/>
        <v>#N/A</v>
      </c>
      <c r="E2768" t="s">
        <v>2968</v>
      </c>
    </row>
    <row r="2769" spans="1:5" x14ac:dyDescent="0.25">
      <c r="A2769">
        <v>1691</v>
      </c>
      <c r="B2769" t="e">
        <v>#N/A</v>
      </c>
      <c r="C2769" t="s">
        <v>3021</v>
      </c>
      <c r="D2769" t="e">
        <f t="shared" si="44"/>
        <v>#N/A</v>
      </c>
      <c r="E2769" t="s">
        <v>3107</v>
      </c>
    </row>
    <row r="2770" spans="1:5" x14ac:dyDescent="0.25">
      <c r="A2770">
        <v>1691</v>
      </c>
      <c r="B2770" t="e">
        <v>#N/A</v>
      </c>
      <c r="C2770" t="s">
        <v>2979</v>
      </c>
      <c r="D2770" t="e">
        <f t="shared" si="44"/>
        <v>#N/A</v>
      </c>
      <c r="E2770" t="s">
        <v>2968</v>
      </c>
    </row>
    <row r="2771" spans="1:5" x14ac:dyDescent="0.25">
      <c r="A2771">
        <v>1691</v>
      </c>
      <c r="B2771" t="e">
        <v>#N/A</v>
      </c>
      <c r="C2771" t="s">
        <v>3050</v>
      </c>
      <c r="D2771" t="e">
        <f t="shared" si="44"/>
        <v>#N/A</v>
      </c>
      <c r="E2771" t="s">
        <v>2981</v>
      </c>
    </row>
    <row r="2772" spans="1:5" x14ac:dyDescent="0.25">
      <c r="A2772">
        <v>1691</v>
      </c>
      <c r="B2772" t="e">
        <v>#N/A</v>
      </c>
      <c r="C2772" t="s">
        <v>2983</v>
      </c>
      <c r="D2772" t="e">
        <f t="shared" si="44"/>
        <v>#N/A</v>
      </c>
      <c r="E2772" t="s">
        <v>117</v>
      </c>
    </row>
    <row r="2773" spans="1:5" x14ac:dyDescent="0.25">
      <c r="A2773">
        <v>1691</v>
      </c>
      <c r="B2773" t="e">
        <v>#N/A</v>
      </c>
      <c r="C2773" t="s">
        <v>2985</v>
      </c>
      <c r="D2773" t="e">
        <f t="shared" si="44"/>
        <v>#N/A</v>
      </c>
      <c r="E2773" t="s">
        <v>117</v>
      </c>
    </row>
    <row r="2774" spans="1:5" x14ac:dyDescent="0.25">
      <c r="A2774">
        <v>1691</v>
      </c>
      <c r="B2774" t="e">
        <v>#N/A</v>
      </c>
      <c r="C2774" t="s">
        <v>233</v>
      </c>
      <c r="D2774" t="e">
        <f t="shared" si="44"/>
        <v>#N/A</v>
      </c>
      <c r="E2774" t="s">
        <v>2926</v>
      </c>
    </row>
    <row r="2775" spans="1:5" x14ac:dyDescent="0.25">
      <c r="A2775">
        <v>1691</v>
      </c>
      <c r="B2775" t="e">
        <v>#N/A</v>
      </c>
      <c r="C2775" t="s">
        <v>2988</v>
      </c>
      <c r="D2775" t="e">
        <f t="shared" si="44"/>
        <v>#N/A</v>
      </c>
      <c r="E2775" t="s">
        <v>2968</v>
      </c>
    </row>
    <row r="2776" spans="1:5" x14ac:dyDescent="0.25">
      <c r="A2776">
        <v>1691</v>
      </c>
      <c r="B2776" t="e">
        <v>#N/A</v>
      </c>
      <c r="C2776" t="s">
        <v>299</v>
      </c>
      <c r="D2776" t="e">
        <f t="shared" si="44"/>
        <v>#N/A</v>
      </c>
      <c r="E2776" t="s">
        <v>2968</v>
      </c>
    </row>
    <row r="2777" spans="1:5" x14ac:dyDescent="0.25">
      <c r="A2777">
        <v>1691</v>
      </c>
      <c r="B2777" t="e">
        <v>#N/A</v>
      </c>
      <c r="C2777" t="s">
        <v>346</v>
      </c>
      <c r="D2777" t="e">
        <f t="shared" si="44"/>
        <v>#N/A</v>
      </c>
      <c r="E2777" t="s">
        <v>2968</v>
      </c>
    </row>
    <row r="2778" spans="1:5" x14ac:dyDescent="0.25">
      <c r="A2778">
        <v>1691</v>
      </c>
      <c r="B2778" t="e">
        <v>#N/A</v>
      </c>
      <c r="C2778" t="s">
        <v>2991</v>
      </c>
      <c r="D2778" t="e">
        <f t="shared" si="44"/>
        <v>#N/A</v>
      </c>
      <c r="E2778" t="s">
        <v>2992</v>
      </c>
    </row>
    <row r="2779" spans="1:5" x14ac:dyDescent="0.25">
      <c r="A2779">
        <v>1691</v>
      </c>
      <c r="B2779" t="e">
        <v>#N/A</v>
      </c>
      <c r="C2779" t="s">
        <v>2994</v>
      </c>
      <c r="D2779" t="e">
        <f t="shared" si="44"/>
        <v>#N/A</v>
      </c>
      <c r="E2779" t="s">
        <v>2992</v>
      </c>
    </row>
    <row r="2780" spans="1:5" x14ac:dyDescent="0.25">
      <c r="A2780">
        <v>1691</v>
      </c>
      <c r="B2780" t="e">
        <v>#N/A</v>
      </c>
      <c r="C2780" t="s">
        <v>384</v>
      </c>
      <c r="D2780" t="e">
        <f t="shared" si="44"/>
        <v>#N/A</v>
      </c>
      <c r="E2780" t="s">
        <v>2992</v>
      </c>
    </row>
    <row r="2781" spans="1:5" x14ac:dyDescent="0.25">
      <c r="A2781">
        <v>1691</v>
      </c>
      <c r="B2781" t="e">
        <v>#N/A</v>
      </c>
      <c r="C2781" t="s">
        <v>2996</v>
      </c>
      <c r="D2781" t="e">
        <f t="shared" si="44"/>
        <v>#N/A</v>
      </c>
      <c r="E2781" t="s">
        <v>2958</v>
      </c>
    </row>
    <row r="2782" spans="1:5" x14ac:dyDescent="0.25">
      <c r="A2782">
        <v>1691</v>
      </c>
      <c r="B2782" t="e">
        <v>#N/A</v>
      </c>
      <c r="C2782" t="s">
        <v>3000</v>
      </c>
      <c r="D2782" t="e">
        <f t="shared" si="44"/>
        <v>#N/A</v>
      </c>
      <c r="E2782" t="s">
        <v>3001</v>
      </c>
    </row>
    <row r="2783" spans="1:5" x14ac:dyDescent="0.25">
      <c r="A2783">
        <v>1691</v>
      </c>
      <c r="B2783" t="e">
        <v>#N/A</v>
      </c>
      <c r="C2783" t="s">
        <v>3077</v>
      </c>
      <c r="D2783" t="e">
        <f t="shared" si="44"/>
        <v>#N/A</v>
      </c>
      <c r="E2783" t="s">
        <v>3107</v>
      </c>
    </row>
    <row r="2784" spans="1:5" x14ac:dyDescent="0.25">
      <c r="A2784">
        <v>1691</v>
      </c>
      <c r="B2784" t="e">
        <v>#N/A</v>
      </c>
      <c r="C2784" t="s">
        <v>3002</v>
      </c>
      <c r="D2784" t="e">
        <f t="shared" si="44"/>
        <v>#N/A</v>
      </c>
      <c r="E2784" t="s">
        <v>3001</v>
      </c>
    </row>
    <row r="2785" spans="1:5" x14ac:dyDescent="0.25">
      <c r="A2785">
        <v>1691</v>
      </c>
      <c r="B2785" t="e">
        <v>#N/A</v>
      </c>
      <c r="C2785" t="s">
        <v>438</v>
      </c>
      <c r="D2785" t="e">
        <f t="shared" si="44"/>
        <v>#N/A</v>
      </c>
      <c r="E2785" t="s">
        <v>3006</v>
      </c>
    </row>
    <row r="2786" spans="1:5" x14ac:dyDescent="0.25">
      <c r="A2786">
        <v>1691</v>
      </c>
      <c r="B2786" t="e">
        <v>#N/A</v>
      </c>
      <c r="C2786" t="s">
        <v>443</v>
      </c>
      <c r="D2786" t="e">
        <f t="shared" si="44"/>
        <v>#N/A</v>
      </c>
      <c r="E2786" t="s">
        <v>3006</v>
      </c>
    </row>
    <row r="2787" spans="1:5" x14ac:dyDescent="0.25">
      <c r="A2787">
        <v>1691</v>
      </c>
      <c r="B2787" t="e">
        <v>#N/A</v>
      </c>
      <c r="C2787" t="s">
        <v>3008</v>
      </c>
      <c r="D2787" t="e">
        <f t="shared" si="44"/>
        <v>#N/A</v>
      </c>
      <c r="E2787" t="s">
        <v>3009</v>
      </c>
    </row>
    <row r="2788" spans="1:5" x14ac:dyDescent="0.25">
      <c r="A2788">
        <v>1691</v>
      </c>
      <c r="B2788" t="e">
        <v>#N/A</v>
      </c>
      <c r="C2788" t="s">
        <v>458</v>
      </c>
      <c r="D2788" t="e">
        <f t="shared" si="44"/>
        <v>#N/A</v>
      </c>
      <c r="E2788" t="s">
        <v>3006</v>
      </c>
    </row>
    <row r="2789" spans="1:5" x14ac:dyDescent="0.25">
      <c r="A2789">
        <v>1691</v>
      </c>
      <c r="B2789" t="e">
        <v>#N/A</v>
      </c>
      <c r="C2789" t="s">
        <v>1481</v>
      </c>
      <c r="D2789" t="e">
        <f t="shared" si="44"/>
        <v>#N/A</v>
      </c>
      <c r="E2789" t="s">
        <v>2968</v>
      </c>
    </row>
    <row r="2790" spans="1:5" x14ac:dyDescent="0.25">
      <c r="A2790">
        <v>1691</v>
      </c>
      <c r="B2790" t="e">
        <v>#N/A</v>
      </c>
      <c r="C2790" t="s">
        <v>3017</v>
      </c>
      <c r="D2790" t="e">
        <f t="shared" si="44"/>
        <v>#N/A</v>
      </c>
      <c r="E2790" t="s">
        <v>94</v>
      </c>
    </row>
    <row r="2791" spans="1:5" x14ac:dyDescent="0.25">
      <c r="A2791">
        <v>1691</v>
      </c>
      <c r="B2791" t="e">
        <v>#N/A</v>
      </c>
      <c r="C2791" t="s">
        <v>3088</v>
      </c>
      <c r="D2791" t="e">
        <f t="shared" si="44"/>
        <v>#N/A</v>
      </c>
      <c r="E2791" t="s">
        <v>3107</v>
      </c>
    </row>
    <row r="2792" spans="1:5" x14ac:dyDescent="0.25">
      <c r="A2792">
        <v>1691</v>
      </c>
      <c r="B2792" t="e">
        <v>#N/A</v>
      </c>
      <c r="C2792" t="s">
        <v>3019</v>
      </c>
      <c r="D2792" t="e">
        <f t="shared" si="44"/>
        <v>#N/A</v>
      </c>
      <c r="E2792" t="s">
        <v>3009</v>
      </c>
    </row>
    <row r="2793" spans="1:5" x14ac:dyDescent="0.25">
      <c r="A2793">
        <v>1691</v>
      </c>
      <c r="B2793" t="e">
        <v>#N/A</v>
      </c>
      <c r="C2793" t="s">
        <v>3020</v>
      </c>
      <c r="D2793" t="e">
        <f t="shared" si="44"/>
        <v>#N/A</v>
      </c>
      <c r="E2793" t="s">
        <v>2958</v>
      </c>
    </row>
    <row r="2794" spans="1:5" x14ac:dyDescent="0.25">
      <c r="A2794">
        <v>1691</v>
      </c>
      <c r="B2794" t="e">
        <v>#N/A</v>
      </c>
      <c r="C2794" t="s">
        <v>488</v>
      </c>
      <c r="D2794" t="e">
        <f t="shared" si="44"/>
        <v>#N/A</v>
      </c>
      <c r="E2794" t="s">
        <v>3235</v>
      </c>
    </row>
    <row r="2795" spans="1:5" x14ac:dyDescent="0.25">
      <c r="A2795">
        <v>1691</v>
      </c>
      <c r="B2795" t="e">
        <v>#N/A</v>
      </c>
      <c r="C2795" t="s">
        <v>3098</v>
      </c>
      <c r="D2795" t="e">
        <f t="shared" si="44"/>
        <v>#N/A</v>
      </c>
      <c r="E2795" t="s">
        <v>65</v>
      </c>
    </row>
    <row r="2796" spans="1:5" x14ac:dyDescent="0.25">
      <c r="A2796">
        <v>1691</v>
      </c>
      <c r="B2796" t="e">
        <v>#N/A</v>
      </c>
      <c r="C2796" t="s">
        <v>496</v>
      </c>
      <c r="D2796" t="e">
        <f t="shared" si="44"/>
        <v>#N/A</v>
      </c>
      <c r="E2796" t="s">
        <v>3004</v>
      </c>
    </row>
    <row r="2797" spans="1:5" x14ac:dyDescent="0.25">
      <c r="A2797">
        <v>1691</v>
      </c>
      <c r="B2797" t="e">
        <v>#N/A</v>
      </c>
      <c r="C2797" t="s">
        <v>499</v>
      </c>
      <c r="D2797" t="e">
        <f t="shared" si="44"/>
        <v>#N/A</v>
      </c>
      <c r="E2797" t="s">
        <v>2968</v>
      </c>
    </row>
    <row r="2798" spans="1:5" x14ac:dyDescent="0.25">
      <c r="A2798">
        <v>1691</v>
      </c>
      <c r="B2798" t="e">
        <v>#N/A</v>
      </c>
      <c r="C2798" t="s">
        <v>3025</v>
      </c>
      <c r="D2798" t="e">
        <f t="shared" si="44"/>
        <v>#N/A</v>
      </c>
      <c r="E2798" t="s">
        <v>2968</v>
      </c>
    </row>
    <row r="2799" spans="1:5" x14ac:dyDescent="0.25">
      <c r="A2799">
        <v>1691</v>
      </c>
      <c r="B2799" t="e">
        <v>#N/A</v>
      </c>
      <c r="C2799" t="s">
        <v>3102</v>
      </c>
      <c r="D2799" t="e">
        <f t="shared" si="44"/>
        <v>#N/A</v>
      </c>
      <c r="E2799" t="s">
        <v>103</v>
      </c>
    </row>
    <row r="2800" spans="1:5" x14ac:dyDescent="0.25">
      <c r="A2800">
        <v>1691</v>
      </c>
      <c r="B2800" t="e">
        <v>#N/A</v>
      </c>
      <c r="C2800" t="s">
        <v>3027</v>
      </c>
      <c r="D2800" t="e">
        <f t="shared" si="44"/>
        <v>#N/A</v>
      </c>
      <c r="E2800" t="s">
        <v>103</v>
      </c>
    </row>
    <row r="2801" spans="1:5" x14ac:dyDescent="0.25">
      <c r="A2801">
        <v>1691</v>
      </c>
      <c r="B2801" t="e">
        <v>#N/A</v>
      </c>
      <c r="C2801" t="s">
        <v>1154</v>
      </c>
      <c r="D2801" t="e">
        <f t="shared" si="44"/>
        <v>#N/A</v>
      </c>
      <c r="E2801" t="s">
        <v>2992</v>
      </c>
    </row>
    <row r="2802" spans="1:5" x14ac:dyDescent="0.25">
      <c r="A2802">
        <v>1691</v>
      </c>
      <c r="B2802" t="e">
        <v>#N/A</v>
      </c>
      <c r="C2802" t="s">
        <v>3031</v>
      </c>
      <c r="D2802" t="e">
        <f t="shared" si="44"/>
        <v>#N/A</v>
      </c>
      <c r="E2802" t="s">
        <v>3009</v>
      </c>
    </row>
    <row r="2803" spans="1:5" x14ac:dyDescent="0.25">
      <c r="A2803">
        <v>1691</v>
      </c>
      <c r="B2803" t="e">
        <v>#N/A</v>
      </c>
      <c r="C2803" t="s">
        <v>3036</v>
      </c>
      <c r="D2803" t="e">
        <f t="shared" si="44"/>
        <v>#N/A</v>
      </c>
      <c r="E2803" t="s">
        <v>2958</v>
      </c>
    </row>
    <row r="2804" spans="1:5" x14ac:dyDescent="0.25">
      <c r="A2804">
        <v>1691</v>
      </c>
      <c r="B2804" t="e">
        <v>#N/A</v>
      </c>
      <c r="C2804" t="s">
        <v>3040</v>
      </c>
      <c r="D2804" t="e">
        <f t="shared" si="44"/>
        <v>#N/A</v>
      </c>
      <c r="E2804" t="s">
        <v>2968</v>
      </c>
    </row>
    <row r="2805" spans="1:5" x14ac:dyDescent="0.25">
      <c r="A2805">
        <v>1691</v>
      </c>
      <c r="B2805" t="e">
        <v>#N/A</v>
      </c>
      <c r="C2805" t="s">
        <v>3041</v>
      </c>
      <c r="D2805" t="e">
        <f t="shared" si="44"/>
        <v>#N/A</v>
      </c>
      <c r="E2805" t="s">
        <v>3009</v>
      </c>
    </row>
    <row r="2806" spans="1:5" x14ac:dyDescent="0.25">
      <c r="A2806">
        <v>1691</v>
      </c>
      <c r="B2806" t="e">
        <v>#N/A</v>
      </c>
      <c r="C2806" t="s">
        <v>3043</v>
      </c>
      <c r="D2806" t="e">
        <f t="shared" si="44"/>
        <v>#N/A</v>
      </c>
      <c r="E2806" t="s">
        <v>94</v>
      </c>
    </row>
    <row r="2807" spans="1:5" x14ac:dyDescent="0.25">
      <c r="A2807">
        <v>1691</v>
      </c>
      <c r="B2807" t="e">
        <v>#N/A</v>
      </c>
      <c r="C2807" t="s">
        <v>3045</v>
      </c>
      <c r="D2807" t="e">
        <f t="shared" si="44"/>
        <v>#N/A</v>
      </c>
      <c r="E2807" t="s">
        <v>3009</v>
      </c>
    </row>
    <row r="2808" spans="1:5" x14ac:dyDescent="0.25">
      <c r="A2808">
        <v>1691</v>
      </c>
      <c r="B2808" t="e">
        <v>#N/A</v>
      </c>
      <c r="C2808" t="s">
        <v>3047</v>
      </c>
      <c r="D2808" t="e">
        <f t="shared" si="44"/>
        <v>#N/A</v>
      </c>
      <c r="E2808" t="s">
        <v>3009</v>
      </c>
    </row>
    <row r="2809" spans="1:5" x14ac:dyDescent="0.25">
      <c r="A2809">
        <v>1691</v>
      </c>
      <c r="B2809" t="e">
        <v>#N/A</v>
      </c>
      <c r="C2809" t="s">
        <v>3123</v>
      </c>
      <c r="D2809" t="e">
        <f t="shared" si="44"/>
        <v>#N/A</v>
      </c>
      <c r="E2809" t="s">
        <v>2968</v>
      </c>
    </row>
    <row r="2810" spans="1:5" x14ac:dyDescent="0.25">
      <c r="A2810">
        <v>1691</v>
      </c>
      <c r="B2810" t="e">
        <v>#N/A</v>
      </c>
      <c r="C2810" t="s">
        <v>3128</v>
      </c>
      <c r="D2810" t="e">
        <f t="shared" si="44"/>
        <v>#N/A</v>
      </c>
      <c r="E2810" t="s">
        <v>3239</v>
      </c>
    </row>
    <row r="2811" spans="1:5" x14ac:dyDescent="0.25">
      <c r="A2811">
        <v>1691</v>
      </c>
      <c r="B2811" t="e">
        <v>#N/A</v>
      </c>
      <c r="C2811" t="s">
        <v>3048</v>
      </c>
      <c r="D2811" t="e">
        <f t="shared" si="44"/>
        <v>#N/A</v>
      </c>
      <c r="E2811" t="s">
        <v>3049</v>
      </c>
    </row>
    <row r="2812" spans="1:5" x14ac:dyDescent="0.25">
      <c r="A2812">
        <v>1691</v>
      </c>
      <c r="B2812" t="e">
        <v>#N/A</v>
      </c>
      <c r="C2812" t="s">
        <v>265</v>
      </c>
      <c r="D2812" t="e">
        <f t="shared" si="44"/>
        <v>#N/A</v>
      </c>
      <c r="E2812" t="s">
        <v>3049</v>
      </c>
    </row>
    <row r="2813" spans="1:5" x14ac:dyDescent="0.25">
      <c r="A2813">
        <v>1691</v>
      </c>
      <c r="B2813" t="e">
        <v>#N/A</v>
      </c>
      <c r="C2813" t="s">
        <v>3240</v>
      </c>
      <c r="D2813" t="e">
        <f t="shared" si="44"/>
        <v>#N/A</v>
      </c>
      <c r="E2813" t="s">
        <v>2926</v>
      </c>
    </row>
    <row r="2814" spans="1:5" x14ac:dyDescent="0.25">
      <c r="A2814">
        <v>1691</v>
      </c>
      <c r="B2814" t="e">
        <v>#N/A</v>
      </c>
      <c r="C2814" t="s">
        <v>288</v>
      </c>
      <c r="D2814" t="e">
        <f t="shared" si="44"/>
        <v>#N/A</v>
      </c>
      <c r="E2814" t="s">
        <v>3055</v>
      </c>
    </row>
    <row r="2815" spans="1:5" x14ac:dyDescent="0.25">
      <c r="A2815">
        <v>1691</v>
      </c>
      <c r="B2815" t="e">
        <v>#N/A</v>
      </c>
      <c r="C2815" t="s">
        <v>329</v>
      </c>
      <c r="D2815" t="e">
        <f t="shared" si="44"/>
        <v>#N/A</v>
      </c>
      <c r="E2815" t="s">
        <v>3057</v>
      </c>
    </row>
    <row r="2816" spans="1:5" x14ac:dyDescent="0.25">
      <c r="A2816">
        <v>1691</v>
      </c>
      <c r="B2816" t="e">
        <v>#N/A</v>
      </c>
      <c r="C2816" t="s">
        <v>3058</v>
      </c>
      <c r="D2816" t="e">
        <f t="shared" si="44"/>
        <v>#N/A</v>
      </c>
      <c r="E2816" t="s">
        <v>3057</v>
      </c>
    </row>
    <row r="2817" spans="1:5" x14ac:dyDescent="0.25">
      <c r="A2817">
        <v>1691</v>
      </c>
      <c r="B2817" t="e">
        <v>#N/A</v>
      </c>
      <c r="C2817" t="s">
        <v>3060</v>
      </c>
      <c r="D2817" t="e">
        <f t="shared" si="44"/>
        <v>#N/A</v>
      </c>
      <c r="E2817" t="s">
        <v>3057</v>
      </c>
    </row>
    <row r="2818" spans="1:5" x14ac:dyDescent="0.25">
      <c r="A2818">
        <v>1691</v>
      </c>
      <c r="B2818" t="e">
        <v>#N/A</v>
      </c>
      <c r="C2818" t="s">
        <v>359</v>
      </c>
      <c r="D2818" t="e">
        <f t="shared" si="44"/>
        <v>#N/A</v>
      </c>
      <c r="E2818" t="s">
        <v>3055</v>
      </c>
    </row>
    <row r="2819" spans="1:5" x14ac:dyDescent="0.25">
      <c r="A2819">
        <v>1691</v>
      </c>
      <c r="B2819" t="e">
        <v>#N/A</v>
      </c>
      <c r="C2819" t="s">
        <v>3064</v>
      </c>
      <c r="D2819" t="e">
        <f t="shared" si="44"/>
        <v>#N/A</v>
      </c>
      <c r="E2819" t="s">
        <v>3055</v>
      </c>
    </row>
    <row r="2820" spans="1:5" x14ac:dyDescent="0.25">
      <c r="A2820">
        <v>1691</v>
      </c>
      <c r="B2820" t="e">
        <v>#N/A</v>
      </c>
      <c r="C2820" t="s">
        <v>391</v>
      </c>
      <c r="D2820" t="e">
        <f t="shared" si="44"/>
        <v>#N/A</v>
      </c>
      <c r="E2820" t="s">
        <v>3055</v>
      </c>
    </row>
    <row r="2821" spans="1:5" x14ac:dyDescent="0.25">
      <c r="A2821">
        <v>1691</v>
      </c>
      <c r="B2821" t="e">
        <v>#N/A</v>
      </c>
      <c r="C2821" t="s">
        <v>409</v>
      </c>
      <c r="D2821" t="e">
        <f t="shared" ref="D2821:D2884" si="45">CONCATENATE(B2821,LEFT(C2821,4))</f>
        <v>#N/A</v>
      </c>
      <c r="E2821" t="s">
        <v>3067</v>
      </c>
    </row>
    <row r="2822" spans="1:5" x14ac:dyDescent="0.25">
      <c r="A2822">
        <v>1691</v>
      </c>
      <c r="B2822" t="e">
        <v>#N/A</v>
      </c>
      <c r="C2822" t="s">
        <v>3074</v>
      </c>
      <c r="D2822" t="e">
        <f t="shared" si="45"/>
        <v>#N/A</v>
      </c>
      <c r="E2822" t="s">
        <v>3075</v>
      </c>
    </row>
    <row r="2823" spans="1:5" x14ac:dyDescent="0.25">
      <c r="A2823">
        <v>1691</v>
      </c>
      <c r="B2823" t="e">
        <v>#N/A</v>
      </c>
      <c r="C2823" t="s">
        <v>331</v>
      </c>
      <c r="D2823" t="e">
        <f t="shared" si="45"/>
        <v>#N/A</v>
      </c>
      <c r="E2823" t="s">
        <v>3076</v>
      </c>
    </row>
    <row r="2824" spans="1:5" x14ac:dyDescent="0.25">
      <c r="A2824">
        <v>1691</v>
      </c>
      <c r="B2824" t="e">
        <v>#N/A</v>
      </c>
      <c r="C2824" t="s">
        <v>392</v>
      </c>
      <c r="D2824" t="e">
        <f t="shared" si="45"/>
        <v>#N/A</v>
      </c>
      <c r="E2824" t="s">
        <v>2968</v>
      </c>
    </row>
    <row r="2825" spans="1:5" x14ac:dyDescent="0.25">
      <c r="A2825">
        <v>1691</v>
      </c>
      <c r="B2825" t="e">
        <v>#N/A</v>
      </c>
      <c r="C2825" t="s">
        <v>3079</v>
      </c>
      <c r="D2825" t="e">
        <f t="shared" si="45"/>
        <v>#N/A</v>
      </c>
      <c r="E2825" t="s">
        <v>2968</v>
      </c>
    </row>
    <row r="2826" spans="1:5" x14ac:dyDescent="0.25">
      <c r="A2826">
        <v>1701</v>
      </c>
      <c r="B2826" t="e">
        <v>#N/A</v>
      </c>
      <c r="C2826" t="s">
        <v>2928</v>
      </c>
      <c r="D2826" t="e">
        <f t="shared" si="45"/>
        <v>#N/A</v>
      </c>
      <c r="E2826" t="s">
        <v>44</v>
      </c>
    </row>
    <row r="2827" spans="1:5" x14ac:dyDescent="0.25">
      <c r="A2827">
        <v>1701</v>
      </c>
      <c r="B2827" t="e">
        <v>#N/A</v>
      </c>
      <c r="C2827" t="s">
        <v>2937</v>
      </c>
      <c r="D2827" t="e">
        <f t="shared" si="45"/>
        <v>#N/A</v>
      </c>
      <c r="E2827" t="s">
        <v>2933</v>
      </c>
    </row>
    <row r="2828" spans="1:5" x14ac:dyDescent="0.25">
      <c r="A2828">
        <v>1701</v>
      </c>
      <c r="B2828" t="e">
        <v>#N/A</v>
      </c>
      <c r="C2828" t="s">
        <v>2950</v>
      </c>
      <c r="D2828" t="e">
        <f t="shared" si="45"/>
        <v>#N/A</v>
      </c>
      <c r="E2828" t="s">
        <v>2933</v>
      </c>
    </row>
    <row r="2829" spans="1:5" x14ac:dyDescent="0.25">
      <c r="A2829">
        <v>1701</v>
      </c>
      <c r="B2829" t="e">
        <v>#N/A</v>
      </c>
      <c r="C2829" t="s">
        <v>2960</v>
      </c>
      <c r="D2829" t="e">
        <f t="shared" si="45"/>
        <v>#N/A</v>
      </c>
      <c r="E2829" t="s">
        <v>2958</v>
      </c>
    </row>
    <row r="2830" spans="1:5" x14ac:dyDescent="0.25">
      <c r="A2830">
        <v>1701</v>
      </c>
      <c r="B2830" t="e">
        <v>#N/A</v>
      </c>
      <c r="C2830" t="s">
        <v>54</v>
      </c>
      <c r="D2830" t="e">
        <f t="shared" si="45"/>
        <v>#N/A</v>
      </c>
      <c r="E2830" t="s">
        <v>44</v>
      </c>
    </row>
    <row r="2831" spans="1:5" x14ac:dyDescent="0.25">
      <c r="A2831">
        <v>1701</v>
      </c>
      <c r="B2831" t="e">
        <v>#N/A</v>
      </c>
      <c r="C2831" t="s">
        <v>2975</v>
      </c>
      <c r="D2831" t="e">
        <f t="shared" si="45"/>
        <v>#N/A</v>
      </c>
      <c r="E2831" t="s">
        <v>44</v>
      </c>
    </row>
    <row r="2832" spans="1:5" x14ac:dyDescent="0.25">
      <c r="A2832">
        <v>1701</v>
      </c>
      <c r="B2832" t="e">
        <v>#N/A</v>
      </c>
      <c r="C2832" t="s">
        <v>2977</v>
      </c>
      <c r="D2832" t="e">
        <f t="shared" si="45"/>
        <v>#N/A</v>
      </c>
      <c r="E2832" t="s">
        <v>44</v>
      </c>
    </row>
    <row r="2833" spans="1:5" x14ac:dyDescent="0.25">
      <c r="A2833">
        <v>1701</v>
      </c>
      <c r="B2833" t="e">
        <v>#N/A</v>
      </c>
      <c r="C2833" t="s">
        <v>297</v>
      </c>
      <c r="D2833" t="e">
        <f t="shared" si="45"/>
        <v>#N/A</v>
      </c>
      <c r="E2833" t="s">
        <v>44</v>
      </c>
    </row>
    <row r="2834" spans="1:5" x14ac:dyDescent="0.25">
      <c r="A2834">
        <v>1701</v>
      </c>
      <c r="B2834" t="e">
        <v>#N/A</v>
      </c>
      <c r="C2834" t="s">
        <v>355</v>
      </c>
      <c r="D2834" t="e">
        <f t="shared" si="45"/>
        <v>#N/A</v>
      </c>
      <c r="E2834" t="s">
        <v>2968</v>
      </c>
    </row>
    <row r="2835" spans="1:5" x14ac:dyDescent="0.25">
      <c r="A2835">
        <v>1701</v>
      </c>
      <c r="B2835" t="e">
        <v>#N/A</v>
      </c>
      <c r="C2835" t="s">
        <v>2979</v>
      </c>
      <c r="D2835" t="e">
        <f t="shared" si="45"/>
        <v>#N/A</v>
      </c>
      <c r="E2835" t="s">
        <v>2968</v>
      </c>
    </row>
    <row r="2836" spans="1:5" x14ac:dyDescent="0.25">
      <c r="A2836">
        <v>1701</v>
      </c>
      <c r="B2836" t="e">
        <v>#N/A</v>
      </c>
      <c r="C2836" t="s">
        <v>2985</v>
      </c>
      <c r="D2836" t="e">
        <f t="shared" si="45"/>
        <v>#N/A</v>
      </c>
      <c r="E2836" t="s">
        <v>117</v>
      </c>
    </row>
    <row r="2837" spans="1:5" x14ac:dyDescent="0.25">
      <c r="A2837">
        <v>1701</v>
      </c>
      <c r="B2837" t="e">
        <v>#N/A</v>
      </c>
      <c r="C2837" t="s">
        <v>2996</v>
      </c>
      <c r="D2837" t="e">
        <f t="shared" si="45"/>
        <v>#N/A</v>
      </c>
      <c r="E2837" t="s">
        <v>2958</v>
      </c>
    </row>
    <row r="2838" spans="1:5" x14ac:dyDescent="0.25">
      <c r="A2838">
        <v>1701</v>
      </c>
      <c r="B2838" t="e">
        <v>#N/A</v>
      </c>
      <c r="C2838" t="s">
        <v>2998</v>
      </c>
      <c r="D2838" t="e">
        <f t="shared" si="45"/>
        <v>#N/A</v>
      </c>
      <c r="E2838" t="s">
        <v>2958</v>
      </c>
    </row>
    <row r="2839" spans="1:5" x14ac:dyDescent="0.25">
      <c r="A2839">
        <v>1701</v>
      </c>
      <c r="B2839" t="e">
        <v>#N/A</v>
      </c>
      <c r="C2839" t="s">
        <v>3000</v>
      </c>
      <c r="D2839" t="e">
        <f t="shared" si="45"/>
        <v>#N/A</v>
      </c>
      <c r="E2839" t="s">
        <v>3001</v>
      </c>
    </row>
    <row r="2840" spans="1:5" x14ac:dyDescent="0.25">
      <c r="A2840">
        <v>1701</v>
      </c>
      <c r="B2840" t="e">
        <v>#N/A</v>
      </c>
      <c r="C2840" t="s">
        <v>443</v>
      </c>
      <c r="D2840" t="e">
        <f t="shared" si="45"/>
        <v>#N/A</v>
      </c>
      <c r="E2840" t="s">
        <v>3006</v>
      </c>
    </row>
    <row r="2841" spans="1:5" x14ac:dyDescent="0.25">
      <c r="A2841">
        <v>1701</v>
      </c>
      <c r="B2841" t="e">
        <v>#N/A</v>
      </c>
      <c r="C2841" t="s">
        <v>3017</v>
      </c>
      <c r="D2841" t="e">
        <f t="shared" si="45"/>
        <v>#N/A</v>
      </c>
      <c r="E2841" t="s">
        <v>94</v>
      </c>
    </row>
    <row r="2842" spans="1:5" x14ac:dyDescent="0.25">
      <c r="A2842">
        <v>1701</v>
      </c>
      <c r="B2842" t="e">
        <v>#N/A</v>
      </c>
      <c r="C2842" t="s">
        <v>488</v>
      </c>
      <c r="D2842" t="e">
        <f t="shared" si="45"/>
        <v>#N/A</v>
      </c>
      <c r="E2842" t="s">
        <v>3235</v>
      </c>
    </row>
    <row r="2843" spans="1:5" x14ac:dyDescent="0.25">
      <c r="A2843">
        <v>1701</v>
      </c>
      <c r="B2843" t="e">
        <v>#N/A</v>
      </c>
      <c r="C2843" t="s">
        <v>3043</v>
      </c>
      <c r="D2843" t="e">
        <f t="shared" si="45"/>
        <v>#N/A</v>
      </c>
      <c r="E2843" t="s">
        <v>94</v>
      </c>
    </row>
    <row r="2844" spans="1:5" x14ac:dyDescent="0.25">
      <c r="A2844">
        <v>1701</v>
      </c>
      <c r="B2844" t="e">
        <v>#N/A</v>
      </c>
      <c r="C2844" t="s">
        <v>3123</v>
      </c>
      <c r="D2844" t="e">
        <f t="shared" si="45"/>
        <v>#N/A</v>
      </c>
      <c r="E2844" t="s">
        <v>2968</v>
      </c>
    </row>
    <row r="2845" spans="1:5" x14ac:dyDescent="0.25">
      <c r="A2845">
        <v>1701</v>
      </c>
      <c r="B2845" t="e">
        <v>#N/A</v>
      </c>
      <c r="C2845" t="s">
        <v>3074</v>
      </c>
      <c r="D2845" t="e">
        <f t="shared" si="45"/>
        <v>#N/A</v>
      </c>
      <c r="E2845" t="s">
        <v>3075</v>
      </c>
    </row>
    <row r="2846" spans="1:5" x14ac:dyDescent="0.25">
      <c r="A2846">
        <v>1701</v>
      </c>
      <c r="B2846" t="e">
        <v>#N/A</v>
      </c>
      <c r="C2846" t="s">
        <v>3079</v>
      </c>
      <c r="D2846" t="e">
        <f t="shared" si="45"/>
        <v>#N/A</v>
      </c>
      <c r="E2846" t="s">
        <v>2968</v>
      </c>
    </row>
    <row r="2847" spans="1:5" x14ac:dyDescent="0.25">
      <c r="A2847">
        <v>1711</v>
      </c>
      <c r="B2847" t="s">
        <v>1750</v>
      </c>
      <c r="C2847" t="s">
        <v>332</v>
      </c>
      <c r="D2847" t="str">
        <f t="shared" si="45"/>
        <v>SECOM1314</v>
      </c>
      <c r="E2847" t="s">
        <v>3081</v>
      </c>
    </row>
    <row r="2848" spans="1:5" x14ac:dyDescent="0.25">
      <c r="A2848">
        <v>1711</v>
      </c>
      <c r="B2848" t="s">
        <v>1750</v>
      </c>
      <c r="C2848" t="s">
        <v>2928</v>
      </c>
      <c r="D2848" t="str">
        <f t="shared" si="45"/>
        <v>SECOM1401</v>
      </c>
      <c r="E2848" t="s">
        <v>44</v>
      </c>
    </row>
    <row r="2849" spans="1:5" x14ac:dyDescent="0.25">
      <c r="A2849">
        <v>1711</v>
      </c>
      <c r="B2849" t="s">
        <v>1750</v>
      </c>
      <c r="C2849" t="s">
        <v>2939</v>
      </c>
      <c r="D2849" t="str">
        <f t="shared" si="45"/>
        <v>SECOM3005</v>
      </c>
      <c r="E2849" t="s">
        <v>2933</v>
      </c>
    </row>
    <row r="2850" spans="1:5" x14ac:dyDescent="0.25">
      <c r="A2850">
        <v>1711</v>
      </c>
      <c r="B2850" t="s">
        <v>1750</v>
      </c>
      <c r="C2850" t="s">
        <v>2950</v>
      </c>
      <c r="D2850" t="str">
        <f t="shared" si="45"/>
        <v>SECOM3016</v>
      </c>
      <c r="E2850" t="s">
        <v>2933</v>
      </c>
    </row>
    <row r="2851" spans="1:5" x14ac:dyDescent="0.25">
      <c r="A2851">
        <v>1711</v>
      </c>
      <c r="B2851" t="s">
        <v>1750</v>
      </c>
      <c r="C2851" t="s">
        <v>2957</v>
      </c>
      <c r="D2851" t="str">
        <f t="shared" si="45"/>
        <v>SECOM3023</v>
      </c>
      <c r="E2851" t="s">
        <v>2958</v>
      </c>
    </row>
    <row r="2852" spans="1:5" x14ac:dyDescent="0.25">
      <c r="A2852">
        <v>1711</v>
      </c>
      <c r="B2852" t="s">
        <v>1750</v>
      </c>
      <c r="C2852" t="s">
        <v>441</v>
      </c>
      <c r="D2852" t="str">
        <f t="shared" si="45"/>
        <v>SECOM3024</v>
      </c>
      <c r="E2852" t="s">
        <v>2933</v>
      </c>
    </row>
    <row r="2853" spans="1:5" x14ac:dyDescent="0.25">
      <c r="A2853">
        <v>1711</v>
      </c>
      <c r="B2853" t="s">
        <v>1750</v>
      </c>
      <c r="C2853" t="s">
        <v>2960</v>
      </c>
      <c r="D2853" t="str">
        <f t="shared" si="45"/>
        <v>SECOM3026</v>
      </c>
      <c r="E2853" t="s">
        <v>2958</v>
      </c>
    </row>
    <row r="2854" spans="1:5" x14ac:dyDescent="0.25">
      <c r="A2854">
        <v>1711</v>
      </c>
      <c r="B2854" t="s">
        <v>1750</v>
      </c>
      <c r="C2854" t="s">
        <v>491</v>
      </c>
      <c r="D2854" t="str">
        <f t="shared" si="45"/>
        <v>SECOM3099</v>
      </c>
      <c r="E2854" t="s">
        <v>2933</v>
      </c>
    </row>
    <row r="2855" spans="1:5" x14ac:dyDescent="0.25">
      <c r="A2855">
        <v>1711</v>
      </c>
      <c r="B2855" t="s">
        <v>1750</v>
      </c>
      <c r="C2855" t="s">
        <v>54</v>
      </c>
      <c r="D2855" t="str">
        <f t="shared" si="45"/>
        <v>SECOM3301</v>
      </c>
      <c r="E2855" t="s">
        <v>44</v>
      </c>
    </row>
    <row r="2856" spans="1:5" x14ac:dyDescent="0.25">
      <c r="A2856">
        <v>1711</v>
      </c>
      <c r="B2856" t="s">
        <v>1750</v>
      </c>
      <c r="C2856" t="s">
        <v>2975</v>
      </c>
      <c r="D2856" t="str">
        <f t="shared" si="45"/>
        <v>SECOM3302</v>
      </c>
      <c r="E2856" t="s">
        <v>44</v>
      </c>
    </row>
    <row r="2857" spans="1:5" x14ac:dyDescent="0.25">
      <c r="A2857">
        <v>1711</v>
      </c>
      <c r="B2857" t="s">
        <v>1750</v>
      </c>
      <c r="C2857" t="s">
        <v>2977</v>
      </c>
      <c r="D2857" t="str">
        <f t="shared" si="45"/>
        <v>SECOM3304</v>
      </c>
      <c r="E2857" t="s">
        <v>44</v>
      </c>
    </row>
    <row r="2858" spans="1:5" x14ac:dyDescent="0.25">
      <c r="A2858">
        <v>1711</v>
      </c>
      <c r="B2858" t="s">
        <v>1750</v>
      </c>
      <c r="C2858" t="s">
        <v>309</v>
      </c>
      <c r="D2858" t="str">
        <f t="shared" si="45"/>
        <v>SECOM3305</v>
      </c>
      <c r="E2858" t="s">
        <v>2968</v>
      </c>
    </row>
    <row r="2859" spans="1:5" x14ac:dyDescent="0.25">
      <c r="A2859">
        <v>1711</v>
      </c>
      <c r="B2859" t="s">
        <v>1750</v>
      </c>
      <c r="C2859" t="s">
        <v>355</v>
      </c>
      <c r="D2859" t="str">
        <f t="shared" si="45"/>
        <v>SECOM3610</v>
      </c>
      <c r="E2859" t="s">
        <v>2968</v>
      </c>
    </row>
    <row r="2860" spans="1:5" x14ac:dyDescent="0.25">
      <c r="A2860">
        <v>1711</v>
      </c>
      <c r="B2860" t="s">
        <v>1750</v>
      </c>
      <c r="C2860" t="s">
        <v>2979</v>
      </c>
      <c r="D2860" t="str">
        <f t="shared" si="45"/>
        <v>SECOM3612</v>
      </c>
      <c r="E2860" t="s">
        <v>2968</v>
      </c>
    </row>
    <row r="2861" spans="1:5" x14ac:dyDescent="0.25">
      <c r="A2861">
        <v>1711</v>
      </c>
      <c r="B2861" t="s">
        <v>1750</v>
      </c>
      <c r="C2861" t="s">
        <v>471</v>
      </c>
      <c r="D2861" t="str">
        <f t="shared" si="45"/>
        <v>SECOM3699</v>
      </c>
      <c r="E2861" t="s">
        <v>2968</v>
      </c>
    </row>
    <row r="2862" spans="1:5" x14ac:dyDescent="0.25">
      <c r="A2862">
        <v>1711</v>
      </c>
      <c r="B2862" t="s">
        <v>1750</v>
      </c>
      <c r="C2862" t="s">
        <v>2985</v>
      </c>
      <c r="D2862" t="str">
        <f t="shared" si="45"/>
        <v>SECOM3704</v>
      </c>
      <c r="E2862" t="s">
        <v>117</v>
      </c>
    </row>
    <row r="2863" spans="1:5" x14ac:dyDescent="0.25">
      <c r="A2863">
        <v>1711</v>
      </c>
      <c r="B2863" t="s">
        <v>1750</v>
      </c>
      <c r="C2863" t="s">
        <v>2986</v>
      </c>
      <c r="D2863" t="str">
        <f t="shared" si="45"/>
        <v>SECOM3705</v>
      </c>
      <c r="E2863" t="s">
        <v>117</v>
      </c>
    </row>
    <row r="2864" spans="1:5" x14ac:dyDescent="0.25">
      <c r="A2864">
        <v>1711</v>
      </c>
      <c r="B2864" t="s">
        <v>1750</v>
      </c>
      <c r="C2864" t="s">
        <v>336</v>
      </c>
      <c r="D2864" t="str">
        <f t="shared" si="45"/>
        <v>SECOM3909</v>
      </c>
      <c r="E2864" t="s">
        <v>3292</v>
      </c>
    </row>
    <row r="2865" spans="1:5" x14ac:dyDescent="0.25">
      <c r="A2865">
        <v>1711</v>
      </c>
      <c r="B2865" t="s">
        <v>1750</v>
      </c>
      <c r="C2865" t="s">
        <v>356</v>
      </c>
      <c r="D2865" t="str">
        <f t="shared" si="45"/>
        <v>SECOM3911</v>
      </c>
      <c r="E2865" t="s">
        <v>2968</v>
      </c>
    </row>
    <row r="2866" spans="1:5" x14ac:dyDescent="0.25">
      <c r="A2866">
        <v>1711</v>
      </c>
      <c r="B2866" t="s">
        <v>1750</v>
      </c>
      <c r="C2866" t="s">
        <v>2996</v>
      </c>
      <c r="D2866" t="str">
        <f t="shared" si="45"/>
        <v>SECOM3917</v>
      </c>
      <c r="E2866" t="s">
        <v>2958</v>
      </c>
    </row>
    <row r="2867" spans="1:5" x14ac:dyDescent="0.25">
      <c r="A2867">
        <v>1711</v>
      </c>
      <c r="B2867" t="s">
        <v>1750</v>
      </c>
      <c r="C2867" t="s">
        <v>566</v>
      </c>
      <c r="D2867" t="str">
        <f t="shared" si="45"/>
        <v>SECOM3924</v>
      </c>
      <c r="E2867" t="s">
        <v>3004</v>
      </c>
    </row>
    <row r="2868" spans="1:5" x14ac:dyDescent="0.25">
      <c r="A2868">
        <v>1711</v>
      </c>
      <c r="B2868" t="s">
        <v>1750</v>
      </c>
      <c r="C2868" t="s">
        <v>443</v>
      </c>
      <c r="D2868" t="str">
        <f t="shared" si="45"/>
        <v>SECOM3926</v>
      </c>
      <c r="E2868" t="s">
        <v>3006</v>
      </c>
    </row>
    <row r="2869" spans="1:5" x14ac:dyDescent="0.25">
      <c r="A2869">
        <v>1711</v>
      </c>
      <c r="B2869" t="s">
        <v>1750</v>
      </c>
      <c r="C2869" t="s">
        <v>1481</v>
      </c>
      <c r="D2869" t="str">
        <f t="shared" si="45"/>
        <v>SECOM3931</v>
      </c>
      <c r="E2869" t="s">
        <v>2968</v>
      </c>
    </row>
    <row r="2870" spans="1:5" x14ac:dyDescent="0.25">
      <c r="A2870">
        <v>1711</v>
      </c>
      <c r="B2870" t="s">
        <v>1750</v>
      </c>
      <c r="C2870" t="s">
        <v>3089</v>
      </c>
      <c r="D2870" t="str">
        <f t="shared" si="45"/>
        <v>SECOM3939</v>
      </c>
      <c r="E2870" t="s">
        <v>3292</v>
      </c>
    </row>
    <row r="2871" spans="1:5" x14ac:dyDescent="0.25">
      <c r="A2871">
        <v>1711</v>
      </c>
      <c r="B2871" t="s">
        <v>1750</v>
      </c>
      <c r="C2871" t="s">
        <v>3020</v>
      </c>
      <c r="D2871" t="str">
        <f t="shared" si="45"/>
        <v>SECOM3943</v>
      </c>
      <c r="E2871" t="s">
        <v>2958</v>
      </c>
    </row>
    <row r="2872" spans="1:5" x14ac:dyDescent="0.25">
      <c r="A2872">
        <v>1711</v>
      </c>
      <c r="B2872" t="s">
        <v>1750</v>
      </c>
      <c r="C2872" t="s">
        <v>492</v>
      </c>
      <c r="D2872" t="str">
        <f t="shared" si="45"/>
        <v>SECOM3948</v>
      </c>
      <c r="E2872" t="s">
        <v>3004</v>
      </c>
    </row>
    <row r="2873" spans="1:5" x14ac:dyDescent="0.25">
      <c r="A2873">
        <v>1711</v>
      </c>
      <c r="B2873" t="s">
        <v>1750</v>
      </c>
      <c r="C2873" t="s">
        <v>3022</v>
      </c>
      <c r="D2873" t="str">
        <f t="shared" si="45"/>
        <v>SECOM3950</v>
      </c>
      <c r="E2873" t="s">
        <v>44</v>
      </c>
    </row>
    <row r="2874" spans="1:5" x14ac:dyDescent="0.25">
      <c r="A2874">
        <v>1711</v>
      </c>
      <c r="B2874" t="s">
        <v>1750</v>
      </c>
      <c r="C2874" t="s">
        <v>3098</v>
      </c>
      <c r="D2874" t="str">
        <f t="shared" si="45"/>
        <v>SECOM3952</v>
      </c>
      <c r="E2874" t="s">
        <v>65</v>
      </c>
    </row>
    <row r="2875" spans="1:5" x14ac:dyDescent="0.25">
      <c r="A2875">
        <v>1711</v>
      </c>
      <c r="B2875" t="s">
        <v>1750</v>
      </c>
      <c r="C2875" t="s">
        <v>499</v>
      </c>
      <c r="D2875" t="str">
        <f t="shared" si="45"/>
        <v>SECOM3956</v>
      </c>
      <c r="E2875" t="s">
        <v>3269</v>
      </c>
    </row>
    <row r="2876" spans="1:5" x14ac:dyDescent="0.25">
      <c r="A2876">
        <v>1711</v>
      </c>
      <c r="B2876" t="s">
        <v>1750</v>
      </c>
      <c r="C2876" t="s">
        <v>511</v>
      </c>
      <c r="D2876" t="str">
        <f t="shared" si="45"/>
        <v>SECOM3968</v>
      </c>
      <c r="E2876" t="s">
        <v>2968</v>
      </c>
    </row>
    <row r="2877" spans="1:5" x14ac:dyDescent="0.25">
      <c r="A2877">
        <v>1711</v>
      </c>
      <c r="B2877" t="s">
        <v>1750</v>
      </c>
      <c r="C2877" t="s">
        <v>3036</v>
      </c>
      <c r="D2877" t="str">
        <f t="shared" si="45"/>
        <v>SECOM3987</v>
      </c>
      <c r="E2877" t="s">
        <v>2958</v>
      </c>
    </row>
    <row r="2878" spans="1:5" x14ac:dyDescent="0.25">
      <c r="A2878">
        <v>1711</v>
      </c>
      <c r="B2878" t="s">
        <v>1750</v>
      </c>
      <c r="C2878" t="s">
        <v>3040</v>
      </c>
      <c r="D2878" t="str">
        <f t="shared" si="45"/>
        <v>SECOM3999</v>
      </c>
      <c r="E2878" t="s">
        <v>2968</v>
      </c>
    </row>
    <row r="2879" spans="1:5" x14ac:dyDescent="0.25">
      <c r="A2879">
        <v>1711</v>
      </c>
      <c r="B2879" t="s">
        <v>1750</v>
      </c>
      <c r="C2879" t="s">
        <v>3041</v>
      </c>
      <c r="D2879" t="str">
        <f t="shared" si="45"/>
        <v>SECOM4002</v>
      </c>
      <c r="E2879" t="s">
        <v>3009</v>
      </c>
    </row>
    <row r="2880" spans="1:5" x14ac:dyDescent="0.25">
      <c r="A2880">
        <v>1711</v>
      </c>
      <c r="B2880" t="s">
        <v>1750</v>
      </c>
      <c r="C2880" t="s">
        <v>3043</v>
      </c>
      <c r="D2880" t="str">
        <f t="shared" si="45"/>
        <v>SECOM4003</v>
      </c>
      <c r="E2880" t="s">
        <v>94</v>
      </c>
    </row>
    <row r="2881" spans="1:5" x14ac:dyDescent="0.25">
      <c r="A2881">
        <v>1711</v>
      </c>
      <c r="B2881" t="s">
        <v>1750</v>
      </c>
      <c r="C2881" t="s">
        <v>3045</v>
      </c>
      <c r="D2881" t="str">
        <f t="shared" si="45"/>
        <v>SECOM4004</v>
      </c>
      <c r="E2881" t="s">
        <v>3009</v>
      </c>
    </row>
    <row r="2882" spans="1:5" x14ac:dyDescent="0.25">
      <c r="A2882">
        <v>1711</v>
      </c>
      <c r="B2882" t="s">
        <v>1750</v>
      </c>
      <c r="C2882" t="s">
        <v>329</v>
      </c>
      <c r="D2882" t="str">
        <f t="shared" si="45"/>
        <v>SECOM5206</v>
      </c>
      <c r="E2882" t="s">
        <v>3057</v>
      </c>
    </row>
    <row r="2883" spans="1:5" x14ac:dyDescent="0.25">
      <c r="A2883">
        <v>1711</v>
      </c>
      <c r="B2883" t="s">
        <v>1750</v>
      </c>
      <c r="C2883" t="s">
        <v>3058</v>
      </c>
      <c r="D2883" t="str">
        <f t="shared" si="45"/>
        <v>SECOM5207</v>
      </c>
      <c r="E2883" t="s">
        <v>3057</v>
      </c>
    </row>
    <row r="2884" spans="1:5" x14ac:dyDescent="0.25">
      <c r="A2884">
        <v>1711</v>
      </c>
      <c r="B2884" t="s">
        <v>1750</v>
      </c>
      <c r="C2884" t="s">
        <v>3060</v>
      </c>
      <c r="D2884" t="str">
        <f t="shared" si="45"/>
        <v>SECOM5208</v>
      </c>
      <c r="E2884" t="s">
        <v>3057</v>
      </c>
    </row>
    <row r="2885" spans="1:5" x14ac:dyDescent="0.25">
      <c r="A2885">
        <v>1711</v>
      </c>
      <c r="B2885" t="s">
        <v>1750</v>
      </c>
      <c r="C2885" t="s">
        <v>3074</v>
      </c>
      <c r="D2885" t="str">
        <f t="shared" ref="D2885:D2948" si="46">CONCATENATE(B2885,LEFT(C2885,4))</f>
        <v>SECOM9202</v>
      </c>
      <c r="E2885" t="s">
        <v>3075</v>
      </c>
    </row>
    <row r="2886" spans="1:5" x14ac:dyDescent="0.25">
      <c r="A2886">
        <v>1711</v>
      </c>
      <c r="B2886" t="s">
        <v>1750</v>
      </c>
      <c r="C2886" t="s">
        <v>2948</v>
      </c>
      <c r="D2886" t="str">
        <f t="shared" si="46"/>
        <v>SECOM3015</v>
      </c>
      <c r="E2886" t="s">
        <v>2933</v>
      </c>
    </row>
    <row r="2887" spans="1:5" x14ac:dyDescent="0.25">
      <c r="A2887">
        <v>1711</v>
      </c>
      <c r="B2887" t="s">
        <v>1750</v>
      </c>
      <c r="C2887" t="s">
        <v>813</v>
      </c>
      <c r="D2887" t="str">
        <f t="shared" si="46"/>
        <v>SECOM4006</v>
      </c>
      <c r="E2887" t="s">
        <v>3057</v>
      </c>
    </row>
    <row r="2888" spans="1:5" x14ac:dyDescent="0.25">
      <c r="A2888">
        <v>1711</v>
      </c>
      <c r="B2888" t="s">
        <v>1750</v>
      </c>
      <c r="C2888" t="s">
        <v>3150</v>
      </c>
      <c r="D2888" t="str">
        <f t="shared" si="46"/>
        <v>SECOM5230</v>
      </c>
      <c r="E2888" t="s">
        <v>3055</v>
      </c>
    </row>
    <row r="2889" spans="1:5" x14ac:dyDescent="0.25">
      <c r="A2889">
        <v>1721</v>
      </c>
      <c r="B2889" t="s">
        <v>1747</v>
      </c>
      <c r="C2889" t="s">
        <v>2928</v>
      </c>
      <c r="D2889" t="str">
        <f t="shared" si="46"/>
        <v>SCC1401</v>
      </c>
      <c r="E2889" t="s">
        <v>44</v>
      </c>
    </row>
    <row r="2890" spans="1:5" x14ac:dyDescent="0.25">
      <c r="A2890">
        <v>1721</v>
      </c>
      <c r="B2890" t="s">
        <v>1747</v>
      </c>
      <c r="C2890" t="s">
        <v>979</v>
      </c>
      <c r="D2890" t="str">
        <f t="shared" si="46"/>
        <v>SCC3003</v>
      </c>
      <c r="E2890" t="s">
        <v>2933</v>
      </c>
    </row>
    <row r="2891" spans="1:5" x14ac:dyDescent="0.25">
      <c r="A2891">
        <v>1721</v>
      </c>
      <c r="B2891" t="s">
        <v>1747</v>
      </c>
      <c r="C2891" t="s">
        <v>2939</v>
      </c>
      <c r="D2891" t="str">
        <f t="shared" si="46"/>
        <v>SCC3005</v>
      </c>
      <c r="E2891" t="s">
        <v>2933</v>
      </c>
    </row>
    <row r="2892" spans="1:5" x14ac:dyDescent="0.25">
      <c r="A2892">
        <v>1721</v>
      </c>
      <c r="B2892" t="s">
        <v>1747</v>
      </c>
      <c r="C2892" t="s">
        <v>2948</v>
      </c>
      <c r="D2892" t="str">
        <f t="shared" si="46"/>
        <v>SCC3015</v>
      </c>
      <c r="E2892" t="s">
        <v>2933</v>
      </c>
    </row>
    <row r="2893" spans="1:5" x14ac:dyDescent="0.25">
      <c r="A2893">
        <v>1721</v>
      </c>
      <c r="B2893" t="s">
        <v>1747</v>
      </c>
      <c r="C2893" t="s">
        <v>2950</v>
      </c>
      <c r="D2893" t="str">
        <f t="shared" si="46"/>
        <v>SCC3016</v>
      </c>
      <c r="E2893" t="s">
        <v>2933</v>
      </c>
    </row>
    <row r="2894" spans="1:5" x14ac:dyDescent="0.25">
      <c r="A2894">
        <v>1721</v>
      </c>
      <c r="B2894" t="s">
        <v>1747</v>
      </c>
      <c r="C2894" t="s">
        <v>406</v>
      </c>
      <c r="D2894" t="str">
        <f t="shared" si="46"/>
        <v>SCC3017</v>
      </c>
      <c r="E2894" t="s">
        <v>2933</v>
      </c>
    </row>
    <row r="2895" spans="1:5" x14ac:dyDescent="0.25">
      <c r="A2895">
        <v>1721</v>
      </c>
      <c r="B2895" t="s">
        <v>1747</v>
      </c>
      <c r="C2895" t="s">
        <v>2955</v>
      </c>
      <c r="D2895" t="str">
        <f t="shared" si="46"/>
        <v>SCC3020</v>
      </c>
      <c r="E2895" t="s">
        <v>2933</v>
      </c>
    </row>
    <row r="2896" spans="1:5" x14ac:dyDescent="0.25">
      <c r="A2896">
        <v>1721</v>
      </c>
      <c r="B2896" t="s">
        <v>1747</v>
      </c>
      <c r="C2896" t="s">
        <v>2960</v>
      </c>
      <c r="D2896" t="str">
        <f t="shared" si="46"/>
        <v>SCC3026</v>
      </c>
      <c r="E2896" t="s">
        <v>2958</v>
      </c>
    </row>
    <row r="2897" spans="1:5" x14ac:dyDescent="0.25">
      <c r="A2897">
        <v>1721</v>
      </c>
      <c r="B2897" t="s">
        <v>1747</v>
      </c>
      <c r="C2897" t="s">
        <v>2963</v>
      </c>
      <c r="D2897" t="str">
        <f t="shared" si="46"/>
        <v>SCC3032</v>
      </c>
      <c r="E2897" t="s">
        <v>2933</v>
      </c>
    </row>
    <row r="2898" spans="1:5" x14ac:dyDescent="0.25">
      <c r="A2898">
        <v>1721</v>
      </c>
      <c r="B2898" t="s">
        <v>1747</v>
      </c>
      <c r="C2898" t="s">
        <v>487</v>
      </c>
      <c r="D2898" t="str">
        <f t="shared" si="46"/>
        <v>SCC3040</v>
      </c>
      <c r="E2898" t="s">
        <v>2933</v>
      </c>
    </row>
    <row r="2899" spans="1:5" x14ac:dyDescent="0.25">
      <c r="A2899">
        <v>1721</v>
      </c>
      <c r="B2899" t="s">
        <v>1747</v>
      </c>
      <c r="C2899" t="s">
        <v>54</v>
      </c>
      <c r="D2899" t="str">
        <f t="shared" si="46"/>
        <v>SCC3301</v>
      </c>
      <c r="E2899" t="s">
        <v>44</v>
      </c>
    </row>
    <row r="2900" spans="1:5" x14ac:dyDescent="0.25">
      <c r="A2900">
        <v>1721</v>
      </c>
      <c r="B2900" t="s">
        <v>1747</v>
      </c>
      <c r="C2900" t="s">
        <v>2975</v>
      </c>
      <c r="D2900" t="str">
        <f t="shared" si="46"/>
        <v>SCC3302</v>
      </c>
      <c r="E2900" t="s">
        <v>44</v>
      </c>
    </row>
    <row r="2901" spans="1:5" x14ac:dyDescent="0.25">
      <c r="A2901">
        <v>1721</v>
      </c>
      <c r="B2901" t="s">
        <v>1747</v>
      </c>
      <c r="C2901" t="s">
        <v>2977</v>
      </c>
      <c r="D2901" t="str">
        <f t="shared" si="46"/>
        <v>SCC3304</v>
      </c>
      <c r="E2901" t="s">
        <v>44</v>
      </c>
    </row>
    <row r="2902" spans="1:5" x14ac:dyDescent="0.25">
      <c r="A2902">
        <v>1721</v>
      </c>
      <c r="B2902" t="s">
        <v>1747</v>
      </c>
      <c r="C2902" t="s">
        <v>355</v>
      </c>
      <c r="D2902" t="str">
        <f t="shared" si="46"/>
        <v>SCC3610</v>
      </c>
      <c r="E2902" t="s">
        <v>2968</v>
      </c>
    </row>
    <row r="2903" spans="1:5" x14ac:dyDescent="0.25">
      <c r="A2903">
        <v>1721</v>
      </c>
      <c r="B2903" t="s">
        <v>1747</v>
      </c>
      <c r="C2903" t="s">
        <v>2979</v>
      </c>
      <c r="D2903" t="str">
        <f t="shared" si="46"/>
        <v>SCC3612</v>
      </c>
      <c r="E2903" t="s">
        <v>2968</v>
      </c>
    </row>
    <row r="2904" spans="1:5" x14ac:dyDescent="0.25">
      <c r="A2904">
        <v>1721</v>
      </c>
      <c r="B2904" t="s">
        <v>1747</v>
      </c>
      <c r="C2904" t="s">
        <v>471</v>
      </c>
      <c r="D2904" t="str">
        <f t="shared" si="46"/>
        <v>SCC3699</v>
      </c>
      <c r="E2904" t="s">
        <v>2968</v>
      </c>
    </row>
    <row r="2905" spans="1:5" x14ac:dyDescent="0.25">
      <c r="A2905">
        <v>1721</v>
      </c>
      <c r="B2905" t="s">
        <v>1747</v>
      </c>
      <c r="C2905" t="s">
        <v>2983</v>
      </c>
      <c r="D2905" t="str">
        <f t="shared" si="46"/>
        <v>SCC3703</v>
      </c>
      <c r="E2905" t="s">
        <v>117</v>
      </c>
    </row>
    <row r="2906" spans="1:5" x14ac:dyDescent="0.25">
      <c r="A2906">
        <v>1721</v>
      </c>
      <c r="B2906" t="s">
        <v>1747</v>
      </c>
      <c r="C2906" t="s">
        <v>2985</v>
      </c>
      <c r="D2906" t="str">
        <f t="shared" si="46"/>
        <v>SCC3704</v>
      </c>
      <c r="E2906" t="s">
        <v>117</v>
      </c>
    </row>
    <row r="2907" spans="1:5" x14ac:dyDescent="0.25">
      <c r="A2907">
        <v>1721</v>
      </c>
      <c r="B2907" t="s">
        <v>1747</v>
      </c>
      <c r="C2907" t="s">
        <v>2986</v>
      </c>
      <c r="D2907" t="str">
        <f t="shared" si="46"/>
        <v>SCC3705</v>
      </c>
      <c r="E2907" t="s">
        <v>117</v>
      </c>
    </row>
    <row r="2908" spans="1:5" x14ac:dyDescent="0.25">
      <c r="A2908">
        <v>1721</v>
      </c>
      <c r="B2908" t="s">
        <v>1747</v>
      </c>
      <c r="C2908" t="s">
        <v>2988</v>
      </c>
      <c r="D2908" t="str">
        <f t="shared" si="46"/>
        <v>SCC3903</v>
      </c>
      <c r="E2908" t="s">
        <v>87</v>
      </c>
    </row>
    <row r="2909" spans="1:5" x14ac:dyDescent="0.25">
      <c r="A2909">
        <v>1721</v>
      </c>
      <c r="B2909" t="s">
        <v>1747</v>
      </c>
      <c r="C2909" t="s">
        <v>356</v>
      </c>
      <c r="D2909" t="str">
        <f t="shared" si="46"/>
        <v>SCC3911</v>
      </c>
      <c r="E2909" t="s">
        <v>2968</v>
      </c>
    </row>
    <row r="2910" spans="1:5" x14ac:dyDescent="0.25">
      <c r="A2910">
        <v>1721</v>
      </c>
      <c r="B2910" t="s">
        <v>1747</v>
      </c>
      <c r="C2910" t="s">
        <v>2991</v>
      </c>
      <c r="D2910" t="str">
        <f t="shared" si="46"/>
        <v>SCC3912</v>
      </c>
      <c r="E2910" t="s">
        <v>2992</v>
      </c>
    </row>
    <row r="2911" spans="1:5" x14ac:dyDescent="0.25">
      <c r="A2911">
        <v>1721</v>
      </c>
      <c r="B2911" t="s">
        <v>1747</v>
      </c>
      <c r="C2911" t="s">
        <v>2996</v>
      </c>
      <c r="D2911" t="str">
        <f t="shared" si="46"/>
        <v>SCC3917</v>
      </c>
      <c r="E2911" t="s">
        <v>2958</v>
      </c>
    </row>
    <row r="2912" spans="1:5" x14ac:dyDescent="0.25">
      <c r="A2912">
        <v>1721</v>
      </c>
      <c r="B2912" t="s">
        <v>1747</v>
      </c>
      <c r="C2912" t="s">
        <v>2998</v>
      </c>
      <c r="D2912" t="str">
        <f t="shared" si="46"/>
        <v>SCC3918</v>
      </c>
      <c r="E2912" t="s">
        <v>2958</v>
      </c>
    </row>
    <row r="2913" spans="1:5" x14ac:dyDescent="0.25">
      <c r="A2913">
        <v>1721</v>
      </c>
      <c r="B2913" t="s">
        <v>1747</v>
      </c>
      <c r="C2913" t="s">
        <v>3000</v>
      </c>
      <c r="D2913" t="str">
        <f t="shared" si="46"/>
        <v>SCC3919</v>
      </c>
      <c r="E2913" t="s">
        <v>3001</v>
      </c>
    </row>
    <row r="2914" spans="1:5" x14ac:dyDescent="0.25">
      <c r="A2914">
        <v>1721</v>
      </c>
      <c r="B2914" t="s">
        <v>1747</v>
      </c>
      <c r="C2914" t="s">
        <v>3077</v>
      </c>
      <c r="D2914" t="str">
        <f t="shared" si="46"/>
        <v>SCC3920</v>
      </c>
      <c r="E2914" t="s">
        <v>3107</v>
      </c>
    </row>
    <row r="2915" spans="1:5" x14ac:dyDescent="0.25">
      <c r="A2915">
        <v>1721</v>
      </c>
      <c r="B2915" t="s">
        <v>1747</v>
      </c>
      <c r="C2915" t="s">
        <v>3002</v>
      </c>
      <c r="D2915" t="str">
        <f t="shared" si="46"/>
        <v>SCC3921</v>
      </c>
      <c r="E2915" t="s">
        <v>3001</v>
      </c>
    </row>
    <row r="2916" spans="1:5" x14ac:dyDescent="0.25">
      <c r="A2916">
        <v>1721</v>
      </c>
      <c r="B2916" t="s">
        <v>1747</v>
      </c>
      <c r="C2916" t="s">
        <v>428</v>
      </c>
      <c r="D2916" t="str">
        <f t="shared" si="46"/>
        <v>SCC3923</v>
      </c>
      <c r="E2916" t="s">
        <v>2968</v>
      </c>
    </row>
    <row r="2917" spans="1:5" x14ac:dyDescent="0.25">
      <c r="A2917">
        <v>1721</v>
      </c>
      <c r="B2917" t="s">
        <v>1747</v>
      </c>
      <c r="C2917" t="s">
        <v>566</v>
      </c>
      <c r="D2917" t="str">
        <f t="shared" si="46"/>
        <v>SCC3924</v>
      </c>
      <c r="E2917" t="s">
        <v>3004</v>
      </c>
    </row>
    <row r="2918" spans="1:5" x14ac:dyDescent="0.25">
      <c r="A2918">
        <v>1721</v>
      </c>
      <c r="B2918" t="s">
        <v>1747</v>
      </c>
      <c r="C2918" t="s">
        <v>1481</v>
      </c>
      <c r="D2918" t="str">
        <f t="shared" si="46"/>
        <v>SCC3931</v>
      </c>
      <c r="E2918" t="s">
        <v>2968</v>
      </c>
    </row>
    <row r="2919" spans="1:5" x14ac:dyDescent="0.25">
      <c r="A2919">
        <v>1721</v>
      </c>
      <c r="B2919" t="s">
        <v>1747</v>
      </c>
      <c r="C2919" t="s">
        <v>3088</v>
      </c>
      <c r="D2919" t="str">
        <f t="shared" si="46"/>
        <v>SCC3937</v>
      </c>
      <c r="E2919" t="s">
        <v>3107</v>
      </c>
    </row>
    <row r="2920" spans="1:5" x14ac:dyDescent="0.25">
      <c r="A2920">
        <v>1721</v>
      </c>
      <c r="B2920" t="s">
        <v>1747</v>
      </c>
      <c r="C2920" t="s">
        <v>3020</v>
      </c>
      <c r="D2920" t="str">
        <f t="shared" si="46"/>
        <v>SCC3943</v>
      </c>
      <c r="E2920" t="s">
        <v>2958</v>
      </c>
    </row>
    <row r="2921" spans="1:5" x14ac:dyDescent="0.25">
      <c r="A2921">
        <v>1721</v>
      </c>
      <c r="B2921" t="s">
        <v>1747</v>
      </c>
      <c r="C2921" t="s">
        <v>3098</v>
      </c>
      <c r="D2921" t="str">
        <f t="shared" si="46"/>
        <v>SCC3952</v>
      </c>
      <c r="E2921" t="s">
        <v>65</v>
      </c>
    </row>
    <row r="2922" spans="1:5" x14ac:dyDescent="0.25">
      <c r="A2922">
        <v>1721</v>
      </c>
      <c r="B2922" t="s">
        <v>1747</v>
      </c>
      <c r="C2922" t="s">
        <v>3027</v>
      </c>
      <c r="D2922" t="str">
        <f t="shared" si="46"/>
        <v>SCC3961</v>
      </c>
      <c r="E2922" t="s">
        <v>2981</v>
      </c>
    </row>
    <row r="2923" spans="1:5" x14ac:dyDescent="0.25">
      <c r="A2923">
        <v>1721</v>
      </c>
      <c r="B2923" t="s">
        <v>1747</v>
      </c>
      <c r="C2923" t="s">
        <v>3036</v>
      </c>
      <c r="D2923" t="str">
        <f t="shared" si="46"/>
        <v>SCC3987</v>
      </c>
      <c r="E2923" t="s">
        <v>2958</v>
      </c>
    </row>
    <row r="2924" spans="1:5" x14ac:dyDescent="0.25">
      <c r="A2924">
        <v>1721</v>
      </c>
      <c r="B2924" t="s">
        <v>1747</v>
      </c>
      <c r="C2924" t="s">
        <v>3040</v>
      </c>
      <c r="D2924" t="str">
        <f t="shared" si="46"/>
        <v>SCC3999</v>
      </c>
      <c r="E2924" t="s">
        <v>2968</v>
      </c>
    </row>
    <row r="2925" spans="1:5" x14ac:dyDescent="0.25">
      <c r="A2925">
        <v>1721</v>
      </c>
      <c r="B2925" t="s">
        <v>1747</v>
      </c>
      <c r="C2925" t="s">
        <v>3041</v>
      </c>
      <c r="D2925" t="str">
        <f t="shared" si="46"/>
        <v>SCC4002</v>
      </c>
      <c r="E2925" t="s">
        <v>3009</v>
      </c>
    </row>
    <row r="2926" spans="1:5" x14ac:dyDescent="0.25">
      <c r="A2926">
        <v>1721</v>
      </c>
      <c r="B2926" t="s">
        <v>1747</v>
      </c>
      <c r="C2926" t="s">
        <v>3043</v>
      </c>
      <c r="D2926" t="str">
        <f t="shared" si="46"/>
        <v>SCC4003</v>
      </c>
      <c r="E2926" t="s">
        <v>94</v>
      </c>
    </row>
    <row r="2927" spans="1:5" x14ac:dyDescent="0.25">
      <c r="A2927">
        <v>1721</v>
      </c>
      <c r="B2927" t="s">
        <v>1747</v>
      </c>
      <c r="C2927" t="s">
        <v>3045</v>
      </c>
      <c r="D2927" t="str">
        <f t="shared" si="46"/>
        <v>SCC4004</v>
      </c>
      <c r="E2927" t="s">
        <v>3009</v>
      </c>
    </row>
    <row r="2928" spans="1:5" x14ac:dyDescent="0.25">
      <c r="A2928">
        <v>1721</v>
      </c>
      <c r="B2928" t="s">
        <v>1747</v>
      </c>
      <c r="C2928" t="s">
        <v>3047</v>
      </c>
      <c r="D2928" t="str">
        <f t="shared" si="46"/>
        <v>SCC4005</v>
      </c>
      <c r="E2928" t="s">
        <v>3009</v>
      </c>
    </row>
    <row r="2929" spans="1:5" x14ac:dyDescent="0.25">
      <c r="A2929">
        <v>1721</v>
      </c>
      <c r="B2929" t="s">
        <v>1747</v>
      </c>
      <c r="C2929" t="s">
        <v>3138</v>
      </c>
      <c r="D2929" t="str">
        <f t="shared" si="46"/>
        <v>SCC4007</v>
      </c>
      <c r="E2929" t="s">
        <v>94</v>
      </c>
    </row>
    <row r="2930" spans="1:5" x14ac:dyDescent="0.25">
      <c r="A2930">
        <v>1721</v>
      </c>
      <c r="B2930" t="s">
        <v>1747</v>
      </c>
      <c r="C2930" t="s">
        <v>3127</v>
      </c>
      <c r="D2930" t="str">
        <f t="shared" si="46"/>
        <v>SCC4201</v>
      </c>
      <c r="E2930" t="s">
        <v>3218</v>
      </c>
    </row>
    <row r="2931" spans="1:5" x14ac:dyDescent="0.25">
      <c r="A2931">
        <v>1721</v>
      </c>
      <c r="B2931" t="s">
        <v>1747</v>
      </c>
      <c r="C2931" t="s">
        <v>3058</v>
      </c>
      <c r="D2931" t="str">
        <f t="shared" si="46"/>
        <v>SCC5207</v>
      </c>
      <c r="E2931" t="s">
        <v>3057</v>
      </c>
    </row>
    <row r="2932" spans="1:5" x14ac:dyDescent="0.25">
      <c r="A2932">
        <v>1721</v>
      </c>
      <c r="B2932" t="s">
        <v>1747</v>
      </c>
      <c r="C2932" t="s">
        <v>3060</v>
      </c>
      <c r="D2932" t="str">
        <f t="shared" si="46"/>
        <v>SCC5208</v>
      </c>
      <c r="E2932" t="s">
        <v>3057</v>
      </c>
    </row>
    <row r="2933" spans="1:5" x14ac:dyDescent="0.25">
      <c r="A2933">
        <v>1721</v>
      </c>
      <c r="B2933" t="s">
        <v>1747</v>
      </c>
      <c r="C2933" t="s">
        <v>3064</v>
      </c>
      <c r="D2933" t="str">
        <f t="shared" si="46"/>
        <v>SCC5212</v>
      </c>
      <c r="E2933" t="s">
        <v>3055</v>
      </c>
    </row>
    <row r="2934" spans="1:5" x14ac:dyDescent="0.25">
      <c r="A2934">
        <v>1721</v>
      </c>
      <c r="B2934" t="s">
        <v>1747</v>
      </c>
      <c r="C2934" t="s">
        <v>391</v>
      </c>
      <c r="D2934" t="str">
        <f t="shared" si="46"/>
        <v>SCC5214</v>
      </c>
      <c r="E2934" t="s">
        <v>3055</v>
      </c>
    </row>
    <row r="2935" spans="1:5" x14ac:dyDescent="0.25">
      <c r="A2935">
        <v>1721</v>
      </c>
      <c r="B2935" t="s">
        <v>1747</v>
      </c>
      <c r="C2935" t="s">
        <v>449</v>
      </c>
      <c r="D2935" t="str">
        <f t="shared" si="46"/>
        <v>SCC5225</v>
      </c>
      <c r="E2935" t="s">
        <v>3055</v>
      </c>
    </row>
    <row r="2936" spans="1:5" x14ac:dyDescent="0.25">
      <c r="A2936">
        <v>1721</v>
      </c>
      <c r="B2936" t="s">
        <v>1747</v>
      </c>
      <c r="C2936" t="s">
        <v>3074</v>
      </c>
      <c r="D2936" t="str">
        <f t="shared" si="46"/>
        <v>SCC9202</v>
      </c>
      <c r="E2936" t="s">
        <v>3075</v>
      </c>
    </row>
    <row r="2937" spans="1:5" x14ac:dyDescent="0.25">
      <c r="A2937">
        <v>1721</v>
      </c>
      <c r="B2937" t="s">
        <v>1747</v>
      </c>
      <c r="C2937" t="s">
        <v>3003</v>
      </c>
      <c r="D2937" t="str">
        <f t="shared" si="46"/>
        <v>SCC3922</v>
      </c>
      <c r="E2937" t="s">
        <v>2954</v>
      </c>
    </row>
    <row r="2938" spans="1:5" x14ac:dyDescent="0.25">
      <c r="A2938">
        <v>1721</v>
      </c>
      <c r="B2938" t="s">
        <v>1747</v>
      </c>
      <c r="C2938" t="s">
        <v>431</v>
      </c>
      <c r="D2938" t="str">
        <f t="shared" si="46"/>
        <v>SCC3022</v>
      </c>
      <c r="E2938" t="s">
        <v>2933</v>
      </c>
    </row>
    <row r="2939" spans="1:5" x14ac:dyDescent="0.25">
      <c r="A2939">
        <v>1721</v>
      </c>
      <c r="B2939" t="s">
        <v>1747</v>
      </c>
      <c r="C2939" t="s">
        <v>480</v>
      </c>
      <c r="D2939" t="str">
        <f t="shared" si="46"/>
        <v>SCC3941</v>
      </c>
      <c r="E2939" t="s">
        <v>2968</v>
      </c>
    </row>
    <row r="2940" spans="1:5" x14ac:dyDescent="0.25">
      <c r="A2940">
        <v>1721</v>
      </c>
      <c r="B2940" t="s">
        <v>1747</v>
      </c>
      <c r="C2940" t="s">
        <v>470</v>
      </c>
      <c r="D2940" t="str">
        <f t="shared" si="46"/>
        <v>SCC3031</v>
      </c>
      <c r="E2940" t="s">
        <v>2933</v>
      </c>
    </row>
    <row r="2941" spans="1:5" x14ac:dyDescent="0.25">
      <c r="A2941">
        <v>1721</v>
      </c>
      <c r="B2941" t="s">
        <v>1747</v>
      </c>
      <c r="C2941" t="s">
        <v>299</v>
      </c>
      <c r="D2941" t="str">
        <f t="shared" si="46"/>
        <v>SCC3904</v>
      </c>
      <c r="E2941" t="s">
        <v>2968</v>
      </c>
    </row>
    <row r="2942" spans="1:5" x14ac:dyDescent="0.25">
      <c r="A2942">
        <v>1911</v>
      </c>
      <c r="B2942" t="s">
        <v>3293</v>
      </c>
      <c r="C2942" t="s">
        <v>3201</v>
      </c>
      <c r="D2942" t="str">
        <f t="shared" si="46"/>
        <v>EGE-SEF3502</v>
      </c>
      <c r="E2942" t="s">
        <v>2968</v>
      </c>
    </row>
    <row r="2943" spans="1:5" x14ac:dyDescent="0.25">
      <c r="A2943">
        <v>1911</v>
      </c>
      <c r="B2943" t="s">
        <v>3293</v>
      </c>
      <c r="C2943" t="s">
        <v>438</v>
      </c>
      <c r="D2943" t="str">
        <f t="shared" si="46"/>
        <v>EGE-SEF3925</v>
      </c>
      <c r="E2943" t="s">
        <v>3006</v>
      </c>
    </row>
    <row r="2944" spans="1:5" x14ac:dyDescent="0.25">
      <c r="A2944">
        <v>1911</v>
      </c>
      <c r="B2944" t="s">
        <v>3293</v>
      </c>
      <c r="C2944" t="s">
        <v>443</v>
      </c>
      <c r="D2944" t="str">
        <f t="shared" si="46"/>
        <v>EGE-SEF3926</v>
      </c>
      <c r="E2944" t="s">
        <v>3006</v>
      </c>
    </row>
    <row r="2945" spans="1:5" x14ac:dyDescent="0.25">
      <c r="A2945">
        <v>1911</v>
      </c>
      <c r="B2945" t="s">
        <v>3293</v>
      </c>
      <c r="C2945" t="s">
        <v>466</v>
      </c>
      <c r="D2945" t="str">
        <f t="shared" si="46"/>
        <v>EGE-SEF3933</v>
      </c>
      <c r="E2945" t="s">
        <v>2968</v>
      </c>
    </row>
    <row r="2946" spans="1:5" x14ac:dyDescent="0.25">
      <c r="A2946">
        <v>1911</v>
      </c>
      <c r="B2946" t="s">
        <v>3293</v>
      </c>
      <c r="C2946" t="s">
        <v>3017</v>
      </c>
      <c r="D2946" t="str">
        <f t="shared" si="46"/>
        <v>EGE-SEF3936</v>
      </c>
      <c r="E2946" t="s">
        <v>94</v>
      </c>
    </row>
    <row r="2947" spans="1:5" x14ac:dyDescent="0.25">
      <c r="A2947">
        <v>1911</v>
      </c>
      <c r="B2947" t="s">
        <v>3293</v>
      </c>
      <c r="C2947" t="s">
        <v>524</v>
      </c>
      <c r="D2947" t="str">
        <f t="shared" si="46"/>
        <v>EGE-SEF3984</v>
      </c>
      <c r="E2947" t="s">
        <v>3294</v>
      </c>
    </row>
    <row r="2948" spans="1:5" x14ac:dyDescent="0.25">
      <c r="A2948">
        <v>1911</v>
      </c>
      <c r="B2948" t="s">
        <v>3293</v>
      </c>
      <c r="C2948" t="s">
        <v>3040</v>
      </c>
      <c r="D2948" t="str">
        <f t="shared" si="46"/>
        <v>EGE-SEF3999</v>
      </c>
      <c r="E2948" t="s">
        <v>2968</v>
      </c>
    </row>
    <row r="2949" spans="1:5" x14ac:dyDescent="0.25">
      <c r="A2949">
        <v>1911</v>
      </c>
      <c r="B2949" t="s">
        <v>3293</v>
      </c>
      <c r="C2949" t="s">
        <v>3041</v>
      </c>
      <c r="D2949" t="str">
        <f t="shared" ref="D2949:D3012" si="47">CONCATENATE(B2949,LEFT(C2949,4))</f>
        <v>EGE-SEF4002</v>
      </c>
      <c r="E2949" t="s">
        <v>3009</v>
      </c>
    </row>
    <row r="2950" spans="1:5" x14ac:dyDescent="0.25">
      <c r="A2950">
        <v>1911</v>
      </c>
      <c r="B2950" t="s">
        <v>3293</v>
      </c>
      <c r="C2950" t="s">
        <v>3043</v>
      </c>
      <c r="D2950" t="str">
        <f t="shared" si="47"/>
        <v>EGE-SEF4003</v>
      </c>
      <c r="E2950" t="s">
        <v>94</v>
      </c>
    </row>
    <row r="2951" spans="1:5" x14ac:dyDescent="0.25">
      <c r="A2951">
        <v>1911</v>
      </c>
      <c r="B2951" t="s">
        <v>3293</v>
      </c>
      <c r="C2951" t="s">
        <v>3123</v>
      </c>
      <c r="D2951" t="str">
        <f t="shared" si="47"/>
        <v>EGE-SEF4101</v>
      </c>
      <c r="E2951" t="s">
        <v>2968</v>
      </c>
    </row>
    <row r="2952" spans="1:5" x14ac:dyDescent="0.25">
      <c r="A2952">
        <v>1911</v>
      </c>
      <c r="B2952" t="s">
        <v>3293</v>
      </c>
      <c r="C2952" t="s">
        <v>315</v>
      </c>
      <c r="D2952" t="str">
        <f t="shared" si="47"/>
        <v>EGE-SEF4105</v>
      </c>
      <c r="E2952" t="s">
        <v>2968</v>
      </c>
    </row>
    <row r="2953" spans="1:5" x14ac:dyDescent="0.25">
      <c r="A2953">
        <v>1911</v>
      </c>
      <c r="B2953" t="s">
        <v>3293</v>
      </c>
      <c r="C2953" t="s">
        <v>3048</v>
      </c>
      <c r="D2953" t="str">
        <f t="shared" si="47"/>
        <v>EGE-SEF4701</v>
      </c>
      <c r="E2953" t="s">
        <v>3049</v>
      </c>
    </row>
    <row r="2954" spans="1:5" x14ac:dyDescent="0.25">
      <c r="A2954">
        <v>1911</v>
      </c>
      <c r="B2954" t="s">
        <v>3293</v>
      </c>
      <c r="C2954" t="s">
        <v>316</v>
      </c>
      <c r="D2954" t="str">
        <f t="shared" si="47"/>
        <v>EGE-SEF4706</v>
      </c>
      <c r="E2954" t="s">
        <v>3049</v>
      </c>
    </row>
    <row r="2955" spans="1:5" x14ac:dyDescent="0.25">
      <c r="A2955">
        <v>1911</v>
      </c>
      <c r="B2955" t="s">
        <v>3293</v>
      </c>
      <c r="C2955" t="s">
        <v>364</v>
      </c>
      <c r="D2955" t="str">
        <f t="shared" si="47"/>
        <v>EGE-SEF4799</v>
      </c>
      <c r="E2955" t="s">
        <v>3049</v>
      </c>
    </row>
    <row r="2956" spans="1:5" x14ac:dyDescent="0.25">
      <c r="A2956">
        <v>1911</v>
      </c>
      <c r="B2956" t="s">
        <v>3293</v>
      </c>
      <c r="C2956" t="s">
        <v>3074</v>
      </c>
      <c r="D2956" t="str">
        <f t="shared" si="47"/>
        <v>EGE-SEF9202</v>
      </c>
      <c r="E2956" t="s">
        <v>3075</v>
      </c>
    </row>
    <row r="2957" spans="1:5" x14ac:dyDescent="0.25">
      <c r="A2957">
        <v>1911</v>
      </c>
      <c r="B2957" t="s">
        <v>3293</v>
      </c>
      <c r="C2957" t="s">
        <v>367</v>
      </c>
      <c r="D2957" t="str">
        <f t="shared" si="47"/>
        <v>EGE-SEF9310</v>
      </c>
      <c r="E2957" t="s">
        <v>2968</v>
      </c>
    </row>
    <row r="2958" spans="1:5" x14ac:dyDescent="0.25">
      <c r="A2958">
        <v>1911</v>
      </c>
      <c r="B2958" t="s">
        <v>3293</v>
      </c>
      <c r="C2958" t="s">
        <v>392</v>
      </c>
      <c r="D2958" t="str">
        <f t="shared" si="47"/>
        <v>EGE-SEF9314</v>
      </c>
      <c r="E2958" t="s">
        <v>2968</v>
      </c>
    </row>
    <row r="2959" spans="1:5" x14ac:dyDescent="0.25">
      <c r="A2959">
        <v>1911</v>
      </c>
      <c r="B2959" t="s">
        <v>3293</v>
      </c>
      <c r="C2959" t="s">
        <v>3295</v>
      </c>
      <c r="D2959" t="str">
        <f t="shared" si="47"/>
        <v>EGE-SEF9333</v>
      </c>
      <c r="E2959" t="s">
        <v>2968</v>
      </c>
    </row>
    <row r="2960" spans="1:5" x14ac:dyDescent="0.25">
      <c r="A2960">
        <v>1911</v>
      </c>
      <c r="B2960" t="s">
        <v>3293</v>
      </c>
      <c r="C2960" t="s">
        <v>3296</v>
      </c>
      <c r="D2960" t="str">
        <f t="shared" si="47"/>
        <v>EGE-SEF9334</v>
      </c>
      <c r="E2960" t="s">
        <v>2968</v>
      </c>
    </row>
    <row r="2961" spans="1:5" x14ac:dyDescent="0.25">
      <c r="A2961">
        <v>1911</v>
      </c>
      <c r="B2961" t="s">
        <v>3293</v>
      </c>
      <c r="C2961" t="s">
        <v>3297</v>
      </c>
      <c r="D2961" t="str">
        <f t="shared" si="47"/>
        <v>EGE-SEF9335</v>
      </c>
      <c r="E2961" t="s">
        <v>2968</v>
      </c>
    </row>
    <row r="2962" spans="1:5" x14ac:dyDescent="0.25">
      <c r="A2962">
        <v>1911</v>
      </c>
      <c r="B2962" t="s">
        <v>3293</v>
      </c>
      <c r="C2962" t="s">
        <v>3079</v>
      </c>
      <c r="D2962" t="str">
        <f t="shared" si="47"/>
        <v>EGE-SEF9399</v>
      </c>
      <c r="E2962" t="s">
        <v>2968</v>
      </c>
    </row>
    <row r="2963" spans="1:5" x14ac:dyDescent="0.25">
      <c r="A2963">
        <v>1911</v>
      </c>
      <c r="B2963" t="s">
        <v>3293</v>
      </c>
      <c r="C2963" t="s">
        <v>3298</v>
      </c>
      <c r="D2963" t="str">
        <f t="shared" si="47"/>
        <v>EGE-SEF9701</v>
      </c>
      <c r="E2963" t="s">
        <v>2968</v>
      </c>
    </row>
    <row r="2964" spans="1:5" x14ac:dyDescent="0.25">
      <c r="A2964">
        <v>1915</v>
      </c>
      <c r="B2964" t="s">
        <v>3299</v>
      </c>
      <c r="C2964" t="s">
        <v>3220</v>
      </c>
      <c r="D2964" t="str">
        <f t="shared" si="47"/>
        <v>PART.EMPRESAS9201</v>
      </c>
      <c r="E2964" t="s">
        <v>3075</v>
      </c>
    </row>
    <row r="2965" spans="1:5" x14ac:dyDescent="0.25">
      <c r="A2965">
        <v>1941</v>
      </c>
      <c r="B2965" t="e">
        <v>#N/A</v>
      </c>
      <c r="C2965" t="s">
        <v>292</v>
      </c>
      <c r="D2965" t="e">
        <f t="shared" si="47"/>
        <v>#N/A</v>
      </c>
      <c r="E2965" t="s">
        <v>3081</v>
      </c>
    </row>
    <row r="2966" spans="1:5" x14ac:dyDescent="0.25">
      <c r="A2966">
        <v>1941</v>
      </c>
      <c r="B2966" t="e">
        <v>#N/A</v>
      </c>
      <c r="C2966" t="s">
        <v>393</v>
      </c>
      <c r="D2966" t="e">
        <f t="shared" si="47"/>
        <v>#N/A</v>
      </c>
      <c r="E2966" t="s">
        <v>3081</v>
      </c>
    </row>
    <row r="2967" spans="1:5" x14ac:dyDescent="0.25">
      <c r="A2967">
        <v>1941</v>
      </c>
      <c r="B2967" t="e">
        <v>#N/A</v>
      </c>
      <c r="C2967" t="s">
        <v>3012</v>
      </c>
      <c r="D2967" t="e">
        <f t="shared" si="47"/>
        <v>#N/A</v>
      </c>
      <c r="E2967" t="s">
        <v>65</v>
      </c>
    </row>
    <row r="2968" spans="1:5" x14ac:dyDescent="0.25">
      <c r="A2968">
        <v>1941</v>
      </c>
      <c r="B2968" t="e">
        <v>#N/A</v>
      </c>
      <c r="C2968" t="s">
        <v>326</v>
      </c>
      <c r="D2968" t="e">
        <f t="shared" si="47"/>
        <v>#N/A</v>
      </c>
      <c r="E2968" t="s">
        <v>2968</v>
      </c>
    </row>
    <row r="2969" spans="1:5" x14ac:dyDescent="0.25">
      <c r="A2969">
        <v>1941</v>
      </c>
      <c r="B2969" t="e">
        <v>#N/A</v>
      </c>
      <c r="C2969" t="s">
        <v>443</v>
      </c>
      <c r="D2969" t="e">
        <f t="shared" si="47"/>
        <v>#N/A</v>
      </c>
      <c r="E2969" t="s">
        <v>3006</v>
      </c>
    </row>
    <row r="2970" spans="1:5" x14ac:dyDescent="0.25">
      <c r="A2970">
        <v>1941</v>
      </c>
      <c r="B2970" t="e">
        <v>#N/A</v>
      </c>
      <c r="C2970" t="s">
        <v>3008</v>
      </c>
      <c r="D2970" t="e">
        <f t="shared" si="47"/>
        <v>#N/A</v>
      </c>
      <c r="E2970" t="s">
        <v>3009</v>
      </c>
    </row>
    <row r="2971" spans="1:5" x14ac:dyDescent="0.25">
      <c r="A2971">
        <v>1941</v>
      </c>
      <c r="B2971" t="e">
        <v>#N/A</v>
      </c>
      <c r="C2971" t="s">
        <v>3017</v>
      </c>
      <c r="D2971" t="e">
        <f t="shared" si="47"/>
        <v>#N/A</v>
      </c>
      <c r="E2971" t="s">
        <v>94</v>
      </c>
    </row>
    <row r="2972" spans="1:5" x14ac:dyDescent="0.25">
      <c r="A2972">
        <v>1941</v>
      </c>
      <c r="B2972" t="e">
        <v>#N/A</v>
      </c>
      <c r="C2972" t="s">
        <v>3246</v>
      </c>
      <c r="D2972" t="e">
        <f t="shared" si="47"/>
        <v>#N/A</v>
      </c>
      <c r="E2972" t="s">
        <v>2968</v>
      </c>
    </row>
    <row r="2973" spans="1:5" x14ac:dyDescent="0.25">
      <c r="A2973">
        <v>1941</v>
      </c>
      <c r="B2973" t="e">
        <v>#N/A</v>
      </c>
      <c r="C2973" t="s">
        <v>3040</v>
      </c>
      <c r="D2973" t="e">
        <f t="shared" si="47"/>
        <v>#N/A</v>
      </c>
      <c r="E2973" t="s">
        <v>2968</v>
      </c>
    </row>
    <row r="2974" spans="1:5" x14ac:dyDescent="0.25">
      <c r="A2974">
        <v>1941</v>
      </c>
      <c r="B2974" t="e">
        <v>#N/A</v>
      </c>
      <c r="C2974" t="s">
        <v>3041</v>
      </c>
      <c r="D2974" t="e">
        <f t="shared" si="47"/>
        <v>#N/A</v>
      </c>
      <c r="E2974" t="s">
        <v>3009</v>
      </c>
    </row>
    <row r="2975" spans="1:5" x14ac:dyDescent="0.25">
      <c r="A2975">
        <v>1941</v>
      </c>
      <c r="B2975" t="e">
        <v>#N/A</v>
      </c>
      <c r="C2975" t="s">
        <v>3043</v>
      </c>
      <c r="D2975" t="e">
        <f t="shared" si="47"/>
        <v>#N/A</v>
      </c>
      <c r="E2975" t="s">
        <v>94</v>
      </c>
    </row>
    <row r="2976" spans="1:5" x14ac:dyDescent="0.25">
      <c r="A2976">
        <v>1941</v>
      </c>
      <c r="B2976" t="e">
        <v>#N/A</v>
      </c>
      <c r="C2976" t="s">
        <v>315</v>
      </c>
      <c r="D2976" t="e">
        <f t="shared" si="47"/>
        <v>#N/A</v>
      </c>
      <c r="E2976" t="s">
        <v>2968</v>
      </c>
    </row>
    <row r="2977" spans="1:5" x14ac:dyDescent="0.25">
      <c r="A2977">
        <v>1941</v>
      </c>
      <c r="B2977" t="e">
        <v>#N/A</v>
      </c>
      <c r="C2977" t="s">
        <v>364</v>
      </c>
      <c r="D2977" t="e">
        <f t="shared" si="47"/>
        <v>#N/A</v>
      </c>
      <c r="E2977" t="s">
        <v>3049</v>
      </c>
    </row>
    <row r="2978" spans="1:5" x14ac:dyDescent="0.25">
      <c r="A2978">
        <v>1941</v>
      </c>
      <c r="B2978" t="e">
        <v>#N/A</v>
      </c>
      <c r="C2978" t="s">
        <v>3205</v>
      </c>
      <c r="D2978" t="e">
        <f t="shared" si="47"/>
        <v>#N/A</v>
      </c>
      <c r="E2978" t="s">
        <v>65</v>
      </c>
    </row>
    <row r="2979" spans="1:5" x14ac:dyDescent="0.25">
      <c r="A2979">
        <v>1941</v>
      </c>
      <c r="B2979" t="e">
        <v>#N/A</v>
      </c>
      <c r="C2979" t="s">
        <v>3300</v>
      </c>
      <c r="D2979" t="e">
        <f t="shared" si="47"/>
        <v>#N/A</v>
      </c>
      <c r="E2979" t="s">
        <v>2968</v>
      </c>
    </row>
    <row r="2980" spans="1:5" x14ac:dyDescent="0.25">
      <c r="A2980">
        <v>1941</v>
      </c>
      <c r="B2980" t="e">
        <v>#N/A</v>
      </c>
      <c r="C2980" t="s">
        <v>3211</v>
      </c>
      <c r="D2980" t="e">
        <f t="shared" si="47"/>
        <v>#N/A</v>
      </c>
      <c r="E2980" t="s">
        <v>3212</v>
      </c>
    </row>
    <row r="2981" spans="1:5" x14ac:dyDescent="0.25">
      <c r="A2981">
        <v>2011</v>
      </c>
      <c r="B2981" t="s">
        <v>1740</v>
      </c>
      <c r="C2981" t="s">
        <v>2927</v>
      </c>
      <c r="D2981" t="str">
        <f t="shared" si="47"/>
        <v>IPSEMG0802</v>
      </c>
      <c r="E2981" t="s">
        <v>2926</v>
      </c>
    </row>
    <row r="2982" spans="1:5" x14ac:dyDescent="0.25">
      <c r="A2982">
        <v>2011</v>
      </c>
      <c r="B2982" t="s">
        <v>1740</v>
      </c>
      <c r="C2982" t="s">
        <v>3281</v>
      </c>
      <c r="D2982" t="str">
        <f t="shared" si="47"/>
        <v>IPSEMG0805</v>
      </c>
      <c r="E2982" t="s">
        <v>2926</v>
      </c>
    </row>
    <row r="2983" spans="1:5" x14ac:dyDescent="0.25">
      <c r="A2983">
        <v>2011</v>
      </c>
      <c r="B2983" t="s">
        <v>1740</v>
      </c>
      <c r="C2983" t="s">
        <v>3221</v>
      </c>
      <c r="D2983" t="str">
        <f t="shared" si="47"/>
        <v>IPSEMG0899</v>
      </c>
      <c r="E2983" t="s">
        <v>2926</v>
      </c>
    </row>
    <row r="2984" spans="1:5" x14ac:dyDescent="0.25">
      <c r="A2984">
        <v>2011</v>
      </c>
      <c r="B2984" t="s">
        <v>1740</v>
      </c>
      <c r="C2984" t="s">
        <v>218</v>
      </c>
      <c r="D2984" t="str">
        <f t="shared" si="47"/>
        <v>IPSEMG1304</v>
      </c>
      <c r="E2984" t="s">
        <v>3081</v>
      </c>
    </row>
    <row r="2985" spans="1:5" x14ac:dyDescent="0.25">
      <c r="A2985">
        <v>2011</v>
      </c>
      <c r="B2985" t="s">
        <v>1740</v>
      </c>
      <c r="C2985" t="s">
        <v>3229</v>
      </c>
      <c r="D2985" t="str">
        <f t="shared" si="47"/>
        <v>IPSEMG1307</v>
      </c>
      <c r="E2985" t="s">
        <v>3081</v>
      </c>
    </row>
    <row r="2986" spans="1:5" x14ac:dyDescent="0.25">
      <c r="A2986">
        <v>2011</v>
      </c>
      <c r="B2986" t="s">
        <v>1740</v>
      </c>
      <c r="C2986" t="s">
        <v>3222</v>
      </c>
      <c r="D2986" t="str">
        <f t="shared" si="47"/>
        <v>IPSEMG1313</v>
      </c>
      <c r="E2986" t="s">
        <v>2944</v>
      </c>
    </row>
    <row r="2987" spans="1:5" x14ac:dyDescent="0.25">
      <c r="A2987">
        <v>2011</v>
      </c>
      <c r="B2987" t="s">
        <v>1740</v>
      </c>
      <c r="C2987" t="s">
        <v>2942</v>
      </c>
      <c r="D2987" t="str">
        <f t="shared" si="47"/>
        <v>IPSEMG1317</v>
      </c>
      <c r="E2987" t="s">
        <v>3081</v>
      </c>
    </row>
    <row r="2988" spans="1:5" x14ac:dyDescent="0.25">
      <c r="A2988">
        <v>2011</v>
      </c>
      <c r="B2988" t="s">
        <v>1740</v>
      </c>
      <c r="C2988" t="s">
        <v>3282</v>
      </c>
      <c r="D2988" t="str">
        <f t="shared" si="47"/>
        <v>IPSEMG1323</v>
      </c>
      <c r="E2988" t="s">
        <v>2944</v>
      </c>
    </row>
    <row r="2989" spans="1:5" x14ac:dyDescent="0.25">
      <c r="A2989">
        <v>2011</v>
      </c>
      <c r="B2989" t="s">
        <v>1740</v>
      </c>
      <c r="C2989" t="s">
        <v>2928</v>
      </c>
      <c r="D2989" t="str">
        <f t="shared" si="47"/>
        <v>IPSEMG1401</v>
      </c>
      <c r="E2989" t="s">
        <v>44</v>
      </c>
    </row>
    <row r="2990" spans="1:5" x14ac:dyDescent="0.25">
      <c r="A2990">
        <v>2011</v>
      </c>
      <c r="B2990" t="s">
        <v>1740</v>
      </c>
      <c r="C2990" t="s">
        <v>2932</v>
      </c>
      <c r="D2990" t="str">
        <f t="shared" si="47"/>
        <v>IPSEMG3001</v>
      </c>
      <c r="E2990" t="s">
        <v>2933</v>
      </c>
    </row>
    <row r="2991" spans="1:5" x14ac:dyDescent="0.25">
      <c r="A2991">
        <v>2011</v>
      </c>
      <c r="B2991" t="s">
        <v>1740</v>
      </c>
      <c r="C2991" t="s">
        <v>979</v>
      </c>
      <c r="D2991" t="str">
        <f t="shared" si="47"/>
        <v>IPSEMG3003</v>
      </c>
      <c r="E2991" t="s">
        <v>2933</v>
      </c>
    </row>
    <row r="2992" spans="1:5" x14ac:dyDescent="0.25">
      <c r="A2992">
        <v>2011</v>
      </c>
      <c r="B2992" t="s">
        <v>1740</v>
      </c>
      <c r="C2992" t="s">
        <v>2937</v>
      </c>
      <c r="D2992" t="str">
        <f t="shared" si="47"/>
        <v>IPSEMG3004</v>
      </c>
      <c r="E2992" t="s">
        <v>2933</v>
      </c>
    </row>
    <row r="2993" spans="1:5" x14ac:dyDescent="0.25">
      <c r="A2993">
        <v>2011</v>
      </c>
      <c r="B2993" t="s">
        <v>1740</v>
      </c>
      <c r="C2993" t="s">
        <v>2939</v>
      </c>
      <c r="D2993" t="str">
        <f t="shared" si="47"/>
        <v>IPSEMG3005</v>
      </c>
      <c r="E2993" t="s">
        <v>2933</v>
      </c>
    </row>
    <row r="2994" spans="1:5" x14ac:dyDescent="0.25">
      <c r="A2994">
        <v>2011</v>
      </c>
      <c r="B2994" t="s">
        <v>1740</v>
      </c>
      <c r="C2994" t="s">
        <v>333</v>
      </c>
      <c r="D2994" t="str">
        <f t="shared" si="47"/>
        <v>IPSEMG3007</v>
      </c>
      <c r="E2994" t="s">
        <v>2933</v>
      </c>
    </row>
    <row r="2995" spans="1:5" x14ac:dyDescent="0.25">
      <c r="A2995">
        <v>2011</v>
      </c>
      <c r="B2995" t="s">
        <v>1740</v>
      </c>
      <c r="C2995" t="s">
        <v>2941</v>
      </c>
      <c r="D2995" t="str">
        <f t="shared" si="47"/>
        <v>IPSEMG3008</v>
      </c>
      <c r="E2995" t="s">
        <v>2933</v>
      </c>
    </row>
    <row r="2996" spans="1:5" x14ac:dyDescent="0.25">
      <c r="A2996">
        <v>2011</v>
      </c>
      <c r="B2996" t="s">
        <v>1740</v>
      </c>
      <c r="C2996" t="s">
        <v>2943</v>
      </c>
      <c r="D2996" t="str">
        <f t="shared" si="47"/>
        <v>IPSEMG3010</v>
      </c>
      <c r="E2996" t="s">
        <v>2944</v>
      </c>
    </row>
    <row r="2997" spans="1:5" x14ac:dyDescent="0.25">
      <c r="A2997">
        <v>2011</v>
      </c>
      <c r="B2997" t="s">
        <v>1740</v>
      </c>
      <c r="C2997" t="s">
        <v>369</v>
      </c>
      <c r="D2997" t="str">
        <f t="shared" si="47"/>
        <v>IPSEMG3011</v>
      </c>
      <c r="E2997" t="s">
        <v>2933</v>
      </c>
    </row>
    <row r="2998" spans="1:5" x14ac:dyDescent="0.25">
      <c r="A2998">
        <v>2011</v>
      </c>
      <c r="B2998" t="s">
        <v>1740</v>
      </c>
      <c r="C2998" t="s">
        <v>138</v>
      </c>
      <c r="D2998" t="str">
        <f t="shared" si="47"/>
        <v>IPSEMG3012</v>
      </c>
      <c r="E2998" t="s">
        <v>2944</v>
      </c>
    </row>
    <row r="2999" spans="1:5" x14ac:dyDescent="0.25">
      <c r="A2999">
        <v>2011</v>
      </c>
      <c r="B2999" t="s">
        <v>1740</v>
      </c>
      <c r="C2999" t="s">
        <v>2946</v>
      </c>
      <c r="D2999" t="str">
        <f t="shared" si="47"/>
        <v>IPSEMG3013</v>
      </c>
      <c r="E2999" t="s">
        <v>2933</v>
      </c>
    </row>
    <row r="3000" spans="1:5" x14ac:dyDescent="0.25">
      <c r="A3000">
        <v>2011</v>
      </c>
      <c r="B3000" t="s">
        <v>1740</v>
      </c>
      <c r="C3000" t="s">
        <v>388</v>
      </c>
      <c r="D3000" t="str">
        <f t="shared" si="47"/>
        <v>IPSEMG3014</v>
      </c>
      <c r="E3000" t="s">
        <v>2933</v>
      </c>
    </row>
    <row r="3001" spans="1:5" x14ac:dyDescent="0.25">
      <c r="A3001">
        <v>2011</v>
      </c>
      <c r="B3001" t="s">
        <v>1740</v>
      </c>
      <c r="C3001" t="s">
        <v>2948</v>
      </c>
      <c r="D3001" t="str">
        <f t="shared" si="47"/>
        <v>IPSEMG3015</v>
      </c>
      <c r="E3001" t="s">
        <v>2933</v>
      </c>
    </row>
    <row r="3002" spans="1:5" x14ac:dyDescent="0.25">
      <c r="A3002">
        <v>2011</v>
      </c>
      <c r="B3002" t="s">
        <v>1740</v>
      </c>
      <c r="C3002" t="s">
        <v>2950</v>
      </c>
      <c r="D3002" t="str">
        <f t="shared" si="47"/>
        <v>IPSEMG3016</v>
      </c>
      <c r="E3002" t="s">
        <v>2933</v>
      </c>
    </row>
    <row r="3003" spans="1:5" x14ac:dyDescent="0.25">
      <c r="A3003">
        <v>2011</v>
      </c>
      <c r="B3003" t="s">
        <v>1740</v>
      </c>
      <c r="C3003" t="s">
        <v>406</v>
      </c>
      <c r="D3003" t="str">
        <f t="shared" si="47"/>
        <v>IPSEMG3017</v>
      </c>
      <c r="E3003" t="s">
        <v>2933</v>
      </c>
    </row>
    <row r="3004" spans="1:5" x14ac:dyDescent="0.25">
      <c r="A3004">
        <v>2011</v>
      </c>
      <c r="B3004" t="s">
        <v>1740</v>
      </c>
      <c r="C3004" t="s">
        <v>411</v>
      </c>
      <c r="D3004" t="str">
        <f t="shared" si="47"/>
        <v>IPSEMG3018</v>
      </c>
      <c r="E3004" t="s">
        <v>2933</v>
      </c>
    </row>
    <row r="3005" spans="1:5" x14ac:dyDescent="0.25">
      <c r="A3005">
        <v>2011</v>
      </c>
      <c r="B3005" t="s">
        <v>1740</v>
      </c>
      <c r="C3005" t="s">
        <v>2953</v>
      </c>
      <c r="D3005" t="str">
        <f t="shared" si="47"/>
        <v>IPSEMG3019</v>
      </c>
      <c r="E3005" t="s">
        <v>2954</v>
      </c>
    </row>
    <row r="3006" spans="1:5" x14ac:dyDescent="0.25">
      <c r="A3006">
        <v>2011</v>
      </c>
      <c r="B3006" t="s">
        <v>1740</v>
      </c>
      <c r="C3006" t="s">
        <v>2955</v>
      </c>
      <c r="D3006" t="str">
        <f t="shared" si="47"/>
        <v>IPSEMG3020</v>
      </c>
      <c r="E3006" t="s">
        <v>2933</v>
      </c>
    </row>
    <row r="3007" spans="1:5" x14ac:dyDescent="0.25">
      <c r="A3007">
        <v>2011</v>
      </c>
      <c r="B3007" t="s">
        <v>1740</v>
      </c>
      <c r="C3007" t="s">
        <v>2956</v>
      </c>
      <c r="D3007" t="str">
        <f t="shared" si="47"/>
        <v>IPSEMG3021</v>
      </c>
      <c r="E3007" t="s">
        <v>2933</v>
      </c>
    </row>
    <row r="3008" spans="1:5" x14ac:dyDescent="0.25">
      <c r="A3008">
        <v>2011</v>
      </c>
      <c r="B3008" t="s">
        <v>1740</v>
      </c>
      <c r="C3008" t="s">
        <v>431</v>
      </c>
      <c r="D3008" t="str">
        <f t="shared" si="47"/>
        <v>IPSEMG3022</v>
      </c>
      <c r="E3008" t="s">
        <v>2933</v>
      </c>
    </row>
    <row r="3009" spans="1:5" x14ac:dyDescent="0.25">
      <c r="A3009">
        <v>2011</v>
      </c>
      <c r="B3009" t="s">
        <v>1740</v>
      </c>
      <c r="C3009" t="s">
        <v>441</v>
      </c>
      <c r="D3009" t="str">
        <f t="shared" si="47"/>
        <v>IPSEMG3024</v>
      </c>
      <c r="E3009" t="s">
        <v>2933</v>
      </c>
    </row>
    <row r="3010" spans="1:5" x14ac:dyDescent="0.25">
      <c r="A3010">
        <v>2011</v>
      </c>
      <c r="B3010" t="s">
        <v>1740</v>
      </c>
      <c r="C3010" t="s">
        <v>2959</v>
      </c>
      <c r="D3010" t="str">
        <f t="shared" si="47"/>
        <v>IPSEMG3025</v>
      </c>
      <c r="E3010" t="s">
        <v>2933</v>
      </c>
    </row>
    <row r="3011" spans="1:5" x14ac:dyDescent="0.25">
      <c r="A3011">
        <v>2011</v>
      </c>
      <c r="B3011" t="s">
        <v>1740</v>
      </c>
      <c r="C3011" t="s">
        <v>2960</v>
      </c>
      <c r="D3011" t="str">
        <f t="shared" si="47"/>
        <v>IPSEMG3026</v>
      </c>
      <c r="E3011" t="s">
        <v>2958</v>
      </c>
    </row>
    <row r="3012" spans="1:5" x14ac:dyDescent="0.25">
      <c r="A3012">
        <v>2011</v>
      </c>
      <c r="B3012" t="s">
        <v>1740</v>
      </c>
      <c r="C3012" t="s">
        <v>2961</v>
      </c>
      <c r="D3012" t="str">
        <f t="shared" si="47"/>
        <v>IPSEMG3027</v>
      </c>
      <c r="E3012" t="s">
        <v>2933</v>
      </c>
    </row>
    <row r="3013" spans="1:5" x14ac:dyDescent="0.25">
      <c r="A3013">
        <v>2011</v>
      </c>
      <c r="B3013" t="s">
        <v>1740</v>
      </c>
      <c r="C3013" t="s">
        <v>467</v>
      </c>
      <c r="D3013" t="str">
        <f t="shared" ref="D3013:D3076" si="48">CONCATENATE(B3013,LEFT(C3013,4))</f>
        <v>IPSEMG3030</v>
      </c>
      <c r="E3013" t="s">
        <v>2933</v>
      </c>
    </row>
    <row r="3014" spans="1:5" x14ac:dyDescent="0.25">
      <c r="A3014">
        <v>2011</v>
      </c>
      <c r="B3014" t="s">
        <v>1740</v>
      </c>
      <c r="C3014" t="s">
        <v>470</v>
      </c>
      <c r="D3014" t="str">
        <f t="shared" si="48"/>
        <v>IPSEMG3031</v>
      </c>
      <c r="E3014" t="s">
        <v>2933</v>
      </c>
    </row>
    <row r="3015" spans="1:5" x14ac:dyDescent="0.25">
      <c r="A3015">
        <v>2011</v>
      </c>
      <c r="B3015" t="s">
        <v>1740</v>
      </c>
      <c r="C3015" t="s">
        <v>487</v>
      </c>
      <c r="D3015" t="str">
        <f t="shared" si="48"/>
        <v>IPSEMG3040</v>
      </c>
      <c r="E3015" t="s">
        <v>2933</v>
      </c>
    </row>
    <row r="3016" spans="1:5" x14ac:dyDescent="0.25">
      <c r="A3016">
        <v>2011</v>
      </c>
      <c r="B3016" t="s">
        <v>1740</v>
      </c>
      <c r="C3016" t="s">
        <v>491</v>
      </c>
      <c r="D3016" t="str">
        <f t="shared" si="48"/>
        <v>IPSEMG3099</v>
      </c>
      <c r="E3016" t="s">
        <v>2933</v>
      </c>
    </row>
    <row r="3017" spans="1:5" x14ac:dyDescent="0.25">
      <c r="A3017">
        <v>2011</v>
      </c>
      <c r="B3017" t="s">
        <v>1740</v>
      </c>
      <c r="C3017" t="s">
        <v>54</v>
      </c>
      <c r="D3017" t="str">
        <f t="shared" si="48"/>
        <v>IPSEMG3301</v>
      </c>
      <c r="E3017" t="s">
        <v>44</v>
      </c>
    </row>
    <row r="3018" spans="1:5" x14ac:dyDescent="0.25">
      <c r="A3018">
        <v>2011</v>
      </c>
      <c r="B3018" t="s">
        <v>1740</v>
      </c>
      <c r="C3018" t="s">
        <v>2975</v>
      </c>
      <c r="D3018" t="str">
        <f t="shared" si="48"/>
        <v>IPSEMG3302</v>
      </c>
      <c r="E3018" t="s">
        <v>44</v>
      </c>
    </row>
    <row r="3019" spans="1:5" x14ac:dyDescent="0.25">
      <c r="A3019">
        <v>2011</v>
      </c>
      <c r="B3019" t="s">
        <v>1740</v>
      </c>
      <c r="C3019" t="s">
        <v>2977</v>
      </c>
      <c r="D3019" t="str">
        <f t="shared" si="48"/>
        <v>IPSEMG3304</v>
      </c>
      <c r="E3019" t="s">
        <v>44</v>
      </c>
    </row>
    <row r="3020" spans="1:5" x14ac:dyDescent="0.25">
      <c r="A3020">
        <v>2011</v>
      </c>
      <c r="B3020" t="s">
        <v>1740</v>
      </c>
      <c r="C3020" t="s">
        <v>309</v>
      </c>
      <c r="D3020" t="str">
        <f t="shared" si="48"/>
        <v>IPSEMG3305</v>
      </c>
      <c r="E3020" t="s">
        <v>2968</v>
      </c>
    </row>
    <row r="3021" spans="1:5" x14ac:dyDescent="0.25">
      <c r="A3021">
        <v>2011</v>
      </c>
      <c r="B3021" t="s">
        <v>1740</v>
      </c>
      <c r="C3021" t="s">
        <v>296</v>
      </c>
      <c r="D3021" t="str">
        <f t="shared" si="48"/>
        <v>IPSEMG3404</v>
      </c>
      <c r="E3021" t="s">
        <v>3081</v>
      </c>
    </row>
    <row r="3022" spans="1:5" x14ac:dyDescent="0.25">
      <c r="A3022">
        <v>2011</v>
      </c>
      <c r="B3022" t="s">
        <v>1740</v>
      </c>
      <c r="C3022" t="s">
        <v>261</v>
      </c>
      <c r="D3022" t="str">
        <f t="shared" si="48"/>
        <v>IPSEMG3602</v>
      </c>
      <c r="E3022" t="s">
        <v>2944</v>
      </c>
    </row>
    <row r="3023" spans="1:5" x14ac:dyDescent="0.25">
      <c r="A3023">
        <v>2011</v>
      </c>
      <c r="B3023" t="s">
        <v>1740</v>
      </c>
      <c r="C3023" t="s">
        <v>3018</v>
      </c>
      <c r="D3023" t="str">
        <f t="shared" si="48"/>
        <v>IPSEMG3608</v>
      </c>
      <c r="E3023" t="s">
        <v>2944</v>
      </c>
    </row>
    <row r="3024" spans="1:5" x14ac:dyDescent="0.25">
      <c r="A3024">
        <v>2011</v>
      </c>
      <c r="B3024" t="s">
        <v>1740</v>
      </c>
      <c r="C3024" t="s">
        <v>345</v>
      </c>
      <c r="D3024" t="str">
        <f t="shared" si="48"/>
        <v>IPSEMG3609</v>
      </c>
      <c r="E3024" t="s">
        <v>2968</v>
      </c>
    </row>
    <row r="3025" spans="1:5" x14ac:dyDescent="0.25">
      <c r="A3025">
        <v>2011</v>
      </c>
      <c r="B3025" t="s">
        <v>1740</v>
      </c>
      <c r="C3025" t="s">
        <v>355</v>
      </c>
      <c r="D3025" t="str">
        <f t="shared" si="48"/>
        <v>IPSEMG3610</v>
      </c>
      <c r="E3025" t="s">
        <v>2968</v>
      </c>
    </row>
    <row r="3026" spans="1:5" x14ac:dyDescent="0.25">
      <c r="A3026">
        <v>2011</v>
      </c>
      <c r="B3026" t="s">
        <v>1740</v>
      </c>
      <c r="C3026" t="s">
        <v>3021</v>
      </c>
      <c r="D3026" t="str">
        <f t="shared" si="48"/>
        <v>IPSEMG3611</v>
      </c>
      <c r="E3026" t="s">
        <v>3107</v>
      </c>
    </row>
    <row r="3027" spans="1:5" x14ac:dyDescent="0.25">
      <c r="A3027">
        <v>2011</v>
      </c>
      <c r="B3027" t="s">
        <v>1740</v>
      </c>
      <c r="C3027" t="s">
        <v>2979</v>
      </c>
      <c r="D3027" t="str">
        <f t="shared" si="48"/>
        <v>IPSEMG3612</v>
      </c>
      <c r="E3027" t="s">
        <v>2968</v>
      </c>
    </row>
    <row r="3028" spans="1:5" x14ac:dyDescent="0.25">
      <c r="A3028">
        <v>2011</v>
      </c>
      <c r="B3028" t="s">
        <v>1740</v>
      </c>
      <c r="C3028" t="s">
        <v>401</v>
      </c>
      <c r="D3028" t="str">
        <f t="shared" si="48"/>
        <v>IPSEMG3617</v>
      </c>
      <c r="E3028" t="s">
        <v>2968</v>
      </c>
    </row>
    <row r="3029" spans="1:5" x14ac:dyDescent="0.25">
      <c r="A3029">
        <v>2011</v>
      </c>
      <c r="B3029" t="s">
        <v>1740</v>
      </c>
      <c r="C3029" t="s">
        <v>3301</v>
      </c>
      <c r="D3029" t="str">
        <f t="shared" si="48"/>
        <v>IPSEMG3624</v>
      </c>
      <c r="E3029" t="s">
        <v>2968</v>
      </c>
    </row>
    <row r="3030" spans="1:5" x14ac:dyDescent="0.25">
      <c r="A3030">
        <v>2011</v>
      </c>
      <c r="B3030" t="s">
        <v>1740</v>
      </c>
      <c r="C3030" t="s">
        <v>3302</v>
      </c>
      <c r="D3030" t="str">
        <f t="shared" si="48"/>
        <v>IPSEMG3632</v>
      </c>
      <c r="E3030" t="s">
        <v>2968</v>
      </c>
    </row>
    <row r="3031" spans="1:5" x14ac:dyDescent="0.25">
      <c r="A3031">
        <v>2011</v>
      </c>
      <c r="B3031" t="s">
        <v>1740</v>
      </c>
      <c r="C3031" t="s">
        <v>471</v>
      </c>
      <c r="D3031" t="str">
        <f t="shared" si="48"/>
        <v>IPSEMG3699</v>
      </c>
      <c r="E3031" t="s">
        <v>2968</v>
      </c>
    </row>
    <row r="3032" spans="1:5" x14ac:dyDescent="0.25">
      <c r="A3032">
        <v>2011</v>
      </c>
      <c r="B3032" t="s">
        <v>1740</v>
      </c>
      <c r="C3032" t="s">
        <v>2980</v>
      </c>
      <c r="D3032" t="str">
        <f t="shared" si="48"/>
        <v>IPSEMG3701</v>
      </c>
      <c r="E3032" t="s">
        <v>2981</v>
      </c>
    </row>
    <row r="3033" spans="1:5" x14ac:dyDescent="0.25">
      <c r="A3033">
        <v>2011</v>
      </c>
      <c r="B3033" t="s">
        <v>1740</v>
      </c>
      <c r="C3033" t="s">
        <v>3050</v>
      </c>
      <c r="D3033" t="str">
        <f t="shared" si="48"/>
        <v>IPSEMG3702</v>
      </c>
      <c r="E3033" t="s">
        <v>2981</v>
      </c>
    </row>
    <row r="3034" spans="1:5" x14ac:dyDescent="0.25">
      <c r="A3034">
        <v>2011</v>
      </c>
      <c r="B3034" t="s">
        <v>1740</v>
      </c>
      <c r="C3034" t="s">
        <v>2983</v>
      </c>
      <c r="D3034" t="str">
        <f t="shared" si="48"/>
        <v>IPSEMG3703</v>
      </c>
      <c r="E3034" t="s">
        <v>117</v>
      </c>
    </row>
    <row r="3035" spans="1:5" x14ac:dyDescent="0.25">
      <c r="A3035">
        <v>2011</v>
      </c>
      <c r="B3035" t="s">
        <v>1740</v>
      </c>
      <c r="C3035" t="s">
        <v>2985</v>
      </c>
      <c r="D3035" t="str">
        <f t="shared" si="48"/>
        <v>IPSEMG3704</v>
      </c>
      <c r="E3035" t="s">
        <v>117</v>
      </c>
    </row>
    <row r="3036" spans="1:5" x14ac:dyDescent="0.25">
      <c r="A3036">
        <v>2011</v>
      </c>
      <c r="B3036" t="s">
        <v>1740</v>
      </c>
      <c r="C3036" t="s">
        <v>2986</v>
      </c>
      <c r="D3036" t="str">
        <f t="shared" si="48"/>
        <v>IPSEMG3705</v>
      </c>
      <c r="E3036" t="s">
        <v>117</v>
      </c>
    </row>
    <row r="3037" spans="1:5" x14ac:dyDescent="0.25">
      <c r="A3037">
        <v>2011</v>
      </c>
      <c r="B3037" t="s">
        <v>1740</v>
      </c>
      <c r="C3037" t="s">
        <v>2988</v>
      </c>
      <c r="D3037" t="str">
        <f t="shared" si="48"/>
        <v>IPSEMG3903</v>
      </c>
      <c r="E3037" t="s">
        <v>87</v>
      </c>
    </row>
    <row r="3038" spans="1:5" x14ac:dyDescent="0.25">
      <c r="A3038">
        <v>2011</v>
      </c>
      <c r="B3038" t="s">
        <v>1740</v>
      </c>
      <c r="C3038" t="s">
        <v>299</v>
      </c>
      <c r="D3038" t="str">
        <f t="shared" si="48"/>
        <v>IPSEMG3904</v>
      </c>
      <c r="E3038" t="s">
        <v>2968</v>
      </c>
    </row>
    <row r="3039" spans="1:5" x14ac:dyDescent="0.25">
      <c r="A3039">
        <v>2011</v>
      </c>
      <c r="B3039" t="s">
        <v>1740</v>
      </c>
      <c r="C3039" t="s">
        <v>326</v>
      </c>
      <c r="D3039" t="str">
        <f t="shared" si="48"/>
        <v>IPSEMG3906</v>
      </c>
      <c r="E3039" t="s">
        <v>2968</v>
      </c>
    </row>
    <row r="3040" spans="1:5" x14ac:dyDescent="0.25">
      <c r="A3040">
        <v>2011</v>
      </c>
      <c r="B3040" t="s">
        <v>1740</v>
      </c>
      <c r="C3040" t="s">
        <v>2989</v>
      </c>
      <c r="D3040" t="str">
        <f t="shared" si="48"/>
        <v>IPSEMG3908</v>
      </c>
      <c r="E3040" t="s">
        <v>2968</v>
      </c>
    </row>
    <row r="3041" spans="1:5" x14ac:dyDescent="0.25">
      <c r="A3041">
        <v>2011</v>
      </c>
      <c r="B3041" t="s">
        <v>1740</v>
      </c>
      <c r="C3041" t="s">
        <v>336</v>
      </c>
      <c r="D3041" t="str">
        <f t="shared" si="48"/>
        <v>IPSEMG3909</v>
      </c>
      <c r="E3041" t="s">
        <v>2968</v>
      </c>
    </row>
    <row r="3042" spans="1:5" x14ac:dyDescent="0.25">
      <c r="A3042">
        <v>2011</v>
      </c>
      <c r="B3042" t="s">
        <v>1740</v>
      </c>
      <c r="C3042" t="s">
        <v>346</v>
      </c>
      <c r="D3042" t="str">
        <f t="shared" si="48"/>
        <v>IPSEMG3910</v>
      </c>
      <c r="E3042" t="s">
        <v>2968</v>
      </c>
    </row>
    <row r="3043" spans="1:5" x14ac:dyDescent="0.25">
      <c r="A3043">
        <v>2011</v>
      </c>
      <c r="B3043" t="s">
        <v>1740</v>
      </c>
      <c r="C3043" t="s">
        <v>356</v>
      </c>
      <c r="D3043" t="str">
        <f t="shared" si="48"/>
        <v>IPSEMG3911</v>
      </c>
      <c r="E3043" t="s">
        <v>2968</v>
      </c>
    </row>
    <row r="3044" spans="1:5" x14ac:dyDescent="0.25">
      <c r="A3044">
        <v>2011</v>
      </c>
      <c r="B3044" t="s">
        <v>1740</v>
      </c>
      <c r="C3044" t="s">
        <v>2991</v>
      </c>
      <c r="D3044" t="str">
        <f t="shared" si="48"/>
        <v>IPSEMG3912</v>
      </c>
      <c r="E3044" t="s">
        <v>2992</v>
      </c>
    </row>
    <row r="3045" spans="1:5" x14ac:dyDescent="0.25">
      <c r="A3045">
        <v>2011</v>
      </c>
      <c r="B3045" t="s">
        <v>1740</v>
      </c>
      <c r="C3045" t="s">
        <v>2994</v>
      </c>
      <c r="D3045" t="str">
        <f t="shared" si="48"/>
        <v>IPSEMG3913</v>
      </c>
      <c r="E3045" t="s">
        <v>2992</v>
      </c>
    </row>
    <row r="3046" spans="1:5" x14ac:dyDescent="0.25">
      <c r="A3046">
        <v>2011</v>
      </c>
      <c r="B3046" t="s">
        <v>1740</v>
      </c>
      <c r="C3046" t="s">
        <v>377</v>
      </c>
      <c r="D3046" t="str">
        <f t="shared" si="48"/>
        <v>IPSEMG3914</v>
      </c>
      <c r="E3046" t="s">
        <v>3009</v>
      </c>
    </row>
    <row r="3047" spans="1:5" x14ac:dyDescent="0.25">
      <c r="A3047">
        <v>2011</v>
      </c>
      <c r="B3047" t="s">
        <v>1740</v>
      </c>
      <c r="C3047" t="s">
        <v>384</v>
      </c>
      <c r="D3047" t="str">
        <f t="shared" si="48"/>
        <v>IPSEMG3915</v>
      </c>
      <c r="E3047" t="s">
        <v>2992</v>
      </c>
    </row>
    <row r="3048" spans="1:5" x14ac:dyDescent="0.25">
      <c r="A3048">
        <v>2011</v>
      </c>
      <c r="B3048" t="s">
        <v>1740</v>
      </c>
      <c r="C3048" t="s">
        <v>2996</v>
      </c>
      <c r="D3048" t="str">
        <f t="shared" si="48"/>
        <v>IPSEMG3917</v>
      </c>
      <c r="E3048" t="s">
        <v>2958</v>
      </c>
    </row>
    <row r="3049" spans="1:5" x14ac:dyDescent="0.25">
      <c r="A3049">
        <v>2011</v>
      </c>
      <c r="B3049" t="s">
        <v>1740</v>
      </c>
      <c r="C3049" t="s">
        <v>2998</v>
      </c>
      <c r="D3049" t="str">
        <f t="shared" si="48"/>
        <v>IPSEMG3918</v>
      </c>
      <c r="E3049" t="s">
        <v>2958</v>
      </c>
    </row>
    <row r="3050" spans="1:5" x14ac:dyDescent="0.25">
      <c r="A3050">
        <v>2011</v>
      </c>
      <c r="B3050" t="s">
        <v>1740</v>
      </c>
      <c r="C3050" t="s">
        <v>3000</v>
      </c>
      <c r="D3050" t="str">
        <f t="shared" si="48"/>
        <v>IPSEMG3919</v>
      </c>
      <c r="E3050" t="s">
        <v>3001</v>
      </c>
    </row>
    <row r="3051" spans="1:5" x14ac:dyDescent="0.25">
      <c r="A3051">
        <v>2011</v>
      </c>
      <c r="B3051" t="s">
        <v>1740</v>
      </c>
      <c r="C3051" t="s">
        <v>3077</v>
      </c>
      <c r="D3051" t="str">
        <f t="shared" si="48"/>
        <v>IPSEMG3920</v>
      </c>
      <c r="E3051" t="s">
        <v>3107</v>
      </c>
    </row>
    <row r="3052" spans="1:5" x14ac:dyDescent="0.25">
      <c r="A3052">
        <v>2011</v>
      </c>
      <c r="B3052" t="s">
        <v>1740</v>
      </c>
      <c r="C3052" t="s">
        <v>3002</v>
      </c>
      <c r="D3052" t="str">
        <f t="shared" si="48"/>
        <v>IPSEMG3921</v>
      </c>
      <c r="E3052" t="s">
        <v>3001</v>
      </c>
    </row>
    <row r="3053" spans="1:5" x14ac:dyDescent="0.25">
      <c r="A3053">
        <v>2011</v>
      </c>
      <c r="B3053" t="s">
        <v>1740</v>
      </c>
      <c r="C3053" t="s">
        <v>3003</v>
      </c>
      <c r="D3053" t="str">
        <f t="shared" si="48"/>
        <v>IPSEMG3922</v>
      </c>
      <c r="E3053" t="s">
        <v>2954</v>
      </c>
    </row>
    <row r="3054" spans="1:5" x14ac:dyDescent="0.25">
      <c r="A3054">
        <v>2011</v>
      </c>
      <c r="B3054" t="s">
        <v>1740</v>
      </c>
      <c r="C3054" t="s">
        <v>566</v>
      </c>
      <c r="D3054" t="str">
        <f t="shared" si="48"/>
        <v>IPSEMG3924</v>
      </c>
      <c r="E3054" t="s">
        <v>3004</v>
      </c>
    </row>
    <row r="3055" spans="1:5" x14ac:dyDescent="0.25">
      <c r="A3055">
        <v>2011</v>
      </c>
      <c r="B3055" t="s">
        <v>1740</v>
      </c>
      <c r="C3055" t="s">
        <v>438</v>
      </c>
      <c r="D3055" t="str">
        <f t="shared" si="48"/>
        <v>IPSEMG3925</v>
      </c>
      <c r="E3055" t="s">
        <v>2968</v>
      </c>
    </row>
    <row r="3056" spans="1:5" x14ac:dyDescent="0.25">
      <c r="A3056">
        <v>2011</v>
      </c>
      <c r="B3056" t="s">
        <v>1740</v>
      </c>
      <c r="C3056" t="s">
        <v>443</v>
      </c>
      <c r="D3056" t="str">
        <f t="shared" si="48"/>
        <v>IPSEMG3926</v>
      </c>
      <c r="E3056" t="s">
        <v>3006</v>
      </c>
    </row>
    <row r="3057" spans="1:5" x14ac:dyDescent="0.25">
      <c r="A3057">
        <v>2011</v>
      </c>
      <c r="B3057" t="s">
        <v>1740</v>
      </c>
      <c r="C3057" t="s">
        <v>3008</v>
      </c>
      <c r="D3057" t="str">
        <f t="shared" si="48"/>
        <v>IPSEMG3927</v>
      </c>
      <c r="E3057" t="s">
        <v>3009</v>
      </c>
    </row>
    <row r="3058" spans="1:5" x14ac:dyDescent="0.25">
      <c r="A3058">
        <v>2011</v>
      </c>
      <c r="B3058" t="s">
        <v>1740</v>
      </c>
      <c r="C3058" t="s">
        <v>3011</v>
      </c>
      <c r="D3058" t="str">
        <f t="shared" si="48"/>
        <v>IPSEMG3929</v>
      </c>
      <c r="E3058" t="s">
        <v>2944</v>
      </c>
    </row>
    <row r="3059" spans="1:5" x14ac:dyDescent="0.25">
      <c r="A3059">
        <v>2011</v>
      </c>
      <c r="B3059" t="s">
        <v>1740</v>
      </c>
      <c r="C3059" t="s">
        <v>458</v>
      </c>
      <c r="D3059" t="str">
        <f t="shared" si="48"/>
        <v>IPSEMG3930</v>
      </c>
      <c r="E3059" t="s">
        <v>3006</v>
      </c>
    </row>
    <row r="3060" spans="1:5" x14ac:dyDescent="0.25">
      <c r="A3060">
        <v>2011</v>
      </c>
      <c r="B3060" t="s">
        <v>1740</v>
      </c>
      <c r="C3060" t="s">
        <v>1481</v>
      </c>
      <c r="D3060" t="str">
        <f t="shared" si="48"/>
        <v>IPSEMG3931</v>
      </c>
      <c r="E3060" t="s">
        <v>2968</v>
      </c>
    </row>
    <row r="3061" spans="1:5" x14ac:dyDescent="0.25">
      <c r="A3061">
        <v>2011</v>
      </c>
      <c r="B3061" t="s">
        <v>1740</v>
      </c>
      <c r="C3061" t="s">
        <v>3017</v>
      </c>
      <c r="D3061" t="str">
        <f t="shared" si="48"/>
        <v>IPSEMG3936</v>
      </c>
      <c r="E3061" t="s">
        <v>94</v>
      </c>
    </row>
    <row r="3062" spans="1:5" x14ac:dyDescent="0.25">
      <c r="A3062">
        <v>2011</v>
      </c>
      <c r="B3062" t="s">
        <v>1740</v>
      </c>
      <c r="C3062" t="s">
        <v>3088</v>
      </c>
      <c r="D3062" t="str">
        <f t="shared" si="48"/>
        <v>IPSEMG3937</v>
      </c>
      <c r="E3062" t="s">
        <v>3107</v>
      </c>
    </row>
    <row r="3063" spans="1:5" x14ac:dyDescent="0.25">
      <c r="A3063">
        <v>2011</v>
      </c>
      <c r="B3063" t="s">
        <v>1740</v>
      </c>
      <c r="C3063" t="s">
        <v>3089</v>
      </c>
      <c r="D3063" t="str">
        <f t="shared" si="48"/>
        <v>IPSEMG3939</v>
      </c>
      <c r="E3063" t="s">
        <v>2968</v>
      </c>
    </row>
    <row r="3064" spans="1:5" x14ac:dyDescent="0.25">
      <c r="A3064">
        <v>2011</v>
      </c>
      <c r="B3064" t="s">
        <v>1740</v>
      </c>
      <c r="C3064" t="s">
        <v>3019</v>
      </c>
      <c r="D3064" t="str">
        <f t="shared" si="48"/>
        <v>IPSEMG3940</v>
      </c>
      <c r="E3064" t="s">
        <v>3009</v>
      </c>
    </row>
    <row r="3065" spans="1:5" x14ac:dyDescent="0.25">
      <c r="A3065">
        <v>2011</v>
      </c>
      <c r="B3065" t="s">
        <v>1740</v>
      </c>
      <c r="C3065" t="s">
        <v>480</v>
      </c>
      <c r="D3065" t="str">
        <f t="shared" si="48"/>
        <v>IPSEMG3941</v>
      </c>
      <c r="E3065" t="s">
        <v>2968</v>
      </c>
    </row>
    <row r="3066" spans="1:5" x14ac:dyDescent="0.25">
      <c r="A3066">
        <v>2011</v>
      </c>
      <c r="B3066" t="s">
        <v>1740</v>
      </c>
      <c r="C3066" t="s">
        <v>482</v>
      </c>
      <c r="D3066" t="str">
        <f t="shared" si="48"/>
        <v>IPSEMG3942</v>
      </c>
      <c r="E3066" t="s">
        <v>2968</v>
      </c>
    </row>
    <row r="3067" spans="1:5" x14ac:dyDescent="0.25">
      <c r="A3067">
        <v>2011</v>
      </c>
      <c r="B3067" t="s">
        <v>1740</v>
      </c>
      <c r="C3067" t="s">
        <v>3020</v>
      </c>
      <c r="D3067" t="str">
        <f t="shared" si="48"/>
        <v>IPSEMG3943</v>
      </c>
      <c r="E3067" t="s">
        <v>2958</v>
      </c>
    </row>
    <row r="3068" spans="1:5" x14ac:dyDescent="0.25">
      <c r="A3068">
        <v>2011</v>
      </c>
      <c r="B3068" t="s">
        <v>1740</v>
      </c>
      <c r="C3068" t="s">
        <v>490</v>
      </c>
      <c r="D3068" t="str">
        <f t="shared" si="48"/>
        <v>IPSEMG3947</v>
      </c>
      <c r="E3068" t="s">
        <v>2968</v>
      </c>
    </row>
    <row r="3069" spans="1:5" x14ac:dyDescent="0.25">
      <c r="A3069">
        <v>2011</v>
      </c>
      <c r="B3069" t="s">
        <v>1740</v>
      </c>
      <c r="C3069" t="s">
        <v>492</v>
      </c>
      <c r="D3069" t="str">
        <f t="shared" si="48"/>
        <v>IPSEMG3948</v>
      </c>
      <c r="E3069" t="s">
        <v>3004</v>
      </c>
    </row>
    <row r="3070" spans="1:5" x14ac:dyDescent="0.25">
      <c r="A3070">
        <v>2011</v>
      </c>
      <c r="B3070" t="s">
        <v>1740</v>
      </c>
      <c r="C3070" t="s">
        <v>3098</v>
      </c>
      <c r="D3070" t="str">
        <f t="shared" si="48"/>
        <v>IPSEMG3952</v>
      </c>
      <c r="E3070" t="s">
        <v>65</v>
      </c>
    </row>
    <row r="3071" spans="1:5" x14ac:dyDescent="0.25">
      <c r="A3071">
        <v>2011</v>
      </c>
      <c r="B3071" t="s">
        <v>1740</v>
      </c>
      <c r="C3071" t="s">
        <v>3025</v>
      </c>
      <c r="D3071" t="str">
        <f t="shared" si="48"/>
        <v>IPSEMG3959</v>
      </c>
      <c r="E3071" t="s">
        <v>2968</v>
      </c>
    </row>
    <row r="3072" spans="1:5" x14ac:dyDescent="0.25">
      <c r="A3072">
        <v>2011</v>
      </c>
      <c r="B3072" t="s">
        <v>1740</v>
      </c>
      <c r="C3072" t="s">
        <v>3102</v>
      </c>
      <c r="D3072" t="str">
        <f t="shared" si="48"/>
        <v>IPSEMG3960</v>
      </c>
      <c r="E3072" t="s">
        <v>2968</v>
      </c>
    </row>
    <row r="3073" spans="1:5" x14ac:dyDescent="0.25">
      <c r="A3073">
        <v>2011</v>
      </c>
      <c r="B3073" t="s">
        <v>1740</v>
      </c>
      <c r="C3073" t="s">
        <v>3027</v>
      </c>
      <c r="D3073" t="str">
        <f t="shared" si="48"/>
        <v>IPSEMG3961</v>
      </c>
      <c r="E3073" t="s">
        <v>2981</v>
      </c>
    </row>
    <row r="3074" spans="1:5" x14ac:dyDescent="0.25">
      <c r="A3074">
        <v>2011</v>
      </c>
      <c r="B3074" t="s">
        <v>1740</v>
      </c>
      <c r="C3074" t="s">
        <v>3103</v>
      </c>
      <c r="D3074" t="str">
        <f t="shared" si="48"/>
        <v>IPSEMG3962</v>
      </c>
      <c r="E3074" t="s">
        <v>3033</v>
      </c>
    </row>
    <row r="3075" spans="1:5" x14ac:dyDescent="0.25">
      <c r="A3075">
        <v>2011</v>
      </c>
      <c r="B3075" t="s">
        <v>1740</v>
      </c>
      <c r="C3075" t="s">
        <v>3105</v>
      </c>
      <c r="D3075" t="str">
        <f t="shared" si="48"/>
        <v>IPSEMG3965</v>
      </c>
      <c r="E3075" t="s">
        <v>2944</v>
      </c>
    </row>
    <row r="3076" spans="1:5" x14ac:dyDescent="0.25">
      <c r="A3076">
        <v>2011</v>
      </c>
      <c r="B3076" t="s">
        <v>1740</v>
      </c>
      <c r="C3076" t="s">
        <v>1154</v>
      </c>
      <c r="D3076" t="str">
        <f t="shared" si="48"/>
        <v>IPSEMG3969</v>
      </c>
      <c r="E3076" t="s">
        <v>2992</v>
      </c>
    </row>
    <row r="3077" spans="1:5" x14ac:dyDescent="0.25">
      <c r="A3077">
        <v>2011</v>
      </c>
      <c r="B3077" t="s">
        <v>1740</v>
      </c>
      <c r="C3077" t="s">
        <v>3031</v>
      </c>
      <c r="D3077" t="str">
        <f t="shared" ref="D3077:D3140" si="49">CONCATENATE(B3077,LEFT(C3077,4))</f>
        <v>IPSEMG3970</v>
      </c>
      <c r="E3077" t="s">
        <v>3009</v>
      </c>
    </row>
    <row r="3078" spans="1:5" x14ac:dyDescent="0.25">
      <c r="A3078">
        <v>2011</v>
      </c>
      <c r="B3078" t="s">
        <v>1740</v>
      </c>
      <c r="C3078" t="s">
        <v>513</v>
      </c>
      <c r="D3078" t="str">
        <f t="shared" si="49"/>
        <v>IPSEMG3971</v>
      </c>
      <c r="E3078" t="s">
        <v>3033</v>
      </c>
    </row>
    <row r="3079" spans="1:5" x14ac:dyDescent="0.25">
      <c r="A3079">
        <v>2011</v>
      </c>
      <c r="B3079" t="s">
        <v>1740</v>
      </c>
      <c r="C3079" t="s">
        <v>516</v>
      </c>
      <c r="D3079" t="str">
        <f t="shared" si="49"/>
        <v>IPSEMG3974</v>
      </c>
      <c r="E3079" t="s">
        <v>3131</v>
      </c>
    </row>
    <row r="3080" spans="1:5" x14ac:dyDescent="0.25">
      <c r="A3080">
        <v>2011</v>
      </c>
      <c r="B3080" t="s">
        <v>1740</v>
      </c>
      <c r="C3080" t="s">
        <v>520</v>
      </c>
      <c r="D3080" t="str">
        <f t="shared" si="49"/>
        <v>IPSEMG3978</v>
      </c>
      <c r="E3080" t="s">
        <v>2981</v>
      </c>
    </row>
    <row r="3081" spans="1:5" x14ac:dyDescent="0.25">
      <c r="A3081">
        <v>2011</v>
      </c>
      <c r="B3081" t="s">
        <v>1740</v>
      </c>
      <c r="C3081" t="s">
        <v>521</v>
      </c>
      <c r="D3081" t="str">
        <f t="shared" si="49"/>
        <v>IPSEMG3981</v>
      </c>
      <c r="E3081" t="s">
        <v>2968</v>
      </c>
    </row>
    <row r="3082" spans="1:5" x14ac:dyDescent="0.25">
      <c r="A3082">
        <v>2011</v>
      </c>
      <c r="B3082" t="s">
        <v>1740</v>
      </c>
      <c r="C3082" t="s">
        <v>3303</v>
      </c>
      <c r="D3082" t="str">
        <f t="shared" si="49"/>
        <v>IPSEMG3982</v>
      </c>
      <c r="E3082" t="s">
        <v>2968</v>
      </c>
    </row>
    <row r="3083" spans="1:5" x14ac:dyDescent="0.25">
      <c r="A3083">
        <v>2011</v>
      </c>
      <c r="B3083" t="s">
        <v>1740</v>
      </c>
      <c r="C3083" t="s">
        <v>3036</v>
      </c>
      <c r="D3083" t="str">
        <f t="shared" si="49"/>
        <v>IPSEMG3987</v>
      </c>
      <c r="E3083" t="s">
        <v>2958</v>
      </c>
    </row>
    <row r="3084" spans="1:5" x14ac:dyDescent="0.25">
      <c r="A3084">
        <v>2011</v>
      </c>
      <c r="B3084" t="s">
        <v>1740</v>
      </c>
      <c r="C3084" t="s">
        <v>3227</v>
      </c>
      <c r="D3084" t="str">
        <f t="shared" si="49"/>
        <v>IPSEMG3998</v>
      </c>
      <c r="E3084" t="s">
        <v>2944</v>
      </c>
    </row>
    <row r="3085" spans="1:5" x14ac:dyDescent="0.25">
      <c r="A3085">
        <v>2011</v>
      </c>
      <c r="B3085" t="s">
        <v>1740</v>
      </c>
      <c r="C3085" t="s">
        <v>3040</v>
      </c>
      <c r="D3085" t="str">
        <f t="shared" si="49"/>
        <v>IPSEMG3999</v>
      </c>
      <c r="E3085" t="s">
        <v>2968</v>
      </c>
    </row>
    <row r="3086" spans="1:5" x14ac:dyDescent="0.25">
      <c r="A3086">
        <v>2011</v>
      </c>
      <c r="B3086" t="s">
        <v>1740</v>
      </c>
      <c r="C3086" t="s">
        <v>3041</v>
      </c>
      <c r="D3086" t="str">
        <f t="shared" si="49"/>
        <v>IPSEMG4002</v>
      </c>
      <c r="E3086" t="s">
        <v>3009</v>
      </c>
    </row>
    <row r="3087" spans="1:5" x14ac:dyDescent="0.25">
      <c r="A3087">
        <v>2011</v>
      </c>
      <c r="B3087" t="s">
        <v>1740</v>
      </c>
      <c r="C3087" t="s">
        <v>3043</v>
      </c>
      <c r="D3087" t="str">
        <f t="shared" si="49"/>
        <v>IPSEMG4003</v>
      </c>
      <c r="E3087" t="s">
        <v>94</v>
      </c>
    </row>
    <row r="3088" spans="1:5" x14ac:dyDescent="0.25">
      <c r="A3088">
        <v>2011</v>
      </c>
      <c r="B3088" t="s">
        <v>1740</v>
      </c>
      <c r="C3088" t="s">
        <v>3045</v>
      </c>
      <c r="D3088" t="str">
        <f t="shared" si="49"/>
        <v>IPSEMG4004</v>
      </c>
      <c r="E3088" t="s">
        <v>3009</v>
      </c>
    </row>
    <row r="3089" spans="1:5" x14ac:dyDescent="0.25">
      <c r="A3089">
        <v>2011</v>
      </c>
      <c r="B3089" t="s">
        <v>1740</v>
      </c>
      <c r="C3089" t="s">
        <v>3047</v>
      </c>
      <c r="D3089" t="str">
        <f t="shared" si="49"/>
        <v>IPSEMG4005</v>
      </c>
      <c r="E3089" t="s">
        <v>3009</v>
      </c>
    </row>
    <row r="3090" spans="1:5" x14ac:dyDescent="0.25">
      <c r="A3090">
        <v>2011</v>
      </c>
      <c r="B3090" t="s">
        <v>1740</v>
      </c>
      <c r="C3090" t="s">
        <v>813</v>
      </c>
      <c r="D3090" t="str">
        <f t="shared" si="49"/>
        <v>IPSEMG4006</v>
      </c>
      <c r="E3090" t="s">
        <v>3057</v>
      </c>
    </row>
    <row r="3091" spans="1:5" x14ac:dyDescent="0.25">
      <c r="A3091">
        <v>2011</v>
      </c>
      <c r="B3091" t="s">
        <v>1740</v>
      </c>
      <c r="C3091" t="s">
        <v>3138</v>
      </c>
      <c r="D3091" t="str">
        <f t="shared" si="49"/>
        <v>IPSEMG4007</v>
      </c>
      <c r="E3091" t="s">
        <v>94</v>
      </c>
    </row>
    <row r="3092" spans="1:5" x14ac:dyDescent="0.25">
      <c r="A3092">
        <v>2011</v>
      </c>
      <c r="B3092" t="s">
        <v>1740</v>
      </c>
      <c r="C3092" t="s">
        <v>3048</v>
      </c>
      <c r="D3092" t="str">
        <f t="shared" si="49"/>
        <v>IPSEMG4701</v>
      </c>
      <c r="E3092" t="s">
        <v>3049</v>
      </c>
    </row>
    <row r="3093" spans="1:5" x14ac:dyDescent="0.25">
      <c r="A3093">
        <v>2011</v>
      </c>
      <c r="B3093" t="s">
        <v>1740</v>
      </c>
      <c r="C3093" t="s">
        <v>265</v>
      </c>
      <c r="D3093" t="str">
        <f t="shared" si="49"/>
        <v>IPSEMG4703</v>
      </c>
      <c r="E3093" t="s">
        <v>3049</v>
      </c>
    </row>
    <row r="3094" spans="1:5" x14ac:dyDescent="0.25">
      <c r="A3094">
        <v>2011</v>
      </c>
      <c r="B3094" t="s">
        <v>1740</v>
      </c>
      <c r="C3094" t="s">
        <v>285</v>
      </c>
      <c r="D3094" t="str">
        <f t="shared" si="49"/>
        <v>IPSEMG4704</v>
      </c>
      <c r="E3094" t="s">
        <v>3049</v>
      </c>
    </row>
    <row r="3095" spans="1:5" x14ac:dyDescent="0.25">
      <c r="A3095">
        <v>2011</v>
      </c>
      <c r="B3095" t="s">
        <v>1740</v>
      </c>
      <c r="C3095" t="s">
        <v>316</v>
      </c>
      <c r="D3095" t="str">
        <f t="shared" si="49"/>
        <v>IPSEMG4706</v>
      </c>
      <c r="E3095" t="s">
        <v>3049</v>
      </c>
    </row>
    <row r="3096" spans="1:5" x14ac:dyDescent="0.25">
      <c r="A3096">
        <v>2011</v>
      </c>
      <c r="B3096" t="s">
        <v>1740</v>
      </c>
      <c r="C3096" t="s">
        <v>328</v>
      </c>
      <c r="D3096" t="str">
        <f t="shared" si="49"/>
        <v>IPSEMG4707</v>
      </c>
      <c r="E3096" t="s">
        <v>3049</v>
      </c>
    </row>
    <row r="3097" spans="1:5" x14ac:dyDescent="0.25">
      <c r="A3097">
        <v>2011</v>
      </c>
      <c r="B3097" t="s">
        <v>1740</v>
      </c>
      <c r="C3097" t="s">
        <v>357</v>
      </c>
      <c r="D3097" t="str">
        <f t="shared" si="49"/>
        <v>IPSEMG4710</v>
      </c>
      <c r="E3097" t="s">
        <v>3049</v>
      </c>
    </row>
    <row r="3098" spans="1:5" x14ac:dyDescent="0.25">
      <c r="A3098">
        <v>2011</v>
      </c>
      <c r="B3098" t="s">
        <v>1740</v>
      </c>
      <c r="C3098" t="s">
        <v>364</v>
      </c>
      <c r="D3098" t="str">
        <f t="shared" si="49"/>
        <v>IPSEMG4799</v>
      </c>
      <c r="E3098" t="s">
        <v>3049</v>
      </c>
    </row>
    <row r="3099" spans="1:5" x14ac:dyDescent="0.25">
      <c r="A3099">
        <v>2011</v>
      </c>
      <c r="B3099" t="s">
        <v>1740</v>
      </c>
      <c r="C3099" t="s">
        <v>3240</v>
      </c>
      <c r="D3099" t="str">
        <f t="shared" si="49"/>
        <v>IPSEMG4904</v>
      </c>
      <c r="E3099" t="s">
        <v>2926</v>
      </c>
    </row>
    <row r="3100" spans="1:5" x14ac:dyDescent="0.25">
      <c r="A3100">
        <v>2011</v>
      </c>
      <c r="B3100" t="s">
        <v>1740</v>
      </c>
      <c r="C3100" t="s">
        <v>3051</v>
      </c>
      <c r="D3100" t="str">
        <f t="shared" si="49"/>
        <v>IPSEMG5101</v>
      </c>
      <c r="E3100" t="s">
        <v>3052</v>
      </c>
    </row>
    <row r="3101" spans="1:5" x14ac:dyDescent="0.25">
      <c r="A3101">
        <v>2011</v>
      </c>
      <c r="B3101" t="s">
        <v>1740</v>
      </c>
      <c r="C3101" t="s">
        <v>3053</v>
      </c>
      <c r="D3101" t="str">
        <f t="shared" si="49"/>
        <v>IPSEMG5103</v>
      </c>
      <c r="E3101" t="s">
        <v>3052</v>
      </c>
    </row>
    <row r="3102" spans="1:5" x14ac:dyDescent="0.25">
      <c r="A3102">
        <v>2011</v>
      </c>
      <c r="B3102" t="s">
        <v>1740</v>
      </c>
      <c r="C3102" t="s">
        <v>288</v>
      </c>
      <c r="D3102" t="str">
        <f t="shared" si="49"/>
        <v>IPSEMG5203</v>
      </c>
      <c r="E3102" t="s">
        <v>3055</v>
      </c>
    </row>
    <row r="3103" spans="1:5" x14ac:dyDescent="0.25">
      <c r="A3103">
        <v>2011</v>
      </c>
      <c r="B3103" t="s">
        <v>1740</v>
      </c>
      <c r="C3103" t="s">
        <v>3054</v>
      </c>
      <c r="D3103" t="str">
        <f t="shared" si="49"/>
        <v>IPSEMG5204</v>
      </c>
      <c r="E3103" t="s">
        <v>3055</v>
      </c>
    </row>
    <row r="3104" spans="1:5" x14ac:dyDescent="0.25">
      <c r="A3104">
        <v>2011</v>
      </c>
      <c r="B3104" t="s">
        <v>1740</v>
      </c>
      <c r="C3104" t="s">
        <v>329</v>
      </c>
      <c r="D3104" t="str">
        <f t="shared" si="49"/>
        <v>IPSEMG5206</v>
      </c>
      <c r="E3104" t="s">
        <v>3057</v>
      </c>
    </row>
    <row r="3105" spans="1:5" x14ac:dyDescent="0.25">
      <c r="A3105">
        <v>2011</v>
      </c>
      <c r="B3105" t="s">
        <v>1740</v>
      </c>
      <c r="C3105" t="s">
        <v>3058</v>
      </c>
      <c r="D3105" t="str">
        <f t="shared" si="49"/>
        <v>IPSEMG5207</v>
      </c>
      <c r="E3105" t="s">
        <v>3057</v>
      </c>
    </row>
    <row r="3106" spans="1:5" x14ac:dyDescent="0.25">
      <c r="A3106">
        <v>2011</v>
      </c>
      <c r="B3106" t="s">
        <v>1740</v>
      </c>
      <c r="C3106" t="s">
        <v>3060</v>
      </c>
      <c r="D3106" t="str">
        <f t="shared" si="49"/>
        <v>IPSEMG5208</v>
      </c>
      <c r="E3106" t="s">
        <v>3057</v>
      </c>
    </row>
    <row r="3107" spans="1:5" x14ac:dyDescent="0.25">
      <c r="A3107">
        <v>2011</v>
      </c>
      <c r="B3107" t="s">
        <v>1740</v>
      </c>
      <c r="C3107" t="s">
        <v>359</v>
      </c>
      <c r="D3107" t="str">
        <f t="shared" si="49"/>
        <v>IPSEMG5209</v>
      </c>
      <c r="E3107" t="s">
        <v>3055</v>
      </c>
    </row>
    <row r="3108" spans="1:5" x14ac:dyDescent="0.25">
      <c r="A3108">
        <v>2011</v>
      </c>
      <c r="B3108" t="s">
        <v>1740</v>
      </c>
      <c r="C3108" t="s">
        <v>3063</v>
      </c>
      <c r="D3108" t="str">
        <f t="shared" si="49"/>
        <v>IPSEMG5210</v>
      </c>
      <c r="E3108" t="s">
        <v>3055</v>
      </c>
    </row>
    <row r="3109" spans="1:5" x14ac:dyDescent="0.25">
      <c r="A3109">
        <v>2011</v>
      </c>
      <c r="B3109" t="s">
        <v>1740</v>
      </c>
      <c r="C3109" t="s">
        <v>3155</v>
      </c>
      <c r="D3109" t="str">
        <f t="shared" si="49"/>
        <v>IPSEMG5211</v>
      </c>
      <c r="E3109" t="s">
        <v>2944</v>
      </c>
    </row>
    <row r="3110" spans="1:5" x14ac:dyDescent="0.25">
      <c r="A3110">
        <v>2011</v>
      </c>
      <c r="B3110" t="s">
        <v>1740</v>
      </c>
      <c r="C3110" t="s">
        <v>3064</v>
      </c>
      <c r="D3110" t="str">
        <f t="shared" si="49"/>
        <v>IPSEMG5212</v>
      </c>
      <c r="E3110" t="s">
        <v>3055</v>
      </c>
    </row>
    <row r="3111" spans="1:5" x14ac:dyDescent="0.25">
      <c r="A3111">
        <v>2011</v>
      </c>
      <c r="B3111" t="s">
        <v>1740</v>
      </c>
      <c r="C3111" t="s">
        <v>385</v>
      </c>
      <c r="D3111" t="str">
        <f t="shared" si="49"/>
        <v>IPSEMG5213</v>
      </c>
      <c r="E3111" t="s">
        <v>3055</v>
      </c>
    </row>
    <row r="3112" spans="1:5" x14ac:dyDescent="0.25">
      <c r="A3112">
        <v>2011</v>
      </c>
      <c r="B3112" t="s">
        <v>1740</v>
      </c>
      <c r="C3112" t="s">
        <v>391</v>
      </c>
      <c r="D3112" t="str">
        <f t="shared" si="49"/>
        <v>IPSEMG5214</v>
      </c>
      <c r="E3112" t="s">
        <v>3055</v>
      </c>
    </row>
    <row r="3113" spans="1:5" x14ac:dyDescent="0.25">
      <c r="A3113">
        <v>2011</v>
      </c>
      <c r="B3113" t="s">
        <v>1740</v>
      </c>
      <c r="C3113" t="s">
        <v>3068</v>
      </c>
      <c r="D3113" t="str">
        <f t="shared" si="49"/>
        <v>IPSEMG5220</v>
      </c>
      <c r="E3113" t="s">
        <v>3057</v>
      </c>
    </row>
    <row r="3114" spans="1:5" x14ac:dyDescent="0.25">
      <c r="A3114">
        <v>2011</v>
      </c>
      <c r="B3114" t="s">
        <v>1740</v>
      </c>
      <c r="C3114" t="s">
        <v>429</v>
      </c>
      <c r="D3114" t="str">
        <f t="shared" si="49"/>
        <v>IPSEMG5221</v>
      </c>
      <c r="E3114" t="s">
        <v>3055</v>
      </c>
    </row>
    <row r="3115" spans="1:5" x14ac:dyDescent="0.25">
      <c r="A3115">
        <v>2011</v>
      </c>
      <c r="B3115" t="s">
        <v>1740</v>
      </c>
      <c r="C3115" t="s">
        <v>449</v>
      </c>
      <c r="D3115" t="str">
        <f t="shared" si="49"/>
        <v>IPSEMG5225</v>
      </c>
      <c r="E3115" t="s">
        <v>3055</v>
      </c>
    </row>
    <row r="3116" spans="1:5" x14ac:dyDescent="0.25">
      <c r="A3116">
        <v>2011</v>
      </c>
      <c r="B3116" t="s">
        <v>1740</v>
      </c>
      <c r="C3116" t="s">
        <v>3070</v>
      </c>
      <c r="D3116" t="str">
        <f t="shared" si="49"/>
        <v>IPSEMG5226</v>
      </c>
      <c r="E3116" t="s">
        <v>3055</v>
      </c>
    </row>
    <row r="3117" spans="1:5" x14ac:dyDescent="0.25">
      <c r="A3117">
        <v>2011</v>
      </c>
      <c r="B3117" t="s">
        <v>1740</v>
      </c>
      <c r="C3117" t="s">
        <v>3072</v>
      </c>
      <c r="D3117" t="str">
        <f t="shared" si="49"/>
        <v>IPSEMG5227</v>
      </c>
      <c r="E3117" t="s">
        <v>3055</v>
      </c>
    </row>
    <row r="3118" spans="1:5" x14ac:dyDescent="0.25">
      <c r="A3118">
        <v>2011</v>
      </c>
      <c r="B3118" t="s">
        <v>1740</v>
      </c>
      <c r="C3118" t="s">
        <v>3150</v>
      </c>
      <c r="D3118" t="str">
        <f t="shared" si="49"/>
        <v>IPSEMG5230</v>
      </c>
      <c r="E3118" t="s">
        <v>3055</v>
      </c>
    </row>
    <row r="3119" spans="1:5" x14ac:dyDescent="0.25">
      <c r="A3119">
        <v>2011</v>
      </c>
      <c r="B3119" t="s">
        <v>1740</v>
      </c>
      <c r="C3119" t="s">
        <v>459</v>
      </c>
      <c r="D3119" t="str">
        <f t="shared" si="49"/>
        <v>IPSEMG5299</v>
      </c>
      <c r="E3119" t="s">
        <v>3055</v>
      </c>
    </row>
    <row r="3120" spans="1:5" x14ac:dyDescent="0.25">
      <c r="A3120">
        <v>2011</v>
      </c>
      <c r="B3120" t="s">
        <v>1740</v>
      </c>
      <c r="C3120" t="s">
        <v>3164</v>
      </c>
      <c r="D3120" t="str">
        <f t="shared" si="49"/>
        <v>IPSEMG5905</v>
      </c>
      <c r="E3120" t="s">
        <v>2968</v>
      </c>
    </row>
    <row r="3121" spans="1:5" x14ac:dyDescent="0.25">
      <c r="A3121">
        <v>2011</v>
      </c>
      <c r="B3121" t="s">
        <v>1740</v>
      </c>
      <c r="C3121" t="s">
        <v>3211</v>
      </c>
      <c r="D3121" t="str">
        <f t="shared" si="49"/>
        <v>IPSEMG9108</v>
      </c>
      <c r="E3121" t="s">
        <v>3212</v>
      </c>
    </row>
    <row r="3122" spans="1:5" x14ac:dyDescent="0.25">
      <c r="A3122">
        <v>2011</v>
      </c>
      <c r="B3122" t="s">
        <v>1740</v>
      </c>
      <c r="C3122" t="s">
        <v>3178</v>
      </c>
      <c r="D3122" t="str">
        <f t="shared" si="49"/>
        <v>IPSEMG9110</v>
      </c>
      <c r="E3122" t="s">
        <v>3081</v>
      </c>
    </row>
    <row r="3123" spans="1:5" x14ac:dyDescent="0.25">
      <c r="A3123">
        <v>2011</v>
      </c>
      <c r="B3123" t="s">
        <v>1740</v>
      </c>
      <c r="C3123" t="s">
        <v>3179</v>
      </c>
      <c r="D3123" t="str">
        <f t="shared" si="49"/>
        <v>IPSEMG9111</v>
      </c>
      <c r="E3123" t="s">
        <v>3081</v>
      </c>
    </row>
    <row r="3124" spans="1:5" x14ac:dyDescent="0.25">
      <c r="A3124">
        <v>2011</v>
      </c>
      <c r="B3124" t="s">
        <v>1740</v>
      </c>
      <c r="C3124" t="s">
        <v>3304</v>
      </c>
      <c r="D3124" t="str">
        <f t="shared" si="49"/>
        <v>IPSEMG9112</v>
      </c>
      <c r="E3124" t="s">
        <v>3212</v>
      </c>
    </row>
    <row r="3125" spans="1:5" x14ac:dyDescent="0.25">
      <c r="A3125">
        <v>2011</v>
      </c>
      <c r="B3125" t="s">
        <v>1740</v>
      </c>
      <c r="C3125" t="s">
        <v>3074</v>
      </c>
      <c r="D3125" t="str">
        <f t="shared" si="49"/>
        <v>IPSEMG9202</v>
      </c>
      <c r="E3125" t="s">
        <v>3075</v>
      </c>
    </row>
    <row r="3126" spans="1:5" x14ac:dyDescent="0.25">
      <c r="A3126">
        <v>2011</v>
      </c>
      <c r="B3126" t="s">
        <v>1740</v>
      </c>
      <c r="C3126" t="s">
        <v>250</v>
      </c>
      <c r="D3126" t="str">
        <f t="shared" si="49"/>
        <v>IPSEMG9301</v>
      </c>
      <c r="E3126" t="s">
        <v>2968</v>
      </c>
    </row>
    <row r="3127" spans="1:5" x14ac:dyDescent="0.25">
      <c r="A3127">
        <v>2011</v>
      </c>
      <c r="B3127" t="s">
        <v>1740</v>
      </c>
      <c r="C3127" t="s">
        <v>272</v>
      </c>
      <c r="D3127" t="str">
        <f t="shared" si="49"/>
        <v>IPSEMG9302</v>
      </c>
      <c r="E3127" t="s">
        <v>2968</v>
      </c>
    </row>
    <row r="3128" spans="1:5" x14ac:dyDescent="0.25">
      <c r="A3128">
        <v>2011</v>
      </c>
      <c r="B3128" t="s">
        <v>1740</v>
      </c>
      <c r="C3128" t="s">
        <v>367</v>
      </c>
      <c r="D3128" t="str">
        <f t="shared" si="49"/>
        <v>IPSEMG9310</v>
      </c>
      <c r="E3128" t="s">
        <v>2968</v>
      </c>
    </row>
    <row r="3129" spans="1:5" x14ac:dyDescent="0.25">
      <c r="A3129">
        <v>2011</v>
      </c>
      <c r="B3129" t="s">
        <v>1740</v>
      </c>
      <c r="C3129" t="s">
        <v>380</v>
      </c>
      <c r="D3129" t="str">
        <f t="shared" si="49"/>
        <v>IPSEMG9312</v>
      </c>
      <c r="E3129" t="s">
        <v>2968</v>
      </c>
    </row>
    <row r="3130" spans="1:5" x14ac:dyDescent="0.25">
      <c r="A3130">
        <v>2011</v>
      </c>
      <c r="B3130" t="s">
        <v>1740</v>
      </c>
      <c r="C3130" t="s">
        <v>386</v>
      </c>
      <c r="D3130" t="str">
        <f t="shared" si="49"/>
        <v>IPSEMG9313</v>
      </c>
      <c r="E3130" t="s">
        <v>2944</v>
      </c>
    </row>
    <row r="3131" spans="1:5" x14ac:dyDescent="0.25">
      <c r="A3131">
        <v>2011</v>
      </c>
      <c r="B3131" t="s">
        <v>1740</v>
      </c>
      <c r="C3131" t="s">
        <v>392</v>
      </c>
      <c r="D3131" t="str">
        <f t="shared" si="49"/>
        <v>IPSEMG9314</v>
      </c>
      <c r="E3131" t="s">
        <v>2968</v>
      </c>
    </row>
    <row r="3132" spans="1:5" x14ac:dyDescent="0.25">
      <c r="A3132">
        <v>2011</v>
      </c>
      <c r="B3132" t="s">
        <v>1740</v>
      </c>
      <c r="C3132" t="s">
        <v>440</v>
      </c>
      <c r="D3132" t="str">
        <f t="shared" si="49"/>
        <v>IPSEMG9326</v>
      </c>
      <c r="E3132" t="s">
        <v>2968</v>
      </c>
    </row>
    <row r="3133" spans="1:5" x14ac:dyDescent="0.25">
      <c r="A3133">
        <v>2011</v>
      </c>
      <c r="B3133" t="s">
        <v>1740</v>
      </c>
      <c r="C3133" t="s">
        <v>3079</v>
      </c>
      <c r="D3133" t="str">
        <f t="shared" si="49"/>
        <v>IPSEMG9399</v>
      </c>
      <c r="E3133" t="s">
        <v>2968</v>
      </c>
    </row>
    <row r="3134" spans="1:5" x14ac:dyDescent="0.25">
      <c r="A3134">
        <v>2041</v>
      </c>
      <c r="B3134" t="s">
        <v>1743</v>
      </c>
      <c r="C3134" t="s">
        <v>2928</v>
      </c>
      <c r="D3134" t="str">
        <f t="shared" si="49"/>
        <v>LEMG1401</v>
      </c>
      <c r="E3134" t="s">
        <v>44</v>
      </c>
    </row>
    <row r="3135" spans="1:5" x14ac:dyDescent="0.25">
      <c r="A3135">
        <v>2041</v>
      </c>
      <c r="B3135" t="s">
        <v>1743</v>
      </c>
      <c r="C3135" t="s">
        <v>2939</v>
      </c>
      <c r="D3135" t="str">
        <f t="shared" si="49"/>
        <v>LEMG3005</v>
      </c>
      <c r="E3135" t="s">
        <v>2933</v>
      </c>
    </row>
    <row r="3136" spans="1:5" x14ac:dyDescent="0.25">
      <c r="A3136">
        <v>2041</v>
      </c>
      <c r="B3136" t="s">
        <v>1743</v>
      </c>
      <c r="C3136" t="s">
        <v>2950</v>
      </c>
      <c r="D3136" t="str">
        <f t="shared" si="49"/>
        <v>LEMG3016</v>
      </c>
      <c r="E3136" t="s">
        <v>2933</v>
      </c>
    </row>
    <row r="3137" spans="1:5" x14ac:dyDescent="0.25">
      <c r="A3137">
        <v>2041</v>
      </c>
      <c r="B3137" t="s">
        <v>1743</v>
      </c>
      <c r="C3137" t="s">
        <v>441</v>
      </c>
      <c r="D3137" t="str">
        <f t="shared" si="49"/>
        <v>LEMG3024</v>
      </c>
      <c r="E3137" t="s">
        <v>2933</v>
      </c>
    </row>
    <row r="3138" spans="1:5" x14ac:dyDescent="0.25">
      <c r="A3138">
        <v>2041</v>
      </c>
      <c r="B3138" t="s">
        <v>1743</v>
      </c>
      <c r="C3138" t="s">
        <v>2960</v>
      </c>
      <c r="D3138" t="str">
        <f t="shared" si="49"/>
        <v>LEMG3026</v>
      </c>
      <c r="E3138" t="s">
        <v>2958</v>
      </c>
    </row>
    <row r="3139" spans="1:5" x14ac:dyDescent="0.25">
      <c r="A3139">
        <v>2041</v>
      </c>
      <c r="B3139" t="s">
        <v>1743</v>
      </c>
      <c r="C3139" t="s">
        <v>257</v>
      </c>
      <c r="D3139" t="str">
        <f t="shared" si="49"/>
        <v>LEMG3102</v>
      </c>
      <c r="E3139" t="s">
        <v>2968</v>
      </c>
    </row>
    <row r="3140" spans="1:5" x14ac:dyDescent="0.25">
      <c r="A3140">
        <v>2041</v>
      </c>
      <c r="B3140" t="s">
        <v>1743</v>
      </c>
      <c r="C3140" t="s">
        <v>278</v>
      </c>
      <c r="D3140" t="str">
        <f t="shared" si="49"/>
        <v>LEMG3103</v>
      </c>
      <c r="E3140" t="s">
        <v>2968</v>
      </c>
    </row>
    <row r="3141" spans="1:5" x14ac:dyDescent="0.25">
      <c r="A3141">
        <v>2041</v>
      </c>
      <c r="B3141" t="s">
        <v>1743</v>
      </c>
      <c r="C3141" t="s">
        <v>2975</v>
      </c>
      <c r="D3141" t="str">
        <f t="shared" ref="D3141:D3204" si="50">CONCATENATE(B3141,LEFT(C3141,4))</f>
        <v>LEMG3302</v>
      </c>
      <c r="E3141" t="s">
        <v>44</v>
      </c>
    </row>
    <row r="3142" spans="1:5" x14ac:dyDescent="0.25">
      <c r="A3142">
        <v>2041</v>
      </c>
      <c r="B3142" t="s">
        <v>1743</v>
      </c>
      <c r="C3142" t="s">
        <v>2977</v>
      </c>
      <c r="D3142" t="str">
        <f t="shared" si="50"/>
        <v>LEMG3304</v>
      </c>
      <c r="E3142" t="s">
        <v>44</v>
      </c>
    </row>
    <row r="3143" spans="1:5" x14ac:dyDescent="0.25">
      <c r="A3143">
        <v>2041</v>
      </c>
      <c r="B3143" t="s">
        <v>1743</v>
      </c>
      <c r="C3143" t="s">
        <v>3201</v>
      </c>
      <c r="D3143" t="str">
        <f t="shared" si="50"/>
        <v>LEMG3502</v>
      </c>
      <c r="E3143" t="s">
        <v>1660</v>
      </c>
    </row>
    <row r="3144" spans="1:5" x14ac:dyDescent="0.25">
      <c r="A3144">
        <v>2041</v>
      </c>
      <c r="B3144" t="s">
        <v>1743</v>
      </c>
      <c r="C3144" t="s">
        <v>355</v>
      </c>
      <c r="D3144" t="str">
        <f t="shared" si="50"/>
        <v>LEMG3610</v>
      </c>
      <c r="E3144" t="s">
        <v>2968</v>
      </c>
    </row>
    <row r="3145" spans="1:5" x14ac:dyDescent="0.25">
      <c r="A3145">
        <v>2041</v>
      </c>
      <c r="B3145" t="s">
        <v>1743</v>
      </c>
      <c r="C3145" t="s">
        <v>2979</v>
      </c>
      <c r="D3145" t="str">
        <f t="shared" si="50"/>
        <v>LEMG3612</v>
      </c>
      <c r="E3145" t="s">
        <v>2968</v>
      </c>
    </row>
    <row r="3146" spans="1:5" x14ac:dyDescent="0.25">
      <c r="A3146">
        <v>2041</v>
      </c>
      <c r="B3146" t="s">
        <v>1743</v>
      </c>
      <c r="C3146" t="s">
        <v>2985</v>
      </c>
      <c r="D3146" t="str">
        <f t="shared" si="50"/>
        <v>LEMG3704</v>
      </c>
      <c r="E3146" t="s">
        <v>117</v>
      </c>
    </row>
    <row r="3147" spans="1:5" x14ac:dyDescent="0.25">
      <c r="A3147">
        <v>2041</v>
      </c>
      <c r="B3147" t="s">
        <v>1743</v>
      </c>
      <c r="C3147" t="s">
        <v>336</v>
      </c>
      <c r="D3147" t="str">
        <f t="shared" si="50"/>
        <v>LEMG3909</v>
      </c>
      <c r="E3147" t="s">
        <v>2968</v>
      </c>
    </row>
    <row r="3148" spans="1:5" x14ac:dyDescent="0.25">
      <c r="A3148">
        <v>2041</v>
      </c>
      <c r="B3148" t="s">
        <v>1743</v>
      </c>
      <c r="C3148" t="s">
        <v>356</v>
      </c>
      <c r="D3148" t="str">
        <f t="shared" si="50"/>
        <v>LEMG3911</v>
      </c>
      <c r="E3148" t="s">
        <v>2968</v>
      </c>
    </row>
    <row r="3149" spans="1:5" x14ac:dyDescent="0.25">
      <c r="A3149">
        <v>2041</v>
      </c>
      <c r="B3149" t="s">
        <v>1743</v>
      </c>
      <c r="C3149" t="s">
        <v>2991</v>
      </c>
      <c r="D3149" t="str">
        <f t="shared" si="50"/>
        <v>LEMG3912</v>
      </c>
      <c r="E3149" t="s">
        <v>2992</v>
      </c>
    </row>
    <row r="3150" spans="1:5" x14ac:dyDescent="0.25">
      <c r="A3150">
        <v>2041</v>
      </c>
      <c r="B3150" t="s">
        <v>1743</v>
      </c>
      <c r="C3150" t="s">
        <v>2994</v>
      </c>
      <c r="D3150" t="str">
        <f t="shared" si="50"/>
        <v>LEMG3913</v>
      </c>
      <c r="E3150" t="s">
        <v>2992</v>
      </c>
    </row>
    <row r="3151" spans="1:5" x14ac:dyDescent="0.25">
      <c r="A3151">
        <v>2041</v>
      </c>
      <c r="B3151" t="s">
        <v>1743</v>
      </c>
      <c r="C3151" t="s">
        <v>2996</v>
      </c>
      <c r="D3151" t="str">
        <f t="shared" si="50"/>
        <v>LEMG3917</v>
      </c>
      <c r="E3151" t="s">
        <v>2958</v>
      </c>
    </row>
    <row r="3152" spans="1:5" x14ac:dyDescent="0.25">
      <c r="A3152">
        <v>2041</v>
      </c>
      <c r="B3152" t="s">
        <v>1743</v>
      </c>
      <c r="C3152" t="s">
        <v>2998</v>
      </c>
      <c r="D3152" t="str">
        <f t="shared" si="50"/>
        <v>LEMG3918</v>
      </c>
      <c r="E3152" t="s">
        <v>2958</v>
      </c>
    </row>
    <row r="3153" spans="1:5" x14ac:dyDescent="0.25">
      <c r="A3153">
        <v>2041</v>
      </c>
      <c r="B3153" t="s">
        <v>1743</v>
      </c>
      <c r="C3153" t="s">
        <v>3002</v>
      </c>
      <c r="D3153" t="str">
        <f t="shared" si="50"/>
        <v>LEMG3921</v>
      </c>
      <c r="E3153" t="s">
        <v>3001</v>
      </c>
    </row>
    <row r="3154" spans="1:5" x14ac:dyDescent="0.25">
      <c r="A3154">
        <v>2041</v>
      </c>
      <c r="B3154" t="s">
        <v>1743</v>
      </c>
      <c r="C3154" t="s">
        <v>3003</v>
      </c>
      <c r="D3154" t="str">
        <f t="shared" si="50"/>
        <v>LEMG3922</v>
      </c>
      <c r="E3154" t="s">
        <v>2954</v>
      </c>
    </row>
    <row r="3155" spans="1:5" x14ac:dyDescent="0.25">
      <c r="A3155">
        <v>2041</v>
      </c>
      <c r="B3155" t="s">
        <v>1743</v>
      </c>
      <c r="C3155" t="s">
        <v>566</v>
      </c>
      <c r="D3155" t="str">
        <f t="shared" si="50"/>
        <v>LEMG3924</v>
      </c>
      <c r="E3155" t="s">
        <v>3004</v>
      </c>
    </row>
    <row r="3156" spans="1:5" x14ac:dyDescent="0.25">
      <c r="A3156">
        <v>2041</v>
      </c>
      <c r="B3156" t="s">
        <v>1743</v>
      </c>
      <c r="C3156" t="s">
        <v>443</v>
      </c>
      <c r="D3156" t="str">
        <f t="shared" si="50"/>
        <v>LEMG3926</v>
      </c>
      <c r="E3156" t="s">
        <v>3006</v>
      </c>
    </row>
    <row r="3157" spans="1:5" x14ac:dyDescent="0.25">
      <c r="A3157">
        <v>2041</v>
      </c>
      <c r="B3157" t="s">
        <v>1743</v>
      </c>
      <c r="C3157" t="s">
        <v>1481</v>
      </c>
      <c r="D3157" t="str">
        <f t="shared" si="50"/>
        <v>LEMG3931</v>
      </c>
      <c r="E3157" t="s">
        <v>2968</v>
      </c>
    </row>
    <row r="3158" spans="1:5" x14ac:dyDescent="0.25">
      <c r="A3158">
        <v>2041</v>
      </c>
      <c r="B3158" t="s">
        <v>1743</v>
      </c>
      <c r="C3158" t="s">
        <v>3017</v>
      </c>
      <c r="D3158" t="str">
        <f t="shared" si="50"/>
        <v>LEMG3936</v>
      </c>
      <c r="E3158" t="s">
        <v>94</v>
      </c>
    </row>
    <row r="3159" spans="1:5" x14ac:dyDescent="0.25">
      <c r="A3159">
        <v>2041</v>
      </c>
      <c r="B3159" t="s">
        <v>1743</v>
      </c>
      <c r="C3159" t="s">
        <v>3088</v>
      </c>
      <c r="D3159" t="str">
        <f t="shared" si="50"/>
        <v>LEMG3937</v>
      </c>
      <c r="E3159" t="s">
        <v>3107</v>
      </c>
    </row>
    <row r="3160" spans="1:5" x14ac:dyDescent="0.25">
      <c r="A3160">
        <v>2041</v>
      </c>
      <c r="B3160" t="s">
        <v>1743</v>
      </c>
      <c r="C3160" t="s">
        <v>3089</v>
      </c>
      <c r="D3160" t="str">
        <f t="shared" si="50"/>
        <v>LEMG3939</v>
      </c>
      <c r="E3160" t="s">
        <v>2968</v>
      </c>
    </row>
    <row r="3161" spans="1:5" x14ac:dyDescent="0.25">
      <c r="A3161">
        <v>2041</v>
      </c>
      <c r="B3161" t="s">
        <v>1743</v>
      </c>
      <c r="C3161" t="s">
        <v>3019</v>
      </c>
      <c r="D3161" t="str">
        <f t="shared" si="50"/>
        <v>LEMG3940</v>
      </c>
      <c r="E3161" t="s">
        <v>3009</v>
      </c>
    </row>
    <row r="3162" spans="1:5" x14ac:dyDescent="0.25">
      <c r="A3162">
        <v>2041</v>
      </c>
      <c r="B3162" t="s">
        <v>1743</v>
      </c>
      <c r="C3162" t="s">
        <v>480</v>
      </c>
      <c r="D3162" t="str">
        <f t="shared" si="50"/>
        <v>LEMG3941</v>
      </c>
      <c r="E3162" t="s">
        <v>2968</v>
      </c>
    </row>
    <row r="3163" spans="1:5" x14ac:dyDescent="0.25">
      <c r="A3163">
        <v>2041</v>
      </c>
      <c r="B3163" t="s">
        <v>1743</v>
      </c>
      <c r="C3163" t="s">
        <v>3020</v>
      </c>
      <c r="D3163" t="str">
        <f t="shared" si="50"/>
        <v>LEMG3943</v>
      </c>
      <c r="E3163" t="s">
        <v>2958</v>
      </c>
    </row>
    <row r="3164" spans="1:5" x14ac:dyDescent="0.25">
      <c r="A3164">
        <v>2041</v>
      </c>
      <c r="B3164" t="s">
        <v>1743</v>
      </c>
      <c r="C3164" t="s">
        <v>3027</v>
      </c>
      <c r="D3164" t="str">
        <f t="shared" si="50"/>
        <v>LEMG3961</v>
      </c>
      <c r="E3164" t="s">
        <v>103</v>
      </c>
    </row>
    <row r="3165" spans="1:5" x14ac:dyDescent="0.25">
      <c r="A3165">
        <v>2041</v>
      </c>
      <c r="B3165" t="s">
        <v>1743</v>
      </c>
      <c r="C3165" t="s">
        <v>3104</v>
      </c>
      <c r="D3165" t="str">
        <f t="shared" si="50"/>
        <v>LEMG3964</v>
      </c>
      <c r="E3165" t="s">
        <v>2968</v>
      </c>
    </row>
    <row r="3166" spans="1:5" x14ac:dyDescent="0.25">
      <c r="A3166">
        <v>2041</v>
      </c>
      <c r="B3166" t="s">
        <v>1743</v>
      </c>
      <c r="C3166" t="s">
        <v>511</v>
      </c>
      <c r="D3166" t="str">
        <f t="shared" si="50"/>
        <v>LEMG3968</v>
      </c>
      <c r="E3166" t="s">
        <v>2968</v>
      </c>
    </row>
    <row r="3167" spans="1:5" x14ac:dyDescent="0.25">
      <c r="A3167">
        <v>2041</v>
      </c>
      <c r="B3167" t="s">
        <v>1743</v>
      </c>
      <c r="C3167" t="s">
        <v>521</v>
      </c>
      <c r="D3167" t="str">
        <f t="shared" si="50"/>
        <v>LEMG3981</v>
      </c>
      <c r="E3167" t="s">
        <v>2968</v>
      </c>
    </row>
    <row r="3168" spans="1:5" x14ac:dyDescent="0.25">
      <c r="A3168">
        <v>2041</v>
      </c>
      <c r="B3168" t="s">
        <v>1743</v>
      </c>
      <c r="C3168" t="s">
        <v>3040</v>
      </c>
      <c r="D3168" t="str">
        <f t="shared" si="50"/>
        <v>LEMG3999</v>
      </c>
      <c r="E3168" t="s">
        <v>2968</v>
      </c>
    </row>
    <row r="3169" spans="1:5" x14ac:dyDescent="0.25">
      <c r="A3169">
        <v>2041</v>
      </c>
      <c r="B3169" t="s">
        <v>1743</v>
      </c>
      <c r="C3169" t="s">
        <v>3041</v>
      </c>
      <c r="D3169" t="str">
        <f t="shared" si="50"/>
        <v>LEMG4002</v>
      </c>
      <c r="E3169" t="s">
        <v>3009</v>
      </c>
    </row>
    <row r="3170" spans="1:5" x14ac:dyDescent="0.25">
      <c r="A3170">
        <v>2041</v>
      </c>
      <c r="B3170" t="s">
        <v>1743</v>
      </c>
      <c r="C3170" t="s">
        <v>3043</v>
      </c>
      <c r="D3170" t="str">
        <f t="shared" si="50"/>
        <v>LEMG4003</v>
      </c>
      <c r="E3170" t="s">
        <v>94</v>
      </c>
    </row>
    <row r="3171" spans="1:5" x14ac:dyDescent="0.25">
      <c r="A3171">
        <v>2041</v>
      </c>
      <c r="B3171" t="s">
        <v>1743</v>
      </c>
      <c r="C3171" t="s">
        <v>3045</v>
      </c>
      <c r="D3171" t="str">
        <f t="shared" si="50"/>
        <v>LEMG4004</v>
      </c>
      <c r="E3171" t="s">
        <v>3009</v>
      </c>
    </row>
    <row r="3172" spans="1:5" x14ac:dyDescent="0.25">
      <c r="A3172">
        <v>2041</v>
      </c>
      <c r="B3172" t="s">
        <v>1743</v>
      </c>
      <c r="C3172" t="s">
        <v>3138</v>
      </c>
      <c r="D3172" t="str">
        <f t="shared" si="50"/>
        <v>LEMG4007</v>
      </c>
      <c r="E3172" t="s">
        <v>94</v>
      </c>
    </row>
    <row r="3173" spans="1:5" x14ac:dyDescent="0.25">
      <c r="A3173">
        <v>2041</v>
      </c>
      <c r="B3173" t="s">
        <v>1743</v>
      </c>
      <c r="C3173" t="s">
        <v>3048</v>
      </c>
      <c r="D3173" t="str">
        <f t="shared" si="50"/>
        <v>LEMG4701</v>
      </c>
      <c r="E3173" t="s">
        <v>3049</v>
      </c>
    </row>
    <row r="3174" spans="1:5" x14ac:dyDescent="0.25">
      <c r="A3174">
        <v>2041</v>
      </c>
      <c r="B3174" t="s">
        <v>1743</v>
      </c>
      <c r="C3174" t="s">
        <v>265</v>
      </c>
      <c r="D3174" t="str">
        <f t="shared" si="50"/>
        <v>LEMG4703</v>
      </c>
      <c r="E3174" t="s">
        <v>3049</v>
      </c>
    </row>
    <row r="3175" spans="1:5" x14ac:dyDescent="0.25">
      <c r="A3175">
        <v>2041</v>
      </c>
      <c r="B3175" t="s">
        <v>1743</v>
      </c>
      <c r="C3175" t="s">
        <v>316</v>
      </c>
      <c r="D3175" t="str">
        <f t="shared" si="50"/>
        <v>LEMG4706</v>
      </c>
      <c r="E3175" t="s">
        <v>3049</v>
      </c>
    </row>
    <row r="3176" spans="1:5" x14ac:dyDescent="0.25">
      <c r="A3176">
        <v>2041</v>
      </c>
      <c r="B3176" t="s">
        <v>1743</v>
      </c>
      <c r="C3176" t="s">
        <v>3058</v>
      </c>
      <c r="D3176" t="str">
        <f t="shared" si="50"/>
        <v>LEMG5207</v>
      </c>
      <c r="E3176" t="s">
        <v>3057</v>
      </c>
    </row>
    <row r="3177" spans="1:5" x14ac:dyDescent="0.25">
      <c r="A3177">
        <v>2041</v>
      </c>
      <c r="B3177" t="s">
        <v>1743</v>
      </c>
      <c r="C3177" t="s">
        <v>3060</v>
      </c>
      <c r="D3177" t="str">
        <f t="shared" si="50"/>
        <v>LEMG5208</v>
      </c>
      <c r="E3177" t="s">
        <v>3057</v>
      </c>
    </row>
    <row r="3178" spans="1:5" x14ac:dyDescent="0.25">
      <c r="A3178">
        <v>2041</v>
      </c>
      <c r="B3178" t="s">
        <v>1743</v>
      </c>
      <c r="C3178" t="s">
        <v>3074</v>
      </c>
      <c r="D3178" t="str">
        <f t="shared" si="50"/>
        <v>LEMG9202</v>
      </c>
      <c r="E3178" t="s">
        <v>3075</v>
      </c>
    </row>
    <row r="3179" spans="1:5" x14ac:dyDescent="0.25">
      <c r="A3179">
        <v>2041</v>
      </c>
      <c r="B3179" t="s">
        <v>1743</v>
      </c>
      <c r="C3179" t="s">
        <v>3079</v>
      </c>
      <c r="D3179" t="str">
        <f t="shared" si="50"/>
        <v>LEMG9399</v>
      </c>
      <c r="E3179" t="s">
        <v>2968</v>
      </c>
    </row>
    <row r="3180" spans="1:5" x14ac:dyDescent="0.25">
      <c r="A3180">
        <v>2041</v>
      </c>
      <c r="B3180" t="s">
        <v>1743</v>
      </c>
      <c r="C3180" t="s">
        <v>3298</v>
      </c>
      <c r="D3180" t="str">
        <f t="shared" si="50"/>
        <v>LEMG9701</v>
      </c>
      <c r="E3180" t="s">
        <v>2968</v>
      </c>
    </row>
    <row r="3181" spans="1:5" x14ac:dyDescent="0.25">
      <c r="A3181">
        <v>2061</v>
      </c>
      <c r="B3181" t="s">
        <v>1727</v>
      </c>
      <c r="C3181" t="s">
        <v>2942</v>
      </c>
      <c r="D3181" t="str">
        <f t="shared" si="50"/>
        <v>FJP1317</v>
      </c>
      <c r="E3181" t="s">
        <v>3081</v>
      </c>
    </row>
    <row r="3182" spans="1:5" x14ac:dyDescent="0.25">
      <c r="A3182">
        <v>2061</v>
      </c>
      <c r="B3182" t="s">
        <v>1727</v>
      </c>
      <c r="C3182" t="s">
        <v>2928</v>
      </c>
      <c r="D3182" t="str">
        <f t="shared" si="50"/>
        <v>FJP1401</v>
      </c>
      <c r="E3182" t="s">
        <v>44</v>
      </c>
    </row>
    <row r="3183" spans="1:5" x14ac:dyDescent="0.25">
      <c r="A3183">
        <v>2061</v>
      </c>
      <c r="B3183" t="s">
        <v>1727</v>
      </c>
      <c r="C3183" t="s">
        <v>222</v>
      </c>
      <c r="D3183" t="str">
        <f t="shared" si="50"/>
        <v>FJP1801</v>
      </c>
      <c r="E3183" t="s">
        <v>3230</v>
      </c>
    </row>
    <row r="3184" spans="1:5" x14ac:dyDescent="0.25">
      <c r="A3184">
        <v>2061</v>
      </c>
      <c r="B3184" t="s">
        <v>1727</v>
      </c>
      <c r="C3184" t="s">
        <v>2932</v>
      </c>
      <c r="D3184" t="str">
        <f t="shared" si="50"/>
        <v>FJP3001</v>
      </c>
      <c r="E3184" t="s">
        <v>2933</v>
      </c>
    </row>
    <row r="3185" spans="1:5" x14ac:dyDescent="0.25">
      <c r="A3185">
        <v>2061</v>
      </c>
      <c r="B3185" t="s">
        <v>1727</v>
      </c>
      <c r="C3185" t="s">
        <v>979</v>
      </c>
      <c r="D3185" t="str">
        <f t="shared" si="50"/>
        <v>FJP3003</v>
      </c>
      <c r="E3185" t="s">
        <v>2933</v>
      </c>
    </row>
    <row r="3186" spans="1:5" x14ac:dyDescent="0.25">
      <c r="A3186">
        <v>2061</v>
      </c>
      <c r="B3186" t="s">
        <v>1727</v>
      </c>
      <c r="C3186" t="s">
        <v>2939</v>
      </c>
      <c r="D3186" t="str">
        <f t="shared" si="50"/>
        <v>FJP3005</v>
      </c>
      <c r="E3186" t="s">
        <v>2933</v>
      </c>
    </row>
    <row r="3187" spans="1:5" x14ac:dyDescent="0.25">
      <c r="A3187">
        <v>2061</v>
      </c>
      <c r="B3187" t="s">
        <v>1727</v>
      </c>
      <c r="C3187" t="s">
        <v>333</v>
      </c>
      <c r="D3187" t="str">
        <f t="shared" si="50"/>
        <v>FJP3007</v>
      </c>
      <c r="E3187" t="s">
        <v>2933</v>
      </c>
    </row>
    <row r="3188" spans="1:5" x14ac:dyDescent="0.25">
      <c r="A3188">
        <v>2061</v>
      </c>
      <c r="B3188" t="s">
        <v>1727</v>
      </c>
      <c r="C3188" t="s">
        <v>2941</v>
      </c>
      <c r="D3188" t="str">
        <f t="shared" si="50"/>
        <v>FJP3008</v>
      </c>
      <c r="E3188" t="s">
        <v>2933</v>
      </c>
    </row>
    <row r="3189" spans="1:5" x14ac:dyDescent="0.25">
      <c r="A3189">
        <v>2061</v>
      </c>
      <c r="B3189" t="s">
        <v>1727</v>
      </c>
      <c r="C3189" t="s">
        <v>2943</v>
      </c>
      <c r="D3189" t="str">
        <f t="shared" si="50"/>
        <v>FJP3010</v>
      </c>
      <c r="E3189" t="s">
        <v>2944</v>
      </c>
    </row>
    <row r="3190" spans="1:5" x14ac:dyDescent="0.25">
      <c r="A3190">
        <v>2061</v>
      </c>
      <c r="B3190" t="s">
        <v>1727</v>
      </c>
      <c r="C3190" t="s">
        <v>2946</v>
      </c>
      <c r="D3190" t="str">
        <f t="shared" si="50"/>
        <v>FJP3013</v>
      </c>
      <c r="E3190" t="s">
        <v>2933</v>
      </c>
    </row>
    <row r="3191" spans="1:5" x14ac:dyDescent="0.25">
      <c r="A3191">
        <v>2061</v>
      </c>
      <c r="B3191" t="s">
        <v>1727</v>
      </c>
      <c r="C3191" t="s">
        <v>2948</v>
      </c>
      <c r="D3191" t="str">
        <f t="shared" si="50"/>
        <v>FJP3015</v>
      </c>
      <c r="E3191" t="s">
        <v>2933</v>
      </c>
    </row>
    <row r="3192" spans="1:5" x14ac:dyDescent="0.25">
      <c r="A3192">
        <v>2061</v>
      </c>
      <c r="B3192" t="s">
        <v>1727</v>
      </c>
      <c r="C3192" t="s">
        <v>2950</v>
      </c>
      <c r="D3192" t="str">
        <f t="shared" si="50"/>
        <v>FJP3016</v>
      </c>
      <c r="E3192" t="s">
        <v>2933</v>
      </c>
    </row>
    <row r="3193" spans="1:5" x14ac:dyDescent="0.25">
      <c r="A3193">
        <v>2061</v>
      </c>
      <c r="B3193" t="s">
        <v>1727</v>
      </c>
      <c r="C3193" t="s">
        <v>406</v>
      </c>
      <c r="D3193" t="str">
        <f t="shared" si="50"/>
        <v>FJP3017</v>
      </c>
      <c r="E3193" t="s">
        <v>2933</v>
      </c>
    </row>
    <row r="3194" spans="1:5" x14ac:dyDescent="0.25">
      <c r="A3194">
        <v>2061</v>
      </c>
      <c r="B3194" t="s">
        <v>1727</v>
      </c>
      <c r="C3194" t="s">
        <v>2953</v>
      </c>
      <c r="D3194" t="str">
        <f t="shared" si="50"/>
        <v>FJP3019</v>
      </c>
      <c r="E3194" t="s">
        <v>2954</v>
      </c>
    </row>
    <row r="3195" spans="1:5" x14ac:dyDescent="0.25">
      <c r="A3195">
        <v>2061</v>
      </c>
      <c r="B3195" t="s">
        <v>1727</v>
      </c>
      <c r="C3195" t="s">
        <v>2955</v>
      </c>
      <c r="D3195" t="str">
        <f t="shared" si="50"/>
        <v>FJP3020</v>
      </c>
      <c r="E3195" t="s">
        <v>2933</v>
      </c>
    </row>
    <row r="3196" spans="1:5" x14ac:dyDescent="0.25">
      <c r="A3196">
        <v>2061</v>
      </c>
      <c r="B3196" t="s">
        <v>1727</v>
      </c>
      <c r="C3196" t="s">
        <v>2956</v>
      </c>
      <c r="D3196" t="str">
        <f t="shared" si="50"/>
        <v>FJP3021</v>
      </c>
      <c r="E3196" t="s">
        <v>2933</v>
      </c>
    </row>
    <row r="3197" spans="1:5" x14ac:dyDescent="0.25">
      <c r="A3197">
        <v>2061</v>
      </c>
      <c r="B3197" t="s">
        <v>1727</v>
      </c>
      <c r="C3197" t="s">
        <v>431</v>
      </c>
      <c r="D3197" t="str">
        <f t="shared" si="50"/>
        <v>FJP3022</v>
      </c>
      <c r="E3197" t="s">
        <v>2933</v>
      </c>
    </row>
    <row r="3198" spans="1:5" x14ac:dyDescent="0.25">
      <c r="A3198">
        <v>2061</v>
      </c>
      <c r="B3198" t="s">
        <v>1727</v>
      </c>
      <c r="C3198" t="s">
        <v>2957</v>
      </c>
      <c r="D3198" t="str">
        <f t="shared" si="50"/>
        <v>FJP3023</v>
      </c>
      <c r="E3198" t="s">
        <v>2958</v>
      </c>
    </row>
    <row r="3199" spans="1:5" x14ac:dyDescent="0.25">
      <c r="A3199">
        <v>2061</v>
      </c>
      <c r="B3199" t="s">
        <v>1727</v>
      </c>
      <c r="C3199" t="s">
        <v>441</v>
      </c>
      <c r="D3199" t="str">
        <f t="shared" si="50"/>
        <v>FJP3024</v>
      </c>
      <c r="E3199" t="s">
        <v>2933</v>
      </c>
    </row>
    <row r="3200" spans="1:5" x14ac:dyDescent="0.25">
      <c r="A3200">
        <v>2061</v>
      </c>
      <c r="B3200" t="s">
        <v>1727</v>
      </c>
      <c r="C3200" t="s">
        <v>2959</v>
      </c>
      <c r="D3200" t="str">
        <f t="shared" si="50"/>
        <v>FJP3025</v>
      </c>
      <c r="E3200" t="s">
        <v>2933</v>
      </c>
    </row>
    <row r="3201" spans="1:5" x14ac:dyDescent="0.25">
      <c r="A3201">
        <v>2061</v>
      </c>
      <c r="B3201" t="s">
        <v>1727</v>
      </c>
      <c r="C3201" t="s">
        <v>2960</v>
      </c>
      <c r="D3201" t="str">
        <f t="shared" si="50"/>
        <v>FJP3026</v>
      </c>
      <c r="E3201" t="s">
        <v>2958</v>
      </c>
    </row>
    <row r="3202" spans="1:5" x14ac:dyDescent="0.25">
      <c r="A3202">
        <v>2061</v>
      </c>
      <c r="B3202" t="s">
        <v>1727</v>
      </c>
      <c r="C3202" t="s">
        <v>2961</v>
      </c>
      <c r="D3202" t="str">
        <f t="shared" si="50"/>
        <v>FJP3027</v>
      </c>
      <c r="E3202" t="s">
        <v>2933</v>
      </c>
    </row>
    <row r="3203" spans="1:5" x14ac:dyDescent="0.25">
      <c r="A3203">
        <v>2061</v>
      </c>
      <c r="B3203" t="s">
        <v>1727</v>
      </c>
      <c r="C3203" t="s">
        <v>2984</v>
      </c>
      <c r="D3203" t="str">
        <f t="shared" si="50"/>
        <v>FJP3029</v>
      </c>
      <c r="E3203" t="s">
        <v>2933</v>
      </c>
    </row>
    <row r="3204" spans="1:5" x14ac:dyDescent="0.25">
      <c r="A3204">
        <v>2061</v>
      </c>
      <c r="B3204" t="s">
        <v>1727</v>
      </c>
      <c r="C3204" t="s">
        <v>467</v>
      </c>
      <c r="D3204" t="str">
        <f t="shared" si="50"/>
        <v>FJP3030</v>
      </c>
      <c r="E3204" t="s">
        <v>2933</v>
      </c>
    </row>
    <row r="3205" spans="1:5" x14ac:dyDescent="0.25">
      <c r="A3205">
        <v>2061</v>
      </c>
      <c r="B3205" t="s">
        <v>1727</v>
      </c>
      <c r="C3205" t="s">
        <v>3242</v>
      </c>
      <c r="D3205" t="str">
        <f t="shared" ref="D3205:D3268" si="51">CONCATENATE(B3205,LEFT(C3205,4))</f>
        <v>FJP3036</v>
      </c>
      <c r="E3205" t="s">
        <v>2933</v>
      </c>
    </row>
    <row r="3206" spans="1:5" x14ac:dyDescent="0.25">
      <c r="A3206">
        <v>2061</v>
      </c>
      <c r="B3206" t="s">
        <v>1727</v>
      </c>
      <c r="C3206" t="s">
        <v>491</v>
      </c>
      <c r="D3206" t="str">
        <f t="shared" si="51"/>
        <v>FJP3099</v>
      </c>
      <c r="E3206" t="s">
        <v>2933</v>
      </c>
    </row>
    <row r="3207" spans="1:5" x14ac:dyDescent="0.25">
      <c r="A3207">
        <v>2061</v>
      </c>
      <c r="B3207" t="s">
        <v>1727</v>
      </c>
      <c r="C3207" t="s">
        <v>2967</v>
      </c>
      <c r="D3207" t="str">
        <f t="shared" si="51"/>
        <v>FJP3101</v>
      </c>
      <c r="E3207" t="s">
        <v>2968</v>
      </c>
    </row>
    <row r="3208" spans="1:5" x14ac:dyDescent="0.25">
      <c r="A3208">
        <v>2061</v>
      </c>
      <c r="B3208" t="s">
        <v>1727</v>
      </c>
      <c r="C3208" t="s">
        <v>54</v>
      </c>
      <c r="D3208" t="str">
        <f t="shared" si="51"/>
        <v>FJP3301</v>
      </c>
      <c r="E3208" t="s">
        <v>44</v>
      </c>
    </row>
    <row r="3209" spans="1:5" x14ac:dyDescent="0.25">
      <c r="A3209">
        <v>2061</v>
      </c>
      <c r="B3209" t="s">
        <v>1727</v>
      </c>
      <c r="C3209" t="s">
        <v>2975</v>
      </c>
      <c r="D3209" t="str">
        <f t="shared" si="51"/>
        <v>FJP3302</v>
      </c>
      <c r="E3209" t="s">
        <v>44</v>
      </c>
    </row>
    <row r="3210" spans="1:5" x14ac:dyDescent="0.25">
      <c r="A3210">
        <v>2061</v>
      </c>
      <c r="B3210" t="s">
        <v>1727</v>
      </c>
      <c r="C3210" t="s">
        <v>2977</v>
      </c>
      <c r="D3210" t="str">
        <f t="shared" si="51"/>
        <v>FJP3304</v>
      </c>
      <c r="E3210" t="s">
        <v>44</v>
      </c>
    </row>
    <row r="3211" spans="1:5" x14ac:dyDescent="0.25">
      <c r="A3211">
        <v>2061</v>
      </c>
      <c r="B3211" t="s">
        <v>1727</v>
      </c>
      <c r="C3211" t="s">
        <v>309</v>
      </c>
      <c r="D3211" t="str">
        <f t="shared" si="51"/>
        <v>FJP3305</v>
      </c>
      <c r="E3211" t="s">
        <v>2968</v>
      </c>
    </row>
    <row r="3212" spans="1:5" x14ac:dyDescent="0.25">
      <c r="A3212">
        <v>2061</v>
      </c>
      <c r="B3212" t="s">
        <v>1727</v>
      </c>
      <c r="C3212" t="s">
        <v>3233</v>
      </c>
      <c r="D3212" t="str">
        <f t="shared" si="51"/>
        <v>FJP3501</v>
      </c>
      <c r="E3212" t="s">
        <v>2968</v>
      </c>
    </row>
    <row r="3213" spans="1:5" x14ac:dyDescent="0.25">
      <c r="A3213">
        <v>2061</v>
      </c>
      <c r="B3213" t="s">
        <v>1727</v>
      </c>
      <c r="C3213" t="s">
        <v>3201</v>
      </c>
      <c r="D3213" t="str">
        <f t="shared" si="51"/>
        <v>FJP3502</v>
      </c>
      <c r="E3213" t="s">
        <v>2968</v>
      </c>
    </row>
    <row r="3214" spans="1:5" x14ac:dyDescent="0.25">
      <c r="A3214">
        <v>2061</v>
      </c>
      <c r="B3214" t="s">
        <v>1727</v>
      </c>
      <c r="C3214" t="s">
        <v>3012</v>
      </c>
      <c r="D3214" t="str">
        <f t="shared" si="51"/>
        <v>FJP3601</v>
      </c>
      <c r="E3214" t="s">
        <v>65</v>
      </c>
    </row>
    <row r="3215" spans="1:5" x14ac:dyDescent="0.25">
      <c r="A3215">
        <v>2061</v>
      </c>
      <c r="B3215" t="s">
        <v>1727</v>
      </c>
      <c r="C3215" t="s">
        <v>297</v>
      </c>
      <c r="D3215" t="str">
        <f t="shared" si="51"/>
        <v>FJP3604</v>
      </c>
      <c r="E3215" t="s">
        <v>44</v>
      </c>
    </row>
    <row r="3216" spans="1:5" x14ac:dyDescent="0.25">
      <c r="A3216">
        <v>2061</v>
      </c>
      <c r="B3216" t="s">
        <v>1727</v>
      </c>
      <c r="C3216" t="s">
        <v>3234</v>
      </c>
      <c r="D3216" t="str">
        <f t="shared" si="51"/>
        <v>FJP3605</v>
      </c>
      <c r="E3216" t="s">
        <v>2968</v>
      </c>
    </row>
    <row r="3217" spans="1:5" x14ac:dyDescent="0.25">
      <c r="A3217">
        <v>2061</v>
      </c>
      <c r="B3217" t="s">
        <v>1727</v>
      </c>
      <c r="C3217" t="s">
        <v>355</v>
      </c>
      <c r="D3217" t="str">
        <f t="shared" si="51"/>
        <v>FJP3610</v>
      </c>
      <c r="E3217" t="s">
        <v>2968</v>
      </c>
    </row>
    <row r="3218" spans="1:5" x14ac:dyDescent="0.25">
      <c r="A3218">
        <v>2061</v>
      </c>
      <c r="B3218" t="s">
        <v>1727</v>
      </c>
      <c r="C3218" t="s">
        <v>2979</v>
      </c>
      <c r="D3218" t="str">
        <f t="shared" si="51"/>
        <v>FJP3612</v>
      </c>
      <c r="E3218" t="s">
        <v>2968</v>
      </c>
    </row>
    <row r="3219" spans="1:5" x14ac:dyDescent="0.25">
      <c r="A3219">
        <v>2061</v>
      </c>
      <c r="B3219" t="s">
        <v>1727</v>
      </c>
      <c r="C3219" t="s">
        <v>407</v>
      </c>
      <c r="D3219" t="str">
        <f t="shared" si="51"/>
        <v>FJP3618</v>
      </c>
      <c r="E3219" t="s">
        <v>2954</v>
      </c>
    </row>
    <row r="3220" spans="1:5" x14ac:dyDescent="0.25">
      <c r="A3220">
        <v>2061</v>
      </c>
      <c r="B3220" t="s">
        <v>1727</v>
      </c>
      <c r="C3220" t="s">
        <v>427</v>
      </c>
      <c r="D3220" t="str">
        <f t="shared" si="51"/>
        <v>FJP3622</v>
      </c>
      <c r="E3220" t="s">
        <v>3107</v>
      </c>
    </row>
    <row r="3221" spans="1:5" x14ac:dyDescent="0.25">
      <c r="A3221">
        <v>2061</v>
      </c>
      <c r="B3221" t="s">
        <v>1727</v>
      </c>
      <c r="C3221" t="s">
        <v>432</v>
      </c>
      <c r="D3221" t="str">
        <f t="shared" si="51"/>
        <v>FJP3623</v>
      </c>
      <c r="E3221" t="s">
        <v>3006</v>
      </c>
    </row>
    <row r="3222" spans="1:5" x14ac:dyDescent="0.25">
      <c r="A3222">
        <v>2061</v>
      </c>
      <c r="B3222" t="s">
        <v>1727</v>
      </c>
      <c r="C3222" t="s">
        <v>468</v>
      </c>
      <c r="D3222" t="str">
        <f t="shared" si="51"/>
        <v>FJP3631</v>
      </c>
      <c r="E3222" t="s">
        <v>3004</v>
      </c>
    </row>
    <row r="3223" spans="1:5" x14ac:dyDescent="0.25">
      <c r="A3223">
        <v>2061</v>
      </c>
      <c r="B3223" t="s">
        <v>1727</v>
      </c>
      <c r="C3223" t="s">
        <v>2980</v>
      </c>
      <c r="D3223" t="str">
        <f t="shared" si="51"/>
        <v>FJP3701</v>
      </c>
      <c r="E3223" t="s">
        <v>103</v>
      </c>
    </row>
    <row r="3224" spans="1:5" x14ac:dyDescent="0.25">
      <c r="A3224">
        <v>2061</v>
      </c>
      <c r="B3224" t="s">
        <v>1727</v>
      </c>
      <c r="C3224" t="s">
        <v>3050</v>
      </c>
      <c r="D3224" t="str">
        <f t="shared" si="51"/>
        <v>FJP3702</v>
      </c>
      <c r="E3224" t="s">
        <v>2981</v>
      </c>
    </row>
    <row r="3225" spans="1:5" x14ac:dyDescent="0.25">
      <c r="A3225">
        <v>2061</v>
      </c>
      <c r="B3225" t="s">
        <v>1727</v>
      </c>
      <c r="C3225" t="s">
        <v>2983</v>
      </c>
      <c r="D3225" t="str">
        <f t="shared" si="51"/>
        <v>FJP3703</v>
      </c>
      <c r="E3225" t="s">
        <v>117</v>
      </c>
    </row>
    <row r="3226" spans="1:5" x14ac:dyDescent="0.25">
      <c r="A3226">
        <v>2061</v>
      </c>
      <c r="B3226" t="s">
        <v>1727</v>
      </c>
      <c r="C3226" t="s">
        <v>2985</v>
      </c>
      <c r="D3226" t="str">
        <f t="shared" si="51"/>
        <v>FJP3704</v>
      </c>
      <c r="E3226" t="s">
        <v>117</v>
      </c>
    </row>
    <row r="3227" spans="1:5" x14ac:dyDescent="0.25">
      <c r="A3227">
        <v>2061</v>
      </c>
      <c r="B3227" t="s">
        <v>1727</v>
      </c>
      <c r="C3227" t="s">
        <v>2986</v>
      </c>
      <c r="D3227" t="str">
        <f t="shared" si="51"/>
        <v>FJP3705</v>
      </c>
      <c r="E3227" t="s">
        <v>117</v>
      </c>
    </row>
    <row r="3228" spans="1:5" x14ac:dyDescent="0.25">
      <c r="A3228">
        <v>2061</v>
      </c>
      <c r="B3228" t="s">
        <v>1727</v>
      </c>
      <c r="C3228" t="s">
        <v>2988</v>
      </c>
      <c r="D3228" t="str">
        <f t="shared" si="51"/>
        <v>FJP3903</v>
      </c>
      <c r="E3228" t="s">
        <v>87</v>
      </c>
    </row>
    <row r="3229" spans="1:5" x14ac:dyDescent="0.25">
      <c r="A3229">
        <v>2061</v>
      </c>
      <c r="B3229" t="s">
        <v>1727</v>
      </c>
      <c r="C3229" t="s">
        <v>299</v>
      </c>
      <c r="D3229" t="str">
        <f t="shared" si="51"/>
        <v>FJP3904</v>
      </c>
      <c r="E3229" t="s">
        <v>2968</v>
      </c>
    </row>
    <row r="3230" spans="1:5" x14ac:dyDescent="0.25">
      <c r="A3230">
        <v>2061</v>
      </c>
      <c r="B3230" t="s">
        <v>1727</v>
      </c>
      <c r="C3230" t="s">
        <v>336</v>
      </c>
      <c r="D3230" t="str">
        <f t="shared" si="51"/>
        <v>FJP3909</v>
      </c>
      <c r="E3230" t="s">
        <v>2968</v>
      </c>
    </row>
    <row r="3231" spans="1:5" x14ac:dyDescent="0.25">
      <c r="A3231">
        <v>2061</v>
      </c>
      <c r="B3231" t="s">
        <v>1727</v>
      </c>
      <c r="C3231" t="s">
        <v>346</v>
      </c>
      <c r="D3231" t="str">
        <f t="shared" si="51"/>
        <v>FJP3910</v>
      </c>
      <c r="E3231" t="s">
        <v>2968</v>
      </c>
    </row>
    <row r="3232" spans="1:5" x14ac:dyDescent="0.25">
      <c r="A3232">
        <v>2061</v>
      </c>
      <c r="B3232" t="s">
        <v>1727</v>
      </c>
      <c r="C3232" t="s">
        <v>356</v>
      </c>
      <c r="D3232" t="str">
        <f t="shared" si="51"/>
        <v>FJP3911</v>
      </c>
      <c r="E3232" t="s">
        <v>2968</v>
      </c>
    </row>
    <row r="3233" spans="1:5" x14ac:dyDescent="0.25">
      <c r="A3233">
        <v>2061</v>
      </c>
      <c r="B3233" t="s">
        <v>1727</v>
      </c>
      <c r="C3233" t="s">
        <v>2991</v>
      </c>
      <c r="D3233" t="str">
        <f t="shared" si="51"/>
        <v>FJP3912</v>
      </c>
      <c r="E3233" t="s">
        <v>2992</v>
      </c>
    </row>
    <row r="3234" spans="1:5" x14ac:dyDescent="0.25">
      <c r="A3234">
        <v>2061</v>
      </c>
      <c r="B3234" t="s">
        <v>1727</v>
      </c>
      <c r="C3234" t="s">
        <v>2994</v>
      </c>
      <c r="D3234" t="str">
        <f t="shared" si="51"/>
        <v>FJP3913</v>
      </c>
      <c r="E3234" t="s">
        <v>2992</v>
      </c>
    </row>
    <row r="3235" spans="1:5" x14ac:dyDescent="0.25">
      <c r="A3235">
        <v>2061</v>
      </c>
      <c r="B3235" t="s">
        <v>1727</v>
      </c>
      <c r="C3235" t="s">
        <v>384</v>
      </c>
      <c r="D3235" t="str">
        <f t="shared" si="51"/>
        <v>FJP3915</v>
      </c>
      <c r="E3235" t="s">
        <v>2992</v>
      </c>
    </row>
    <row r="3236" spans="1:5" x14ac:dyDescent="0.25">
      <c r="A3236">
        <v>2061</v>
      </c>
      <c r="B3236" t="s">
        <v>1727</v>
      </c>
      <c r="C3236" t="s">
        <v>2996</v>
      </c>
      <c r="D3236" t="str">
        <f t="shared" si="51"/>
        <v>FJP3917</v>
      </c>
      <c r="E3236" t="s">
        <v>2958</v>
      </c>
    </row>
    <row r="3237" spans="1:5" x14ac:dyDescent="0.25">
      <c r="A3237">
        <v>2061</v>
      </c>
      <c r="B3237" t="s">
        <v>1727</v>
      </c>
      <c r="C3237" t="s">
        <v>2998</v>
      </c>
      <c r="D3237" t="str">
        <f t="shared" si="51"/>
        <v>FJP3918</v>
      </c>
      <c r="E3237" t="s">
        <v>2958</v>
      </c>
    </row>
    <row r="3238" spans="1:5" x14ac:dyDescent="0.25">
      <c r="A3238">
        <v>2061</v>
      </c>
      <c r="B3238" t="s">
        <v>1727</v>
      </c>
      <c r="C3238" t="s">
        <v>3000</v>
      </c>
      <c r="D3238" t="str">
        <f t="shared" si="51"/>
        <v>FJP3919</v>
      </c>
      <c r="E3238" t="s">
        <v>3001</v>
      </c>
    </row>
    <row r="3239" spans="1:5" x14ac:dyDescent="0.25">
      <c r="A3239">
        <v>2061</v>
      </c>
      <c r="B3239" t="s">
        <v>1727</v>
      </c>
      <c r="C3239" t="s">
        <v>3002</v>
      </c>
      <c r="D3239" t="str">
        <f t="shared" si="51"/>
        <v>FJP3921</v>
      </c>
      <c r="E3239" t="s">
        <v>3001</v>
      </c>
    </row>
    <row r="3240" spans="1:5" x14ac:dyDescent="0.25">
      <c r="A3240">
        <v>2061</v>
      </c>
      <c r="B3240" t="s">
        <v>1727</v>
      </c>
      <c r="C3240" t="s">
        <v>3003</v>
      </c>
      <c r="D3240" t="str">
        <f t="shared" si="51"/>
        <v>FJP3922</v>
      </c>
      <c r="E3240" t="s">
        <v>2954</v>
      </c>
    </row>
    <row r="3241" spans="1:5" x14ac:dyDescent="0.25">
      <c r="A3241">
        <v>2061</v>
      </c>
      <c r="B3241" t="s">
        <v>1727</v>
      </c>
      <c r="C3241" t="s">
        <v>566</v>
      </c>
      <c r="D3241" t="str">
        <f t="shared" si="51"/>
        <v>FJP3924</v>
      </c>
      <c r="E3241" t="s">
        <v>3004</v>
      </c>
    </row>
    <row r="3242" spans="1:5" x14ac:dyDescent="0.25">
      <c r="A3242">
        <v>2061</v>
      </c>
      <c r="B3242" t="s">
        <v>1727</v>
      </c>
      <c r="C3242" t="s">
        <v>438</v>
      </c>
      <c r="D3242" t="str">
        <f t="shared" si="51"/>
        <v>FJP3925</v>
      </c>
      <c r="E3242" t="s">
        <v>3006</v>
      </c>
    </row>
    <row r="3243" spans="1:5" x14ac:dyDescent="0.25">
      <c r="A3243">
        <v>2061</v>
      </c>
      <c r="B3243" t="s">
        <v>1727</v>
      </c>
      <c r="C3243" t="s">
        <v>443</v>
      </c>
      <c r="D3243" t="str">
        <f t="shared" si="51"/>
        <v>FJP3926</v>
      </c>
      <c r="E3243" t="s">
        <v>3006</v>
      </c>
    </row>
    <row r="3244" spans="1:5" x14ac:dyDescent="0.25">
      <c r="A3244">
        <v>2061</v>
      </c>
      <c r="B3244" t="s">
        <v>1727</v>
      </c>
      <c r="C3244" t="s">
        <v>3008</v>
      </c>
      <c r="D3244" t="str">
        <f t="shared" si="51"/>
        <v>FJP3927</v>
      </c>
      <c r="E3244" t="s">
        <v>3009</v>
      </c>
    </row>
    <row r="3245" spans="1:5" x14ac:dyDescent="0.25">
      <c r="A3245">
        <v>2061</v>
      </c>
      <c r="B3245" t="s">
        <v>1727</v>
      </c>
      <c r="C3245" t="s">
        <v>1481</v>
      </c>
      <c r="D3245" t="str">
        <f t="shared" si="51"/>
        <v>FJP3931</v>
      </c>
      <c r="E3245" t="s">
        <v>2968</v>
      </c>
    </row>
    <row r="3246" spans="1:5" x14ac:dyDescent="0.25">
      <c r="A3246">
        <v>2061</v>
      </c>
      <c r="B3246" t="s">
        <v>1727</v>
      </c>
      <c r="C3246" t="s">
        <v>3017</v>
      </c>
      <c r="D3246" t="str">
        <f t="shared" si="51"/>
        <v>FJP3936</v>
      </c>
      <c r="E3246" t="s">
        <v>94</v>
      </c>
    </row>
    <row r="3247" spans="1:5" x14ac:dyDescent="0.25">
      <c r="A3247">
        <v>2061</v>
      </c>
      <c r="B3247" t="s">
        <v>1727</v>
      </c>
      <c r="C3247" t="s">
        <v>3202</v>
      </c>
      <c r="D3247" t="str">
        <f t="shared" si="51"/>
        <v>FJP3938</v>
      </c>
      <c r="E3247" t="s">
        <v>2968</v>
      </c>
    </row>
    <row r="3248" spans="1:5" x14ac:dyDescent="0.25">
      <c r="A3248">
        <v>2061</v>
      </c>
      <c r="B3248" t="s">
        <v>1727</v>
      </c>
      <c r="C3248" t="s">
        <v>3089</v>
      </c>
      <c r="D3248" t="str">
        <f t="shared" si="51"/>
        <v>FJP3939</v>
      </c>
      <c r="E3248" t="s">
        <v>2968</v>
      </c>
    </row>
    <row r="3249" spans="1:5" x14ac:dyDescent="0.25">
      <c r="A3249">
        <v>2061</v>
      </c>
      <c r="B3249" t="s">
        <v>1727</v>
      </c>
      <c r="C3249" t="s">
        <v>3019</v>
      </c>
      <c r="D3249" t="str">
        <f t="shared" si="51"/>
        <v>FJP3940</v>
      </c>
      <c r="E3249" t="s">
        <v>3009</v>
      </c>
    </row>
    <row r="3250" spans="1:5" x14ac:dyDescent="0.25">
      <c r="A3250">
        <v>2061</v>
      </c>
      <c r="B3250" t="s">
        <v>1727</v>
      </c>
      <c r="C3250" t="s">
        <v>480</v>
      </c>
      <c r="D3250" t="str">
        <f t="shared" si="51"/>
        <v>FJP3941</v>
      </c>
      <c r="E3250" t="s">
        <v>2968</v>
      </c>
    </row>
    <row r="3251" spans="1:5" x14ac:dyDescent="0.25">
      <c r="A3251">
        <v>2061</v>
      </c>
      <c r="B3251" t="s">
        <v>1727</v>
      </c>
      <c r="C3251" t="s">
        <v>3020</v>
      </c>
      <c r="D3251" t="str">
        <f t="shared" si="51"/>
        <v>FJP3943</v>
      </c>
      <c r="E3251" t="s">
        <v>2958</v>
      </c>
    </row>
    <row r="3252" spans="1:5" x14ac:dyDescent="0.25">
      <c r="A3252">
        <v>2061</v>
      </c>
      <c r="B3252" t="s">
        <v>1727</v>
      </c>
      <c r="C3252" t="s">
        <v>492</v>
      </c>
      <c r="D3252" t="str">
        <f t="shared" si="51"/>
        <v>FJP3948</v>
      </c>
      <c r="E3252" t="s">
        <v>3004</v>
      </c>
    </row>
    <row r="3253" spans="1:5" x14ac:dyDescent="0.25">
      <c r="A3253">
        <v>2061</v>
      </c>
      <c r="B3253" t="s">
        <v>1727</v>
      </c>
      <c r="C3253" t="s">
        <v>496</v>
      </c>
      <c r="D3253" t="str">
        <f t="shared" si="51"/>
        <v>FJP3953</v>
      </c>
      <c r="E3253" t="s">
        <v>3004</v>
      </c>
    </row>
    <row r="3254" spans="1:5" x14ac:dyDescent="0.25">
      <c r="A3254">
        <v>2061</v>
      </c>
      <c r="B3254" t="s">
        <v>1727</v>
      </c>
      <c r="C3254" t="s">
        <v>498</v>
      </c>
      <c r="D3254" t="str">
        <f t="shared" si="51"/>
        <v>FJP3955</v>
      </c>
      <c r="E3254" t="s">
        <v>2968</v>
      </c>
    </row>
    <row r="3255" spans="1:5" x14ac:dyDescent="0.25">
      <c r="A3255">
        <v>2061</v>
      </c>
      <c r="B3255" t="s">
        <v>1727</v>
      </c>
      <c r="C3255" t="s">
        <v>3025</v>
      </c>
      <c r="D3255" t="str">
        <f t="shared" si="51"/>
        <v>FJP3959</v>
      </c>
      <c r="E3255" t="s">
        <v>2968</v>
      </c>
    </row>
    <row r="3256" spans="1:5" x14ac:dyDescent="0.25">
      <c r="A3256">
        <v>2061</v>
      </c>
      <c r="B3256" t="s">
        <v>1727</v>
      </c>
      <c r="C3256" t="s">
        <v>3027</v>
      </c>
      <c r="D3256" t="str">
        <f t="shared" si="51"/>
        <v>FJP3961</v>
      </c>
      <c r="E3256" t="s">
        <v>2981</v>
      </c>
    </row>
    <row r="3257" spans="1:5" x14ac:dyDescent="0.25">
      <c r="A3257">
        <v>2061</v>
      </c>
      <c r="B3257" t="s">
        <v>1727</v>
      </c>
      <c r="C3257" t="s">
        <v>3104</v>
      </c>
      <c r="D3257" t="str">
        <f t="shared" si="51"/>
        <v>FJP3964</v>
      </c>
      <c r="E3257" t="s">
        <v>2968</v>
      </c>
    </row>
    <row r="3258" spans="1:5" x14ac:dyDescent="0.25">
      <c r="A3258">
        <v>2061</v>
      </c>
      <c r="B3258" t="s">
        <v>1727</v>
      </c>
      <c r="C3258" t="s">
        <v>511</v>
      </c>
      <c r="D3258" t="str">
        <f t="shared" si="51"/>
        <v>FJP3968</v>
      </c>
      <c r="E3258" t="s">
        <v>2968</v>
      </c>
    </row>
    <row r="3259" spans="1:5" x14ac:dyDescent="0.25">
      <c r="A3259">
        <v>2061</v>
      </c>
      <c r="B3259" t="s">
        <v>1727</v>
      </c>
      <c r="C3259" t="s">
        <v>1154</v>
      </c>
      <c r="D3259" t="str">
        <f t="shared" si="51"/>
        <v>FJP3969</v>
      </c>
      <c r="E3259" t="s">
        <v>2992</v>
      </c>
    </row>
    <row r="3260" spans="1:5" x14ac:dyDescent="0.25">
      <c r="A3260">
        <v>2061</v>
      </c>
      <c r="B3260" t="s">
        <v>1727</v>
      </c>
      <c r="C3260" t="s">
        <v>3031</v>
      </c>
      <c r="D3260" t="str">
        <f t="shared" si="51"/>
        <v>FJP3970</v>
      </c>
      <c r="E3260" t="s">
        <v>3009</v>
      </c>
    </row>
    <row r="3261" spans="1:5" x14ac:dyDescent="0.25">
      <c r="A3261">
        <v>2061</v>
      </c>
      <c r="B3261" t="s">
        <v>1727</v>
      </c>
      <c r="C3261" t="s">
        <v>513</v>
      </c>
      <c r="D3261" t="str">
        <f t="shared" si="51"/>
        <v>FJP3971</v>
      </c>
      <c r="E3261" t="s">
        <v>3033</v>
      </c>
    </row>
    <row r="3262" spans="1:5" x14ac:dyDescent="0.25">
      <c r="A3262">
        <v>2061</v>
      </c>
      <c r="B3262" t="s">
        <v>1727</v>
      </c>
      <c r="C3262" t="s">
        <v>516</v>
      </c>
      <c r="D3262" t="str">
        <f t="shared" si="51"/>
        <v>FJP3974</v>
      </c>
      <c r="E3262" t="s">
        <v>3131</v>
      </c>
    </row>
    <row r="3263" spans="1:5" x14ac:dyDescent="0.25">
      <c r="A3263">
        <v>2061</v>
      </c>
      <c r="B3263" t="s">
        <v>1727</v>
      </c>
      <c r="C3263" t="s">
        <v>520</v>
      </c>
      <c r="D3263" t="str">
        <f t="shared" si="51"/>
        <v>FJP3978</v>
      </c>
      <c r="E3263" t="s">
        <v>2981</v>
      </c>
    </row>
    <row r="3264" spans="1:5" x14ac:dyDescent="0.25">
      <c r="A3264">
        <v>2061</v>
      </c>
      <c r="B3264" t="s">
        <v>1727</v>
      </c>
      <c r="C3264" t="s">
        <v>3040</v>
      </c>
      <c r="D3264" t="str">
        <f t="shared" si="51"/>
        <v>FJP3999</v>
      </c>
      <c r="E3264" t="s">
        <v>2968</v>
      </c>
    </row>
    <row r="3265" spans="1:5" x14ac:dyDescent="0.25">
      <c r="A3265">
        <v>2061</v>
      </c>
      <c r="B3265" t="s">
        <v>1727</v>
      </c>
      <c r="C3265" t="s">
        <v>3041</v>
      </c>
      <c r="D3265" t="str">
        <f t="shared" si="51"/>
        <v>FJP4002</v>
      </c>
      <c r="E3265" t="s">
        <v>3009</v>
      </c>
    </row>
    <row r="3266" spans="1:5" x14ac:dyDescent="0.25">
      <c r="A3266">
        <v>2061</v>
      </c>
      <c r="B3266" t="s">
        <v>1727</v>
      </c>
      <c r="C3266" t="s">
        <v>3043</v>
      </c>
      <c r="D3266" t="str">
        <f t="shared" si="51"/>
        <v>FJP4003</v>
      </c>
      <c r="E3266" t="s">
        <v>94</v>
      </c>
    </row>
    <row r="3267" spans="1:5" x14ac:dyDescent="0.25">
      <c r="A3267">
        <v>2061</v>
      </c>
      <c r="B3267" t="s">
        <v>1727</v>
      </c>
      <c r="C3267" t="s">
        <v>3045</v>
      </c>
      <c r="D3267" t="str">
        <f t="shared" si="51"/>
        <v>FJP4004</v>
      </c>
      <c r="E3267" t="s">
        <v>3009</v>
      </c>
    </row>
    <row r="3268" spans="1:5" x14ac:dyDescent="0.25">
      <c r="A3268">
        <v>2061</v>
      </c>
      <c r="B3268" t="s">
        <v>1727</v>
      </c>
      <c r="C3268" t="s">
        <v>3047</v>
      </c>
      <c r="D3268" t="str">
        <f t="shared" si="51"/>
        <v>FJP4005</v>
      </c>
      <c r="E3268" t="s">
        <v>3009</v>
      </c>
    </row>
    <row r="3269" spans="1:5" x14ac:dyDescent="0.25">
      <c r="A3269">
        <v>2061</v>
      </c>
      <c r="B3269" t="s">
        <v>1727</v>
      </c>
      <c r="C3269" t="s">
        <v>813</v>
      </c>
      <c r="D3269" t="str">
        <f t="shared" ref="D3269:D3332" si="52">CONCATENATE(B3269,LEFT(C3269,4))</f>
        <v>FJP4006</v>
      </c>
      <c r="E3269" t="s">
        <v>3057</v>
      </c>
    </row>
    <row r="3270" spans="1:5" x14ac:dyDescent="0.25">
      <c r="A3270">
        <v>2061</v>
      </c>
      <c r="B3270" t="s">
        <v>1727</v>
      </c>
      <c r="C3270" t="s">
        <v>3048</v>
      </c>
      <c r="D3270" t="str">
        <f t="shared" si="52"/>
        <v>FJP4701</v>
      </c>
      <c r="E3270" t="s">
        <v>3049</v>
      </c>
    </row>
    <row r="3271" spans="1:5" x14ac:dyDescent="0.25">
      <c r="A3271">
        <v>2061</v>
      </c>
      <c r="B3271" t="s">
        <v>1727</v>
      </c>
      <c r="C3271" t="s">
        <v>265</v>
      </c>
      <c r="D3271" t="str">
        <f t="shared" si="52"/>
        <v>FJP4703</v>
      </c>
      <c r="E3271" t="s">
        <v>3049</v>
      </c>
    </row>
    <row r="3272" spans="1:5" x14ac:dyDescent="0.25">
      <c r="A3272">
        <v>2061</v>
      </c>
      <c r="B3272" t="s">
        <v>1727</v>
      </c>
      <c r="C3272" t="s">
        <v>316</v>
      </c>
      <c r="D3272" t="str">
        <f t="shared" si="52"/>
        <v>FJP4706</v>
      </c>
      <c r="E3272" t="s">
        <v>3049</v>
      </c>
    </row>
    <row r="3273" spans="1:5" x14ac:dyDescent="0.25">
      <c r="A3273">
        <v>2061</v>
      </c>
      <c r="B3273" t="s">
        <v>1727</v>
      </c>
      <c r="C3273" t="s">
        <v>357</v>
      </c>
      <c r="D3273" t="str">
        <f t="shared" si="52"/>
        <v>FJP4710</v>
      </c>
      <c r="E3273" t="s">
        <v>3049</v>
      </c>
    </row>
    <row r="3274" spans="1:5" x14ac:dyDescent="0.25">
      <c r="A3274">
        <v>2061</v>
      </c>
      <c r="B3274" t="s">
        <v>1727</v>
      </c>
      <c r="C3274" t="s">
        <v>3054</v>
      </c>
      <c r="D3274" t="str">
        <f t="shared" si="52"/>
        <v>FJP5204</v>
      </c>
      <c r="E3274" t="s">
        <v>3055</v>
      </c>
    </row>
    <row r="3275" spans="1:5" x14ac:dyDescent="0.25">
      <c r="A3275">
        <v>2061</v>
      </c>
      <c r="B3275" t="s">
        <v>1727</v>
      </c>
      <c r="C3275" t="s">
        <v>329</v>
      </c>
      <c r="D3275" t="str">
        <f t="shared" si="52"/>
        <v>FJP5206</v>
      </c>
      <c r="E3275" t="s">
        <v>3057</v>
      </c>
    </row>
    <row r="3276" spans="1:5" x14ac:dyDescent="0.25">
      <c r="A3276">
        <v>2061</v>
      </c>
      <c r="B3276" t="s">
        <v>1727</v>
      </c>
      <c r="C3276" t="s">
        <v>3058</v>
      </c>
      <c r="D3276" t="str">
        <f t="shared" si="52"/>
        <v>FJP5207</v>
      </c>
      <c r="E3276" t="s">
        <v>3057</v>
      </c>
    </row>
    <row r="3277" spans="1:5" x14ac:dyDescent="0.25">
      <c r="A3277">
        <v>2061</v>
      </c>
      <c r="B3277" t="s">
        <v>1727</v>
      </c>
      <c r="C3277" t="s">
        <v>3060</v>
      </c>
      <c r="D3277" t="str">
        <f t="shared" si="52"/>
        <v>FJP5208</v>
      </c>
      <c r="E3277" t="s">
        <v>3057</v>
      </c>
    </row>
    <row r="3278" spans="1:5" x14ac:dyDescent="0.25">
      <c r="A3278">
        <v>2061</v>
      </c>
      <c r="B3278" t="s">
        <v>1727</v>
      </c>
      <c r="C3278" t="s">
        <v>3063</v>
      </c>
      <c r="D3278" t="str">
        <f t="shared" si="52"/>
        <v>FJP5210</v>
      </c>
      <c r="E3278" t="s">
        <v>3055</v>
      </c>
    </row>
    <row r="3279" spans="1:5" x14ac:dyDescent="0.25">
      <c r="A3279">
        <v>2061</v>
      </c>
      <c r="B3279" t="s">
        <v>1727</v>
      </c>
      <c r="C3279" t="s">
        <v>3064</v>
      </c>
      <c r="D3279" t="str">
        <f t="shared" si="52"/>
        <v>FJP5212</v>
      </c>
      <c r="E3279" t="s">
        <v>3055</v>
      </c>
    </row>
    <row r="3280" spans="1:5" x14ac:dyDescent="0.25">
      <c r="A3280">
        <v>2061</v>
      </c>
      <c r="B3280" t="s">
        <v>1727</v>
      </c>
      <c r="C3280" t="s">
        <v>391</v>
      </c>
      <c r="D3280" t="str">
        <f t="shared" si="52"/>
        <v>FJP5214</v>
      </c>
      <c r="E3280" t="s">
        <v>3055</v>
      </c>
    </row>
    <row r="3281" spans="1:5" x14ac:dyDescent="0.25">
      <c r="A3281">
        <v>2061</v>
      </c>
      <c r="B3281" t="s">
        <v>1727</v>
      </c>
      <c r="C3281" t="s">
        <v>3068</v>
      </c>
      <c r="D3281" t="str">
        <f t="shared" si="52"/>
        <v>FJP5220</v>
      </c>
      <c r="E3281" t="s">
        <v>3057</v>
      </c>
    </row>
    <row r="3282" spans="1:5" x14ac:dyDescent="0.25">
      <c r="A3282">
        <v>2061</v>
      </c>
      <c r="B3282" t="s">
        <v>1727</v>
      </c>
      <c r="C3282" t="s">
        <v>449</v>
      </c>
      <c r="D3282" t="str">
        <f t="shared" si="52"/>
        <v>FJP5225</v>
      </c>
      <c r="E3282" t="s">
        <v>3055</v>
      </c>
    </row>
    <row r="3283" spans="1:5" x14ac:dyDescent="0.25">
      <c r="A3283">
        <v>2061</v>
      </c>
      <c r="B3283" t="s">
        <v>1727</v>
      </c>
      <c r="C3283" t="s">
        <v>3072</v>
      </c>
      <c r="D3283" t="str">
        <f t="shared" si="52"/>
        <v>FJP5227</v>
      </c>
      <c r="E3283" t="s">
        <v>3055</v>
      </c>
    </row>
    <row r="3284" spans="1:5" x14ac:dyDescent="0.25">
      <c r="A3284">
        <v>2061</v>
      </c>
      <c r="B3284" t="s">
        <v>1727</v>
      </c>
      <c r="C3284" t="s">
        <v>459</v>
      </c>
      <c r="D3284" t="str">
        <f t="shared" si="52"/>
        <v>FJP5299</v>
      </c>
      <c r="E3284" t="s">
        <v>3055</v>
      </c>
    </row>
    <row r="3285" spans="1:5" x14ac:dyDescent="0.25">
      <c r="A3285">
        <v>2061</v>
      </c>
      <c r="B3285" t="s">
        <v>1727</v>
      </c>
      <c r="C3285" t="s">
        <v>3220</v>
      </c>
      <c r="D3285" t="str">
        <f t="shared" si="52"/>
        <v>FJP9201</v>
      </c>
      <c r="E3285" t="s">
        <v>3075</v>
      </c>
    </row>
    <row r="3286" spans="1:5" x14ac:dyDescent="0.25">
      <c r="A3286">
        <v>2061</v>
      </c>
      <c r="B3286" t="s">
        <v>1727</v>
      </c>
      <c r="C3286" t="s">
        <v>3074</v>
      </c>
      <c r="D3286" t="str">
        <f t="shared" si="52"/>
        <v>FJP9202</v>
      </c>
      <c r="E3286" t="s">
        <v>3075</v>
      </c>
    </row>
    <row r="3287" spans="1:5" x14ac:dyDescent="0.25">
      <c r="A3287">
        <v>2061</v>
      </c>
      <c r="B3287" t="s">
        <v>1727</v>
      </c>
      <c r="C3287" t="s">
        <v>250</v>
      </c>
      <c r="D3287" t="str">
        <f t="shared" si="52"/>
        <v>FJP9301</v>
      </c>
      <c r="E3287" t="s">
        <v>2968</v>
      </c>
    </row>
    <row r="3288" spans="1:5" x14ac:dyDescent="0.25">
      <c r="A3288">
        <v>2061</v>
      </c>
      <c r="B3288" t="s">
        <v>1727</v>
      </c>
      <c r="C3288" t="s">
        <v>331</v>
      </c>
      <c r="D3288" t="str">
        <f t="shared" si="52"/>
        <v>FJP9306</v>
      </c>
      <c r="E3288" t="s">
        <v>3076</v>
      </c>
    </row>
    <row r="3289" spans="1:5" x14ac:dyDescent="0.25">
      <c r="A3289">
        <v>2061</v>
      </c>
      <c r="B3289" t="s">
        <v>1727</v>
      </c>
      <c r="C3289" t="s">
        <v>367</v>
      </c>
      <c r="D3289" t="str">
        <f t="shared" si="52"/>
        <v>FJP9310</v>
      </c>
      <c r="E3289" t="s">
        <v>2968</v>
      </c>
    </row>
    <row r="3290" spans="1:5" x14ac:dyDescent="0.25">
      <c r="A3290">
        <v>2061</v>
      </c>
      <c r="B3290" t="s">
        <v>1727</v>
      </c>
      <c r="C3290" t="s">
        <v>3079</v>
      </c>
      <c r="D3290" t="str">
        <f t="shared" si="52"/>
        <v>FJP9399</v>
      </c>
      <c r="E3290" t="s">
        <v>2968</v>
      </c>
    </row>
    <row r="3291" spans="1:5" x14ac:dyDescent="0.25">
      <c r="A3291">
        <v>2071</v>
      </c>
      <c r="B3291" t="s">
        <v>1717</v>
      </c>
      <c r="C3291" t="s">
        <v>332</v>
      </c>
      <c r="D3291" t="str">
        <f t="shared" si="52"/>
        <v>FAPEMIG1314</v>
      </c>
      <c r="E3291" t="s">
        <v>3081</v>
      </c>
    </row>
    <row r="3292" spans="1:5" x14ac:dyDescent="0.25">
      <c r="A3292">
        <v>2071</v>
      </c>
      <c r="B3292" t="s">
        <v>1717</v>
      </c>
      <c r="C3292" t="s">
        <v>2942</v>
      </c>
      <c r="D3292" t="str">
        <f t="shared" si="52"/>
        <v>FAPEMIG1317</v>
      </c>
      <c r="E3292" t="s">
        <v>3081</v>
      </c>
    </row>
    <row r="3293" spans="1:5" x14ac:dyDescent="0.25">
      <c r="A3293">
        <v>2071</v>
      </c>
      <c r="B3293" t="s">
        <v>1717</v>
      </c>
      <c r="C3293" t="s">
        <v>2928</v>
      </c>
      <c r="D3293" t="str">
        <f t="shared" si="52"/>
        <v>FAPEMIG1401</v>
      </c>
      <c r="E3293" t="s">
        <v>44</v>
      </c>
    </row>
    <row r="3294" spans="1:5" x14ac:dyDescent="0.25">
      <c r="A3294">
        <v>2071</v>
      </c>
      <c r="B3294" t="s">
        <v>1717</v>
      </c>
      <c r="C3294" t="s">
        <v>222</v>
      </c>
      <c r="D3294" t="str">
        <f t="shared" si="52"/>
        <v>FAPEMIG1801</v>
      </c>
      <c r="E3294" t="s">
        <v>3230</v>
      </c>
    </row>
    <row r="3295" spans="1:5" x14ac:dyDescent="0.25">
      <c r="A3295">
        <v>2071</v>
      </c>
      <c r="B3295" t="s">
        <v>1717</v>
      </c>
      <c r="C3295" t="s">
        <v>2951</v>
      </c>
      <c r="D3295" t="str">
        <f t="shared" si="52"/>
        <v>FAPEMIG2001</v>
      </c>
      <c r="E3295" t="s">
        <v>2926</v>
      </c>
    </row>
    <row r="3296" spans="1:5" x14ac:dyDescent="0.25">
      <c r="A3296">
        <v>2071</v>
      </c>
      <c r="B3296" t="s">
        <v>1717</v>
      </c>
      <c r="C3296" t="s">
        <v>979</v>
      </c>
      <c r="D3296" t="str">
        <f t="shared" si="52"/>
        <v>FAPEMIG3003</v>
      </c>
      <c r="E3296" t="s">
        <v>2933</v>
      </c>
    </row>
    <row r="3297" spans="1:5" x14ac:dyDescent="0.25">
      <c r="A3297">
        <v>2071</v>
      </c>
      <c r="B3297" t="s">
        <v>1717</v>
      </c>
      <c r="C3297" t="s">
        <v>2937</v>
      </c>
      <c r="D3297" t="str">
        <f t="shared" si="52"/>
        <v>FAPEMIG3004</v>
      </c>
      <c r="E3297" t="s">
        <v>2933</v>
      </c>
    </row>
    <row r="3298" spans="1:5" x14ac:dyDescent="0.25">
      <c r="A3298">
        <v>2071</v>
      </c>
      <c r="B3298" t="s">
        <v>1717</v>
      </c>
      <c r="C3298" t="s">
        <v>2939</v>
      </c>
      <c r="D3298" t="str">
        <f t="shared" si="52"/>
        <v>FAPEMIG3005</v>
      </c>
      <c r="E3298" t="s">
        <v>2933</v>
      </c>
    </row>
    <row r="3299" spans="1:5" x14ac:dyDescent="0.25">
      <c r="A3299">
        <v>2071</v>
      </c>
      <c r="B3299" t="s">
        <v>1717</v>
      </c>
      <c r="C3299" t="s">
        <v>2941</v>
      </c>
      <c r="D3299" t="str">
        <f t="shared" si="52"/>
        <v>FAPEMIG3008</v>
      </c>
      <c r="E3299" t="s">
        <v>2933</v>
      </c>
    </row>
    <row r="3300" spans="1:5" x14ac:dyDescent="0.25">
      <c r="A3300">
        <v>2071</v>
      </c>
      <c r="B3300" t="s">
        <v>1717</v>
      </c>
      <c r="C3300" t="s">
        <v>2943</v>
      </c>
      <c r="D3300" t="str">
        <f t="shared" si="52"/>
        <v>FAPEMIG3010</v>
      </c>
      <c r="E3300" t="s">
        <v>2944</v>
      </c>
    </row>
    <row r="3301" spans="1:5" x14ac:dyDescent="0.25">
      <c r="A3301">
        <v>2071</v>
      </c>
      <c r="B3301" t="s">
        <v>1717</v>
      </c>
      <c r="C3301" t="s">
        <v>2948</v>
      </c>
      <c r="D3301" t="str">
        <f t="shared" si="52"/>
        <v>FAPEMIG3015</v>
      </c>
      <c r="E3301" t="s">
        <v>2933</v>
      </c>
    </row>
    <row r="3302" spans="1:5" x14ac:dyDescent="0.25">
      <c r="A3302">
        <v>2071</v>
      </c>
      <c r="B3302" t="s">
        <v>1717</v>
      </c>
      <c r="C3302" t="s">
        <v>2950</v>
      </c>
      <c r="D3302" t="str">
        <f t="shared" si="52"/>
        <v>FAPEMIG3016</v>
      </c>
      <c r="E3302" t="s">
        <v>2933</v>
      </c>
    </row>
    <row r="3303" spans="1:5" x14ac:dyDescent="0.25">
      <c r="A3303">
        <v>2071</v>
      </c>
      <c r="B3303" t="s">
        <v>1717</v>
      </c>
      <c r="C3303" t="s">
        <v>406</v>
      </c>
      <c r="D3303" t="str">
        <f t="shared" si="52"/>
        <v>FAPEMIG3017</v>
      </c>
      <c r="E3303" t="s">
        <v>2933</v>
      </c>
    </row>
    <row r="3304" spans="1:5" x14ac:dyDescent="0.25">
      <c r="A3304">
        <v>2071</v>
      </c>
      <c r="B3304" t="s">
        <v>1717</v>
      </c>
      <c r="C3304" t="s">
        <v>2955</v>
      </c>
      <c r="D3304" t="str">
        <f t="shared" si="52"/>
        <v>FAPEMIG3020</v>
      </c>
      <c r="E3304" t="s">
        <v>2933</v>
      </c>
    </row>
    <row r="3305" spans="1:5" x14ac:dyDescent="0.25">
      <c r="A3305">
        <v>2071</v>
      </c>
      <c r="B3305" t="s">
        <v>1717</v>
      </c>
      <c r="C3305" t="s">
        <v>2956</v>
      </c>
      <c r="D3305" t="str">
        <f t="shared" si="52"/>
        <v>FAPEMIG3021</v>
      </c>
      <c r="E3305" t="s">
        <v>2933</v>
      </c>
    </row>
    <row r="3306" spans="1:5" x14ac:dyDescent="0.25">
      <c r="A3306">
        <v>2071</v>
      </c>
      <c r="B3306" t="s">
        <v>1717</v>
      </c>
      <c r="C3306" t="s">
        <v>431</v>
      </c>
      <c r="D3306" t="str">
        <f t="shared" si="52"/>
        <v>FAPEMIG3022</v>
      </c>
      <c r="E3306" t="s">
        <v>2933</v>
      </c>
    </row>
    <row r="3307" spans="1:5" x14ac:dyDescent="0.25">
      <c r="A3307">
        <v>2071</v>
      </c>
      <c r="B3307" t="s">
        <v>1717</v>
      </c>
      <c r="C3307" t="s">
        <v>441</v>
      </c>
      <c r="D3307" t="str">
        <f t="shared" si="52"/>
        <v>FAPEMIG3024</v>
      </c>
      <c r="E3307" t="s">
        <v>2933</v>
      </c>
    </row>
    <row r="3308" spans="1:5" x14ac:dyDescent="0.25">
      <c r="A3308">
        <v>2071</v>
      </c>
      <c r="B3308" t="s">
        <v>1717</v>
      </c>
      <c r="C3308" t="s">
        <v>2959</v>
      </c>
      <c r="D3308" t="str">
        <f t="shared" si="52"/>
        <v>FAPEMIG3025</v>
      </c>
      <c r="E3308" t="s">
        <v>2933</v>
      </c>
    </row>
    <row r="3309" spans="1:5" x14ac:dyDescent="0.25">
      <c r="A3309">
        <v>2071</v>
      </c>
      <c r="B3309" t="s">
        <v>1717</v>
      </c>
      <c r="C3309" t="s">
        <v>2960</v>
      </c>
      <c r="D3309" t="str">
        <f t="shared" si="52"/>
        <v>FAPEMIG3026</v>
      </c>
      <c r="E3309" t="s">
        <v>2958</v>
      </c>
    </row>
    <row r="3310" spans="1:5" x14ac:dyDescent="0.25">
      <c r="A3310">
        <v>2071</v>
      </c>
      <c r="B3310" t="s">
        <v>1717</v>
      </c>
      <c r="C3310" t="s">
        <v>467</v>
      </c>
      <c r="D3310" t="str">
        <f t="shared" si="52"/>
        <v>FAPEMIG3030</v>
      </c>
      <c r="E3310" t="s">
        <v>2933</v>
      </c>
    </row>
    <row r="3311" spans="1:5" x14ac:dyDescent="0.25">
      <c r="A3311">
        <v>2071</v>
      </c>
      <c r="B3311" t="s">
        <v>1717</v>
      </c>
      <c r="C3311" t="s">
        <v>470</v>
      </c>
      <c r="D3311" t="str">
        <f t="shared" si="52"/>
        <v>FAPEMIG3031</v>
      </c>
      <c r="E3311" t="s">
        <v>2933</v>
      </c>
    </row>
    <row r="3312" spans="1:5" x14ac:dyDescent="0.25">
      <c r="A3312">
        <v>2071</v>
      </c>
      <c r="B3312" t="s">
        <v>1717</v>
      </c>
      <c r="C3312" t="s">
        <v>491</v>
      </c>
      <c r="D3312" t="str">
        <f t="shared" si="52"/>
        <v>FAPEMIG3099</v>
      </c>
      <c r="E3312" t="s">
        <v>2933</v>
      </c>
    </row>
    <row r="3313" spans="1:5" x14ac:dyDescent="0.25">
      <c r="A3313">
        <v>2071</v>
      </c>
      <c r="B3313" t="s">
        <v>1717</v>
      </c>
      <c r="C3313" t="s">
        <v>2967</v>
      </c>
      <c r="D3313" t="str">
        <f t="shared" si="52"/>
        <v>FAPEMIG3101</v>
      </c>
      <c r="E3313" t="s">
        <v>2968</v>
      </c>
    </row>
    <row r="3314" spans="1:5" x14ac:dyDescent="0.25">
      <c r="A3314">
        <v>2071</v>
      </c>
      <c r="B3314" t="s">
        <v>1717</v>
      </c>
      <c r="C3314" t="s">
        <v>294</v>
      </c>
      <c r="D3314" t="str">
        <f t="shared" si="52"/>
        <v>FAPEMIG3104</v>
      </c>
      <c r="E3314" t="s">
        <v>2968</v>
      </c>
    </row>
    <row r="3315" spans="1:5" x14ac:dyDescent="0.25">
      <c r="A3315">
        <v>2071</v>
      </c>
      <c r="B3315" t="s">
        <v>1717</v>
      </c>
      <c r="C3315" t="s">
        <v>2975</v>
      </c>
      <c r="D3315" t="str">
        <f t="shared" si="52"/>
        <v>FAPEMIG3302</v>
      </c>
      <c r="E3315" t="s">
        <v>44</v>
      </c>
    </row>
    <row r="3316" spans="1:5" x14ac:dyDescent="0.25">
      <c r="A3316">
        <v>2071</v>
      </c>
      <c r="B3316" t="s">
        <v>1717</v>
      </c>
      <c r="C3316" t="s">
        <v>2977</v>
      </c>
      <c r="D3316" t="str">
        <f t="shared" si="52"/>
        <v>FAPEMIG3304</v>
      </c>
      <c r="E3316" t="s">
        <v>44</v>
      </c>
    </row>
    <row r="3317" spans="1:5" x14ac:dyDescent="0.25">
      <c r="A3317">
        <v>2071</v>
      </c>
      <c r="B3317" t="s">
        <v>1717</v>
      </c>
      <c r="C3317" t="s">
        <v>309</v>
      </c>
      <c r="D3317" t="str">
        <f t="shared" si="52"/>
        <v>FAPEMIG3305</v>
      </c>
      <c r="E3317" t="s">
        <v>44</v>
      </c>
    </row>
    <row r="3318" spans="1:5" x14ac:dyDescent="0.25">
      <c r="A3318">
        <v>2071</v>
      </c>
      <c r="B3318" t="s">
        <v>1717</v>
      </c>
      <c r="C3318" t="s">
        <v>3201</v>
      </c>
      <c r="D3318" t="str">
        <f t="shared" si="52"/>
        <v>FAPEMIG3502</v>
      </c>
      <c r="E3318" t="s">
        <v>1660</v>
      </c>
    </row>
    <row r="3319" spans="1:5" x14ac:dyDescent="0.25">
      <c r="A3319">
        <v>2071</v>
      </c>
      <c r="B3319" t="s">
        <v>1717</v>
      </c>
      <c r="C3319" t="s">
        <v>3012</v>
      </c>
      <c r="D3319" t="str">
        <f t="shared" si="52"/>
        <v>FAPEMIG3601</v>
      </c>
      <c r="E3319" t="s">
        <v>65</v>
      </c>
    </row>
    <row r="3320" spans="1:5" x14ac:dyDescent="0.25">
      <c r="A3320">
        <v>2071</v>
      </c>
      <c r="B3320" t="s">
        <v>1717</v>
      </c>
      <c r="C3320" t="s">
        <v>297</v>
      </c>
      <c r="D3320" t="str">
        <f t="shared" si="52"/>
        <v>FAPEMIG3604</v>
      </c>
      <c r="E3320" t="s">
        <v>44</v>
      </c>
    </row>
    <row r="3321" spans="1:5" x14ac:dyDescent="0.25">
      <c r="A3321">
        <v>2071</v>
      </c>
      <c r="B3321" t="s">
        <v>1717</v>
      </c>
      <c r="C3321" t="s">
        <v>355</v>
      </c>
      <c r="D3321" t="str">
        <f t="shared" si="52"/>
        <v>FAPEMIG3610</v>
      </c>
      <c r="E3321" t="s">
        <v>2968</v>
      </c>
    </row>
    <row r="3322" spans="1:5" x14ac:dyDescent="0.25">
      <c r="A3322">
        <v>2071</v>
      </c>
      <c r="B3322" t="s">
        <v>1717</v>
      </c>
      <c r="C3322" t="s">
        <v>2979</v>
      </c>
      <c r="D3322" t="str">
        <f t="shared" si="52"/>
        <v>FAPEMIG3612</v>
      </c>
      <c r="E3322" t="s">
        <v>2968</v>
      </c>
    </row>
    <row r="3323" spans="1:5" x14ac:dyDescent="0.25">
      <c r="A3323">
        <v>2071</v>
      </c>
      <c r="B3323" t="s">
        <v>1717</v>
      </c>
      <c r="C3323" t="s">
        <v>417</v>
      </c>
      <c r="D3323" t="str">
        <f t="shared" si="52"/>
        <v>FAPEMIG3620</v>
      </c>
      <c r="E3323" t="s">
        <v>2968</v>
      </c>
    </row>
    <row r="3324" spans="1:5" x14ac:dyDescent="0.25">
      <c r="A3324">
        <v>2071</v>
      </c>
      <c r="B3324" t="s">
        <v>1717</v>
      </c>
      <c r="C3324" t="s">
        <v>422</v>
      </c>
      <c r="D3324" t="str">
        <f t="shared" si="52"/>
        <v>FAPEMIG3621</v>
      </c>
      <c r="E3324" t="s">
        <v>3106</v>
      </c>
    </row>
    <row r="3325" spans="1:5" x14ac:dyDescent="0.25">
      <c r="A3325">
        <v>2071</v>
      </c>
      <c r="B3325" t="s">
        <v>1717</v>
      </c>
      <c r="C3325" t="s">
        <v>3050</v>
      </c>
      <c r="D3325" t="str">
        <f t="shared" si="52"/>
        <v>FAPEMIG3702</v>
      </c>
      <c r="E3325" t="s">
        <v>2981</v>
      </c>
    </row>
    <row r="3326" spans="1:5" x14ac:dyDescent="0.25">
      <c r="A3326">
        <v>2071</v>
      </c>
      <c r="B3326" t="s">
        <v>1717</v>
      </c>
      <c r="C3326" t="s">
        <v>2983</v>
      </c>
      <c r="D3326" t="str">
        <f t="shared" si="52"/>
        <v>FAPEMIG3703</v>
      </c>
      <c r="E3326" t="s">
        <v>117</v>
      </c>
    </row>
    <row r="3327" spans="1:5" x14ac:dyDescent="0.25">
      <c r="A3327">
        <v>2071</v>
      </c>
      <c r="B3327" t="s">
        <v>1717</v>
      </c>
      <c r="C3327" t="s">
        <v>2985</v>
      </c>
      <c r="D3327" t="str">
        <f t="shared" si="52"/>
        <v>FAPEMIG3704</v>
      </c>
      <c r="E3327" t="s">
        <v>117</v>
      </c>
    </row>
    <row r="3328" spans="1:5" x14ac:dyDescent="0.25">
      <c r="A3328">
        <v>2071</v>
      </c>
      <c r="B3328" t="s">
        <v>1717</v>
      </c>
      <c r="C3328" t="s">
        <v>2986</v>
      </c>
      <c r="D3328" t="str">
        <f t="shared" si="52"/>
        <v>FAPEMIG3705</v>
      </c>
      <c r="E3328" t="s">
        <v>117</v>
      </c>
    </row>
    <row r="3329" spans="1:5" x14ac:dyDescent="0.25">
      <c r="A3329">
        <v>2071</v>
      </c>
      <c r="B3329" t="s">
        <v>1717</v>
      </c>
      <c r="C3329" t="s">
        <v>2988</v>
      </c>
      <c r="D3329" t="str">
        <f t="shared" si="52"/>
        <v>FAPEMIG3903</v>
      </c>
      <c r="E3329" t="s">
        <v>2968</v>
      </c>
    </row>
    <row r="3330" spans="1:5" x14ac:dyDescent="0.25">
      <c r="A3330">
        <v>2071</v>
      </c>
      <c r="B3330" t="s">
        <v>1717</v>
      </c>
      <c r="C3330" t="s">
        <v>299</v>
      </c>
      <c r="D3330" t="str">
        <f t="shared" si="52"/>
        <v>FAPEMIG3904</v>
      </c>
      <c r="E3330" t="s">
        <v>2968</v>
      </c>
    </row>
    <row r="3331" spans="1:5" x14ac:dyDescent="0.25">
      <c r="A3331">
        <v>2071</v>
      </c>
      <c r="B3331" t="s">
        <v>1717</v>
      </c>
      <c r="C3331" t="s">
        <v>346</v>
      </c>
      <c r="D3331" t="str">
        <f t="shared" si="52"/>
        <v>FAPEMIG3910</v>
      </c>
      <c r="E3331" t="s">
        <v>2968</v>
      </c>
    </row>
    <row r="3332" spans="1:5" x14ac:dyDescent="0.25">
      <c r="A3332">
        <v>2071</v>
      </c>
      <c r="B3332" t="s">
        <v>1717</v>
      </c>
      <c r="C3332" t="s">
        <v>356</v>
      </c>
      <c r="D3332" t="str">
        <f t="shared" si="52"/>
        <v>FAPEMIG3911</v>
      </c>
      <c r="E3332" t="s">
        <v>2968</v>
      </c>
    </row>
    <row r="3333" spans="1:5" x14ac:dyDescent="0.25">
      <c r="A3333">
        <v>2071</v>
      </c>
      <c r="B3333" t="s">
        <v>1717</v>
      </c>
      <c r="C3333" t="s">
        <v>2991</v>
      </c>
      <c r="D3333" t="str">
        <f t="shared" ref="D3333:D3396" si="53">CONCATENATE(B3333,LEFT(C3333,4))</f>
        <v>FAPEMIG3912</v>
      </c>
      <c r="E3333" t="s">
        <v>2992</v>
      </c>
    </row>
    <row r="3334" spans="1:5" x14ac:dyDescent="0.25">
      <c r="A3334">
        <v>2071</v>
      </c>
      <c r="B3334" t="s">
        <v>1717</v>
      </c>
      <c r="C3334" t="s">
        <v>2994</v>
      </c>
      <c r="D3334" t="str">
        <f t="shared" si="53"/>
        <v>FAPEMIG3913</v>
      </c>
      <c r="E3334" t="s">
        <v>2992</v>
      </c>
    </row>
    <row r="3335" spans="1:5" x14ac:dyDescent="0.25">
      <c r="A3335">
        <v>2071</v>
      </c>
      <c r="B3335" t="s">
        <v>1717</v>
      </c>
      <c r="C3335" t="s">
        <v>384</v>
      </c>
      <c r="D3335" t="str">
        <f t="shared" si="53"/>
        <v>FAPEMIG3915</v>
      </c>
      <c r="E3335" t="s">
        <v>2992</v>
      </c>
    </row>
    <row r="3336" spans="1:5" x14ac:dyDescent="0.25">
      <c r="A3336">
        <v>2071</v>
      </c>
      <c r="B3336" t="s">
        <v>1717</v>
      </c>
      <c r="C3336" t="s">
        <v>2996</v>
      </c>
      <c r="D3336" t="str">
        <f t="shared" si="53"/>
        <v>FAPEMIG3917</v>
      </c>
      <c r="E3336" t="s">
        <v>2958</v>
      </c>
    </row>
    <row r="3337" spans="1:5" x14ac:dyDescent="0.25">
      <c r="A3337">
        <v>2071</v>
      </c>
      <c r="B3337" t="s">
        <v>1717</v>
      </c>
      <c r="C3337" t="s">
        <v>3000</v>
      </c>
      <c r="D3337" t="str">
        <f t="shared" si="53"/>
        <v>FAPEMIG3919</v>
      </c>
      <c r="E3337" t="s">
        <v>3001</v>
      </c>
    </row>
    <row r="3338" spans="1:5" x14ac:dyDescent="0.25">
      <c r="A3338">
        <v>2071</v>
      </c>
      <c r="B3338" t="s">
        <v>1717</v>
      </c>
      <c r="C3338" t="s">
        <v>3002</v>
      </c>
      <c r="D3338" t="str">
        <f t="shared" si="53"/>
        <v>FAPEMIG3921</v>
      </c>
      <c r="E3338" t="s">
        <v>3001</v>
      </c>
    </row>
    <row r="3339" spans="1:5" x14ac:dyDescent="0.25">
      <c r="A3339">
        <v>2071</v>
      </c>
      <c r="B3339" t="s">
        <v>1717</v>
      </c>
      <c r="C3339" t="s">
        <v>3003</v>
      </c>
      <c r="D3339" t="str">
        <f t="shared" si="53"/>
        <v>FAPEMIG3922</v>
      </c>
      <c r="E3339" t="s">
        <v>2954</v>
      </c>
    </row>
    <row r="3340" spans="1:5" x14ac:dyDescent="0.25">
      <c r="A3340">
        <v>2071</v>
      </c>
      <c r="B3340" t="s">
        <v>1717</v>
      </c>
      <c r="C3340" t="s">
        <v>566</v>
      </c>
      <c r="D3340" t="str">
        <f t="shared" si="53"/>
        <v>FAPEMIG3924</v>
      </c>
      <c r="E3340" t="s">
        <v>3004</v>
      </c>
    </row>
    <row r="3341" spans="1:5" x14ac:dyDescent="0.25">
      <c r="A3341">
        <v>2071</v>
      </c>
      <c r="B3341" t="s">
        <v>1717</v>
      </c>
      <c r="C3341" t="s">
        <v>443</v>
      </c>
      <c r="D3341" t="str">
        <f t="shared" si="53"/>
        <v>FAPEMIG3926</v>
      </c>
      <c r="E3341" t="s">
        <v>3006</v>
      </c>
    </row>
    <row r="3342" spans="1:5" x14ac:dyDescent="0.25">
      <c r="A3342">
        <v>2071</v>
      </c>
      <c r="B3342" t="s">
        <v>1717</v>
      </c>
      <c r="C3342" t="s">
        <v>3008</v>
      </c>
      <c r="D3342" t="str">
        <f t="shared" si="53"/>
        <v>FAPEMIG3927</v>
      </c>
      <c r="E3342" t="s">
        <v>3009</v>
      </c>
    </row>
    <row r="3343" spans="1:5" x14ac:dyDescent="0.25">
      <c r="A3343">
        <v>2071</v>
      </c>
      <c r="B3343" t="s">
        <v>1717</v>
      </c>
      <c r="C3343" t="s">
        <v>1481</v>
      </c>
      <c r="D3343" t="str">
        <f t="shared" si="53"/>
        <v>FAPEMIG3931</v>
      </c>
      <c r="E3343" t="s">
        <v>2968</v>
      </c>
    </row>
    <row r="3344" spans="1:5" x14ac:dyDescent="0.25">
      <c r="A3344">
        <v>2071</v>
      </c>
      <c r="B3344" t="s">
        <v>1717</v>
      </c>
      <c r="C3344" t="s">
        <v>3017</v>
      </c>
      <c r="D3344" t="str">
        <f t="shared" si="53"/>
        <v>FAPEMIG3936</v>
      </c>
      <c r="E3344" t="s">
        <v>94</v>
      </c>
    </row>
    <row r="3345" spans="1:5" x14ac:dyDescent="0.25">
      <c r="A3345">
        <v>2071</v>
      </c>
      <c r="B3345" t="s">
        <v>1717</v>
      </c>
      <c r="C3345" t="s">
        <v>3088</v>
      </c>
      <c r="D3345" t="str">
        <f t="shared" si="53"/>
        <v>FAPEMIG3937</v>
      </c>
      <c r="E3345" t="s">
        <v>3107</v>
      </c>
    </row>
    <row r="3346" spans="1:5" x14ac:dyDescent="0.25">
      <c r="A3346">
        <v>2071</v>
      </c>
      <c r="B3346" t="s">
        <v>1717</v>
      </c>
      <c r="C3346" t="s">
        <v>3019</v>
      </c>
      <c r="D3346" t="str">
        <f t="shared" si="53"/>
        <v>FAPEMIG3940</v>
      </c>
      <c r="E3346" t="s">
        <v>3009</v>
      </c>
    </row>
    <row r="3347" spans="1:5" x14ac:dyDescent="0.25">
      <c r="A3347">
        <v>2071</v>
      </c>
      <c r="B3347" t="s">
        <v>1717</v>
      </c>
      <c r="C3347" t="s">
        <v>480</v>
      </c>
      <c r="D3347" t="str">
        <f t="shared" si="53"/>
        <v>FAPEMIG3941</v>
      </c>
      <c r="E3347" t="s">
        <v>2968</v>
      </c>
    </row>
    <row r="3348" spans="1:5" x14ac:dyDescent="0.25">
      <c r="A3348">
        <v>2071</v>
      </c>
      <c r="B3348" t="s">
        <v>1717</v>
      </c>
      <c r="C3348" t="s">
        <v>482</v>
      </c>
      <c r="D3348" t="str">
        <f t="shared" si="53"/>
        <v>FAPEMIG3942</v>
      </c>
      <c r="E3348" t="s">
        <v>2968</v>
      </c>
    </row>
    <row r="3349" spans="1:5" x14ac:dyDescent="0.25">
      <c r="A3349">
        <v>2071</v>
      </c>
      <c r="B3349" t="s">
        <v>1717</v>
      </c>
      <c r="C3349" t="s">
        <v>3020</v>
      </c>
      <c r="D3349" t="str">
        <f t="shared" si="53"/>
        <v>FAPEMIG3943</v>
      </c>
      <c r="E3349" t="s">
        <v>2958</v>
      </c>
    </row>
    <row r="3350" spans="1:5" x14ac:dyDescent="0.25">
      <c r="A3350">
        <v>2071</v>
      </c>
      <c r="B3350" t="s">
        <v>1717</v>
      </c>
      <c r="C3350" t="s">
        <v>492</v>
      </c>
      <c r="D3350" t="str">
        <f t="shared" si="53"/>
        <v>FAPEMIG3948</v>
      </c>
      <c r="E3350" t="s">
        <v>3004</v>
      </c>
    </row>
    <row r="3351" spans="1:5" x14ac:dyDescent="0.25">
      <c r="A3351">
        <v>2071</v>
      </c>
      <c r="B3351" t="s">
        <v>1717</v>
      </c>
      <c r="C3351" t="s">
        <v>495</v>
      </c>
      <c r="D3351" t="str">
        <f t="shared" si="53"/>
        <v>FAPEMIG3951</v>
      </c>
      <c r="E3351" t="s">
        <v>3052</v>
      </c>
    </row>
    <row r="3352" spans="1:5" x14ac:dyDescent="0.25">
      <c r="A3352">
        <v>2071</v>
      </c>
      <c r="B3352" t="s">
        <v>1717</v>
      </c>
      <c r="C3352" t="s">
        <v>3098</v>
      </c>
      <c r="D3352" t="str">
        <f t="shared" si="53"/>
        <v>FAPEMIG3952</v>
      </c>
      <c r="E3352" t="s">
        <v>65</v>
      </c>
    </row>
    <row r="3353" spans="1:5" x14ac:dyDescent="0.25">
      <c r="A3353">
        <v>2071</v>
      </c>
      <c r="B3353" t="s">
        <v>1717</v>
      </c>
      <c r="C3353" t="s">
        <v>496</v>
      </c>
      <c r="D3353" t="str">
        <f t="shared" si="53"/>
        <v>FAPEMIG3953</v>
      </c>
      <c r="E3353" t="s">
        <v>3004</v>
      </c>
    </row>
    <row r="3354" spans="1:5" x14ac:dyDescent="0.25">
      <c r="A3354">
        <v>2071</v>
      </c>
      <c r="B3354" t="s">
        <v>1717</v>
      </c>
      <c r="C3354" t="s">
        <v>498</v>
      </c>
      <c r="D3354" t="str">
        <f t="shared" si="53"/>
        <v>FAPEMIG3955</v>
      </c>
      <c r="E3354" t="s">
        <v>2968</v>
      </c>
    </row>
    <row r="3355" spans="1:5" x14ac:dyDescent="0.25">
      <c r="A3355">
        <v>2071</v>
      </c>
      <c r="B3355" t="s">
        <v>1717</v>
      </c>
      <c r="C3355" t="s">
        <v>501</v>
      </c>
      <c r="D3355" t="str">
        <f t="shared" si="53"/>
        <v>FAPEMIG3958</v>
      </c>
      <c r="E3355" t="s">
        <v>2968</v>
      </c>
    </row>
    <row r="3356" spans="1:5" x14ac:dyDescent="0.25">
      <c r="A3356">
        <v>2071</v>
      </c>
      <c r="B3356" t="s">
        <v>1717</v>
      </c>
      <c r="C3356" t="s">
        <v>3025</v>
      </c>
      <c r="D3356" t="str">
        <f t="shared" si="53"/>
        <v>FAPEMIG3959</v>
      </c>
      <c r="E3356" t="s">
        <v>2968</v>
      </c>
    </row>
    <row r="3357" spans="1:5" x14ac:dyDescent="0.25">
      <c r="A3357">
        <v>2071</v>
      </c>
      <c r="B3357" t="s">
        <v>1717</v>
      </c>
      <c r="C3357" t="s">
        <v>3027</v>
      </c>
      <c r="D3357" t="str">
        <f t="shared" si="53"/>
        <v>FAPEMIG3961</v>
      </c>
      <c r="E3357" t="s">
        <v>2981</v>
      </c>
    </row>
    <row r="3358" spans="1:5" x14ac:dyDescent="0.25">
      <c r="A3358">
        <v>2071</v>
      </c>
      <c r="B3358" t="s">
        <v>1717</v>
      </c>
      <c r="C3358" t="s">
        <v>1154</v>
      </c>
      <c r="D3358" t="str">
        <f t="shared" si="53"/>
        <v>FAPEMIG3969</v>
      </c>
      <c r="E3358" t="s">
        <v>2992</v>
      </c>
    </row>
    <row r="3359" spans="1:5" x14ac:dyDescent="0.25">
      <c r="A3359">
        <v>2071</v>
      </c>
      <c r="B3359" t="s">
        <v>1717</v>
      </c>
      <c r="C3359" t="s">
        <v>3031</v>
      </c>
      <c r="D3359" t="str">
        <f t="shared" si="53"/>
        <v>FAPEMIG3970</v>
      </c>
      <c r="E3359" t="s">
        <v>3009</v>
      </c>
    </row>
    <row r="3360" spans="1:5" x14ac:dyDescent="0.25">
      <c r="A3360">
        <v>2071</v>
      </c>
      <c r="B3360" t="s">
        <v>1717</v>
      </c>
      <c r="C3360" t="s">
        <v>520</v>
      </c>
      <c r="D3360" t="str">
        <f t="shared" si="53"/>
        <v>FAPEMIG3978</v>
      </c>
      <c r="E3360" t="s">
        <v>103</v>
      </c>
    </row>
    <row r="3361" spans="1:5" x14ac:dyDescent="0.25">
      <c r="A3361">
        <v>2071</v>
      </c>
      <c r="B3361" t="s">
        <v>1717</v>
      </c>
      <c r="C3361" t="s">
        <v>3036</v>
      </c>
      <c r="D3361" t="str">
        <f t="shared" si="53"/>
        <v>FAPEMIG3987</v>
      </c>
      <c r="E3361" t="s">
        <v>2958</v>
      </c>
    </row>
    <row r="3362" spans="1:5" x14ac:dyDescent="0.25">
      <c r="A3362">
        <v>2071</v>
      </c>
      <c r="B3362" t="s">
        <v>1717</v>
      </c>
      <c r="C3362" t="s">
        <v>3249</v>
      </c>
      <c r="D3362" t="str">
        <f t="shared" si="53"/>
        <v>FAPEMIG3993</v>
      </c>
      <c r="E3362" t="s">
        <v>2968</v>
      </c>
    </row>
    <row r="3363" spans="1:5" x14ac:dyDescent="0.25">
      <c r="A3363">
        <v>2071</v>
      </c>
      <c r="B3363" t="s">
        <v>1717</v>
      </c>
      <c r="C3363" t="s">
        <v>3040</v>
      </c>
      <c r="D3363" t="str">
        <f t="shared" si="53"/>
        <v>FAPEMIG3999</v>
      </c>
      <c r="E3363" t="s">
        <v>2968</v>
      </c>
    </row>
    <row r="3364" spans="1:5" x14ac:dyDescent="0.25">
      <c r="A3364">
        <v>2071</v>
      </c>
      <c r="B3364" t="s">
        <v>1717</v>
      </c>
      <c r="C3364" t="s">
        <v>3041</v>
      </c>
      <c r="D3364" t="str">
        <f t="shared" si="53"/>
        <v>FAPEMIG4002</v>
      </c>
      <c r="E3364" t="s">
        <v>3009</v>
      </c>
    </row>
    <row r="3365" spans="1:5" x14ac:dyDescent="0.25">
      <c r="A3365">
        <v>2071</v>
      </c>
      <c r="B3365" t="s">
        <v>1717</v>
      </c>
      <c r="C3365" t="s">
        <v>3043</v>
      </c>
      <c r="D3365" t="str">
        <f t="shared" si="53"/>
        <v>FAPEMIG4003</v>
      </c>
      <c r="E3365" t="s">
        <v>94</v>
      </c>
    </row>
    <row r="3366" spans="1:5" x14ac:dyDescent="0.25">
      <c r="A3366">
        <v>2071</v>
      </c>
      <c r="B3366" t="s">
        <v>1717</v>
      </c>
      <c r="C3366" t="s">
        <v>3045</v>
      </c>
      <c r="D3366" t="str">
        <f t="shared" si="53"/>
        <v>FAPEMIG4004</v>
      </c>
      <c r="E3366" t="s">
        <v>3009</v>
      </c>
    </row>
    <row r="3367" spans="1:5" x14ac:dyDescent="0.25">
      <c r="A3367">
        <v>2071</v>
      </c>
      <c r="B3367" t="s">
        <v>1717</v>
      </c>
      <c r="C3367" t="s">
        <v>3047</v>
      </c>
      <c r="D3367" t="str">
        <f t="shared" si="53"/>
        <v>FAPEMIG4005</v>
      </c>
      <c r="E3367" t="s">
        <v>3009</v>
      </c>
    </row>
    <row r="3368" spans="1:5" x14ac:dyDescent="0.25">
      <c r="A3368">
        <v>2071</v>
      </c>
      <c r="B3368" t="s">
        <v>1717</v>
      </c>
      <c r="C3368" t="s">
        <v>3138</v>
      </c>
      <c r="D3368" t="str">
        <f t="shared" si="53"/>
        <v>FAPEMIG4007</v>
      </c>
      <c r="E3368" t="s">
        <v>94</v>
      </c>
    </row>
    <row r="3369" spans="1:5" x14ac:dyDescent="0.25">
      <c r="A3369">
        <v>2071</v>
      </c>
      <c r="B3369" t="s">
        <v>1717</v>
      </c>
      <c r="C3369" t="s">
        <v>3123</v>
      </c>
      <c r="D3369" t="str">
        <f t="shared" si="53"/>
        <v>FAPEMIG4101</v>
      </c>
      <c r="E3369" t="s">
        <v>2968</v>
      </c>
    </row>
    <row r="3370" spans="1:5" x14ac:dyDescent="0.25">
      <c r="A3370">
        <v>2071</v>
      </c>
      <c r="B3370" t="s">
        <v>1717</v>
      </c>
      <c r="C3370" t="s">
        <v>3127</v>
      </c>
      <c r="D3370" t="str">
        <f t="shared" si="53"/>
        <v>FAPEMIG4201</v>
      </c>
      <c r="E3370" t="s">
        <v>3218</v>
      </c>
    </row>
    <row r="3371" spans="1:5" x14ac:dyDescent="0.25">
      <c r="A3371">
        <v>2071</v>
      </c>
      <c r="B3371" t="s">
        <v>1717</v>
      </c>
      <c r="C3371" t="s">
        <v>3128</v>
      </c>
      <c r="D3371" t="str">
        <f t="shared" si="53"/>
        <v>FAPEMIG4301</v>
      </c>
      <c r="E3371" t="s">
        <v>3239</v>
      </c>
    </row>
    <row r="3372" spans="1:5" x14ac:dyDescent="0.25">
      <c r="A3372">
        <v>2071</v>
      </c>
      <c r="B3372" t="s">
        <v>1717</v>
      </c>
      <c r="C3372" t="s">
        <v>238</v>
      </c>
      <c r="D3372" t="str">
        <f t="shared" si="53"/>
        <v>FAPEMIG4501</v>
      </c>
      <c r="E3372" t="s">
        <v>3243</v>
      </c>
    </row>
    <row r="3373" spans="1:5" x14ac:dyDescent="0.25">
      <c r="A3373">
        <v>2071</v>
      </c>
      <c r="B3373" t="s">
        <v>1717</v>
      </c>
      <c r="C3373" t="s">
        <v>3048</v>
      </c>
      <c r="D3373" t="str">
        <f t="shared" si="53"/>
        <v>FAPEMIG4701</v>
      </c>
      <c r="E3373" t="s">
        <v>3049</v>
      </c>
    </row>
    <row r="3374" spans="1:5" x14ac:dyDescent="0.25">
      <c r="A3374">
        <v>2071</v>
      </c>
      <c r="B3374" t="s">
        <v>1717</v>
      </c>
      <c r="C3374" t="s">
        <v>265</v>
      </c>
      <c r="D3374" t="str">
        <f t="shared" si="53"/>
        <v>FAPEMIG4703</v>
      </c>
      <c r="E3374" t="s">
        <v>3049</v>
      </c>
    </row>
    <row r="3375" spans="1:5" x14ac:dyDescent="0.25">
      <c r="A3375">
        <v>2071</v>
      </c>
      <c r="B3375" t="s">
        <v>1717</v>
      </c>
      <c r="C3375" t="s">
        <v>316</v>
      </c>
      <c r="D3375" t="str">
        <f t="shared" si="53"/>
        <v>FAPEMIG4706</v>
      </c>
      <c r="E3375" t="s">
        <v>3049</v>
      </c>
    </row>
    <row r="3376" spans="1:5" x14ac:dyDescent="0.25">
      <c r="A3376">
        <v>2071</v>
      </c>
      <c r="B3376" t="s">
        <v>1717</v>
      </c>
      <c r="C3376" t="s">
        <v>364</v>
      </c>
      <c r="D3376" t="str">
        <f t="shared" si="53"/>
        <v>FAPEMIG4799</v>
      </c>
      <c r="E3376" t="s">
        <v>3049</v>
      </c>
    </row>
    <row r="3377" spans="1:5" x14ac:dyDescent="0.25">
      <c r="A3377">
        <v>2071</v>
      </c>
      <c r="B3377" t="s">
        <v>1717</v>
      </c>
      <c r="C3377" t="s">
        <v>286</v>
      </c>
      <c r="D3377" t="str">
        <f t="shared" si="53"/>
        <v>FAPEMIG4803</v>
      </c>
      <c r="E3377" t="s">
        <v>3004</v>
      </c>
    </row>
    <row r="3378" spans="1:5" x14ac:dyDescent="0.25">
      <c r="A3378">
        <v>2071</v>
      </c>
      <c r="B3378" t="s">
        <v>1717</v>
      </c>
      <c r="C3378" t="s">
        <v>3240</v>
      </c>
      <c r="D3378" t="str">
        <f t="shared" si="53"/>
        <v>FAPEMIG4904</v>
      </c>
      <c r="E3378" t="s">
        <v>2926</v>
      </c>
    </row>
    <row r="3379" spans="1:5" x14ac:dyDescent="0.25">
      <c r="A3379">
        <v>2071</v>
      </c>
      <c r="B3379" t="s">
        <v>1717</v>
      </c>
      <c r="C3379" t="s">
        <v>3053</v>
      </c>
      <c r="D3379" t="str">
        <f t="shared" si="53"/>
        <v>FAPEMIG5103</v>
      </c>
      <c r="E3379" t="s">
        <v>3052</v>
      </c>
    </row>
    <row r="3380" spans="1:5" x14ac:dyDescent="0.25">
      <c r="A3380">
        <v>2071</v>
      </c>
      <c r="B3380" t="s">
        <v>1717</v>
      </c>
      <c r="C3380" t="s">
        <v>288</v>
      </c>
      <c r="D3380" t="str">
        <f t="shared" si="53"/>
        <v>FAPEMIG5203</v>
      </c>
      <c r="E3380" t="s">
        <v>3055</v>
      </c>
    </row>
    <row r="3381" spans="1:5" x14ac:dyDescent="0.25">
      <c r="A3381">
        <v>2071</v>
      </c>
      <c r="B3381" t="s">
        <v>1717</v>
      </c>
      <c r="C3381" t="s">
        <v>3054</v>
      </c>
      <c r="D3381" t="str">
        <f t="shared" si="53"/>
        <v>FAPEMIG5204</v>
      </c>
      <c r="E3381" t="s">
        <v>3055</v>
      </c>
    </row>
    <row r="3382" spans="1:5" x14ac:dyDescent="0.25">
      <c r="A3382">
        <v>2071</v>
      </c>
      <c r="B3382" t="s">
        <v>1717</v>
      </c>
      <c r="C3382" t="s">
        <v>329</v>
      </c>
      <c r="D3382" t="str">
        <f t="shared" si="53"/>
        <v>FAPEMIG5206</v>
      </c>
      <c r="E3382" t="s">
        <v>3057</v>
      </c>
    </row>
    <row r="3383" spans="1:5" x14ac:dyDescent="0.25">
      <c r="A3383">
        <v>2071</v>
      </c>
      <c r="B3383" t="s">
        <v>1717</v>
      </c>
      <c r="C3383" t="s">
        <v>3058</v>
      </c>
      <c r="D3383" t="str">
        <f t="shared" si="53"/>
        <v>FAPEMIG5207</v>
      </c>
      <c r="E3383" t="s">
        <v>3057</v>
      </c>
    </row>
    <row r="3384" spans="1:5" x14ac:dyDescent="0.25">
      <c r="A3384">
        <v>2071</v>
      </c>
      <c r="B3384" t="s">
        <v>1717</v>
      </c>
      <c r="C3384" t="s">
        <v>3060</v>
      </c>
      <c r="D3384" t="str">
        <f t="shared" si="53"/>
        <v>FAPEMIG5208</v>
      </c>
      <c r="E3384" t="s">
        <v>3057</v>
      </c>
    </row>
    <row r="3385" spans="1:5" x14ac:dyDescent="0.25">
      <c r="A3385">
        <v>2071</v>
      </c>
      <c r="B3385" t="s">
        <v>1717</v>
      </c>
      <c r="C3385" t="s">
        <v>359</v>
      </c>
      <c r="D3385" t="str">
        <f t="shared" si="53"/>
        <v>FAPEMIG5209</v>
      </c>
      <c r="E3385" t="s">
        <v>3055</v>
      </c>
    </row>
    <row r="3386" spans="1:5" x14ac:dyDescent="0.25">
      <c r="A3386">
        <v>2071</v>
      </c>
      <c r="B3386" t="s">
        <v>1717</v>
      </c>
      <c r="C3386" t="s">
        <v>3063</v>
      </c>
      <c r="D3386" t="str">
        <f t="shared" si="53"/>
        <v>FAPEMIG5210</v>
      </c>
      <c r="E3386" t="s">
        <v>3055</v>
      </c>
    </row>
    <row r="3387" spans="1:5" x14ac:dyDescent="0.25">
      <c r="A3387">
        <v>2071</v>
      </c>
      <c r="B3387" t="s">
        <v>1717</v>
      </c>
      <c r="C3387" t="s">
        <v>3064</v>
      </c>
      <c r="D3387" t="str">
        <f t="shared" si="53"/>
        <v>FAPEMIG5212</v>
      </c>
      <c r="E3387" t="s">
        <v>3055</v>
      </c>
    </row>
    <row r="3388" spans="1:5" x14ac:dyDescent="0.25">
      <c r="A3388">
        <v>2071</v>
      </c>
      <c r="B3388" t="s">
        <v>1717</v>
      </c>
      <c r="C3388" t="s">
        <v>391</v>
      </c>
      <c r="D3388" t="str">
        <f t="shared" si="53"/>
        <v>FAPEMIG5214</v>
      </c>
      <c r="E3388" t="s">
        <v>3055</v>
      </c>
    </row>
    <row r="3389" spans="1:5" x14ac:dyDescent="0.25">
      <c r="A3389">
        <v>2071</v>
      </c>
      <c r="B3389" t="s">
        <v>1717</v>
      </c>
      <c r="C3389" t="s">
        <v>3068</v>
      </c>
      <c r="D3389" t="str">
        <f t="shared" si="53"/>
        <v>FAPEMIG5220</v>
      </c>
      <c r="E3389" t="s">
        <v>3057</v>
      </c>
    </row>
    <row r="3390" spans="1:5" x14ac:dyDescent="0.25">
      <c r="A3390">
        <v>2071</v>
      </c>
      <c r="B3390" t="s">
        <v>1717</v>
      </c>
      <c r="C3390" t="s">
        <v>449</v>
      </c>
      <c r="D3390" t="str">
        <f t="shared" si="53"/>
        <v>FAPEMIG5225</v>
      </c>
      <c r="E3390" t="s">
        <v>3055</v>
      </c>
    </row>
    <row r="3391" spans="1:5" x14ac:dyDescent="0.25">
      <c r="A3391">
        <v>2071</v>
      </c>
      <c r="B3391" t="s">
        <v>1717</v>
      </c>
      <c r="C3391" t="s">
        <v>3072</v>
      </c>
      <c r="D3391" t="str">
        <f t="shared" si="53"/>
        <v>FAPEMIG5227</v>
      </c>
      <c r="E3391" t="s">
        <v>3055</v>
      </c>
    </row>
    <row r="3392" spans="1:5" x14ac:dyDescent="0.25">
      <c r="A3392">
        <v>2071</v>
      </c>
      <c r="B3392" t="s">
        <v>1717</v>
      </c>
      <c r="C3392" t="s">
        <v>247</v>
      </c>
      <c r="D3392" t="str">
        <f t="shared" si="53"/>
        <v>FAPEMIG6501</v>
      </c>
      <c r="E3392" t="s">
        <v>3305</v>
      </c>
    </row>
    <row r="3393" spans="1:5" x14ac:dyDescent="0.25">
      <c r="A3393">
        <v>2071</v>
      </c>
      <c r="B3393" t="s">
        <v>1717</v>
      </c>
      <c r="C3393" t="s">
        <v>3306</v>
      </c>
      <c r="D3393" t="str">
        <f t="shared" si="53"/>
        <v>FAPEMIG6502</v>
      </c>
      <c r="E3393" t="s">
        <v>3305</v>
      </c>
    </row>
    <row r="3394" spans="1:5" x14ac:dyDescent="0.25">
      <c r="A3394">
        <v>2071</v>
      </c>
      <c r="B3394" t="s">
        <v>1717</v>
      </c>
      <c r="C3394" t="s">
        <v>3220</v>
      </c>
      <c r="D3394" t="str">
        <f t="shared" si="53"/>
        <v>FAPEMIG9201</v>
      </c>
      <c r="E3394" t="s">
        <v>3075</v>
      </c>
    </row>
    <row r="3395" spans="1:5" x14ac:dyDescent="0.25">
      <c r="A3395">
        <v>2071</v>
      </c>
      <c r="B3395" t="s">
        <v>1717</v>
      </c>
      <c r="C3395" t="s">
        <v>3074</v>
      </c>
      <c r="D3395" t="str">
        <f t="shared" si="53"/>
        <v>FAPEMIG9202</v>
      </c>
      <c r="E3395" t="s">
        <v>3075</v>
      </c>
    </row>
    <row r="3396" spans="1:5" x14ac:dyDescent="0.25">
      <c r="A3396">
        <v>2071</v>
      </c>
      <c r="B3396" t="s">
        <v>1717</v>
      </c>
      <c r="C3396" t="s">
        <v>250</v>
      </c>
      <c r="D3396" t="str">
        <f t="shared" si="53"/>
        <v>FAPEMIG9301</v>
      </c>
      <c r="E3396" t="s">
        <v>2968</v>
      </c>
    </row>
    <row r="3397" spans="1:5" x14ac:dyDescent="0.25">
      <c r="A3397">
        <v>2071</v>
      </c>
      <c r="B3397" t="s">
        <v>1717</v>
      </c>
      <c r="C3397" t="s">
        <v>331</v>
      </c>
      <c r="D3397" t="str">
        <f t="shared" ref="D3397:D3460" si="54">CONCATENATE(B3397,LEFT(C3397,4))</f>
        <v>FAPEMIG9306</v>
      </c>
      <c r="E3397" t="s">
        <v>3076</v>
      </c>
    </row>
    <row r="3398" spans="1:5" x14ac:dyDescent="0.25">
      <c r="A3398">
        <v>2071</v>
      </c>
      <c r="B3398" t="s">
        <v>1717</v>
      </c>
      <c r="C3398" t="s">
        <v>392</v>
      </c>
      <c r="D3398" t="str">
        <f t="shared" si="54"/>
        <v>FAPEMIG9314</v>
      </c>
      <c r="E3398" t="s">
        <v>2968</v>
      </c>
    </row>
    <row r="3399" spans="1:5" x14ac:dyDescent="0.25">
      <c r="A3399">
        <v>2071</v>
      </c>
      <c r="B3399" t="s">
        <v>1717</v>
      </c>
      <c r="C3399" t="s">
        <v>3079</v>
      </c>
      <c r="D3399" t="str">
        <f t="shared" si="54"/>
        <v>FAPEMIG9399</v>
      </c>
      <c r="E3399" t="s">
        <v>2968</v>
      </c>
    </row>
    <row r="3400" spans="1:5" x14ac:dyDescent="0.25">
      <c r="A3400">
        <v>2071</v>
      </c>
      <c r="B3400" t="s">
        <v>1717</v>
      </c>
      <c r="C3400" t="s">
        <v>3298</v>
      </c>
      <c r="D3400" t="str">
        <f t="shared" si="54"/>
        <v>FAPEMIG9701</v>
      </c>
      <c r="E3400" t="s">
        <v>2968</v>
      </c>
    </row>
    <row r="3401" spans="1:5" x14ac:dyDescent="0.25">
      <c r="A3401">
        <v>2091</v>
      </c>
      <c r="B3401" t="s">
        <v>1720</v>
      </c>
      <c r="C3401" t="s">
        <v>332</v>
      </c>
      <c r="D3401" t="str">
        <f t="shared" si="54"/>
        <v>FEAM1314</v>
      </c>
      <c r="E3401" t="s">
        <v>3081</v>
      </c>
    </row>
    <row r="3402" spans="1:5" x14ac:dyDescent="0.25">
      <c r="A3402">
        <v>2091</v>
      </c>
      <c r="B3402" t="s">
        <v>1720</v>
      </c>
      <c r="C3402" t="s">
        <v>2942</v>
      </c>
      <c r="D3402" t="str">
        <f t="shared" si="54"/>
        <v>FEAM1317</v>
      </c>
      <c r="E3402" t="s">
        <v>3081</v>
      </c>
    </row>
    <row r="3403" spans="1:5" x14ac:dyDescent="0.25">
      <c r="A3403">
        <v>2091</v>
      </c>
      <c r="B3403" t="s">
        <v>1720</v>
      </c>
      <c r="C3403" t="s">
        <v>399</v>
      </c>
      <c r="D3403" t="str">
        <f t="shared" si="54"/>
        <v>FEAM1325</v>
      </c>
      <c r="E3403" t="s">
        <v>3081</v>
      </c>
    </row>
    <row r="3404" spans="1:5" x14ac:dyDescent="0.25">
      <c r="A3404">
        <v>2091</v>
      </c>
      <c r="B3404" t="s">
        <v>1720</v>
      </c>
      <c r="C3404" t="s">
        <v>2928</v>
      </c>
      <c r="D3404" t="str">
        <f t="shared" si="54"/>
        <v>FEAM1401</v>
      </c>
      <c r="E3404" t="s">
        <v>44</v>
      </c>
    </row>
    <row r="3405" spans="1:5" x14ac:dyDescent="0.25">
      <c r="A3405">
        <v>2091</v>
      </c>
      <c r="B3405" t="s">
        <v>1720</v>
      </c>
      <c r="C3405" t="s">
        <v>2932</v>
      </c>
      <c r="D3405" t="str">
        <f t="shared" si="54"/>
        <v>FEAM3001</v>
      </c>
      <c r="E3405" t="s">
        <v>2933</v>
      </c>
    </row>
    <row r="3406" spans="1:5" x14ac:dyDescent="0.25">
      <c r="A3406">
        <v>2091</v>
      </c>
      <c r="B3406" t="s">
        <v>1720</v>
      </c>
      <c r="C3406" t="s">
        <v>979</v>
      </c>
      <c r="D3406" t="str">
        <f t="shared" si="54"/>
        <v>FEAM3003</v>
      </c>
      <c r="E3406" t="s">
        <v>2933</v>
      </c>
    </row>
    <row r="3407" spans="1:5" x14ac:dyDescent="0.25">
      <c r="A3407">
        <v>2091</v>
      </c>
      <c r="B3407" t="s">
        <v>1720</v>
      </c>
      <c r="C3407" t="s">
        <v>2937</v>
      </c>
      <c r="D3407" t="str">
        <f t="shared" si="54"/>
        <v>FEAM3004</v>
      </c>
      <c r="E3407" t="s">
        <v>2933</v>
      </c>
    </row>
    <row r="3408" spans="1:5" x14ac:dyDescent="0.25">
      <c r="A3408">
        <v>2091</v>
      </c>
      <c r="B3408" t="s">
        <v>1720</v>
      </c>
      <c r="C3408" t="s">
        <v>2939</v>
      </c>
      <c r="D3408" t="str">
        <f t="shared" si="54"/>
        <v>FEAM3005</v>
      </c>
      <c r="E3408" t="s">
        <v>2933</v>
      </c>
    </row>
    <row r="3409" spans="1:5" x14ac:dyDescent="0.25">
      <c r="A3409">
        <v>2091</v>
      </c>
      <c r="B3409" t="s">
        <v>1720</v>
      </c>
      <c r="C3409" t="s">
        <v>2941</v>
      </c>
      <c r="D3409" t="str">
        <f t="shared" si="54"/>
        <v>FEAM3008</v>
      </c>
      <c r="E3409" t="s">
        <v>2933</v>
      </c>
    </row>
    <row r="3410" spans="1:5" x14ac:dyDescent="0.25">
      <c r="A3410">
        <v>2091</v>
      </c>
      <c r="B3410" t="s">
        <v>1720</v>
      </c>
      <c r="C3410" t="s">
        <v>2943</v>
      </c>
      <c r="D3410" t="str">
        <f t="shared" si="54"/>
        <v>FEAM3010</v>
      </c>
      <c r="E3410" t="s">
        <v>2944</v>
      </c>
    </row>
    <row r="3411" spans="1:5" x14ac:dyDescent="0.25">
      <c r="A3411">
        <v>2091</v>
      </c>
      <c r="B3411" t="s">
        <v>1720</v>
      </c>
      <c r="C3411" t="s">
        <v>2946</v>
      </c>
      <c r="D3411" t="str">
        <f t="shared" si="54"/>
        <v>FEAM3013</v>
      </c>
      <c r="E3411" t="s">
        <v>2933</v>
      </c>
    </row>
    <row r="3412" spans="1:5" x14ac:dyDescent="0.25">
      <c r="A3412">
        <v>2091</v>
      </c>
      <c r="B3412" t="s">
        <v>1720</v>
      </c>
      <c r="C3412" t="s">
        <v>2950</v>
      </c>
      <c r="D3412" t="str">
        <f t="shared" si="54"/>
        <v>FEAM3016</v>
      </c>
      <c r="E3412" t="s">
        <v>2933</v>
      </c>
    </row>
    <row r="3413" spans="1:5" x14ac:dyDescent="0.25">
      <c r="A3413">
        <v>2091</v>
      </c>
      <c r="B3413" t="s">
        <v>1720</v>
      </c>
      <c r="C3413" t="s">
        <v>406</v>
      </c>
      <c r="D3413" t="str">
        <f t="shared" si="54"/>
        <v>FEAM3017</v>
      </c>
      <c r="E3413" t="s">
        <v>2933</v>
      </c>
    </row>
    <row r="3414" spans="1:5" x14ac:dyDescent="0.25">
      <c r="A3414">
        <v>2091</v>
      </c>
      <c r="B3414" t="s">
        <v>1720</v>
      </c>
      <c r="C3414" t="s">
        <v>2953</v>
      </c>
      <c r="D3414" t="str">
        <f t="shared" si="54"/>
        <v>FEAM3019</v>
      </c>
      <c r="E3414" t="s">
        <v>2954</v>
      </c>
    </row>
    <row r="3415" spans="1:5" x14ac:dyDescent="0.25">
      <c r="A3415">
        <v>2091</v>
      </c>
      <c r="B3415" t="s">
        <v>1720</v>
      </c>
      <c r="C3415" t="s">
        <v>2955</v>
      </c>
      <c r="D3415" t="str">
        <f t="shared" si="54"/>
        <v>FEAM3020</v>
      </c>
      <c r="E3415" t="s">
        <v>2933</v>
      </c>
    </row>
    <row r="3416" spans="1:5" x14ac:dyDescent="0.25">
      <c r="A3416">
        <v>2091</v>
      </c>
      <c r="B3416" t="s">
        <v>1720</v>
      </c>
      <c r="C3416" t="s">
        <v>2956</v>
      </c>
      <c r="D3416" t="str">
        <f t="shared" si="54"/>
        <v>FEAM3021</v>
      </c>
      <c r="E3416" t="s">
        <v>2933</v>
      </c>
    </row>
    <row r="3417" spans="1:5" x14ac:dyDescent="0.25">
      <c r="A3417">
        <v>2091</v>
      </c>
      <c r="B3417" t="s">
        <v>1720</v>
      </c>
      <c r="C3417" t="s">
        <v>431</v>
      </c>
      <c r="D3417" t="str">
        <f t="shared" si="54"/>
        <v>FEAM3022</v>
      </c>
      <c r="E3417" t="s">
        <v>2933</v>
      </c>
    </row>
    <row r="3418" spans="1:5" x14ac:dyDescent="0.25">
      <c r="A3418">
        <v>2091</v>
      </c>
      <c r="B3418" t="s">
        <v>1720</v>
      </c>
      <c r="C3418" t="s">
        <v>441</v>
      </c>
      <c r="D3418" t="str">
        <f t="shared" si="54"/>
        <v>FEAM3024</v>
      </c>
      <c r="E3418" t="s">
        <v>2933</v>
      </c>
    </row>
    <row r="3419" spans="1:5" x14ac:dyDescent="0.25">
      <c r="A3419">
        <v>2091</v>
      </c>
      <c r="B3419" t="s">
        <v>1720</v>
      </c>
      <c r="C3419" t="s">
        <v>2959</v>
      </c>
      <c r="D3419" t="str">
        <f t="shared" si="54"/>
        <v>FEAM3025</v>
      </c>
      <c r="E3419" t="s">
        <v>2933</v>
      </c>
    </row>
    <row r="3420" spans="1:5" x14ac:dyDescent="0.25">
      <c r="A3420">
        <v>2091</v>
      </c>
      <c r="B3420" t="s">
        <v>1720</v>
      </c>
      <c r="C3420" t="s">
        <v>2960</v>
      </c>
      <c r="D3420" t="str">
        <f t="shared" si="54"/>
        <v>FEAM3026</v>
      </c>
      <c r="E3420" t="s">
        <v>2958</v>
      </c>
    </row>
    <row r="3421" spans="1:5" x14ac:dyDescent="0.25">
      <c r="A3421">
        <v>2091</v>
      </c>
      <c r="B3421" t="s">
        <v>1720</v>
      </c>
      <c r="C3421" t="s">
        <v>2961</v>
      </c>
      <c r="D3421" t="str">
        <f t="shared" si="54"/>
        <v>FEAM3027</v>
      </c>
      <c r="E3421" t="s">
        <v>2933</v>
      </c>
    </row>
    <row r="3422" spans="1:5" x14ac:dyDescent="0.25">
      <c r="A3422">
        <v>2091</v>
      </c>
      <c r="B3422" t="s">
        <v>1720</v>
      </c>
      <c r="C3422" t="s">
        <v>467</v>
      </c>
      <c r="D3422" t="str">
        <f t="shared" si="54"/>
        <v>FEAM3030</v>
      </c>
      <c r="E3422" t="s">
        <v>2933</v>
      </c>
    </row>
    <row r="3423" spans="1:5" x14ac:dyDescent="0.25">
      <c r="A3423">
        <v>2091</v>
      </c>
      <c r="B3423" t="s">
        <v>1720</v>
      </c>
      <c r="C3423" t="s">
        <v>491</v>
      </c>
      <c r="D3423" t="str">
        <f t="shared" si="54"/>
        <v>FEAM3099</v>
      </c>
      <c r="E3423" t="s">
        <v>2933</v>
      </c>
    </row>
    <row r="3424" spans="1:5" x14ac:dyDescent="0.25">
      <c r="A3424">
        <v>2091</v>
      </c>
      <c r="B3424" t="s">
        <v>1720</v>
      </c>
      <c r="C3424" t="s">
        <v>2967</v>
      </c>
      <c r="D3424" t="str">
        <f t="shared" si="54"/>
        <v>FEAM3101</v>
      </c>
      <c r="E3424" t="s">
        <v>3278</v>
      </c>
    </row>
    <row r="3425" spans="1:5" x14ac:dyDescent="0.25">
      <c r="A3425">
        <v>2091</v>
      </c>
      <c r="B3425" t="s">
        <v>1720</v>
      </c>
      <c r="C3425" t="s">
        <v>54</v>
      </c>
      <c r="D3425" t="str">
        <f t="shared" si="54"/>
        <v>FEAM3301</v>
      </c>
      <c r="E3425" t="s">
        <v>44</v>
      </c>
    </row>
    <row r="3426" spans="1:5" x14ac:dyDescent="0.25">
      <c r="A3426">
        <v>2091</v>
      </c>
      <c r="B3426" t="s">
        <v>1720</v>
      </c>
      <c r="C3426" t="s">
        <v>2975</v>
      </c>
      <c r="D3426" t="str">
        <f t="shared" si="54"/>
        <v>FEAM3302</v>
      </c>
      <c r="E3426" t="s">
        <v>44</v>
      </c>
    </row>
    <row r="3427" spans="1:5" x14ac:dyDescent="0.25">
      <c r="A3427">
        <v>2091</v>
      </c>
      <c r="B3427" t="s">
        <v>1720</v>
      </c>
      <c r="C3427" t="s">
        <v>2977</v>
      </c>
      <c r="D3427" t="str">
        <f t="shared" si="54"/>
        <v>FEAM3304</v>
      </c>
      <c r="E3427" t="s">
        <v>44</v>
      </c>
    </row>
    <row r="3428" spans="1:5" x14ac:dyDescent="0.25">
      <c r="A3428">
        <v>2091</v>
      </c>
      <c r="B3428" t="s">
        <v>1720</v>
      </c>
      <c r="C3428" t="s">
        <v>3201</v>
      </c>
      <c r="D3428" t="str">
        <f t="shared" si="54"/>
        <v>FEAM3502</v>
      </c>
      <c r="E3428" t="s">
        <v>1660</v>
      </c>
    </row>
    <row r="3429" spans="1:5" x14ac:dyDescent="0.25">
      <c r="A3429">
        <v>2091</v>
      </c>
      <c r="B3429" t="s">
        <v>1720</v>
      </c>
      <c r="C3429" t="s">
        <v>297</v>
      </c>
      <c r="D3429" t="str">
        <f t="shared" si="54"/>
        <v>FEAM3604</v>
      </c>
      <c r="E3429" t="s">
        <v>44</v>
      </c>
    </row>
    <row r="3430" spans="1:5" x14ac:dyDescent="0.25">
      <c r="A3430">
        <v>2091</v>
      </c>
      <c r="B3430" t="s">
        <v>1720</v>
      </c>
      <c r="C3430" t="s">
        <v>355</v>
      </c>
      <c r="D3430" t="str">
        <f t="shared" si="54"/>
        <v>FEAM3610</v>
      </c>
      <c r="E3430" t="s">
        <v>3258</v>
      </c>
    </row>
    <row r="3431" spans="1:5" x14ac:dyDescent="0.25">
      <c r="A3431">
        <v>2091</v>
      </c>
      <c r="B3431" t="s">
        <v>1720</v>
      </c>
      <c r="C3431" t="s">
        <v>3021</v>
      </c>
      <c r="D3431" t="str">
        <f t="shared" si="54"/>
        <v>FEAM3611</v>
      </c>
      <c r="E3431" t="s">
        <v>3107</v>
      </c>
    </row>
    <row r="3432" spans="1:5" x14ac:dyDescent="0.25">
      <c r="A3432">
        <v>2091</v>
      </c>
      <c r="B3432" t="s">
        <v>1720</v>
      </c>
      <c r="C3432" t="s">
        <v>2979</v>
      </c>
      <c r="D3432" t="str">
        <f t="shared" si="54"/>
        <v>FEAM3612</v>
      </c>
      <c r="E3432" t="s">
        <v>3307</v>
      </c>
    </row>
    <row r="3433" spans="1:5" x14ac:dyDescent="0.25">
      <c r="A3433">
        <v>2091</v>
      </c>
      <c r="B3433" t="s">
        <v>1720</v>
      </c>
      <c r="C3433" t="s">
        <v>3023</v>
      </c>
      <c r="D3433" t="str">
        <f t="shared" si="54"/>
        <v>FEAM3616</v>
      </c>
      <c r="E3433" t="s">
        <v>2958</v>
      </c>
    </row>
    <row r="3434" spans="1:5" x14ac:dyDescent="0.25">
      <c r="A3434">
        <v>2091</v>
      </c>
      <c r="B3434" t="s">
        <v>1720</v>
      </c>
      <c r="C3434" t="s">
        <v>401</v>
      </c>
      <c r="D3434" t="str">
        <f t="shared" si="54"/>
        <v>FEAM3617</v>
      </c>
      <c r="E3434" t="s">
        <v>3308</v>
      </c>
    </row>
    <row r="3435" spans="1:5" x14ac:dyDescent="0.25">
      <c r="A3435">
        <v>2091</v>
      </c>
      <c r="B3435" t="s">
        <v>1720</v>
      </c>
      <c r="C3435" t="s">
        <v>407</v>
      </c>
      <c r="D3435" t="str">
        <f t="shared" si="54"/>
        <v>FEAM3618</v>
      </c>
      <c r="E3435" t="s">
        <v>2954</v>
      </c>
    </row>
    <row r="3436" spans="1:5" x14ac:dyDescent="0.25">
      <c r="A3436">
        <v>2091</v>
      </c>
      <c r="B3436" t="s">
        <v>1720</v>
      </c>
      <c r="C3436" t="s">
        <v>471</v>
      </c>
      <c r="D3436" t="str">
        <f t="shared" si="54"/>
        <v>FEAM3699</v>
      </c>
      <c r="E3436" t="s">
        <v>3261</v>
      </c>
    </row>
    <row r="3437" spans="1:5" x14ac:dyDescent="0.25">
      <c r="A3437">
        <v>2091</v>
      </c>
      <c r="B3437" t="s">
        <v>1720</v>
      </c>
      <c r="C3437" t="s">
        <v>3050</v>
      </c>
      <c r="D3437" t="str">
        <f t="shared" si="54"/>
        <v>FEAM3702</v>
      </c>
      <c r="E3437" t="s">
        <v>2981</v>
      </c>
    </row>
    <row r="3438" spans="1:5" x14ac:dyDescent="0.25">
      <c r="A3438">
        <v>2091</v>
      </c>
      <c r="B3438" t="s">
        <v>1720</v>
      </c>
      <c r="C3438" t="s">
        <v>2983</v>
      </c>
      <c r="D3438" t="str">
        <f t="shared" si="54"/>
        <v>FEAM3703</v>
      </c>
      <c r="E3438" t="s">
        <v>117</v>
      </c>
    </row>
    <row r="3439" spans="1:5" x14ac:dyDescent="0.25">
      <c r="A3439">
        <v>2091</v>
      </c>
      <c r="B3439" t="s">
        <v>1720</v>
      </c>
      <c r="C3439" t="s">
        <v>2985</v>
      </c>
      <c r="D3439" t="str">
        <f t="shared" si="54"/>
        <v>FEAM3704</v>
      </c>
      <c r="E3439" t="s">
        <v>117</v>
      </c>
    </row>
    <row r="3440" spans="1:5" x14ac:dyDescent="0.25">
      <c r="A3440">
        <v>2091</v>
      </c>
      <c r="B3440" t="s">
        <v>1720</v>
      </c>
      <c r="C3440" t="s">
        <v>2986</v>
      </c>
      <c r="D3440" t="str">
        <f t="shared" si="54"/>
        <v>FEAM3705</v>
      </c>
      <c r="E3440" t="s">
        <v>117</v>
      </c>
    </row>
    <row r="3441" spans="1:5" x14ac:dyDescent="0.25">
      <c r="A3441">
        <v>2091</v>
      </c>
      <c r="B3441" t="s">
        <v>1720</v>
      </c>
      <c r="C3441" t="s">
        <v>3056</v>
      </c>
      <c r="D3441" t="str">
        <f t="shared" si="54"/>
        <v>FEAM3902</v>
      </c>
      <c r="E3441" t="s">
        <v>3291</v>
      </c>
    </row>
    <row r="3442" spans="1:5" x14ac:dyDescent="0.25">
      <c r="A3442">
        <v>2091</v>
      </c>
      <c r="B3442" t="s">
        <v>1720</v>
      </c>
      <c r="C3442" t="s">
        <v>299</v>
      </c>
      <c r="D3442" t="str">
        <f t="shared" si="54"/>
        <v>FEAM3904</v>
      </c>
      <c r="E3442" t="s">
        <v>3309</v>
      </c>
    </row>
    <row r="3443" spans="1:5" x14ac:dyDescent="0.25">
      <c r="A3443">
        <v>2091</v>
      </c>
      <c r="B3443" t="s">
        <v>1720</v>
      </c>
      <c r="C3443" t="s">
        <v>2989</v>
      </c>
      <c r="D3443" t="str">
        <f t="shared" si="54"/>
        <v>FEAM3908</v>
      </c>
      <c r="E3443" t="s">
        <v>3310</v>
      </c>
    </row>
    <row r="3444" spans="1:5" x14ac:dyDescent="0.25">
      <c r="A3444">
        <v>2091</v>
      </c>
      <c r="B3444" t="s">
        <v>1720</v>
      </c>
      <c r="C3444" t="s">
        <v>346</v>
      </c>
      <c r="D3444" t="str">
        <f t="shared" si="54"/>
        <v>FEAM3910</v>
      </c>
      <c r="E3444" t="s">
        <v>3264</v>
      </c>
    </row>
    <row r="3445" spans="1:5" x14ac:dyDescent="0.25">
      <c r="A3445">
        <v>2091</v>
      </c>
      <c r="B3445" t="s">
        <v>1720</v>
      </c>
      <c r="C3445" t="s">
        <v>356</v>
      </c>
      <c r="D3445" t="str">
        <f t="shared" si="54"/>
        <v>FEAM3911</v>
      </c>
      <c r="E3445" t="s">
        <v>3311</v>
      </c>
    </row>
    <row r="3446" spans="1:5" x14ac:dyDescent="0.25">
      <c r="A3446">
        <v>2091</v>
      </c>
      <c r="B3446" t="s">
        <v>1720</v>
      </c>
      <c r="C3446" t="s">
        <v>2991</v>
      </c>
      <c r="D3446" t="str">
        <f t="shared" si="54"/>
        <v>FEAM3912</v>
      </c>
      <c r="E3446" t="s">
        <v>2992</v>
      </c>
    </row>
    <row r="3447" spans="1:5" x14ac:dyDescent="0.25">
      <c r="A3447">
        <v>2091</v>
      </c>
      <c r="B3447" t="s">
        <v>1720</v>
      </c>
      <c r="C3447" t="s">
        <v>2994</v>
      </c>
      <c r="D3447" t="str">
        <f t="shared" si="54"/>
        <v>FEAM3913</v>
      </c>
      <c r="E3447" t="s">
        <v>2992</v>
      </c>
    </row>
    <row r="3448" spans="1:5" x14ac:dyDescent="0.25">
      <c r="A3448">
        <v>2091</v>
      </c>
      <c r="B3448" t="s">
        <v>1720</v>
      </c>
      <c r="C3448" t="s">
        <v>384</v>
      </c>
      <c r="D3448" t="str">
        <f t="shared" si="54"/>
        <v>FEAM3915</v>
      </c>
      <c r="E3448" t="s">
        <v>2992</v>
      </c>
    </row>
    <row r="3449" spans="1:5" x14ac:dyDescent="0.25">
      <c r="A3449">
        <v>2091</v>
      </c>
      <c r="B3449" t="s">
        <v>1720</v>
      </c>
      <c r="C3449" t="s">
        <v>2996</v>
      </c>
      <c r="D3449" t="str">
        <f t="shared" si="54"/>
        <v>FEAM3917</v>
      </c>
      <c r="E3449" t="s">
        <v>2958</v>
      </c>
    </row>
    <row r="3450" spans="1:5" x14ac:dyDescent="0.25">
      <c r="A3450">
        <v>2091</v>
      </c>
      <c r="B3450" t="s">
        <v>1720</v>
      </c>
      <c r="C3450" t="s">
        <v>2998</v>
      </c>
      <c r="D3450" t="str">
        <f t="shared" si="54"/>
        <v>FEAM3918</v>
      </c>
      <c r="E3450" t="s">
        <v>2958</v>
      </c>
    </row>
    <row r="3451" spans="1:5" x14ac:dyDescent="0.25">
      <c r="A3451">
        <v>2091</v>
      </c>
      <c r="B3451" t="s">
        <v>1720</v>
      </c>
      <c r="C3451" t="s">
        <v>3077</v>
      </c>
      <c r="D3451" t="str">
        <f t="shared" si="54"/>
        <v>FEAM3920</v>
      </c>
      <c r="E3451" t="s">
        <v>3107</v>
      </c>
    </row>
    <row r="3452" spans="1:5" x14ac:dyDescent="0.25">
      <c r="A3452">
        <v>2091</v>
      </c>
      <c r="B3452" t="s">
        <v>1720</v>
      </c>
      <c r="C3452" t="s">
        <v>3002</v>
      </c>
      <c r="D3452" t="str">
        <f t="shared" si="54"/>
        <v>FEAM3921</v>
      </c>
      <c r="E3452" t="s">
        <v>3001</v>
      </c>
    </row>
    <row r="3453" spans="1:5" x14ac:dyDescent="0.25">
      <c r="A3453">
        <v>2091</v>
      </c>
      <c r="B3453" t="s">
        <v>1720</v>
      </c>
      <c r="C3453" t="s">
        <v>3003</v>
      </c>
      <c r="D3453" t="str">
        <f t="shared" si="54"/>
        <v>FEAM3922</v>
      </c>
      <c r="E3453" t="s">
        <v>2954</v>
      </c>
    </row>
    <row r="3454" spans="1:5" x14ac:dyDescent="0.25">
      <c r="A3454">
        <v>2091</v>
      </c>
      <c r="B3454" t="s">
        <v>1720</v>
      </c>
      <c r="C3454" t="s">
        <v>566</v>
      </c>
      <c r="D3454" t="str">
        <f t="shared" si="54"/>
        <v>FEAM3924</v>
      </c>
      <c r="E3454" t="s">
        <v>3004</v>
      </c>
    </row>
    <row r="3455" spans="1:5" x14ac:dyDescent="0.25">
      <c r="A3455">
        <v>2091</v>
      </c>
      <c r="B3455" t="s">
        <v>1720</v>
      </c>
      <c r="C3455" t="s">
        <v>438</v>
      </c>
      <c r="D3455" t="str">
        <f t="shared" si="54"/>
        <v>FEAM3925</v>
      </c>
      <c r="E3455" t="s">
        <v>3312</v>
      </c>
    </row>
    <row r="3456" spans="1:5" x14ac:dyDescent="0.25">
      <c r="A3456">
        <v>2091</v>
      </c>
      <c r="B3456" t="s">
        <v>1720</v>
      </c>
      <c r="C3456" t="s">
        <v>443</v>
      </c>
      <c r="D3456" t="str">
        <f t="shared" si="54"/>
        <v>FEAM3926</v>
      </c>
      <c r="E3456" t="s">
        <v>3006</v>
      </c>
    </row>
    <row r="3457" spans="1:5" x14ac:dyDescent="0.25">
      <c r="A3457">
        <v>2091</v>
      </c>
      <c r="B3457" t="s">
        <v>1720</v>
      </c>
      <c r="C3457" t="s">
        <v>458</v>
      </c>
      <c r="D3457" t="str">
        <f t="shared" si="54"/>
        <v>FEAM3930</v>
      </c>
      <c r="E3457" t="s">
        <v>3006</v>
      </c>
    </row>
    <row r="3458" spans="1:5" x14ac:dyDescent="0.25">
      <c r="A3458">
        <v>2091</v>
      </c>
      <c r="B3458" t="s">
        <v>1720</v>
      </c>
      <c r="C3458" t="s">
        <v>1481</v>
      </c>
      <c r="D3458" t="str">
        <f t="shared" si="54"/>
        <v>FEAM3931</v>
      </c>
      <c r="E3458" t="s">
        <v>3265</v>
      </c>
    </row>
    <row r="3459" spans="1:5" x14ac:dyDescent="0.25">
      <c r="A3459">
        <v>2091</v>
      </c>
      <c r="B3459" t="s">
        <v>1720</v>
      </c>
      <c r="C3459" t="s">
        <v>3088</v>
      </c>
      <c r="D3459" t="str">
        <f t="shared" si="54"/>
        <v>FEAM3937</v>
      </c>
      <c r="E3459" t="s">
        <v>3107</v>
      </c>
    </row>
    <row r="3460" spans="1:5" x14ac:dyDescent="0.25">
      <c r="A3460">
        <v>2091</v>
      </c>
      <c r="B3460" t="s">
        <v>1720</v>
      </c>
      <c r="C3460" t="s">
        <v>3089</v>
      </c>
      <c r="D3460" t="str">
        <f t="shared" si="54"/>
        <v>FEAM3939</v>
      </c>
      <c r="E3460" t="s">
        <v>3266</v>
      </c>
    </row>
    <row r="3461" spans="1:5" x14ac:dyDescent="0.25">
      <c r="A3461">
        <v>2091</v>
      </c>
      <c r="B3461" t="s">
        <v>1720</v>
      </c>
      <c r="C3461" t="s">
        <v>3019</v>
      </c>
      <c r="D3461" t="str">
        <f t="shared" ref="D3461:D3524" si="55">CONCATENATE(B3461,LEFT(C3461,4))</f>
        <v>FEAM3940</v>
      </c>
      <c r="E3461" t="s">
        <v>3009</v>
      </c>
    </row>
    <row r="3462" spans="1:5" x14ac:dyDescent="0.25">
      <c r="A3462">
        <v>2091</v>
      </c>
      <c r="B3462" t="s">
        <v>1720</v>
      </c>
      <c r="C3462" t="s">
        <v>480</v>
      </c>
      <c r="D3462" t="str">
        <f t="shared" si="55"/>
        <v>FEAM3941</v>
      </c>
      <c r="E3462" t="s">
        <v>3267</v>
      </c>
    </row>
    <row r="3463" spans="1:5" x14ac:dyDescent="0.25">
      <c r="A3463">
        <v>2091</v>
      </c>
      <c r="B3463" t="s">
        <v>1720</v>
      </c>
      <c r="C3463" t="s">
        <v>482</v>
      </c>
      <c r="D3463" t="str">
        <f t="shared" si="55"/>
        <v>FEAM3942</v>
      </c>
      <c r="E3463" t="s">
        <v>3313</v>
      </c>
    </row>
    <row r="3464" spans="1:5" x14ac:dyDescent="0.25">
      <c r="A3464">
        <v>2091</v>
      </c>
      <c r="B3464" t="s">
        <v>1720</v>
      </c>
      <c r="C3464" t="s">
        <v>3020</v>
      </c>
      <c r="D3464" t="str">
        <f t="shared" si="55"/>
        <v>FEAM3943</v>
      </c>
      <c r="E3464" t="s">
        <v>2958</v>
      </c>
    </row>
    <row r="3465" spans="1:5" x14ac:dyDescent="0.25">
      <c r="A3465">
        <v>2091</v>
      </c>
      <c r="B3465" t="s">
        <v>1720</v>
      </c>
      <c r="C3465" t="s">
        <v>488</v>
      </c>
      <c r="D3465" t="str">
        <f t="shared" si="55"/>
        <v>FEAM3946</v>
      </c>
      <c r="E3465" t="s">
        <v>3235</v>
      </c>
    </row>
    <row r="3466" spans="1:5" x14ac:dyDescent="0.25">
      <c r="A3466">
        <v>2091</v>
      </c>
      <c r="B3466" t="s">
        <v>1720</v>
      </c>
      <c r="C3466" t="s">
        <v>492</v>
      </c>
      <c r="D3466" t="str">
        <f t="shared" si="55"/>
        <v>FEAM3948</v>
      </c>
      <c r="E3466" t="s">
        <v>3004</v>
      </c>
    </row>
    <row r="3467" spans="1:5" x14ac:dyDescent="0.25">
      <c r="A3467">
        <v>2091</v>
      </c>
      <c r="B3467" t="s">
        <v>1720</v>
      </c>
      <c r="C3467" t="s">
        <v>3098</v>
      </c>
      <c r="D3467" t="str">
        <f t="shared" si="55"/>
        <v>FEAM3952</v>
      </c>
      <c r="E3467" t="s">
        <v>65</v>
      </c>
    </row>
    <row r="3468" spans="1:5" x14ac:dyDescent="0.25">
      <c r="A3468">
        <v>2091</v>
      </c>
      <c r="B3468" t="s">
        <v>1720</v>
      </c>
      <c r="C3468" t="s">
        <v>501</v>
      </c>
      <c r="D3468" t="str">
        <f t="shared" si="55"/>
        <v>FEAM3958</v>
      </c>
      <c r="E3468" t="s">
        <v>3314</v>
      </c>
    </row>
    <row r="3469" spans="1:5" x14ac:dyDescent="0.25">
      <c r="A3469">
        <v>2091</v>
      </c>
      <c r="B3469" t="s">
        <v>1720</v>
      </c>
      <c r="C3469" t="s">
        <v>3027</v>
      </c>
      <c r="D3469" t="str">
        <f t="shared" si="55"/>
        <v>FEAM3961</v>
      </c>
      <c r="E3469" t="s">
        <v>2981</v>
      </c>
    </row>
    <row r="3470" spans="1:5" x14ac:dyDescent="0.25">
      <c r="A3470">
        <v>2091</v>
      </c>
      <c r="B3470" t="s">
        <v>1720</v>
      </c>
      <c r="C3470" t="s">
        <v>3103</v>
      </c>
      <c r="D3470" t="str">
        <f t="shared" si="55"/>
        <v>FEAM3962</v>
      </c>
      <c r="E3470" t="s">
        <v>3033</v>
      </c>
    </row>
    <row r="3471" spans="1:5" x14ac:dyDescent="0.25">
      <c r="A3471">
        <v>2091</v>
      </c>
      <c r="B3471" t="s">
        <v>1720</v>
      </c>
      <c r="C3471" t="s">
        <v>1154</v>
      </c>
      <c r="D3471" t="str">
        <f t="shared" si="55"/>
        <v>FEAM3969</v>
      </c>
      <c r="E3471" t="s">
        <v>2992</v>
      </c>
    </row>
    <row r="3472" spans="1:5" x14ac:dyDescent="0.25">
      <c r="A3472">
        <v>2091</v>
      </c>
      <c r="B3472" t="s">
        <v>1720</v>
      </c>
      <c r="C3472" t="s">
        <v>3031</v>
      </c>
      <c r="D3472" t="str">
        <f t="shared" si="55"/>
        <v>FEAM3970</v>
      </c>
      <c r="E3472" t="s">
        <v>3009</v>
      </c>
    </row>
    <row r="3473" spans="1:5" x14ac:dyDescent="0.25">
      <c r="A3473">
        <v>2091</v>
      </c>
      <c r="B3473" t="s">
        <v>1720</v>
      </c>
      <c r="C3473" t="s">
        <v>513</v>
      </c>
      <c r="D3473" t="str">
        <f t="shared" si="55"/>
        <v>FEAM3971</v>
      </c>
      <c r="E3473" t="s">
        <v>3033</v>
      </c>
    </row>
    <row r="3474" spans="1:5" x14ac:dyDescent="0.25">
      <c r="A3474">
        <v>2091</v>
      </c>
      <c r="B3474" t="s">
        <v>1720</v>
      </c>
      <c r="C3474" t="s">
        <v>520</v>
      </c>
      <c r="D3474" t="str">
        <f t="shared" si="55"/>
        <v>FEAM3978</v>
      </c>
      <c r="E3474" t="s">
        <v>2981</v>
      </c>
    </row>
    <row r="3475" spans="1:5" x14ac:dyDescent="0.25">
      <c r="A3475">
        <v>2091</v>
      </c>
      <c r="B3475" t="s">
        <v>1720</v>
      </c>
      <c r="C3475" t="s">
        <v>3216</v>
      </c>
      <c r="D3475" t="str">
        <f t="shared" si="55"/>
        <v>FEAM3980</v>
      </c>
      <c r="E3475" t="s">
        <v>3081</v>
      </c>
    </row>
    <row r="3476" spans="1:5" x14ac:dyDescent="0.25">
      <c r="A3476">
        <v>2091</v>
      </c>
      <c r="B3476" t="s">
        <v>1720</v>
      </c>
      <c r="C3476" t="s">
        <v>3036</v>
      </c>
      <c r="D3476" t="str">
        <f t="shared" si="55"/>
        <v>FEAM3987</v>
      </c>
      <c r="E3476" t="s">
        <v>2958</v>
      </c>
    </row>
    <row r="3477" spans="1:5" x14ac:dyDescent="0.25">
      <c r="A3477">
        <v>2091</v>
      </c>
      <c r="B3477" t="s">
        <v>1720</v>
      </c>
      <c r="C3477" t="s">
        <v>3040</v>
      </c>
      <c r="D3477" t="str">
        <f t="shared" si="55"/>
        <v>FEAM3999</v>
      </c>
      <c r="E3477" t="s">
        <v>3275</v>
      </c>
    </row>
    <row r="3478" spans="1:5" x14ac:dyDescent="0.25">
      <c r="A3478">
        <v>2091</v>
      </c>
      <c r="B3478" t="s">
        <v>1720</v>
      </c>
      <c r="C3478" t="s">
        <v>3041</v>
      </c>
      <c r="D3478" t="str">
        <f t="shared" si="55"/>
        <v>FEAM4002</v>
      </c>
      <c r="E3478" t="s">
        <v>3009</v>
      </c>
    </row>
    <row r="3479" spans="1:5" x14ac:dyDescent="0.25">
      <c r="A3479">
        <v>2091</v>
      </c>
      <c r="B3479" t="s">
        <v>1720</v>
      </c>
      <c r="C3479" t="s">
        <v>3043</v>
      </c>
      <c r="D3479" t="str">
        <f t="shared" si="55"/>
        <v>FEAM4003</v>
      </c>
      <c r="E3479" t="s">
        <v>94</v>
      </c>
    </row>
    <row r="3480" spans="1:5" x14ac:dyDescent="0.25">
      <c r="A3480">
        <v>2091</v>
      </c>
      <c r="B3480" t="s">
        <v>1720</v>
      </c>
      <c r="C3480" t="s">
        <v>3045</v>
      </c>
      <c r="D3480" t="str">
        <f t="shared" si="55"/>
        <v>FEAM4004</v>
      </c>
      <c r="E3480" t="s">
        <v>3009</v>
      </c>
    </row>
    <row r="3481" spans="1:5" x14ac:dyDescent="0.25">
      <c r="A3481">
        <v>2091</v>
      </c>
      <c r="B3481" t="s">
        <v>1720</v>
      </c>
      <c r="C3481" t="s">
        <v>3047</v>
      </c>
      <c r="D3481" t="str">
        <f t="shared" si="55"/>
        <v>FEAM4005</v>
      </c>
      <c r="E3481" t="s">
        <v>3009</v>
      </c>
    </row>
    <row r="3482" spans="1:5" x14ac:dyDescent="0.25">
      <c r="A3482">
        <v>2091</v>
      </c>
      <c r="B3482" t="s">
        <v>1720</v>
      </c>
      <c r="C3482" t="s">
        <v>813</v>
      </c>
      <c r="D3482" t="str">
        <f t="shared" si="55"/>
        <v>FEAM4006</v>
      </c>
      <c r="E3482" t="s">
        <v>3057</v>
      </c>
    </row>
    <row r="3483" spans="1:5" x14ac:dyDescent="0.25">
      <c r="A3483">
        <v>2091</v>
      </c>
      <c r="B3483" t="s">
        <v>1720</v>
      </c>
      <c r="C3483" t="s">
        <v>3128</v>
      </c>
      <c r="D3483" t="str">
        <f t="shared" si="55"/>
        <v>FEAM4301</v>
      </c>
      <c r="E3483" t="s">
        <v>3239</v>
      </c>
    </row>
    <row r="3484" spans="1:5" x14ac:dyDescent="0.25">
      <c r="A3484">
        <v>2091</v>
      </c>
      <c r="B3484" t="s">
        <v>1720</v>
      </c>
      <c r="C3484" t="s">
        <v>3048</v>
      </c>
      <c r="D3484" t="str">
        <f t="shared" si="55"/>
        <v>FEAM4701</v>
      </c>
      <c r="E3484" t="s">
        <v>3049</v>
      </c>
    </row>
    <row r="3485" spans="1:5" x14ac:dyDescent="0.25">
      <c r="A3485">
        <v>2091</v>
      </c>
      <c r="B3485" t="s">
        <v>1720</v>
      </c>
      <c r="C3485" t="s">
        <v>265</v>
      </c>
      <c r="D3485" t="str">
        <f t="shared" si="55"/>
        <v>FEAM4703</v>
      </c>
      <c r="E3485" t="s">
        <v>3049</v>
      </c>
    </row>
    <row r="3486" spans="1:5" x14ac:dyDescent="0.25">
      <c r="A3486">
        <v>2091</v>
      </c>
      <c r="B3486" t="s">
        <v>1720</v>
      </c>
      <c r="C3486" t="s">
        <v>316</v>
      </c>
      <c r="D3486" t="str">
        <f t="shared" si="55"/>
        <v>FEAM4706</v>
      </c>
      <c r="E3486" t="s">
        <v>3049</v>
      </c>
    </row>
    <row r="3487" spans="1:5" x14ac:dyDescent="0.25">
      <c r="A3487">
        <v>2091</v>
      </c>
      <c r="B3487" t="s">
        <v>1720</v>
      </c>
      <c r="C3487" t="s">
        <v>328</v>
      </c>
      <c r="D3487" t="str">
        <f t="shared" si="55"/>
        <v>FEAM4707</v>
      </c>
      <c r="E3487" t="s">
        <v>3049</v>
      </c>
    </row>
    <row r="3488" spans="1:5" x14ac:dyDescent="0.25">
      <c r="A3488">
        <v>2091</v>
      </c>
      <c r="B3488" t="s">
        <v>1720</v>
      </c>
      <c r="C3488" t="s">
        <v>364</v>
      </c>
      <c r="D3488" t="str">
        <f t="shared" si="55"/>
        <v>FEAM4799</v>
      </c>
      <c r="E3488" t="s">
        <v>3049</v>
      </c>
    </row>
    <row r="3489" spans="1:5" x14ac:dyDescent="0.25">
      <c r="A3489">
        <v>2091</v>
      </c>
      <c r="B3489" t="s">
        <v>1720</v>
      </c>
      <c r="C3489" t="s">
        <v>173</v>
      </c>
      <c r="D3489" t="str">
        <f t="shared" si="55"/>
        <v>FEAM5107</v>
      </c>
      <c r="E3489" t="s">
        <v>3052</v>
      </c>
    </row>
    <row r="3490" spans="1:5" x14ac:dyDescent="0.25">
      <c r="A3490">
        <v>2091</v>
      </c>
      <c r="B3490" t="s">
        <v>1720</v>
      </c>
      <c r="C3490" t="s">
        <v>242</v>
      </c>
      <c r="D3490" t="str">
        <f t="shared" si="55"/>
        <v>FEAM5201</v>
      </c>
      <c r="E3490" t="s">
        <v>2965</v>
      </c>
    </row>
    <row r="3491" spans="1:5" x14ac:dyDescent="0.25">
      <c r="A3491">
        <v>2091</v>
      </c>
      <c r="B3491" t="s">
        <v>1720</v>
      </c>
      <c r="C3491" t="s">
        <v>329</v>
      </c>
      <c r="D3491" t="str">
        <f t="shared" si="55"/>
        <v>FEAM5206</v>
      </c>
      <c r="E3491" t="s">
        <v>3057</v>
      </c>
    </row>
    <row r="3492" spans="1:5" x14ac:dyDescent="0.25">
      <c r="A3492">
        <v>2091</v>
      </c>
      <c r="B3492" t="s">
        <v>1720</v>
      </c>
      <c r="C3492" t="s">
        <v>3058</v>
      </c>
      <c r="D3492" t="str">
        <f t="shared" si="55"/>
        <v>FEAM5207</v>
      </c>
      <c r="E3492" t="s">
        <v>3057</v>
      </c>
    </row>
    <row r="3493" spans="1:5" x14ac:dyDescent="0.25">
      <c r="A3493">
        <v>2091</v>
      </c>
      <c r="B3493" t="s">
        <v>1720</v>
      </c>
      <c r="C3493" t="s">
        <v>3060</v>
      </c>
      <c r="D3493" t="str">
        <f t="shared" si="55"/>
        <v>FEAM5208</v>
      </c>
      <c r="E3493" t="s">
        <v>3057</v>
      </c>
    </row>
    <row r="3494" spans="1:5" x14ac:dyDescent="0.25">
      <c r="A3494">
        <v>2091</v>
      </c>
      <c r="B3494" t="s">
        <v>1720</v>
      </c>
      <c r="C3494" t="s">
        <v>359</v>
      </c>
      <c r="D3494" t="str">
        <f t="shared" si="55"/>
        <v>FEAM5209</v>
      </c>
      <c r="E3494" t="s">
        <v>3055</v>
      </c>
    </row>
    <row r="3495" spans="1:5" x14ac:dyDescent="0.25">
      <c r="A3495">
        <v>2091</v>
      </c>
      <c r="B3495" t="s">
        <v>1720</v>
      </c>
      <c r="C3495" t="s">
        <v>3063</v>
      </c>
      <c r="D3495" t="str">
        <f t="shared" si="55"/>
        <v>FEAM5210</v>
      </c>
      <c r="E3495" t="s">
        <v>3055</v>
      </c>
    </row>
    <row r="3496" spans="1:5" x14ac:dyDescent="0.25">
      <c r="A3496">
        <v>2091</v>
      </c>
      <c r="B3496" t="s">
        <v>1720</v>
      </c>
      <c r="C3496" t="s">
        <v>3155</v>
      </c>
      <c r="D3496" t="str">
        <f t="shared" si="55"/>
        <v>FEAM5211</v>
      </c>
      <c r="E3496" t="s">
        <v>2944</v>
      </c>
    </row>
    <row r="3497" spans="1:5" x14ac:dyDescent="0.25">
      <c r="A3497">
        <v>2091</v>
      </c>
      <c r="B3497" t="s">
        <v>1720</v>
      </c>
      <c r="C3497" t="s">
        <v>391</v>
      </c>
      <c r="D3497" t="str">
        <f t="shared" si="55"/>
        <v>FEAM5214</v>
      </c>
      <c r="E3497" t="s">
        <v>3055</v>
      </c>
    </row>
    <row r="3498" spans="1:5" x14ac:dyDescent="0.25">
      <c r="A3498">
        <v>2091</v>
      </c>
      <c r="B3498" t="s">
        <v>1720</v>
      </c>
      <c r="C3498" t="s">
        <v>409</v>
      </c>
      <c r="D3498" t="str">
        <f t="shared" si="55"/>
        <v>FEAM5217</v>
      </c>
      <c r="E3498" t="s">
        <v>3067</v>
      </c>
    </row>
    <row r="3499" spans="1:5" x14ac:dyDescent="0.25">
      <c r="A3499">
        <v>2091</v>
      </c>
      <c r="B3499" t="s">
        <v>1720</v>
      </c>
      <c r="C3499" t="s">
        <v>3070</v>
      </c>
      <c r="D3499" t="str">
        <f t="shared" si="55"/>
        <v>FEAM5226</v>
      </c>
      <c r="E3499" t="s">
        <v>3055</v>
      </c>
    </row>
    <row r="3500" spans="1:5" x14ac:dyDescent="0.25">
      <c r="A3500">
        <v>2091</v>
      </c>
      <c r="B3500" t="s">
        <v>1720</v>
      </c>
      <c r="C3500" t="s">
        <v>3074</v>
      </c>
      <c r="D3500" t="str">
        <f t="shared" si="55"/>
        <v>FEAM9202</v>
      </c>
      <c r="E3500" t="s">
        <v>3075</v>
      </c>
    </row>
    <row r="3501" spans="1:5" x14ac:dyDescent="0.25">
      <c r="A3501">
        <v>2091</v>
      </c>
      <c r="B3501" t="s">
        <v>1720</v>
      </c>
      <c r="C3501" t="s">
        <v>3079</v>
      </c>
      <c r="D3501" t="str">
        <f t="shared" si="55"/>
        <v>FEAM9399</v>
      </c>
      <c r="E3501" t="s">
        <v>3277</v>
      </c>
    </row>
    <row r="3502" spans="1:5" x14ac:dyDescent="0.25">
      <c r="A3502">
        <v>2091</v>
      </c>
      <c r="B3502" t="s">
        <v>1720</v>
      </c>
      <c r="C3502" t="s">
        <v>3298</v>
      </c>
      <c r="D3502" t="str">
        <f t="shared" si="55"/>
        <v>FEAM9701</v>
      </c>
      <c r="E3502" t="s">
        <v>3315</v>
      </c>
    </row>
    <row r="3503" spans="1:5" x14ac:dyDescent="0.25">
      <c r="A3503">
        <v>2101</v>
      </c>
      <c r="B3503" t="s">
        <v>1736</v>
      </c>
      <c r="C3503" t="s">
        <v>2925</v>
      </c>
      <c r="D3503" t="str">
        <f t="shared" si="55"/>
        <v>IEF0810</v>
      </c>
      <c r="E3503" t="s">
        <v>2926</v>
      </c>
    </row>
    <row r="3504" spans="1:5" x14ac:dyDescent="0.25">
      <c r="A3504">
        <v>2101</v>
      </c>
      <c r="B3504" t="s">
        <v>1736</v>
      </c>
      <c r="C3504" t="s">
        <v>253</v>
      </c>
      <c r="D3504" t="str">
        <f t="shared" si="55"/>
        <v>IEF1305</v>
      </c>
      <c r="E3504" t="s">
        <v>3081</v>
      </c>
    </row>
    <row r="3505" spans="1:5" x14ac:dyDescent="0.25">
      <c r="A3505">
        <v>2101</v>
      </c>
      <c r="B3505" t="s">
        <v>1736</v>
      </c>
      <c r="C3505" t="s">
        <v>3229</v>
      </c>
      <c r="D3505" t="str">
        <f t="shared" si="55"/>
        <v>IEF1307</v>
      </c>
      <c r="E3505" t="s">
        <v>3081</v>
      </c>
    </row>
    <row r="3506" spans="1:5" x14ac:dyDescent="0.25">
      <c r="A3506">
        <v>2101</v>
      </c>
      <c r="B3506" t="s">
        <v>1736</v>
      </c>
      <c r="C3506" t="s">
        <v>332</v>
      </c>
      <c r="D3506" t="str">
        <f t="shared" si="55"/>
        <v>IEF1314</v>
      </c>
      <c r="E3506" t="s">
        <v>3081</v>
      </c>
    </row>
    <row r="3507" spans="1:5" x14ac:dyDescent="0.25">
      <c r="A3507">
        <v>2101</v>
      </c>
      <c r="B3507" t="s">
        <v>1736</v>
      </c>
      <c r="C3507" t="s">
        <v>2942</v>
      </c>
      <c r="D3507" t="str">
        <f t="shared" si="55"/>
        <v>IEF1317</v>
      </c>
      <c r="E3507" t="s">
        <v>3081</v>
      </c>
    </row>
    <row r="3508" spans="1:5" x14ac:dyDescent="0.25">
      <c r="A3508">
        <v>2101</v>
      </c>
      <c r="B3508" t="s">
        <v>1736</v>
      </c>
      <c r="C3508" t="s">
        <v>3282</v>
      </c>
      <c r="D3508" t="str">
        <f t="shared" si="55"/>
        <v>IEF1323</v>
      </c>
      <c r="E3508" t="s">
        <v>2944</v>
      </c>
    </row>
    <row r="3509" spans="1:5" x14ac:dyDescent="0.25">
      <c r="A3509">
        <v>2101</v>
      </c>
      <c r="B3509" t="s">
        <v>1736</v>
      </c>
      <c r="C3509" t="s">
        <v>2928</v>
      </c>
      <c r="D3509" t="str">
        <f t="shared" si="55"/>
        <v>IEF1401</v>
      </c>
      <c r="E3509" t="s">
        <v>44</v>
      </c>
    </row>
    <row r="3510" spans="1:5" x14ac:dyDescent="0.25">
      <c r="A3510">
        <v>2101</v>
      </c>
      <c r="B3510" t="s">
        <v>1736</v>
      </c>
      <c r="C3510" t="s">
        <v>2930</v>
      </c>
      <c r="D3510" t="str">
        <f t="shared" si="55"/>
        <v>IEF1501</v>
      </c>
      <c r="E3510" t="s">
        <v>44</v>
      </c>
    </row>
    <row r="3511" spans="1:5" x14ac:dyDescent="0.25">
      <c r="A3511">
        <v>2101</v>
      </c>
      <c r="B3511" t="s">
        <v>1736</v>
      </c>
      <c r="C3511" t="s">
        <v>2932</v>
      </c>
      <c r="D3511" t="str">
        <f t="shared" si="55"/>
        <v>IEF3001</v>
      </c>
      <c r="E3511" t="s">
        <v>2933</v>
      </c>
    </row>
    <row r="3512" spans="1:5" x14ac:dyDescent="0.25">
      <c r="A3512">
        <v>2101</v>
      </c>
      <c r="B3512" t="s">
        <v>1736</v>
      </c>
      <c r="C3512" t="s">
        <v>256</v>
      </c>
      <c r="D3512" t="str">
        <f t="shared" si="55"/>
        <v>IEF3002</v>
      </c>
      <c r="E3512" t="s">
        <v>2933</v>
      </c>
    </row>
    <row r="3513" spans="1:5" x14ac:dyDescent="0.25">
      <c r="A3513">
        <v>2101</v>
      </c>
      <c r="B3513" t="s">
        <v>1736</v>
      </c>
      <c r="C3513" t="s">
        <v>979</v>
      </c>
      <c r="D3513" t="str">
        <f t="shared" si="55"/>
        <v>IEF3003</v>
      </c>
      <c r="E3513" t="s">
        <v>2933</v>
      </c>
    </row>
    <row r="3514" spans="1:5" x14ac:dyDescent="0.25">
      <c r="A3514">
        <v>2101</v>
      </c>
      <c r="B3514" t="s">
        <v>1736</v>
      </c>
      <c r="C3514" t="s">
        <v>2937</v>
      </c>
      <c r="D3514" t="str">
        <f t="shared" si="55"/>
        <v>IEF3004</v>
      </c>
      <c r="E3514" t="s">
        <v>2933</v>
      </c>
    </row>
    <row r="3515" spans="1:5" x14ac:dyDescent="0.25">
      <c r="A3515">
        <v>2101</v>
      </c>
      <c r="B3515" t="s">
        <v>1736</v>
      </c>
      <c r="C3515" t="s">
        <v>2939</v>
      </c>
      <c r="D3515" t="str">
        <f t="shared" si="55"/>
        <v>IEF3005</v>
      </c>
      <c r="E3515" t="s">
        <v>2933</v>
      </c>
    </row>
    <row r="3516" spans="1:5" x14ac:dyDescent="0.25">
      <c r="A3516">
        <v>2101</v>
      </c>
      <c r="B3516" t="s">
        <v>1736</v>
      </c>
      <c r="C3516" t="s">
        <v>333</v>
      </c>
      <c r="D3516" t="str">
        <f t="shared" si="55"/>
        <v>IEF3007</v>
      </c>
      <c r="E3516" t="s">
        <v>2933</v>
      </c>
    </row>
    <row r="3517" spans="1:5" x14ac:dyDescent="0.25">
      <c r="A3517">
        <v>2101</v>
      </c>
      <c r="B3517" t="s">
        <v>1736</v>
      </c>
      <c r="C3517" t="s">
        <v>2941</v>
      </c>
      <c r="D3517" t="str">
        <f t="shared" si="55"/>
        <v>IEF3008</v>
      </c>
      <c r="E3517" t="s">
        <v>2933</v>
      </c>
    </row>
    <row r="3518" spans="1:5" x14ac:dyDescent="0.25">
      <c r="A3518">
        <v>2101</v>
      </c>
      <c r="B3518" t="s">
        <v>1736</v>
      </c>
      <c r="C3518" t="s">
        <v>354</v>
      </c>
      <c r="D3518" t="str">
        <f t="shared" si="55"/>
        <v>IEF3009</v>
      </c>
      <c r="E3518" t="s">
        <v>2933</v>
      </c>
    </row>
    <row r="3519" spans="1:5" x14ac:dyDescent="0.25">
      <c r="A3519">
        <v>2101</v>
      </c>
      <c r="B3519" t="s">
        <v>1736</v>
      </c>
      <c r="C3519" t="s">
        <v>2943</v>
      </c>
      <c r="D3519" t="str">
        <f t="shared" si="55"/>
        <v>IEF3010</v>
      </c>
      <c r="E3519" t="s">
        <v>2944</v>
      </c>
    </row>
    <row r="3520" spans="1:5" x14ac:dyDescent="0.25">
      <c r="A3520">
        <v>2101</v>
      </c>
      <c r="B3520" t="s">
        <v>1736</v>
      </c>
      <c r="C3520" t="s">
        <v>369</v>
      </c>
      <c r="D3520" t="str">
        <f t="shared" si="55"/>
        <v>IEF3011</v>
      </c>
      <c r="E3520" t="s">
        <v>2933</v>
      </c>
    </row>
    <row r="3521" spans="1:5" x14ac:dyDescent="0.25">
      <c r="A3521">
        <v>2101</v>
      </c>
      <c r="B3521" t="s">
        <v>1736</v>
      </c>
      <c r="C3521" t="s">
        <v>138</v>
      </c>
      <c r="D3521" t="str">
        <f t="shared" si="55"/>
        <v>IEF3012</v>
      </c>
      <c r="E3521" t="s">
        <v>2944</v>
      </c>
    </row>
    <row r="3522" spans="1:5" x14ac:dyDescent="0.25">
      <c r="A3522">
        <v>2101</v>
      </c>
      <c r="B3522" t="s">
        <v>1736</v>
      </c>
      <c r="C3522" t="s">
        <v>2946</v>
      </c>
      <c r="D3522" t="str">
        <f t="shared" si="55"/>
        <v>IEF3013</v>
      </c>
      <c r="E3522" t="s">
        <v>2933</v>
      </c>
    </row>
    <row r="3523" spans="1:5" x14ac:dyDescent="0.25">
      <c r="A3523">
        <v>2101</v>
      </c>
      <c r="B3523" t="s">
        <v>1736</v>
      </c>
      <c r="C3523" t="s">
        <v>2948</v>
      </c>
      <c r="D3523" t="str">
        <f t="shared" si="55"/>
        <v>IEF3015</v>
      </c>
      <c r="E3523" t="s">
        <v>2933</v>
      </c>
    </row>
    <row r="3524" spans="1:5" x14ac:dyDescent="0.25">
      <c r="A3524">
        <v>2101</v>
      </c>
      <c r="B3524" t="s">
        <v>1736</v>
      </c>
      <c r="C3524" t="s">
        <v>2950</v>
      </c>
      <c r="D3524" t="str">
        <f t="shared" si="55"/>
        <v>IEF3016</v>
      </c>
      <c r="E3524" t="s">
        <v>2933</v>
      </c>
    </row>
    <row r="3525" spans="1:5" x14ac:dyDescent="0.25">
      <c r="A3525">
        <v>2101</v>
      </c>
      <c r="B3525" t="s">
        <v>1736</v>
      </c>
      <c r="C3525" t="s">
        <v>406</v>
      </c>
      <c r="D3525" t="str">
        <f t="shared" ref="D3525:D3588" si="56">CONCATENATE(B3525,LEFT(C3525,4))</f>
        <v>IEF3017</v>
      </c>
      <c r="E3525" t="s">
        <v>2933</v>
      </c>
    </row>
    <row r="3526" spans="1:5" x14ac:dyDescent="0.25">
      <c r="A3526">
        <v>2101</v>
      </c>
      <c r="B3526" t="s">
        <v>1736</v>
      </c>
      <c r="C3526" t="s">
        <v>2953</v>
      </c>
      <c r="D3526" t="str">
        <f t="shared" si="56"/>
        <v>IEF3019</v>
      </c>
      <c r="E3526" t="s">
        <v>2954</v>
      </c>
    </row>
    <row r="3527" spans="1:5" x14ac:dyDescent="0.25">
      <c r="A3527">
        <v>2101</v>
      </c>
      <c r="B3527" t="s">
        <v>1736</v>
      </c>
      <c r="C3527" t="s">
        <v>2955</v>
      </c>
      <c r="D3527" t="str">
        <f t="shared" si="56"/>
        <v>IEF3020</v>
      </c>
      <c r="E3527" t="s">
        <v>2933</v>
      </c>
    </row>
    <row r="3528" spans="1:5" x14ac:dyDescent="0.25">
      <c r="A3528">
        <v>2101</v>
      </c>
      <c r="B3528" t="s">
        <v>1736</v>
      </c>
      <c r="C3528" t="s">
        <v>2956</v>
      </c>
      <c r="D3528" t="str">
        <f t="shared" si="56"/>
        <v>IEF3021</v>
      </c>
      <c r="E3528" t="s">
        <v>2933</v>
      </c>
    </row>
    <row r="3529" spans="1:5" x14ac:dyDescent="0.25">
      <c r="A3529">
        <v>2101</v>
      </c>
      <c r="B3529" t="s">
        <v>1736</v>
      </c>
      <c r="C3529" t="s">
        <v>431</v>
      </c>
      <c r="D3529" t="str">
        <f t="shared" si="56"/>
        <v>IEF3022</v>
      </c>
      <c r="E3529" t="s">
        <v>2933</v>
      </c>
    </row>
    <row r="3530" spans="1:5" x14ac:dyDescent="0.25">
      <c r="A3530">
        <v>2101</v>
      </c>
      <c r="B3530" t="s">
        <v>1736</v>
      </c>
      <c r="C3530" t="s">
        <v>2957</v>
      </c>
      <c r="D3530" t="str">
        <f t="shared" si="56"/>
        <v>IEF3023</v>
      </c>
      <c r="E3530" t="s">
        <v>2958</v>
      </c>
    </row>
    <row r="3531" spans="1:5" x14ac:dyDescent="0.25">
      <c r="A3531">
        <v>2101</v>
      </c>
      <c r="B3531" t="s">
        <v>1736</v>
      </c>
      <c r="C3531" t="s">
        <v>441</v>
      </c>
      <c r="D3531" t="str">
        <f t="shared" si="56"/>
        <v>IEF3024</v>
      </c>
      <c r="E3531" t="s">
        <v>2933</v>
      </c>
    </row>
    <row r="3532" spans="1:5" x14ac:dyDescent="0.25">
      <c r="A3532">
        <v>2101</v>
      </c>
      <c r="B3532" t="s">
        <v>1736</v>
      </c>
      <c r="C3532" t="s">
        <v>2959</v>
      </c>
      <c r="D3532" t="str">
        <f t="shared" si="56"/>
        <v>IEF3025</v>
      </c>
      <c r="E3532" t="s">
        <v>2933</v>
      </c>
    </row>
    <row r="3533" spans="1:5" x14ac:dyDescent="0.25">
      <c r="A3533">
        <v>2101</v>
      </c>
      <c r="B3533" t="s">
        <v>1736</v>
      </c>
      <c r="C3533" t="s">
        <v>2960</v>
      </c>
      <c r="D3533" t="str">
        <f t="shared" si="56"/>
        <v>IEF3026</v>
      </c>
      <c r="E3533" t="s">
        <v>2958</v>
      </c>
    </row>
    <row r="3534" spans="1:5" x14ac:dyDescent="0.25">
      <c r="A3534">
        <v>2101</v>
      </c>
      <c r="B3534" t="s">
        <v>1736</v>
      </c>
      <c r="C3534" t="s">
        <v>2961</v>
      </c>
      <c r="D3534" t="str">
        <f t="shared" si="56"/>
        <v>IEF3027</v>
      </c>
      <c r="E3534" t="s">
        <v>2933</v>
      </c>
    </row>
    <row r="3535" spans="1:5" x14ac:dyDescent="0.25">
      <c r="A3535">
        <v>2101</v>
      </c>
      <c r="B3535" t="s">
        <v>1736</v>
      </c>
      <c r="C3535" t="s">
        <v>2984</v>
      </c>
      <c r="D3535" t="str">
        <f t="shared" si="56"/>
        <v>IEF3029</v>
      </c>
      <c r="E3535" t="s">
        <v>2933</v>
      </c>
    </row>
    <row r="3536" spans="1:5" x14ac:dyDescent="0.25">
      <c r="A3536">
        <v>2101</v>
      </c>
      <c r="B3536" t="s">
        <v>1736</v>
      </c>
      <c r="C3536" t="s">
        <v>467</v>
      </c>
      <c r="D3536" t="str">
        <f t="shared" si="56"/>
        <v>IEF3030</v>
      </c>
      <c r="E3536" t="s">
        <v>2933</v>
      </c>
    </row>
    <row r="3537" spans="1:5" x14ac:dyDescent="0.25">
      <c r="A3537">
        <v>2101</v>
      </c>
      <c r="B3537" t="s">
        <v>1736</v>
      </c>
      <c r="C3537" t="s">
        <v>2964</v>
      </c>
      <c r="D3537" t="str">
        <f t="shared" si="56"/>
        <v>IEF3033</v>
      </c>
      <c r="E3537" t="s">
        <v>2965</v>
      </c>
    </row>
    <row r="3538" spans="1:5" x14ac:dyDescent="0.25">
      <c r="A3538">
        <v>2101</v>
      </c>
      <c r="B3538" t="s">
        <v>1736</v>
      </c>
      <c r="C3538" t="s">
        <v>477</v>
      </c>
      <c r="D3538" t="str">
        <f t="shared" si="56"/>
        <v>IEF3034</v>
      </c>
      <c r="E3538" t="s">
        <v>2965</v>
      </c>
    </row>
    <row r="3539" spans="1:5" x14ac:dyDescent="0.25">
      <c r="A3539">
        <v>2101</v>
      </c>
      <c r="B3539" t="s">
        <v>1736</v>
      </c>
      <c r="C3539" t="s">
        <v>487</v>
      </c>
      <c r="D3539" t="str">
        <f t="shared" si="56"/>
        <v>IEF3040</v>
      </c>
      <c r="E3539" t="s">
        <v>2933</v>
      </c>
    </row>
    <row r="3540" spans="1:5" x14ac:dyDescent="0.25">
      <c r="A3540">
        <v>2101</v>
      </c>
      <c r="B3540" t="s">
        <v>1736</v>
      </c>
      <c r="C3540" t="s">
        <v>2993</v>
      </c>
      <c r="D3540" t="str">
        <f t="shared" si="56"/>
        <v>IEF3041</v>
      </c>
      <c r="E3540" t="s">
        <v>3316</v>
      </c>
    </row>
    <row r="3541" spans="1:5" x14ac:dyDescent="0.25">
      <c r="A3541">
        <v>2101</v>
      </c>
      <c r="B3541" t="s">
        <v>1736</v>
      </c>
      <c r="C3541" t="s">
        <v>491</v>
      </c>
      <c r="D3541" t="str">
        <f t="shared" si="56"/>
        <v>IEF3099</v>
      </c>
      <c r="E3541" t="s">
        <v>2933</v>
      </c>
    </row>
    <row r="3542" spans="1:5" x14ac:dyDescent="0.25">
      <c r="A3542">
        <v>2101</v>
      </c>
      <c r="B3542" t="s">
        <v>1736</v>
      </c>
      <c r="C3542" t="s">
        <v>227</v>
      </c>
      <c r="D3542" t="str">
        <f t="shared" si="56"/>
        <v>IEF3201</v>
      </c>
      <c r="E3542" t="s">
        <v>3213</v>
      </c>
    </row>
    <row r="3543" spans="1:5" x14ac:dyDescent="0.25">
      <c r="A3543">
        <v>2101</v>
      </c>
      <c r="B3543" t="s">
        <v>1736</v>
      </c>
      <c r="C3543" t="s">
        <v>54</v>
      </c>
      <c r="D3543" t="str">
        <f t="shared" si="56"/>
        <v>IEF3301</v>
      </c>
      <c r="E3543" t="s">
        <v>44</v>
      </c>
    </row>
    <row r="3544" spans="1:5" x14ac:dyDescent="0.25">
      <c r="A3544">
        <v>2101</v>
      </c>
      <c r="B3544" t="s">
        <v>1736</v>
      </c>
      <c r="C3544" t="s">
        <v>2975</v>
      </c>
      <c r="D3544" t="str">
        <f t="shared" si="56"/>
        <v>IEF3302</v>
      </c>
      <c r="E3544" t="s">
        <v>44</v>
      </c>
    </row>
    <row r="3545" spans="1:5" x14ac:dyDescent="0.25">
      <c r="A3545">
        <v>2101</v>
      </c>
      <c r="B3545" t="s">
        <v>1736</v>
      </c>
      <c r="C3545" t="s">
        <v>2977</v>
      </c>
      <c r="D3545" t="str">
        <f t="shared" si="56"/>
        <v>IEF3304</v>
      </c>
      <c r="E3545" t="s">
        <v>44</v>
      </c>
    </row>
    <row r="3546" spans="1:5" x14ac:dyDescent="0.25">
      <c r="A3546">
        <v>2101</v>
      </c>
      <c r="B3546" t="s">
        <v>1736</v>
      </c>
      <c r="C3546" t="s">
        <v>228</v>
      </c>
      <c r="D3546" t="str">
        <f t="shared" si="56"/>
        <v>IEF3401</v>
      </c>
      <c r="E3546" t="s">
        <v>3231</v>
      </c>
    </row>
    <row r="3547" spans="1:5" x14ac:dyDescent="0.25">
      <c r="A3547">
        <v>2101</v>
      </c>
      <c r="B3547" t="s">
        <v>1736</v>
      </c>
      <c r="C3547" t="s">
        <v>280</v>
      </c>
      <c r="D3547" t="str">
        <f t="shared" si="56"/>
        <v>IEF3403</v>
      </c>
      <c r="E3547" t="s">
        <v>3081</v>
      </c>
    </row>
    <row r="3548" spans="1:5" x14ac:dyDescent="0.25">
      <c r="A3548">
        <v>2101</v>
      </c>
      <c r="B3548" t="s">
        <v>1736</v>
      </c>
      <c r="C3548" t="s">
        <v>296</v>
      </c>
      <c r="D3548" t="str">
        <f t="shared" si="56"/>
        <v>IEF3404</v>
      </c>
      <c r="E3548" t="s">
        <v>3081</v>
      </c>
    </row>
    <row r="3549" spans="1:5" x14ac:dyDescent="0.25">
      <c r="A3549">
        <v>2101</v>
      </c>
      <c r="B3549" t="s">
        <v>1736</v>
      </c>
      <c r="C3549" t="s">
        <v>3232</v>
      </c>
      <c r="D3549" t="str">
        <f t="shared" si="56"/>
        <v>IEF3405</v>
      </c>
      <c r="E3549" t="s">
        <v>2926</v>
      </c>
    </row>
    <row r="3550" spans="1:5" x14ac:dyDescent="0.25">
      <c r="A3550">
        <v>2101</v>
      </c>
      <c r="B3550" t="s">
        <v>1736</v>
      </c>
      <c r="C3550" t="s">
        <v>3201</v>
      </c>
      <c r="D3550" t="str">
        <f t="shared" si="56"/>
        <v>IEF3502</v>
      </c>
      <c r="E3550" t="s">
        <v>1660</v>
      </c>
    </row>
    <row r="3551" spans="1:5" x14ac:dyDescent="0.25">
      <c r="A3551">
        <v>2101</v>
      </c>
      <c r="B3551" t="s">
        <v>1736</v>
      </c>
      <c r="C3551" t="s">
        <v>297</v>
      </c>
      <c r="D3551" t="str">
        <f t="shared" si="56"/>
        <v>IEF3604</v>
      </c>
      <c r="E3551" t="s">
        <v>44</v>
      </c>
    </row>
    <row r="3552" spans="1:5" x14ac:dyDescent="0.25">
      <c r="A3552">
        <v>2101</v>
      </c>
      <c r="B3552" t="s">
        <v>1736</v>
      </c>
      <c r="C3552" t="s">
        <v>355</v>
      </c>
      <c r="D3552" t="str">
        <f t="shared" si="56"/>
        <v>IEF3610</v>
      </c>
      <c r="E3552" t="s">
        <v>3258</v>
      </c>
    </row>
    <row r="3553" spans="1:5" x14ac:dyDescent="0.25">
      <c r="A3553">
        <v>2101</v>
      </c>
      <c r="B3553" t="s">
        <v>1736</v>
      </c>
      <c r="C3553" t="s">
        <v>3021</v>
      </c>
      <c r="D3553" t="str">
        <f t="shared" si="56"/>
        <v>IEF3611</v>
      </c>
      <c r="E3553" t="s">
        <v>3107</v>
      </c>
    </row>
    <row r="3554" spans="1:5" x14ac:dyDescent="0.25">
      <c r="A3554">
        <v>2101</v>
      </c>
      <c r="B3554" t="s">
        <v>1736</v>
      </c>
      <c r="C3554" t="s">
        <v>2979</v>
      </c>
      <c r="D3554" t="str">
        <f t="shared" si="56"/>
        <v>IEF3612</v>
      </c>
      <c r="E3554" t="s">
        <v>3307</v>
      </c>
    </row>
    <row r="3555" spans="1:5" x14ac:dyDescent="0.25">
      <c r="A3555">
        <v>2101</v>
      </c>
      <c r="B3555" t="s">
        <v>1736</v>
      </c>
      <c r="C3555" t="s">
        <v>389</v>
      </c>
      <c r="D3555" t="str">
        <f t="shared" si="56"/>
        <v>IEF3615</v>
      </c>
      <c r="E3555" t="s">
        <v>3006</v>
      </c>
    </row>
    <row r="3556" spans="1:5" x14ac:dyDescent="0.25">
      <c r="A3556">
        <v>2101</v>
      </c>
      <c r="B3556" t="s">
        <v>1736</v>
      </c>
      <c r="C3556" t="s">
        <v>412</v>
      </c>
      <c r="D3556" t="str">
        <f t="shared" si="56"/>
        <v>IEF3619</v>
      </c>
      <c r="E3556" t="s">
        <v>3317</v>
      </c>
    </row>
    <row r="3557" spans="1:5" x14ac:dyDescent="0.25">
      <c r="A3557">
        <v>2101</v>
      </c>
      <c r="B3557" t="s">
        <v>1736</v>
      </c>
      <c r="C3557" t="s">
        <v>468</v>
      </c>
      <c r="D3557" t="str">
        <f t="shared" si="56"/>
        <v>IEF3631</v>
      </c>
      <c r="E3557" t="s">
        <v>3291</v>
      </c>
    </row>
    <row r="3558" spans="1:5" x14ac:dyDescent="0.25">
      <c r="A3558">
        <v>2101</v>
      </c>
      <c r="B3558" t="s">
        <v>1736</v>
      </c>
      <c r="C3558" t="s">
        <v>471</v>
      </c>
      <c r="D3558" t="str">
        <f t="shared" si="56"/>
        <v>IEF3699</v>
      </c>
      <c r="E3558" t="s">
        <v>3261</v>
      </c>
    </row>
    <row r="3559" spans="1:5" x14ac:dyDescent="0.25">
      <c r="A3559">
        <v>2101</v>
      </c>
      <c r="B3559" t="s">
        <v>1736</v>
      </c>
      <c r="C3559" t="s">
        <v>2980</v>
      </c>
      <c r="D3559" t="str">
        <f t="shared" si="56"/>
        <v>IEF3701</v>
      </c>
      <c r="E3559" t="s">
        <v>2981</v>
      </c>
    </row>
    <row r="3560" spans="1:5" x14ac:dyDescent="0.25">
      <c r="A3560">
        <v>2101</v>
      </c>
      <c r="B3560" t="s">
        <v>1736</v>
      </c>
      <c r="C3560" t="s">
        <v>3050</v>
      </c>
      <c r="D3560" t="str">
        <f t="shared" si="56"/>
        <v>IEF3702</v>
      </c>
      <c r="E3560" t="s">
        <v>2981</v>
      </c>
    </row>
    <row r="3561" spans="1:5" x14ac:dyDescent="0.25">
      <c r="A3561">
        <v>2101</v>
      </c>
      <c r="B3561" t="s">
        <v>1736</v>
      </c>
      <c r="C3561" t="s">
        <v>2983</v>
      </c>
      <c r="D3561" t="str">
        <f t="shared" si="56"/>
        <v>IEF3703</v>
      </c>
      <c r="E3561" t="s">
        <v>117</v>
      </c>
    </row>
    <row r="3562" spans="1:5" x14ac:dyDescent="0.25">
      <c r="A3562">
        <v>2101</v>
      </c>
      <c r="B3562" t="s">
        <v>1736</v>
      </c>
      <c r="C3562" t="s">
        <v>2985</v>
      </c>
      <c r="D3562" t="str">
        <f t="shared" si="56"/>
        <v>IEF3704</v>
      </c>
      <c r="E3562" t="s">
        <v>117</v>
      </c>
    </row>
    <row r="3563" spans="1:5" x14ac:dyDescent="0.25">
      <c r="A3563">
        <v>2101</v>
      </c>
      <c r="B3563" t="s">
        <v>1736</v>
      </c>
      <c r="C3563" t="s">
        <v>2986</v>
      </c>
      <c r="D3563" t="str">
        <f t="shared" si="56"/>
        <v>IEF3705</v>
      </c>
      <c r="E3563" t="s">
        <v>117</v>
      </c>
    </row>
    <row r="3564" spans="1:5" x14ac:dyDescent="0.25">
      <c r="A3564">
        <v>2101</v>
      </c>
      <c r="B3564" t="s">
        <v>1736</v>
      </c>
      <c r="C3564" t="s">
        <v>2988</v>
      </c>
      <c r="D3564" t="str">
        <f t="shared" si="56"/>
        <v>IEF3903</v>
      </c>
      <c r="E3564" t="s">
        <v>87</v>
      </c>
    </row>
    <row r="3565" spans="1:5" x14ac:dyDescent="0.25">
      <c r="A3565">
        <v>2101</v>
      </c>
      <c r="B3565" t="s">
        <v>1736</v>
      </c>
      <c r="C3565" t="s">
        <v>299</v>
      </c>
      <c r="D3565" t="str">
        <f t="shared" si="56"/>
        <v>IEF3904</v>
      </c>
      <c r="E3565" t="s">
        <v>3309</v>
      </c>
    </row>
    <row r="3566" spans="1:5" x14ac:dyDescent="0.25">
      <c r="A3566">
        <v>2101</v>
      </c>
      <c r="B3566" t="s">
        <v>1736</v>
      </c>
      <c r="C3566" t="s">
        <v>2989</v>
      </c>
      <c r="D3566" t="str">
        <f t="shared" si="56"/>
        <v>IEF3908</v>
      </c>
      <c r="E3566" t="s">
        <v>3310</v>
      </c>
    </row>
    <row r="3567" spans="1:5" x14ac:dyDescent="0.25">
      <c r="A3567">
        <v>2101</v>
      </c>
      <c r="B3567" t="s">
        <v>1736</v>
      </c>
      <c r="C3567" t="s">
        <v>336</v>
      </c>
      <c r="D3567" t="str">
        <f t="shared" si="56"/>
        <v>IEF3909</v>
      </c>
      <c r="E3567" t="s">
        <v>3292</v>
      </c>
    </row>
    <row r="3568" spans="1:5" x14ac:dyDescent="0.25">
      <c r="A3568">
        <v>2101</v>
      </c>
      <c r="B3568" t="s">
        <v>1736</v>
      </c>
      <c r="C3568" t="s">
        <v>346</v>
      </c>
      <c r="D3568" t="str">
        <f t="shared" si="56"/>
        <v>IEF3910</v>
      </c>
      <c r="E3568" t="s">
        <v>3264</v>
      </c>
    </row>
    <row r="3569" spans="1:5" x14ac:dyDescent="0.25">
      <c r="A3569">
        <v>2101</v>
      </c>
      <c r="B3569" t="s">
        <v>1736</v>
      </c>
      <c r="C3569" t="s">
        <v>356</v>
      </c>
      <c r="D3569" t="str">
        <f t="shared" si="56"/>
        <v>IEF3911</v>
      </c>
      <c r="E3569" t="s">
        <v>3311</v>
      </c>
    </row>
    <row r="3570" spans="1:5" x14ac:dyDescent="0.25">
      <c r="A3570">
        <v>2101</v>
      </c>
      <c r="B3570" t="s">
        <v>1736</v>
      </c>
      <c r="C3570" t="s">
        <v>2991</v>
      </c>
      <c r="D3570" t="str">
        <f t="shared" si="56"/>
        <v>IEF3912</v>
      </c>
      <c r="E3570" t="s">
        <v>2992</v>
      </c>
    </row>
    <row r="3571" spans="1:5" x14ac:dyDescent="0.25">
      <c r="A3571">
        <v>2101</v>
      </c>
      <c r="B3571" t="s">
        <v>1736</v>
      </c>
      <c r="C3571" t="s">
        <v>2994</v>
      </c>
      <c r="D3571" t="str">
        <f t="shared" si="56"/>
        <v>IEF3913</v>
      </c>
      <c r="E3571" t="s">
        <v>2992</v>
      </c>
    </row>
    <row r="3572" spans="1:5" x14ac:dyDescent="0.25">
      <c r="A3572">
        <v>2101</v>
      </c>
      <c r="B3572" t="s">
        <v>1736</v>
      </c>
      <c r="C3572" t="s">
        <v>384</v>
      </c>
      <c r="D3572" t="str">
        <f t="shared" si="56"/>
        <v>IEF3915</v>
      </c>
      <c r="E3572" t="s">
        <v>2992</v>
      </c>
    </row>
    <row r="3573" spans="1:5" x14ac:dyDescent="0.25">
      <c r="A3573">
        <v>2101</v>
      </c>
      <c r="B3573" t="s">
        <v>1736</v>
      </c>
      <c r="C3573" t="s">
        <v>2996</v>
      </c>
      <c r="D3573" t="str">
        <f t="shared" si="56"/>
        <v>IEF3917</v>
      </c>
      <c r="E3573" t="s">
        <v>2958</v>
      </c>
    </row>
    <row r="3574" spans="1:5" x14ac:dyDescent="0.25">
      <c r="A3574">
        <v>2101</v>
      </c>
      <c r="B3574" t="s">
        <v>1736</v>
      </c>
      <c r="C3574" t="s">
        <v>2998</v>
      </c>
      <c r="D3574" t="str">
        <f t="shared" si="56"/>
        <v>IEF3918</v>
      </c>
      <c r="E3574" t="s">
        <v>2958</v>
      </c>
    </row>
    <row r="3575" spans="1:5" x14ac:dyDescent="0.25">
      <c r="A3575">
        <v>2101</v>
      </c>
      <c r="B3575" t="s">
        <v>1736</v>
      </c>
      <c r="C3575" t="s">
        <v>3000</v>
      </c>
      <c r="D3575" t="str">
        <f t="shared" si="56"/>
        <v>IEF3919</v>
      </c>
      <c r="E3575" t="s">
        <v>3001</v>
      </c>
    </row>
    <row r="3576" spans="1:5" x14ac:dyDescent="0.25">
      <c r="A3576">
        <v>2101</v>
      </c>
      <c r="B3576" t="s">
        <v>1736</v>
      </c>
      <c r="C3576" t="s">
        <v>3077</v>
      </c>
      <c r="D3576" t="str">
        <f t="shared" si="56"/>
        <v>IEF3920</v>
      </c>
      <c r="E3576" t="s">
        <v>3107</v>
      </c>
    </row>
    <row r="3577" spans="1:5" x14ac:dyDescent="0.25">
      <c r="A3577">
        <v>2101</v>
      </c>
      <c r="B3577" t="s">
        <v>1736</v>
      </c>
      <c r="C3577" t="s">
        <v>3002</v>
      </c>
      <c r="D3577" t="str">
        <f t="shared" si="56"/>
        <v>IEF3921</v>
      </c>
      <c r="E3577" t="s">
        <v>3001</v>
      </c>
    </row>
    <row r="3578" spans="1:5" x14ac:dyDescent="0.25">
      <c r="A3578">
        <v>2101</v>
      </c>
      <c r="B3578" t="s">
        <v>1736</v>
      </c>
      <c r="C3578" t="s">
        <v>3003</v>
      </c>
      <c r="D3578" t="str">
        <f t="shared" si="56"/>
        <v>IEF3922</v>
      </c>
      <c r="E3578" t="s">
        <v>2954</v>
      </c>
    </row>
    <row r="3579" spans="1:5" x14ac:dyDescent="0.25">
      <c r="A3579">
        <v>2101</v>
      </c>
      <c r="B3579" t="s">
        <v>1736</v>
      </c>
      <c r="C3579" t="s">
        <v>566</v>
      </c>
      <c r="D3579" t="str">
        <f t="shared" si="56"/>
        <v>IEF3924</v>
      </c>
      <c r="E3579" t="s">
        <v>3004</v>
      </c>
    </row>
    <row r="3580" spans="1:5" x14ac:dyDescent="0.25">
      <c r="A3580">
        <v>2101</v>
      </c>
      <c r="B3580" t="s">
        <v>1736</v>
      </c>
      <c r="C3580" t="s">
        <v>438</v>
      </c>
      <c r="D3580" t="str">
        <f t="shared" si="56"/>
        <v>IEF3925</v>
      </c>
      <c r="E3580" t="s">
        <v>3006</v>
      </c>
    </row>
    <row r="3581" spans="1:5" x14ac:dyDescent="0.25">
      <c r="A3581">
        <v>2101</v>
      </c>
      <c r="B3581" t="s">
        <v>1736</v>
      </c>
      <c r="C3581" t="s">
        <v>443</v>
      </c>
      <c r="D3581" t="str">
        <f t="shared" si="56"/>
        <v>IEF3926</v>
      </c>
      <c r="E3581" t="s">
        <v>3006</v>
      </c>
    </row>
    <row r="3582" spans="1:5" x14ac:dyDescent="0.25">
      <c r="A3582">
        <v>2101</v>
      </c>
      <c r="B3582" t="s">
        <v>1736</v>
      </c>
      <c r="C3582" t="s">
        <v>3008</v>
      </c>
      <c r="D3582" t="str">
        <f t="shared" si="56"/>
        <v>IEF3927</v>
      </c>
      <c r="E3582" t="s">
        <v>3009</v>
      </c>
    </row>
    <row r="3583" spans="1:5" x14ac:dyDescent="0.25">
      <c r="A3583">
        <v>2101</v>
      </c>
      <c r="B3583" t="s">
        <v>1736</v>
      </c>
      <c r="C3583" t="s">
        <v>458</v>
      </c>
      <c r="D3583" t="str">
        <f t="shared" si="56"/>
        <v>IEF3930</v>
      </c>
      <c r="E3583" t="s">
        <v>3006</v>
      </c>
    </row>
    <row r="3584" spans="1:5" x14ac:dyDescent="0.25">
      <c r="A3584">
        <v>2101</v>
      </c>
      <c r="B3584" t="s">
        <v>1736</v>
      </c>
      <c r="C3584" t="s">
        <v>1481</v>
      </c>
      <c r="D3584" t="str">
        <f t="shared" si="56"/>
        <v>IEF3931</v>
      </c>
      <c r="E3584" t="s">
        <v>3318</v>
      </c>
    </row>
    <row r="3585" spans="1:5" x14ac:dyDescent="0.25">
      <c r="A3585">
        <v>2101</v>
      </c>
      <c r="B3585" t="s">
        <v>1736</v>
      </c>
      <c r="C3585" t="s">
        <v>469</v>
      </c>
      <c r="D3585" t="str">
        <f t="shared" si="56"/>
        <v>IEF3934</v>
      </c>
      <c r="E3585" t="s">
        <v>2965</v>
      </c>
    </row>
    <row r="3586" spans="1:5" x14ac:dyDescent="0.25">
      <c r="A3586">
        <v>2101</v>
      </c>
      <c r="B3586" t="s">
        <v>1736</v>
      </c>
      <c r="C3586" t="s">
        <v>3015</v>
      </c>
      <c r="D3586" t="str">
        <f t="shared" si="56"/>
        <v>IEF3935</v>
      </c>
      <c r="E3586" t="s">
        <v>2965</v>
      </c>
    </row>
    <row r="3587" spans="1:5" x14ac:dyDescent="0.25">
      <c r="A3587">
        <v>2101</v>
      </c>
      <c r="B3587" t="s">
        <v>1736</v>
      </c>
      <c r="C3587" t="s">
        <v>3088</v>
      </c>
      <c r="D3587" t="str">
        <f t="shared" si="56"/>
        <v>IEF3937</v>
      </c>
      <c r="E3587" t="s">
        <v>3107</v>
      </c>
    </row>
    <row r="3588" spans="1:5" x14ac:dyDescent="0.25">
      <c r="A3588">
        <v>2101</v>
      </c>
      <c r="B3588" t="s">
        <v>1736</v>
      </c>
      <c r="C3588" t="s">
        <v>3089</v>
      </c>
      <c r="D3588" t="str">
        <f t="shared" si="56"/>
        <v>IEF3939</v>
      </c>
      <c r="E3588" t="s">
        <v>3266</v>
      </c>
    </row>
    <row r="3589" spans="1:5" x14ac:dyDescent="0.25">
      <c r="A3589">
        <v>2101</v>
      </c>
      <c r="B3589" t="s">
        <v>1736</v>
      </c>
      <c r="C3589" t="s">
        <v>3019</v>
      </c>
      <c r="D3589" t="str">
        <f t="shared" ref="D3589:D3652" si="57">CONCATENATE(B3589,LEFT(C3589,4))</f>
        <v>IEF3940</v>
      </c>
      <c r="E3589" t="s">
        <v>3009</v>
      </c>
    </row>
    <row r="3590" spans="1:5" x14ac:dyDescent="0.25">
      <c r="A3590">
        <v>2101</v>
      </c>
      <c r="B3590" t="s">
        <v>1736</v>
      </c>
      <c r="C3590" t="s">
        <v>480</v>
      </c>
      <c r="D3590" t="str">
        <f t="shared" si="57"/>
        <v>IEF3941</v>
      </c>
      <c r="E3590" t="s">
        <v>3267</v>
      </c>
    </row>
    <row r="3591" spans="1:5" x14ac:dyDescent="0.25">
      <c r="A3591">
        <v>2101</v>
      </c>
      <c r="B3591" t="s">
        <v>1736</v>
      </c>
      <c r="C3591" t="s">
        <v>3020</v>
      </c>
      <c r="D3591" t="str">
        <f t="shared" si="57"/>
        <v>IEF3943</v>
      </c>
      <c r="E3591" t="s">
        <v>2958</v>
      </c>
    </row>
    <row r="3592" spans="1:5" x14ac:dyDescent="0.25">
      <c r="A3592">
        <v>2101</v>
      </c>
      <c r="B3592" t="s">
        <v>1736</v>
      </c>
      <c r="C3592" t="s">
        <v>488</v>
      </c>
      <c r="D3592" t="str">
        <f t="shared" si="57"/>
        <v>IEF3946</v>
      </c>
      <c r="E3592" t="s">
        <v>3235</v>
      </c>
    </row>
    <row r="3593" spans="1:5" x14ac:dyDescent="0.25">
      <c r="A3593">
        <v>2101</v>
      </c>
      <c r="B3593" t="s">
        <v>1736</v>
      </c>
      <c r="C3593" t="s">
        <v>492</v>
      </c>
      <c r="D3593" t="str">
        <f t="shared" si="57"/>
        <v>IEF3948</v>
      </c>
      <c r="E3593" t="s">
        <v>3004</v>
      </c>
    </row>
    <row r="3594" spans="1:5" x14ac:dyDescent="0.25">
      <c r="A3594">
        <v>2101</v>
      </c>
      <c r="B3594" t="s">
        <v>1736</v>
      </c>
      <c r="C3594" t="s">
        <v>3098</v>
      </c>
      <c r="D3594" t="str">
        <f t="shared" si="57"/>
        <v>IEF3952</v>
      </c>
      <c r="E3594" t="s">
        <v>65</v>
      </c>
    </row>
    <row r="3595" spans="1:5" x14ac:dyDescent="0.25">
      <c r="A3595">
        <v>2101</v>
      </c>
      <c r="B3595" t="s">
        <v>1736</v>
      </c>
      <c r="C3595" t="s">
        <v>496</v>
      </c>
      <c r="D3595" t="str">
        <f t="shared" si="57"/>
        <v>IEF3953</v>
      </c>
      <c r="E3595" t="s">
        <v>3004</v>
      </c>
    </row>
    <row r="3596" spans="1:5" x14ac:dyDescent="0.25">
      <c r="A3596">
        <v>2101</v>
      </c>
      <c r="B3596" t="s">
        <v>1736</v>
      </c>
      <c r="C3596" t="s">
        <v>3027</v>
      </c>
      <c r="D3596" t="str">
        <f t="shared" si="57"/>
        <v>IEF3961</v>
      </c>
      <c r="E3596" t="s">
        <v>2981</v>
      </c>
    </row>
    <row r="3597" spans="1:5" x14ac:dyDescent="0.25">
      <c r="A3597">
        <v>2101</v>
      </c>
      <c r="B3597" t="s">
        <v>1736</v>
      </c>
      <c r="C3597" t="s">
        <v>3103</v>
      </c>
      <c r="D3597" t="str">
        <f t="shared" si="57"/>
        <v>IEF3962</v>
      </c>
      <c r="E3597" t="s">
        <v>3033</v>
      </c>
    </row>
    <row r="3598" spans="1:5" x14ac:dyDescent="0.25">
      <c r="A3598">
        <v>2101</v>
      </c>
      <c r="B3598" t="s">
        <v>1736</v>
      </c>
      <c r="C3598" t="s">
        <v>3104</v>
      </c>
      <c r="D3598" t="str">
        <f t="shared" si="57"/>
        <v>IEF3964</v>
      </c>
      <c r="E3598" t="s">
        <v>3214</v>
      </c>
    </row>
    <row r="3599" spans="1:5" x14ac:dyDescent="0.25">
      <c r="A3599">
        <v>2101</v>
      </c>
      <c r="B3599" t="s">
        <v>1736</v>
      </c>
      <c r="C3599" t="s">
        <v>3031</v>
      </c>
      <c r="D3599" t="str">
        <f t="shared" si="57"/>
        <v>IEF3970</v>
      </c>
      <c r="E3599" t="s">
        <v>3009</v>
      </c>
    </row>
    <row r="3600" spans="1:5" x14ac:dyDescent="0.25">
      <c r="A3600">
        <v>2101</v>
      </c>
      <c r="B3600" t="s">
        <v>1736</v>
      </c>
      <c r="C3600" t="s">
        <v>520</v>
      </c>
      <c r="D3600" t="str">
        <f t="shared" si="57"/>
        <v>IEF3978</v>
      </c>
      <c r="E3600" t="s">
        <v>2981</v>
      </c>
    </row>
    <row r="3601" spans="1:5" x14ac:dyDescent="0.25">
      <c r="A3601">
        <v>2101</v>
      </c>
      <c r="B3601" t="s">
        <v>1736</v>
      </c>
      <c r="C3601" t="s">
        <v>3216</v>
      </c>
      <c r="D3601" t="str">
        <f t="shared" si="57"/>
        <v>IEF3980</v>
      </c>
      <c r="E3601" t="s">
        <v>3081</v>
      </c>
    </row>
    <row r="3602" spans="1:5" x14ac:dyDescent="0.25">
      <c r="A3602">
        <v>2101</v>
      </c>
      <c r="B3602" t="s">
        <v>1736</v>
      </c>
      <c r="C3602" t="s">
        <v>3036</v>
      </c>
      <c r="D3602" t="str">
        <f t="shared" si="57"/>
        <v>IEF3987</v>
      </c>
      <c r="E3602" t="s">
        <v>2958</v>
      </c>
    </row>
    <row r="3603" spans="1:5" x14ac:dyDescent="0.25">
      <c r="A3603">
        <v>2101</v>
      </c>
      <c r="B3603" t="s">
        <v>1736</v>
      </c>
      <c r="C3603" t="s">
        <v>528</v>
      </c>
      <c r="D3603" t="str">
        <f t="shared" si="57"/>
        <v>IEF3988</v>
      </c>
      <c r="E3603" t="s">
        <v>3273</v>
      </c>
    </row>
    <row r="3604" spans="1:5" x14ac:dyDescent="0.25">
      <c r="A3604">
        <v>2101</v>
      </c>
      <c r="B3604" t="s">
        <v>1736</v>
      </c>
      <c r="C3604" t="s">
        <v>3249</v>
      </c>
      <c r="D3604" t="str">
        <f t="shared" si="57"/>
        <v>IEF3993</v>
      </c>
      <c r="E3604" t="s">
        <v>3319</v>
      </c>
    </row>
    <row r="3605" spans="1:5" x14ac:dyDescent="0.25">
      <c r="A3605">
        <v>2101</v>
      </c>
      <c r="B3605" t="s">
        <v>1736</v>
      </c>
      <c r="C3605" t="s">
        <v>3038</v>
      </c>
      <c r="D3605" t="str">
        <f t="shared" si="57"/>
        <v>IEF3994</v>
      </c>
      <c r="E3605" t="s">
        <v>2965</v>
      </c>
    </row>
    <row r="3606" spans="1:5" x14ac:dyDescent="0.25">
      <c r="A3606">
        <v>2101</v>
      </c>
      <c r="B3606" t="s">
        <v>1736</v>
      </c>
      <c r="C3606" t="s">
        <v>3040</v>
      </c>
      <c r="D3606" t="str">
        <f t="shared" si="57"/>
        <v>IEF3999</v>
      </c>
      <c r="E3606" t="s">
        <v>3275</v>
      </c>
    </row>
    <row r="3607" spans="1:5" x14ac:dyDescent="0.25">
      <c r="A3607">
        <v>2101</v>
      </c>
      <c r="B3607" t="s">
        <v>1736</v>
      </c>
      <c r="C3607" t="s">
        <v>3041</v>
      </c>
      <c r="D3607" t="str">
        <f t="shared" si="57"/>
        <v>IEF4002</v>
      </c>
      <c r="E3607" t="s">
        <v>3009</v>
      </c>
    </row>
    <row r="3608" spans="1:5" x14ac:dyDescent="0.25">
      <c r="A3608">
        <v>2101</v>
      </c>
      <c r="B3608" t="s">
        <v>1736</v>
      </c>
      <c r="C3608" t="s">
        <v>3043</v>
      </c>
      <c r="D3608" t="str">
        <f t="shared" si="57"/>
        <v>IEF4003</v>
      </c>
      <c r="E3608" t="s">
        <v>94</v>
      </c>
    </row>
    <row r="3609" spans="1:5" x14ac:dyDescent="0.25">
      <c r="A3609">
        <v>2101</v>
      </c>
      <c r="B3609" t="s">
        <v>1736</v>
      </c>
      <c r="C3609" t="s">
        <v>3045</v>
      </c>
      <c r="D3609" t="str">
        <f t="shared" si="57"/>
        <v>IEF4004</v>
      </c>
      <c r="E3609" t="s">
        <v>3009</v>
      </c>
    </row>
    <row r="3610" spans="1:5" x14ac:dyDescent="0.25">
      <c r="A3610">
        <v>2101</v>
      </c>
      <c r="B3610" t="s">
        <v>1736</v>
      </c>
      <c r="C3610" t="s">
        <v>3047</v>
      </c>
      <c r="D3610" t="str">
        <f t="shared" si="57"/>
        <v>IEF4005</v>
      </c>
      <c r="E3610" t="s">
        <v>3009</v>
      </c>
    </row>
    <row r="3611" spans="1:5" x14ac:dyDescent="0.25">
      <c r="A3611">
        <v>2101</v>
      </c>
      <c r="B3611" t="s">
        <v>1736</v>
      </c>
      <c r="C3611" t="s">
        <v>3138</v>
      </c>
      <c r="D3611" t="str">
        <f t="shared" si="57"/>
        <v>IEF4007</v>
      </c>
      <c r="E3611" t="s">
        <v>94</v>
      </c>
    </row>
    <row r="3612" spans="1:5" x14ac:dyDescent="0.25">
      <c r="A3612">
        <v>2101</v>
      </c>
      <c r="B3612" t="s">
        <v>1736</v>
      </c>
      <c r="C3612" t="s">
        <v>3048</v>
      </c>
      <c r="D3612" t="str">
        <f t="shared" si="57"/>
        <v>IEF4701</v>
      </c>
      <c r="E3612" t="s">
        <v>3049</v>
      </c>
    </row>
    <row r="3613" spans="1:5" x14ac:dyDescent="0.25">
      <c r="A3613">
        <v>2101</v>
      </c>
      <c r="B3613" t="s">
        <v>1736</v>
      </c>
      <c r="C3613" t="s">
        <v>265</v>
      </c>
      <c r="D3613" t="str">
        <f t="shared" si="57"/>
        <v>IEF4703</v>
      </c>
      <c r="E3613" t="s">
        <v>3049</v>
      </c>
    </row>
    <row r="3614" spans="1:5" x14ac:dyDescent="0.25">
      <c r="A3614">
        <v>2101</v>
      </c>
      <c r="B3614" t="s">
        <v>1736</v>
      </c>
      <c r="C3614" t="s">
        <v>316</v>
      </c>
      <c r="D3614" t="str">
        <f t="shared" si="57"/>
        <v>IEF4706</v>
      </c>
      <c r="E3614" t="s">
        <v>3049</v>
      </c>
    </row>
    <row r="3615" spans="1:5" x14ac:dyDescent="0.25">
      <c r="A3615">
        <v>2101</v>
      </c>
      <c r="B3615" t="s">
        <v>1736</v>
      </c>
      <c r="C3615" t="s">
        <v>328</v>
      </c>
      <c r="D3615" t="str">
        <f t="shared" si="57"/>
        <v>IEF4707</v>
      </c>
      <c r="E3615" t="s">
        <v>3049</v>
      </c>
    </row>
    <row r="3616" spans="1:5" x14ac:dyDescent="0.25">
      <c r="A3616">
        <v>2101</v>
      </c>
      <c r="B3616" t="s">
        <v>1736</v>
      </c>
      <c r="C3616" t="s">
        <v>364</v>
      </c>
      <c r="D3616" t="str">
        <f t="shared" si="57"/>
        <v>IEF4799</v>
      </c>
      <c r="E3616" t="s">
        <v>3049</v>
      </c>
    </row>
    <row r="3617" spans="1:5" x14ac:dyDescent="0.25">
      <c r="A3617">
        <v>2101</v>
      </c>
      <c r="B3617" t="s">
        <v>1736</v>
      </c>
      <c r="C3617" t="s">
        <v>3051</v>
      </c>
      <c r="D3617" t="str">
        <f t="shared" si="57"/>
        <v>IEF5101</v>
      </c>
      <c r="E3617" t="s">
        <v>3052</v>
      </c>
    </row>
    <row r="3618" spans="1:5" x14ac:dyDescent="0.25">
      <c r="A3618">
        <v>2101</v>
      </c>
      <c r="B3618" t="s">
        <v>1736</v>
      </c>
      <c r="C3618" t="s">
        <v>3284</v>
      </c>
      <c r="D3618" t="str">
        <f t="shared" si="57"/>
        <v>IEF5102</v>
      </c>
      <c r="E3618" t="s">
        <v>3291</v>
      </c>
    </row>
    <row r="3619" spans="1:5" x14ac:dyDescent="0.25">
      <c r="A3619">
        <v>2101</v>
      </c>
      <c r="B3619" t="s">
        <v>1736</v>
      </c>
      <c r="C3619" t="s">
        <v>3053</v>
      </c>
      <c r="D3619" t="str">
        <f t="shared" si="57"/>
        <v>IEF5103</v>
      </c>
      <c r="E3619" t="s">
        <v>3052</v>
      </c>
    </row>
    <row r="3620" spans="1:5" x14ac:dyDescent="0.25">
      <c r="A3620">
        <v>2101</v>
      </c>
      <c r="B3620" t="s">
        <v>1736</v>
      </c>
      <c r="C3620" t="s">
        <v>242</v>
      </c>
      <c r="D3620" t="str">
        <f t="shared" si="57"/>
        <v>IEF5201</v>
      </c>
      <c r="E3620" t="s">
        <v>2965</v>
      </c>
    </row>
    <row r="3621" spans="1:5" x14ac:dyDescent="0.25">
      <c r="A3621">
        <v>2101</v>
      </c>
      <c r="B3621" t="s">
        <v>1736</v>
      </c>
      <c r="C3621" t="s">
        <v>288</v>
      </c>
      <c r="D3621" t="str">
        <f t="shared" si="57"/>
        <v>IEF5203</v>
      </c>
      <c r="E3621" t="s">
        <v>3055</v>
      </c>
    </row>
    <row r="3622" spans="1:5" x14ac:dyDescent="0.25">
      <c r="A3622">
        <v>2101</v>
      </c>
      <c r="B3622" t="s">
        <v>1736</v>
      </c>
      <c r="C3622" t="s">
        <v>3054</v>
      </c>
      <c r="D3622" t="str">
        <f t="shared" si="57"/>
        <v>IEF5204</v>
      </c>
      <c r="E3622" t="s">
        <v>3055</v>
      </c>
    </row>
    <row r="3623" spans="1:5" x14ac:dyDescent="0.25">
      <c r="A3623">
        <v>2101</v>
      </c>
      <c r="B3623" t="s">
        <v>1736</v>
      </c>
      <c r="C3623" t="s">
        <v>318</v>
      </c>
      <c r="D3623" t="str">
        <f t="shared" si="57"/>
        <v>IEF5205</v>
      </c>
      <c r="E3623" t="s">
        <v>3055</v>
      </c>
    </row>
    <row r="3624" spans="1:5" x14ac:dyDescent="0.25">
      <c r="A3624">
        <v>2101</v>
      </c>
      <c r="B3624" t="s">
        <v>1736</v>
      </c>
      <c r="C3624" t="s">
        <v>329</v>
      </c>
      <c r="D3624" t="str">
        <f t="shared" si="57"/>
        <v>IEF5206</v>
      </c>
      <c r="E3624" t="s">
        <v>3057</v>
      </c>
    </row>
    <row r="3625" spans="1:5" x14ac:dyDescent="0.25">
      <c r="A3625">
        <v>2101</v>
      </c>
      <c r="B3625" t="s">
        <v>1736</v>
      </c>
      <c r="C3625" t="s">
        <v>3058</v>
      </c>
      <c r="D3625" t="str">
        <f t="shared" si="57"/>
        <v>IEF5207</v>
      </c>
      <c r="E3625" t="s">
        <v>3057</v>
      </c>
    </row>
    <row r="3626" spans="1:5" x14ac:dyDescent="0.25">
      <c r="A3626">
        <v>2101</v>
      </c>
      <c r="B3626" t="s">
        <v>1736</v>
      </c>
      <c r="C3626" t="s">
        <v>3060</v>
      </c>
      <c r="D3626" t="str">
        <f t="shared" si="57"/>
        <v>IEF5208</v>
      </c>
      <c r="E3626" t="s">
        <v>3057</v>
      </c>
    </row>
    <row r="3627" spans="1:5" x14ac:dyDescent="0.25">
      <c r="A3627">
        <v>2101</v>
      </c>
      <c r="B3627" t="s">
        <v>1736</v>
      </c>
      <c r="C3627" t="s">
        <v>359</v>
      </c>
      <c r="D3627" t="str">
        <f t="shared" si="57"/>
        <v>IEF5209</v>
      </c>
      <c r="E3627" t="s">
        <v>3055</v>
      </c>
    </row>
    <row r="3628" spans="1:5" x14ac:dyDescent="0.25">
      <c r="A3628">
        <v>2101</v>
      </c>
      <c r="B3628" t="s">
        <v>1736</v>
      </c>
      <c r="C3628" t="s">
        <v>3063</v>
      </c>
      <c r="D3628" t="str">
        <f t="shared" si="57"/>
        <v>IEF5210</v>
      </c>
      <c r="E3628" t="s">
        <v>3055</v>
      </c>
    </row>
    <row r="3629" spans="1:5" x14ac:dyDescent="0.25">
      <c r="A3629">
        <v>2101</v>
      </c>
      <c r="B3629" t="s">
        <v>1736</v>
      </c>
      <c r="C3629" t="s">
        <v>3155</v>
      </c>
      <c r="D3629" t="str">
        <f t="shared" si="57"/>
        <v>IEF5211</v>
      </c>
      <c r="E3629" t="s">
        <v>2944</v>
      </c>
    </row>
    <row r="3630" spans="1:5" x14ac:dyDescent="0.25">
      <c r="A3630">
        <v>2101</v>
      </c>
      <c r="B3630" t="s">
        <v>1736</v>
      </c>
      <c r="C3630" t="s">
        <v>3064</v>
      </c>
      <c r="D3630" t="str">
        <f t="shared" si="57"/>
        <v>IEF5212</v>
      </c>
      <c r="E3630" t="s">
        <v>3055</v>
      </c>
    </row>
    <row r="3631" spans="1:5" x14ac:dyDescent="0.25">
      <c r="A3631">
        <v>2101</v>
      </c>
      <c r="B3631" t="s">
        <v>1736</v>
      </c>
      <c r="C3631" t="s">
        <v>391</v>
      </c>
      <c r="D3631" t="str">
        <f t="shared" si="57"/>
        <v>IEF5214</v>
      </c>
      <c r="E3631" t="s">
        <v>3055</v>
      </c>
    </row>
    <row r="3632" spans="1:5" x14ac:dyDescent="0.25">
      <c r="A3632">
        <v>2101</v>
      </c>
      <c r="B3632" t="s">
        <v>1736</v>
      </c>
      <c r="C3632" t="s">
        <v>403</v>
      </c>
      <c r="D3632" t="str">
        <f t="shared" si="57"/>
        <v>IEF5216</v>
      </c>
      <c r="E3632" t="s">
        <v>3067</v>
      </c>
    </row>
    <row r="3633" spans="1:5" x14ac:dyDescent="0.25">
      <c r="A3633">
        <v>2101</v>
      </c>
      <c r="B3633" t="s">
        <v>1736</v>
      </c>
      <c r="C3633" t="s">
        <v>409</v>
      </c>
      <c r="D3633" t="str">
        <f t="shared" si="57"/>
        <v>IEF5217</v>
      </c>
      <c r="E3633" t="s">
        <v>3055</v>
      </c>
    </row>
    <row r="3634" spans="1:5" x14ac:dyDescent="0.25">
      <c r="A3634">
        <v>2101</v>
      </c>
      <c r="B3634" t="s">
        <v>1736</v>
      </c>
      <c r="C3634" t="s">
        <v>3068</v>
      </c>
      <c r="D3634" t="str">
        <f t="shared" si="57"/>
        <v>IEF5220</v>
      </c>
      <c r="E3634" t="s">
        <v>3057</v>
      </c>
    </row>
    <row r="3635" spans="1:5" x14ac:dyDescent="0.25">
      <c r="A3635">
        <v>2101</v>
      </c>
      <c r="B3635" t="s">
        <v>1736</v>
      </c>
      <c r="C3635" t="s">
        <v>449</v>
      </c>
      <c r="D3635" t="str">
        <f t="shared" si="57"/>
        <v>IEF5225</v>
      </c>
      <c r="E3635" t="s">
        <v>3055</v>
      </c>
    </row>
    <row r="3636" spans="1:5" x14ac:dyDescent="0.25">
      <c r="A3636">
        <v>2101</v>
      </c>
      <c r="B3636" t="s">
        <v>1736</v>
      </c>
      <c r="C3636" t="s">
        <v>3070</v>
      </c>
      <c r="D3636" t="str">
        <f t="shared" si="57"/>
        <v>IEF5226</v>
      </c>
      <c r="E3636" t="s">
        <v>3055</v>
      </c>
    </row>
    <row r="3637" spans="1:5" x14ac:dyDescent="0.25">
      <c r="A3637">
        <v>2101</v>
      </c>
      <c r="B3637" t="s">
        <v>1736</v>
      </c>
      <c r="C3637" t="s">
        <v>459</v>
      </c>
      <c r="D3637" t="str">
        <f t="shared" si="57"/>
        <v>IEF5299</v>
      </c>
      <c r="E3637" t="s">
        <v>3055</v>
      </c>
    </row>
    <row r="3638" spans="1:5" x14ac:dyDescent="0.25">
      <c r="A3638">
        <v>2101</v>
      </c>
      <c r="B3638" t="s">
        <v>1736</v>
      </c>
      <c r="C3638" t="s">
        <v>243</v>
      </c>
      <c r="D3638" t="str">
        <f t="shared" si="57"/>
        <v>IEF6101</v>
      </c>
      <c r="E3638" t="s">
        <v>3219</v>
      </c>
    </row>
    <row r="3639" spans="1:5" x14ac:dyDescent="0.25">
      <c r="A3639">
        <v>2101</v>
      </c>
      <c r="B3639" t="s">
        <v>1736</v>
      </c>
      <c r="C3639" t="s">
        <v>3211</v>
      </c>
      <c r="D3639" t="str">
        <f t="shared" si="57"/>
        <v>IEF9108</v>
      </c>
      <c r="E3639" t="s">
        <v>3212</v>
      </c>
    </row>
    <row r="3640" spans="1:5" x14ac:dyDescent="0.25">
      <c r="A3640">
        <v>2101</v>
      </c>
      <c r="B3640" t="s">
        <v>1736</v>
      </c>
      <c r="C3640" t="s">
        <v>3074</v>
      </c>
      <c r="D3640" t="str">
        <f t="shared" si="57"/>
        <v>IEF9202</v>
      </c>
      <c r="E3640" t="s">
        <v>3075</v>
      </c>
    </row>
    <row r="3641" spans="1:5" x14ac:dyDescent="0.25">
      <c r="A3641">
        <v>2101</v>
      </c>
      <c r="B3641" t="s">
        <v>1736</v>
      </c>
      <c r="C3641" t="s">
        <v>250</v>
      </c>
      <c r="D3641" t="str">
        <f t="shared" si="57"/>
        <v>IEF9301</v>
      </c>
      <c r="E3641" t="s">
        <v>3228</v>
      </c>
    </row>
    <row r="3642" spans="1:5" x14ac:dyDescent="0.25">
      <c r="A3642">
        <v>2101</v>
      </c>
      <c r="B3642" t="s">
        <v>1736</v>
      </c>
      <c r="C3642" t="s">
        <v>331</v>
      </c>
      <c r="D3642" t="str">
        <f t="shared" si="57"/>
        <v>IEF9306</v>
      </c>
      <c r="E3642" t="s">
        <v>3076</v>
      </c>
    </row>
    <row r="3643" spans="1:5" x14ac:dyDescent="0.25">
      <c r="A3643">
        <v>2101</v>
      </c>
      <c r="B3643" t="s">
        <v>1736</v>
      </c>
      <c r="C3643" t="s">
        <v>380</v>
      </c>
      <c r="D3643" t="str">
        <f t="shared" si="57"/>
        <v>IEF9312</v>
      </c>
      <c r="E3643" t="s">
        <v>3276</v>
      </c>
    </row>
    <row r="3644" spans="1:5" x14ac:dyDescent="0.25">
      <c r="A3644">
        <v>2101</v>
      </c>
      <c r="B3644" t="s">
        <v>1736</v>
      </c>
      <c r="C3644" t="s">
        <v>3079</v>
      </c>
      <c r="D3644" t="str">
        <f t="shared" si="57"/>
        <v>IEF9399</v>
      </c>
      <c r="E3644" t="s">
        <v>3277</v>
      </c>
    </row>
    <row r="3645" spans="1:5" x14ac:dyDescent="0.25">
      <c r="A3645">
        <v>2121</v>
      </c>
      <c r="B3645" t="s">
        <v>1741</v>
      </c>
      <c r="C3645" t="s">
        <v>3320</v>
      </c>
      <c r="D3645" t="str">
        <f t="shared" si="57"/>
        <v>IPSM0501</v>
      </c>
      <c r="E3645" t="s">
        <v>2926</v>
      </c>
    </row>
    <row r="3646" spans="1:5" x14ac:dyDescent="0.25">
      <c r="A3646">
        <v>2121</v>
      </c>
      <c r="B3646" t="s">
        <v>1741</v>
      </c>
      <c r="C3646" t="s">
        <v>3321</v>
      </c>
      <c r="D3646" t="str">
        <f t="shared" si="57"/>
        <v>IPSM0505</v>
      </c>
      <c r="E3646" t="s">
        <v>2926</v>
      </c>
    </row>
    <row r="3647" spans="1:5" x14ac:dyDescent="0.25">
      <c r="A3647">
        <v>2121</v>
      </c>
      <c r="B3647" t="s">
        <v>1741</v>
      </c>
      <c r="C3647" t="s">
        <v>2927</v>
      </c>
      <c r="D3647" t="str">
        <f t="shared" si="57"/>
        <v>IPSM0802</v>
      </c>
      <c r="E3647" t="s">
        <v>2926</v>
      </c>
    </row>
    <row r="3648" spans="1:5" x14ac:dyDescent="0.25">
      <c r="A3648">
        <v>2121</v>
      </c>
      <c r="B3648" t="s">
        <v>1741</v>
      </c>
      <c r="C3648" t="s">
        <v>3281</v>
      </c>
      <c r="D3648" t="str">
        <f t="shared" si="57"/>
        <v>IPSM0805</v>
      </c>
      <c r="E3648" t="s">
        <v>2926</v>
      </c>
    </row>
    <row r="3649" spans="1:5" x14ac:dyDescent="0.25">
      <c r="A3649">
        <v>2121</v>
      </c>
      <c r="B3649" t="s">
        <v>1741</v>
      </c>
      <c r="C3649" t="s">
        <v>3322</v>
      </c>
      <c r="D3649" t="str">
        <f t="shared" si="57"/>
        <v>IPSM0809</v>
      </c>
      <c r="E3649" t="s">
        <v>2926</v>
      </c>
    </row>
    <row r="3650" spans="1:5" x14ac:dyDescent="0.25">
      <c r="A3650">
        <v>2121</v>
      </c>
      <c r="B3650" t="s">
        <v>1741</v>
      </c>
      <c r="C3650" t="s">
        <v>2925</v>
      </c>
      <c r="D3650" t="str">
        <f t="shared" si="57"/>
        <v>IPSM0810</v>
      </c>
      <c r="E3650" t="s">
        <v>2926</v>
      </c>
    </row>
    <row r="3651" spans="1:5" x14ac:dyDescent="0.25">
      <c r="A3651">
        <v>2121</v>
      </c>
      <c r="B3651" t="s">
        <v>1741</v>
      </c>
      <c r="C3651" t="s">
        <v>2936</v>
      </c>
      <c r="D3651" t="str">
        <f t="shared" si="57"/>
        <v>IPSM0811</v>
      </c>
      <c r="E3651" t="s">
        <v>2926</v>
      </c>
    </row>
    <row r="3652" spans="1:5" x14ac:dyDescent="0.25">
      <c r="A3652">
        <v>2121</v>
      </c>
      <c r="B3652" t="s">
        <v>1741</v>
      </c>
      <c r="C3652" t="s">
        <v>2928</v>
      </c>
      <c r="D3652" t="str">
        <f t="shared" si="57"/>
        <v>IPSM1401</v>
      </c>
      <c r="E3652" t="s">
        <v>44</v>
      </c>
    </row>
    <row r="3653" spans="1:5" x14ac:dyDescent="0.25">
      <c r="A3653">
        <v>2121</v>
      </c>
      <c r="B3653" t="s">
        <v>1741</v>
      </c>
      <c r="C3653" t="s">
        <v>2932</v>
      </c>
      <c r="D3653" t="str">
        <f t="shared" ref="D3653:D3716" si="58">CONCATENATE(B3653,LEFT(C3653,4))</f>
        <v>IPSM3001</v>
      </c>
      <c r="E3653" t="s">
        <v>2933</v>
      </c>
    </row>
    <row r="3654" spans="1:5" x14ac:dyDescent="0.25">
      <c r="A3654">
        <v>2121</v>
      </c>
      <c r="B3654" t="s">
        <v>1741</v>
      </c>
      <c r="C3654" t="s">
        <v>979</v>
      </c>
      <c r="D3654" t="str">
        <f t="shared" si="58"/>
        <v>IPSM3003</v>
      </c>
      <c r="E3654" t="s">
        <v>2933</v>
      </c>
    </row>
    <row r="3655" spans="1:5" x14ac:dyDescent="0.25">
      <c r="A3655">
        <v>2121</v>
      </c>
      <c r="B3655" t="s">
        <v>1741</v>
      </c>
      <c r="C3655" t="s">
        <v>2937</v>
      </c>
      <c r="D3655" t="str">
        <f t="shared" si="58"/>
        <v>IPSM3004</v>
      </c>
      <c r="E3655" t="s">
        <v>2933</v>
      </c>
    </row>
    <row r="3656" spans="1:5" x14ac:dyDescent="0.25">
      <c r="A3656">
        <v>2121</v>
      </c>
      <c r="B3656" t="s">
        <v>1741</v>
      </c>
      <c r="C3656" t="s">
        <v>2939</v>
      </c>
      <c r="D3656" t="str">
        <f t="shared" si="58"/>
        <v>IPSM3005</v>
      </c>
      <c r="E3656" t="s">
        <v>2933</v>
      </c>
    </row>
    <row r="3657" spans="1:5" x14ac:dyDescent="0.25">
      <c r="A3657">
        <v>2121</v>
      </c>
      <c r="B3657" t="s">
        <v>1741</v>
      </c>
      <c r="C3657" t="s">
        <v>333</v>
      </c>
      <c r="D3657" t="str">
        <f t="shared" si="58"/>
        <v>IPSM3007</v>
      </c>
      <c r="E3657" t="s">
        <v>2933</v>
      </c>
    </row>
    <row r="3658" spans="1:5" x14ac:dyDescent="0.25">
      <c r="A3658">
        <v>2121</v>
      </c>
      <c r="B3658" t="s">
        <v>1741</v>
      </c>
      <c r="C3658" t="s">
        <v>2941</v>
      </c>
      <c r="D3658" t="str">
        <f t="shared" si="58"/>
        <v>IPSM3008</v>
      </c>
      <c r="E3658" t="s">
        <v>2933</v>
      </c>
    </row>
    <row r="3659" spans="1:5" x14ac:dyDescent="0.25">
      <c r="A3659">
        <v>2121</v>
      </c>
      <c r="B3659" t="s">
        <v>1741</v>
      </c>
      <c r="C3659" t="s">
        <v>2943</v>
      </c>
      <c r="D3659" t="str">
        <f t="shared" si="58"/>
        <v>IPSM3010</v>
      </c>
      <c r="E3659" t="s">
        <v>2944</v>
      </c>
    </row>
    <row r="3660" spans="1:5" x14ac:dyDescent="0.25">
      <c r="A3660">
        <v>2121</v>
      </c>
      <c r="B3660" t="s">
        <v>1741</v>
      </c>
      <c r="C3660" t="s">
        <v>138</v>
      </c>
      <c r="D3660" t="str">
        <f t="shared" si="58"/>
        <v>IPSM3012</v>
      </c>
      <c r="E3660" t="s">
        <v>2944</v>
      </c>
    </row>
    <row r="3661" spans="1:5" x14ac:dyDescent="0.25">
      <c r="A3661">
        <v>2121</v>
      </c>
      <c r="B3661" t="s">
        <v>1741</v>
      </c>
      <c r="C3661" t="s">
        <v>2946</v>
      </c>
      <c r="D3661" t="str">
        <f t="shared" si="58"/>
        <v>IPSM3013</v>
      </c>
      <c r="E3661" t="s">
        <v>2933</v>
      </c>
    </row>
    <row r="3662" spans="1:5" x14ac:dyDescent="0.25">
      <c r="A3662">
        <v>2121</v>
      </c>
      <c r="B3662" t="s">
        <v>1741</v>
      </c>
      <c r="C3662" t="s">
        <v>2948</v>
      </c>
      <c r="D3662" t="str">
        <f t="shared" si="58"/>
        <v>IPSM3015</v>
      </c>
      <c r="E3662" t="s">
        <v>2933</v>
      </c>
    </row>
    <row r="3663" spans="1:5" x14ac:dyDescent="0.25">
      <c r="A3663">
        <v>2121</v>
      </c>
      <c r="B3663" t="s">
        <v>1741</v>
      </c>
      <c r="C3663" t="s">
        <v>2950</v>
      </c>
      <c r="D3663" t="str">
        <f t="shared" si="58"/>
        <v>IPSM3016</v>
      </c>
      <c r="E3663" t="s">
        <v>2933</v>
      </c>
    </row>
    <row r="3664" spans="1:5" x14ac:dyDescent="0.25">
      <c r="A3664">
        <v>2121</v>
      </c>
      <c r="B3664" t="s">
        <v>1741</v>
      </c>
      <c r="C3664" t="s">
        <v>406</v>
      </c>
      <c r="D3664" t="str">
        <f t="shared" si="58"/>
        <v>IPSM3017</v>
      </c>
      <c r="E3664" t="s">
        <v>2933</v>
      </c>
    </row>
    <row r="3665" spans="1:5" x14ac:dyDescent="0.25">
      <c r="A3665">
        <v>2121</v>
      </c>
      <c r="B3665" t="s">
        <v>1741</v>
      </c>
      <c r="C3665" t="s">
        <v>2953</v>
      </c>
      <c r="D3665" t="str">
        <f t="shared" si="58"/>
        <v>IPSM3019</v>
      </c>
      <c r="E3665" t="s">
        <v>2954</v>
      </c>
    </row>
    <row r="3666" spans="1:5" x14ac:dyDescent="0.25">
      <c r="A3666">
        <v>2121</v>
      </c>
      <c r="B3666" t="s">
        <v>1741</v>
      </c>
      <c r="C3666" t="s">
        <v>2955</v>
      </c>
      <c r="D3666" t="str">
        <f t="shared" si="58"/>
        <v>IPSM3020</v>
      </c>
      <c r="E3666" t="s">
        <v>2933</v>
      </c>
    </row>
    <row r="3667" spans="1:5" x14ac:dyDescent="0.25">
      <c r="A3667">
        <v>2121</v>
      </c>
      <c r="B3667" t="s">
        <v>1741</v>
      </c>
      <c r="C3667" t="s">
        <v>431</v>
      </c>
      <c r="D3667" t="str">
        <f t="shared" si="58"/>
        <v>IPSM3022</v>
      </c>
      <c r="E3667" t="s">
        <v>2933</v>
      </c>
    </row>
    <row r="3668" spans="1:5" x14ac:dyDescent="0.25">
      <c r="A3668">
        <v>2121</v>
      </c>
      <c r="B3668" t="s">
        <v>1741</v>
      </c>
      <c r="C3668" t="s">
        <v>2957</v>
      </c>
      <c r="D3668" t="str">
        <f t="shared" si="58"/>
        <v>IPSM3023</v>
      </c>
      <c r="E3668" t="s">
        <v>2958</v>
      </c>
    </row>
    <row r="3669" spans="1:5" x14ac:dyDescent="0.25">
      <c r="A3669">
        <v>2121</v>
      </c>
      <c r="B3669" t="s">
        <v>1741</v>
      </c>
      <c r="C3669" t="s">
        <v>441</v>
      </c>
      <c r="D3669" t="str">
        <f t="shared" si="58"/>
        <v>IPSM3024</v>
      </c>
      <c r="E3669" t="s">
        <v>2933</v>
      </c>
    </row>
    <row r="3670" spans="1:5" x14ac:dyDescent="0.25">
      <c r="A3670">
        <v>2121</v>
      </c>
      <c r="B3670" t="s">
        <v>1741</v>
      </c>
      <c r="C3670" t="s">
        <v>2959</v>
      </c>
      <c r="D3670" t="str">
        <f t="shared" si="58"/>
        <v>IPSM3025</v>
      </c>
      <c r="E3670" t="s">
        <v>2933</v>
      </c>
    </row>
    <row r="3671" spans="1:5" x14ac:dyDescent="0.25">
      <c r="A3671">
        <v>2121</v>
      </c>
      <c r="B3671" t="s">
        <v>1741</v>
      </c>
      <c r="C3671" t="s">
        <v>2960</v>
      </c>
      <c r="D3671" t="str">
        <f t="shared" si="58"/>
        <v>IPSM3026</v>
      </c>
      <c r="E3671" t="s">
        <v>2958</v>
      </c>
    </row>
    <row r="3672" spans="1:5" x14ac:dyDescent="0.25">
      <c r="A3672">
        <v>2121</v>
      </c>
      <c r="B3672" t="s">
        <v>1741</v>
      </c>
      <c r="C3672" t="s">
        <v>2961</v>
      </c>
      <c r="D3672" t="str">
        <f t="shared" si="58"/>
        <v>IPSM3027</v>
      </c>
      <c r="E3672" t="s">
        <v>2933</v>
      </c>
    </row>
    <row r="3673" spans="1:5" x14ac:dyDescent="0.25">
      <c r="A3673">
        <v>2121</v>
      </c>
      <c r="B3673" t="s">
        <v>1741</v>
      </c>
      <c r="C3673" t="s">
        <v>467</v>
      </c>
      <c r="D3673" t="str">
        <f t="shared" si="58"/>
        <v>IPSM3030</v>
      </c>
      <c r="E3673" t="s">
        <v>2933</v>
      </c>
    </row>
    <row r="3674" spans="1:5" x14ac:dyDescent="0.25">
      <c r="A3674">
        <v>2121</v>
      </c>
      <c r="B3674" t="s">
        <v>1741</v>
      </c>
      <c r="C3674" t="s">
        <v>2963</v>
      </c>
      <c r="D3674" t="str">
        <f t="shared" si="58"/>
        <v>IPSM3032</v>
      </c>
      <c r="E3674" t="s">
        <v>2933</v>
      </c>
    </row>
    <row r="3675" spans="1:5" x14ac:dyDescent="0.25">
      <c r="A3675">
        <v>2121</v>
      </c>
      <c r="B3675" t="s">
        <v>1741</v>
      </c>
      <c r="C3675" t="s">
        <v>3323</v>
      </c>
      <c r="D3675" t="str">
        <f t="shared" si="58"/>
        <v>IPSM3037</v>
      </c>
      <c r="E3675" t="s">
        <v>2944</v>
      </c>
    </row>
    <row r="3676" spans="1:5" x14ac:dyDescent="0.25">
      <c r="A3676">
        <v>2121</v>
      </c>
      <c r="B3676" t="s">
        <v>1741</v>
      </c>
      <c r="C3676" t="s">
        <v>487</v>
      </c>
      <c r="D3676" t="str">
        <f t="shared" si="58"/>
        <v>IPSM3040</v>
      </c>
      <c r="E3676" t="s">
        <v>2933</v>
      </c>
    </row>
    <row r="3677" spans="1:5" x14ac:dyDescent="0.25">
      <c r="A3677">
        <v>2121</v>
      </c>
      <c r="B3677" t="s">
        <v>1741</v>
      </c>
      <c r="C3677" t="s">
        <v>491</v>
      </c>
      <c r="D3677" t="str">
        <f t="shared" si="58"/>
        <v>IPSM3099</v>
      </c>
      <c r="E3677" t="s">
        <v>2933</v>
      </c>
    </row>
    <row r="3678" spans="1:5" x14ac:dyDescent="0.25">
      <c r="A3678">
        <v>2121</v>
      </c>
      <c r="B3678" t="s">
        <v>1741</v>
      </c>
      <c r="C3678" t="s">
        <v>2967</v>
      </c>
      <c r="D3678" t="str">
        <f t="shared" si="58"/>
        <v>IPSM3101</v>
      </c>
      <c r="E3678" t="s">
        <v>2968</v>
      </c>
    </row>
    <row r="3679" spans="1:5" x14ac:dyDescent="0.25">
      <c r="A3679">
        <v>2121</v>
      </c>
      <c r="B3679" t="s">
        <v>1741</v>
      </c>
      <c r="C3679" t="s">
        <v>54</v>
      </c>
      <c r="D3679" t="str">
        <f t="shared" si="58"/>
        <v>IPSM3301</v>
      </c>
      <c r="E3679" t="s">
        <v>44</v>
      </c>
    </row>
    <row r="3680" spans="1:5" x14ac:dyDescent="0.25">
      <c r="A3680">
        <v>2121</v>
      </c>
      <c r="B3680" t="s">
        <v>1741</v>
      </c>
      <c r="C3680" t="s">
        <v>2975</v>
      </c>
      <c r="D3680" t="str">
        <f t="shared" si="58"/>
        <v>IPSM3302</v>
      </c>
      <c r="E3680" t="s">
        <v>44</v>
      </c>
    </row>
    <row r="3681" spans="1:5" x14ac:dyDescent="0.25">
      <c r="A3681">
        <v>2121</v>
      </c>
      <c r="B3681" t="s">
        <v>1741</v>
      </c>
      <c r="C3681" t="s">
        <v>2977</v>
      </c>
      <c r="D3681" t="str">
        <f t="shared" si="58"/>
        <v>IPSM3304</v>
      </c>
      <c r="E3681" t="s">
        <v>44</v>
      </c>
    </row>
    <row r="3682" spans="1:5" x14ac:dyDescent="0.25">
      <c r="A3682">
        <v>2121</v>
      </c>
      <c r="B3682" t="s">
        <v>1741</v>
      </c>
      <c r="C3682" t="s">
        <v>309</v>
      </c>
      <c r="D3682" t="str">
        <f t="shared" si="58"/>
        <v>IPSM3305</v>
      </c>
      <c r="E3682" t="s">
        <v>2968</v>
      </c>
    </row>
    <row r="3683" spans="1:5" x14ac:dyDescent="0.25">
      <c r="A3683">
        <v>2121</v>
      </c>
      <c r="B3683" t="s">
        <v>1741</v>
      </c>
      <c r="C3683" t="s">
        <v>3201</v>
      </c>
      <c r="D3683" t="str">
        <f t="shared" si="58"/>
        <v>IPSM3502</v>
      </c>
      <c r="E3683" t="s">
        <v>1660</v>
      </c>
    </row>
    <row r="3684" spans="1:5" x14ac:dyDescent="0.25">
      <c r="A3684">
        <v>2121</v>
      </c>
      <c r="B3684" t="s">
        <v>1741</v>
      </c>
      <c r="C3684" t="s">
        <v>3012</v>
      </c>
      <c r="D3684" t="str">
        <f t="shared" si="58"/>
        <v>IPSM3601</v>
      </c>
      <c r="E3684" t="s">
        <v>65</v>
      </c>
    </row>
    <row r="3685" spans="1:5" x14ac:dyDescent="0.25">
      <c r="A3685">
        <v>2121</v>
      </c>
      <c r="B3685" t="s">
        <v>1741</v>
      </c>
      <c r="C3685" t="s">
        <v>3018</v>
      </c>
      <c r="D3685" t="str">
        <f t="shared" si="58"/>
        <v>IPSM3608</v>
      </c>
      <c r="E3685" t="s">
        <v>2944</v>
      </c>
    </row>
    <row r="3686" spans="1:5" x14ac:dyDescent="0.25">
      <c r="A3686">
        <v>2121</v>
      </c>
      <c r="B3686" t="s">
        <v>1741</v>
      </c>
      <c r="C3686" t="s">
        <v>345</v>
      </c>
      <c r="D3686" t="str">
        <f t="shared" si="58"/>
        <v>IPSM3609</v>
      </c>
      <c r="E3686" t="s">
        <v>2968</v>
      </c>
    </row>
    <row r="3687" spans="1:5" x14ac:dyDescent="0.25">
      <c r="A3687">
        <v>2121</v>
      </c>
      <c r="B3687" t="s">
        <v>1741</v>
      </c>
      <c r="C3687" t="s">
        <v>2979</v>
      </c>
      <c r="D3687" t="str">
        <f t="shared" si="58"/>
        <v>IPSM3612</v>
      </c>
      <c r="E3687" t="s">
        <v>2968</v>
      </c>
    </row>
    <row r="3688" spans="1:5" x14ac:dyDescent="0.25">
      <c r="A3688">
        <v>2121</v>
      </c>
      <c r="B3688" t="s">
        <v>1741</v>
      </c>
      <c r="C3688" t="s">
        <v>3050</v>
      </c>
      <c r="D3688" t="str">
        <f t="shared" si="58"/>
        <v>IPSM3702</v>
      </c>
      <c r="E3688" t="s">
        <v>2981</v>
      </c>
    </row>
    <row r="3689" spans="1:5" x14ac:dyDescent="0.25">
      <c r="A3689">
        <v>2121</v>
      </c>
      <c r="B3689" t="s">
        <v>1741</v>
      </c>
      <c r="C3689" t="s">
        <v>2983</v>
      </c>
      <c r="D3689" t="str">
        <f t="shared" si="58"/>
        <v>IPSM3703</v>
      </c>
      <c r="E3689" t="s">
        <v>117</v>
      </c>
    </row>
    <row r="3690" spans="1:5" x14ac:dyDescent="0.25">
      <c r="A3690">
        <v>2121</v>
      </c>
      <c r="B3690" t="s">
        <v>1741</v>
      </c>
      <c r="C3690" t="s">
        <v>2985</v>
      </c>
      <c r="D3690" t="str">
        <f t="shared" si="58"/>
        <v>IPSM3704</v>
      </c>
      <c r="E3690" t="s">
        <v>117</v>
      </c>
    </row>
    <row r="3691" spans="1:5" x14ac:dyDescent="0.25">
      <c r="A3691">
        <v>2121</v>
      </c>
      <c r="B3691" t="s">
        <v>1741</v>
      </c>
      <c r="C3691" t="s">
        <v>2986</v>
      </c>
      <c r="D3691" t="str">
        <f t="shared" si="58"/>
        <v>IPSM3705</v>
      </c>
      <c r="E3691" t="s">
        <v>117</v>
      </c>
    </row>
    <row r="3692" spans="1:5" x14ac:dyDescent="0.25">
      <c r="A3692">
        <v>2121</v>
      </c>
      <c r="B3692" t="s">
        <v>1741</v>
      </c>
      <c r="C3692" t="s">
        <v>2988</v>
      </c>
      <c r="D3692" t="str">
        <f t="shared" si="58"/>
        <v>IPSM3903</v>
      </c>
      <c r="E3692" t="s">
        <v>2968</v>
      </c>
    </row>
    <row r="3693" spans="1:5" x14ac:dyDescent="0.25">
      <c r="A3693">
        <v>2121</v>
      </c>
      <c r="B3693" t="s">
        <v>1741</v>
      </c>
      <c r="C3693" t="s">
        <v>299</v>
      </c>
      <c r="D3693" t="str">
        <f t="shared" si="58"/>
        <v>IPSM3904</v>
      </c>
      <c r="E3693" t="s">
        <v>2968</v>
      </c>
    </row>
    <row r="3694" spans="1:5" x14ac:dyDescent="0.25">
      <c r="A3694">
        <v>2121</v>
      </c>
      <c r="B3694" t="s">
        <v>1741</v>
      </c>
      <c r="C3694" t="s">
        <v>2989</v>
      </c>
      <c r="D3694" t="str">
        <f t="shared" si="58"/>
        <v>IPSM3908</v>
      </c>
      <c r="E3694" t="s">
        <v>2968</v>
      </c>
    </row>
    <row r="3695" spans="1:5" x14ac:dyDescent="0.25">
      <c r="A3695">
        <v>2121</v>
      </c>
      <c r="B3695" t="s">
        <v>1741</v>
      </c>
      <c r="C3695" t="s">
        <v>346</v>
      </c>
      <c r="D3695" t="str">
        <f t="shared" si="58"/>
        <v>IPSM3910</v>
      </c>
      <c r="E3695" t="s">
        <v>2968</v>
      </c>
    </row>
    <row r="3696" spans="1:5" x14ac:dyDescent="0.25">
      <c r="A3696">
        <v>2121</v>
      </c>
      <c r="B3696" t="s">
        <v>1741</v>
      </c>
      <c r="C3696" t="s">
        <v>356</v>
      </c>
      <c r="D3696" t="str">
        <f t="shared" si="58"/>
        <v>IPSM3911</v>
      </c>
      <c r="E3696" t="s">
        <v>2968</v>
      </c>
    </row>
    <row r="3697" spans="1:5" x14ac:dyDescent="0.25">
      <c r="A3697">
        <v>2121</v>
      </c>
      <c r="B3697" t="s">
        <v>1741</v>
      </c>
      <c r="C3697" t="s">
        <v>2991</v>
      </c>
      <c r="D3697" t="str">
        <f t="shared" si="58"/>
        <v>IPSM3912</v>
      </c>
      <c r="E3697" t="s">
        <v>2992</v>
      </c>
    </row>
    <row r="3698" spans="1:5" x14ac:dyDescent="0.25">
      <c r="A3698">
        <v>2121</v>
      </c>
      <c r="B3698" t="s">
        <v>1741</v>
      </c>
      <c r="C3698" t="s">
        <v>2994</v>
      </c>
      <c r="D3698" t="str">
        <f t="shared" si="58"/>
        <v>IPSM3913</v>
      </c>
      <c r="E3698" t="s">
        <v>2992</v>
      </c>
    </row>
    <row r="3699" spans="1:5" x14ac:dyDescent="0.25">
      <c r="A3699">
        <v>2121</v>
      </c>
      <c r="B3699" t="s">
        <v>1741</v>
      </c>
      <c r="C3699" t="s">
        <v>384</v>
      </c>
      <c r="D3699" t="str">
        <f t="shared" si="58"/>
        <v>IPSM3915</v>
      </c>
      <c r="E3699" t="s">
        <v>2992</v>
      </c>
    </row>
    <row r="3700" spans="1:5" x14ac:dyDescent="0.25">
      <c r="A3700">
        <v>2121</v>
      </c>
      <c r="B3700" t="s">
        <v>1741</v>
      </c>
      <c r="C3700" t="s">
        <v>2996</v>
      </c>
      <c r="D3700" t="str">
        <f t="shared" si="58"/>
        <v>IPSM3917</v>
      </c>
      <c r="E3700" t="s">
        <v>2958</v>
      </c>
    </row>
    <row r="3701" spans="1:5" x14ac:dyDescent="0.25">
      <c r="A3701">
        <v>2121</v>
      </c>
      <c r="B3701" t="s">
        <v>1741</v>
      </c>
      <c r="C3701" t="s">
        <v>2998</v>
      </c>
      <c r="D3701" t="str">
        <f t="shared" si="58"/>
        <v>IPSM3918</v>
      </c>
      <c r="E3701" t="s">
        <v>2958</v>
      </c>
    </row>
    <row r="3702" spans="1:5" x14ac:dyDescent="0.25">
      <c r="A3702">
        <v>2121</v>
      </c>
      <c r="B3702" t="s">
        <v>1741</v>
      </c>
      <c r="C3702" t="s">
        <v>3000</v>
      </c>
      <c r="D3702" t="str">
        <f t="shared" si="58"/>
        <v>IPSM3919</v>
      </c>
      <c r="E3702" t="s">
        <v>3001</v>
      </c>
    </row>
    <row r="3703" spans="1:5" x14ac:dyDescent="0.25">
      <c r="A3703">
        <v>2121</v>
      </c>
      <c r="B3703" t="s">
        <v>1741</v>
      </c>
      <c r="C3703" t="s">
        <v>3002</v>
      </c>
      <c r="D3703" t="str">
        <f t="shared" si="58"/>
        <v>IPSM3921</v>
      </c>
      <c r="E3703" t="s">
        <v>3001</v>
      </c>
    </row>
    <row r="3704" spans="1:5" x14ac:dyDescent="0.25">
      <c r="A3704">
        <v>2121</v>
      </c>
      <c r="B3704" t="s">
        <v>1741</v>
      </c>
      <c r="C3704" t="s">
        <v>3003</v>
      </c>
      <c r="D3704" t="str">
        <f t="shared" si="58"/>
        <v>IPSM3922</v>
      </c>
      <c r="E3704" t="s">
        <v>2954</v>
      </c>
    </row>
    <row r="3705" spans="1:5" x14ac:dyDescent="0.25">
      <c r="A3705">
        <v>2121</v>
      </c>
      <c r="B3705" t="s">
        <v>1741</v>
      </c>
      <c r="C3705" t="s">
        <v>428</v>
      </c>
      <c r="D3705" t="str">
        <f t="shared" si="58"/>
        <v>IPSM3923</v>
      </c>
      <c r="E3705" t="s">
        <v>2968</v>
      </c>
    </row>
    <row r="3706" spans="1:5" x14ac:dyDescent="0.25">
      <c r="A3706">
        <v>2121</v>
      </c>
      <c r="B3706" t="s">
        <v>1741</v>
      </c>
      <c r="C3706" t="s">
        <v>566</v>
      </c>
      <c r="D3706" t="str">
        <f t="shared" si="58"/>
        <v>IPSM3924</v>
      </c>
      <c r="E3706" t="s">
        <v>3004</v>
      </c>
    </row>
    <row r="3707" spans="1:5" x14ac:dyDescent="0.25">
      <c r="A3707">
        <v>2121</v>
      </c>
      <c r="B3707" t="s">
        <v>1741</v>
      </c>
      <c r="C3707" t="s">
        <v>438</v>
      </c>
      <c r="D3707" t="str">
        <f t="shared" si="58"/>
        <v>IPSM3925</v>
      </c>
      <c r="E3707" t="s">
        <v>2968</v>
      </c>
    </row>
    <row r="3708" spans="1:5" x14ac:dyDescent="0.25">
      <c r="A3708">
        <v>2121</v>
      </c>
      <c r="B3708" t="s">
        <v>1741</v>
      </c>
      <c r="C3708" t="s">
        <v>443</v>
      </c>
      <c r="D3708" t="str">
        <f t="shared" si="58"/>
        <v>IPSM3926</v>
      </c>
      <c r="E3708" t="s">
        <v>3006</v>
      </c>
    </row>
    <row r="3709" spans="1:5" x14ac:dyDescent="0.25">
      <c r="A3709">
        <v>2121</v>
      </c>
      <c r="B3709" t="s">
        <v>1741</v>
      </c>
      <c r="C3709" t="s">
        <v>3008</v>
      </c>
      <c r="D3709" t="str">
        <f t="shared" si="58"/>
        <v>IPSM3927</v>
      </c>
      <c r="E3709" t="s">
        <v>3009</v>
      </c>
    </row>
    <row r="3710" spans="1:5" x14ac:dyDescent="0.25">
      <c r="A3710">
        <v>2121</v>
      </c>
      <c r="B3710" t="s">
        <v>1741</v>
      </c>
      <c r="C3710" t="s">
        <v>3011</v>
      </c>
      <c r="D3710" t="str">
        <f t="shared" si="58"/>
        <v>IPSM3929</v>
      </c>
      <c r="E3710" t="s">
        <v>2944</v>
      </c>
    </row>
    <row r="3711" spans="1:5" x14ac:dyDescent="0.25">
      <c r="A3711">
        <v>2121</v>
      </c>
      <c r="B3711" t="s">
        <v>1741</v>
      </c>
      <c r="C3711" t="s">
        <v>458</v>
      </c>
      <c r="D3711" t="str">
        <f t="shared" si="58"/>
        <v>IPSM3930</v>
      </c>
      <c r="E3711" t="s">
        <v>2968</v>
      </c>
    </row>
    <row r="3712" spans="1:5" x14ac:dyDescent="0.25">
      <c r="A3712">
        <v>2121</v>
      </c>
      <c r="B3712" t="s">
        <v>1741</v>
      </c>
      <c r="C3712" t="s">
        <v>1481</v>
      </c>
      <c r="D3712" t="str">
        <f t="shared" si="58"/>
        <v>IPSM3931</v>
      </c>
      <c r="E3712" t="s">
        <v>2968</v>
      </c>
    </row>
    <row r="3713" spans="1:5" x14ac:dyDescent="0.25">
      <c r="A3713">
        <v>2121</v>
      </c>
      <c r="B3713" t="s">
        <v>1741</v>
      </c>
      <c r="C3713" t="s">
        <v>3017</v>
      </c>
      <c r="D3713" t="str">
        <f t="shared" si="58"/>
        <v>IPSM3936</v>
      </c>
      <c r="E3713" t="s">
        <v>94</v>
      </c>
    </row>
    <row r="3714" spans="1:5" x14ac:dyDescent="0.25">
      <c r="A3714">
        <v>2121</v>
      </c>
      <c r="B3714" t="s">
        <v>1741</v>
      </c>
      <c r="C3714" t="s">
        <v>3088</v>
      </c>
      <c r="D3714" t="str">
        <f t="shared" si="58"/>
        <v>IPSM3937</v>
      </c>
      <c r="E3714" t="s">
        <v>3107</v>
      </c>
    </row>
    <row r="3715" spans="1:5" x14ac:dyDescent="0.25">
      <c r="A3715">
        <v>2121</v>
      </c>
      <c r="B3715" t="s">
        <v>1741</v>
      </c>
      <c r="C3715" t="s">
        <v>3202</v>
      </c>
      <c r="D3715" t="str">
        <f t="shared" si="58"/>
        <v>IPSM3938</v>
      </c>
      <c r="E3715" t="s">
        <v>2968</v>
      </c>
    </row>
    <row r="3716" spans="1:5" x14ac:dyDescent="0.25">
      <c r="A3716">
        <v>2121</v>
      </c>
      <c r="B3716" t="s">
        <v>1741</v>
      </c>
      <c r="C3716" t="s">
        <v>3089</v>
      </c>
      <c r="D3716" t="str">
        <f t="shared" si="58"/>
        <v>IPSM3939</v>
      </c>
      <c r="E3716" t="s">
        <v>2968</v>
      </c>
    </row>
    <row r="3717" spans="1:5" x14ac:dyDescent="0.25">
      <c r="A3717">
        <v>2121</v>
      </c>
      <c r="B3717" t="s">
        <v>1741</v>
      </c>
      <c r="C3717" t="s">
        <v>3019</v>
      </c>
      <c r="D3717" t="str">
        <f t="shared" ref="D3717:D3780" si="59">CONCATENATE(B3717,LEFT(C3717,4))</f>
        <v>IPSM3940</v>
      </c>
      <c r="E3717" t="s">
        <v>3009</v>
      </c>
    </row>
    <row r="3718" spans="1:5" x14ac:dyDescent="0.25">
      <c r="A3718">
        <v>2121</v>
      </c>
      <c r="B3718" t="s">
        <v>1741</v>
      </c>
      <c r="C3718" t="s">
        <v>3020</v>
      </c>
      <c r="D3718" t="str">
        <f t="shared" si="59"/>
        <v>IPSM3943</v>
      </c>
      <c r="E3718" t="s">
        <v>2958</v>
      </c>
    </row>
    <row r="3719" spans="1:5" x14ac:dyDescent="0.25">
      <c r="A3719">
        <v>2121</v>
      </c>
      <c r="B3719" t="s">
        <v>1741</v>
      </c>
      <c r="C3719" t="s">
        <v>492</v>
      </c>
      <c r="D3719" t="str">
        <f t="shared" si="59"/>
        <v>IPSM3948</v>
      </c>
      <c r="E3719" t="s">
        <v>3004</v>
      </c>
    </row>
    <row r="3720" spans="1:5" x14ac:dyDescent="0.25">
      <c r="A3720">
        <v>2121</v>
      </c>
      <c r="B3720" t="s">
        <v>1741</v>
      </c>
      <c r="C3720" t="s">
        <v>498</v>
      </c>
      <c r="D3720" t="str">
        <f t="shared" si="59"/>
        <v>IPSM3955</v>
      </c>
      <c r="E3720" t="s">
        <v>2968</v>
      </c>
    </row>
    <row r="3721" spans="1:5" x14ac:dyDescent="0.25">
      <c r="A3721">
        <v>2121</v>
      </c>
      <c r="B3721" t="s">
        <v>1741</v>
      </c>
      <c r="C3721" t="s">
        <v>3027</v>
      </c>
      <c r="D3721" t="str">
        <f t="shared" si="59"/>
        <v>IPSM3961</v>
      </c>
      <c r="E3721" t="s">
        <v>2981</v>
      </c>
    </row>
    <row r="3722" spans="1:5" x14ac:dyDescent="0.25">
      <c r="A3722">
        <v>2121</v>
      </c>
      <c r="B3722" t="s">
        <v>1741</v>
      </c>
      <c r="C3722" t="s">
        <v>3104</v>
      </c>
      <c r="D3722" t="str">
        <f t="shared" si="59"/>
        <v>IPSM3964</v>
      </c>
      <c r="E3722" t="s">
        <v>2968</v>
      </c>
    </row>
    <row r="3723" spans="1:5" x14ac:dyDescent="0.25">
      <c r="A3723">
        <v>2121</v>
      </c>
      <c r="B3723" t="s">
        <v>1741</v>
      </c>
      <c r="C3723" t="s">
        <v>3246</v>
      </c>
      <c r="D3723" t="str">
        <f t="shared" si="59"/>
        <v>IPSM3975</v>
      </c>
      <c r="E3723" t="s">
        <v>2968</v>
      </c>
    </row>
    <row r="3724" spans="1:5" x14ac:dyDescent="0.25">
      <c r="A3724">
        <v>2121</v>
      </c>
      <c r="B3724" t="s">
        <v>1741</v>
      </c>
      <c r="C3724" t="s">
        <v>3036</v>
      </c>
      <c r="D3724" t="str">
        <f t="shared" si="59"/>
        <v>IPSM3987</v>
      </c>
      <c r="E3724" t="s">
        <v>2958</v>
      </c>
    </row>
    <row r="3725" spans="1:5" x14ac:dyDescent="0.25">
      <c r="A3725">
        <v>2121</v>
      </c>
      <c r="B3725" t="s">
        <v>1741</v>
      </c>
      <c r="C3725" t="s">
        <v>3227</v>
      </c>
      <c r="D3725" t="str">
        <f t="shared" si="59"/>
        <v>IPSM3998</v>
      </c>
      <c r="E3725" t="s">
        <v>2944</v>
      </c>
    </row>
    <row r="3726" spans="1:5" x14ac:dyDescent="0.25">
      <c r="A3726">
        <v>2121</v>
      </c>
      <c r="B3726" t="s">
        <v>1741</v>
      </c>
      <c r="C3726" t="s">
        <v>3040</v>
      </c>
      <c r="D3726" t="str">
        <f t="shared" si="59"/>
        <v>IPSM3999</v>
      </c>
      <c r="E3726" t="s">
        <v>2968</v>
      </c>
    </row>
    <row r="3727" spans="1:5" x14ac:dyDescent="0.25">
      <c r="A3727">
        <v>2121</v>
      </c>
      <c r="B3727" t="s">
        <v>1741</v>
      </c>
      <c r="C3727" t="s">
        <v>3041</v>
      </c>
      <c r="D3727" t="str">
        <f t="shared" si="59"/>
        <v>IPSM4002</v>
      </c>
      <c r="E3727" t="s">
        <v>3009</v>
      </c>
    </row>
    <row r="3728" spans="1:5" x14ac:dyDescent="0.25">
      <c r="A3728">
        <v>2121</v>
      </c>
      <c r="B3728" t="s">
        <v>1741</v>
      </c>
      <c r="C3728" t="s">
        <v>3043</v>
      </c>
      <c r="D3728" t="str">
        <f t="shared" si="59"/>
        <v>IPSM4003</v>
      </c>
      <c r="E3728" t="s">
        <v>94</v>
      </c>
    </row>
    <row r="3729" spans="1:5" x14ac:dyDescent="0.25">
      <c r="A3729">
        <v>2121</v>
      </c>
      <c r="B3729" t="s">
        <v>1741</v>
      </c>
      <c r="C3729" t="s">
        <v>3045</v>
      </c>
      <c r="D3729" t="str">
        <f t="shared" si="59"/>
        <v>IPSM4004</v>
      </c>
      <c r="E3729" t="s">
        <v>3009</v>
      </c>
    </row>
    <row r="3730" spans="1:5" x14ac:dyDescent="0.25">
      <c r="A3730">
        <v>2121</v>
      </c>
      <c r="B3730" t="s">
        <v>1741</v>
      </c>
      <c r="C3730" t="s">
        <v>3047</v>
      </c>
      <c r="D3730" t="str">
        <f t="shared" si="59"/>
        <v>IPSM4005</v>
      </c>
      <c r="E3730" t="s">
        <v>3009</v>
      </c>
    </row>
    <row r="3731" spans="1:5" x14ac:dyDescent="0.25">
      <c r="A3731">
        <v>2121</v>
      </c>
      <c r="B3731" t="s">
        <v>1741</v>
      </c>
      <c r="C3731" t="s">
        <v>813</v>
      </c>
      <c r="D3731" t="str">
        <f t="shared" si="59"/>
        <v>IPSM4006</v>
      </c>
      <c r="E3731" t="s">
        <v>3057</v>
      </c>
    </row>
    <row r="3732" spans="1:5" x14ac:dyDescent="0.25">
      <c r="A3732">
        <v>2121</v>
      </c>
      <c r="B3732" t="s">
        <v>1741</v>
      </c>
      <c r="C3732" t="s">
        <v>3048</v>
      </c>
      <c r="D3732" t="str">
        <f t="shared" si="59"/>
        <v>IPSM4701</v>
      </c>
      <c r="E3732" t="s">
        <v>3049</v>
      </c>
    </row>
    <row r="3733" spans="1:5" x14ac:dyDescent="0.25">
      <c r="A3733">
        <v>2121</v>
      </c>
      <c r="B3733" t="s">
        <v>1741</v>
      </c>
      <c r="C3733" t="s">
        <v>239</v>
      </c>
      <c r="D3733" t="str">
        <f t="shared" si="59"/>
        <v>IPSM4702</v>
      </c>
      <c r="E3733" t="s">
        <v>3049</v>
      </c>
    </row>
    <row r="3734" spans="1:5" x14ac:dyDescent="0.25">
      <c r="A3734">
        <v>2121</v>
      </c>
      <c r="B3734" t="s">
        <v>1741</v>
      </c>
      <c r="C3734" t="s">
        <v>316</v>
      </c>
      <c r="D3734" t="str">
        <f t="shared" si="59"/>
        <v>IPSM4706</v>
      </c>
      <c r="E3734" t="s">
        <v>3049</v>
      </c>
    </row>
    <row r="3735" spans="1:5" x14ac:dyDescent="0.25">
      <c r="A3735">
        <v>2121</v>
      </c>
      <c r="B3735" t="s">
        <v>1741</v>
      </c>
      <c r="C3735" t="s">
        <v>328</v>
      </c>
      <c r="D3735" t="str">
        <f t="shared" si="59"/>
        <v>IPSM4707</v>
      </c>
      <c r="E3735" t="s">
        <v>3049</v>
      </c>
    </row>
    <row r="3736" spans="1:5" x14ac:dyDescent="0.25">
      <c r="A3736">
        <v>2121</v>
      </c>
      <c r="B3736" t="s">
        <v>1741</v>
      </c>
      <c r="C3736" t="s">
        <v>338</v>
      </c>
      <c r="D3736" t="str">
        <f t="shared" si="59"/>
        <v>IPSM4708</v>
      </c>
      <c r="E3736" t="s">
        <v>3049</v>
      </c>
    </row>
    <row r="3737" spans="1:5" x14ac:dyDescent="0.25">
      <c r="A3737">
        <v>2121</v>
      </c>
      <c r="B3737" t="s">
        <v>1741</v>
      </c>
      <c r="C3737" t="s">
        <v>364</v>
      </c>
      <c r="D3737" t="str">
        <f t="shared" si="59"/>
        <v>IPSM4799</v>
      </c>
      <c r="E3737" t="s">
        <v>3049</v>
      </c>
    </row>
    <row r="3738" spans="1:5" x14ac:dyDescent="0.25">
      <c r="A3738">
        <v>2121</v>
      </c>
      <c r="B3738" t="s">
        <v>1741</v>
      </c>
      <c r="C3738" t="s">
        <v>3240</v>
      </c>
      <c r="D3738" t="str">
        <f t="shared" si="59"/>
        <v>IPSM4904</v>
      </c>
      <c r="E3738" t="s">
        <v>2926</v>
      </c>
    </row>
    <row r="3739" spans="1:5" x14ac:dyDescent="0.25">
      <c r="A3739">
        <v>2121</v>
      </c>
      <c r="B3739" t="s">
        <v>1741</v>
      </c>
      <c r="C3739" t="s">
        <v>3324</v>
      </c>
      <c r="D3739" t="str">
        <f t="shared" si="59"/>
        <v>IPSM4906</v>
      </c>
      <c r="E3739" t="s">
        <v>65</v>
      </c>
    </row>
    <row r="3740" spans="1:5" x14ac:dyDescent="0.25">
      <c r="A3740">
        <v>2121</v>
      </c>
      <c r="B3740" t="s">
        <v>1741</v>
      </c>
      <c r="C3740" t="s">
        <v>3054</v>
      </c>
      <c r="D3740" t="str">
        <f t="shared" si="59"/>
        <v>IPSM5204</v>
      </c>
      <c r="E3740" t="s">
        <v>3055</v>
      </c>
    </row>
    <row r="3741" spans="1:5" x14ac:dyDescent="0.25">
      <c r="A3741">
        <v>2121</v>
      </c>
      <c r="B3741" t="s">
        <v>1741</v>
      </c>
      <c r="C3741" t="s">
        <v>329</v>
      </c>
      <c r="D3741" t="str">
        <f t="shared" si="59"/>
        <v>IPSM5206</v>
      </c>
      <c r="E3741" t="s">
        <v>3057</v>
      </c>
    </row>
    <row r="3742" spans="1:5" x14ac:dyDescent="0.25">
      <c r="A3742">
        <v>2121</v>
      </c>
      <c r="B3742" t="s">
        <v>1741</v>
      </c>
      <c r="C3742" t="s">
        <v>3058</v>
      </c>
      <c r="D3742" t="str">
        <f t="shared" si="59"/>
        <v>IPSM5207</v>
      </c>
      <c r="E3742" t="s">
        <v>3057</v>
      </c>
    </row>
    <row r="3743" spans="1:5" x14ac:dyDescent="0.25">
      <c r="A3743">
        <v>2121</v>
      </c>
      <c r="B3743" t="s">
        <v>1741</v>
      </c>
      <c r="C3743" t="s">
        <v>3060</v>
      </c>
      <c r="D3743" t="str">
        <f t="shared" si="59"/>
        <v>IPSM5208</v>
      </c>
      <c r="E3743" t="s">
        <v>3057</v>
      </c>
    </row>
    <row r="3744" spans="1:5" x14ac:dyDescent="0.25">
      <c r="A3744">
        <v>2121</v>
      </c>
      <c r="B3744" t="s">
        <v>1741</v>
      </c>
      <c r="C3744" t="s">
        <v>359</v>
      </c>
      <c r="D3744" t="str">
        <f t="shared" si="59"/>
        <v>IPSM5209</v>
      </c>
      <c r="E3744" t="s">
        <v>3055</v>
      </c>
    </row>
    <row r="3745" spans="1:5" x14ac:dyDescent="0.25">
      <c r="A3745">
        <v>2121</v>
      </c>
      <c r="B3745" t="s">
        <v>1741</v>
      </c>
      <c r="C3745" t="s">
        <v>3063</v>
      </c>
      <c r="D3745" t="str">
        <f t="shared" si="59"/>
        <v>IPSM5210</v>
      </c>
      <c r="E3745" t="s">
        <v>3055</v>
      </c>
    </row>
    <row r="3746" spans="1:5" x14ac:dyDescent="0.25">
      <c r="A3746">
        <v>2121</v>
      </c>
      <c r="B3746" t="s">
        <v>1741</v>
      </c>
      <c r="C3746" t="s">
        <v>3064</v>
      </c>
      <c r="D3746" t="str">
        <f t="shared" si="59"/>
        <v>IPSM5212</v>
      </c>
      <c r="E3746" t="s">
        <v>3055</v>
      </c>
    </row>
    <row r="3747" spans="1:5" x14ac:dyDescent="0.25">
      <c r="A3747">
        <v>2121</v>
      </c>
      <c r="B3747" t="s">
        <v>1741</v>
      </c>
      <c r="C3747" t="s">
        <v>391</v>
      </c>
      <c r="D3747" t="str">
        <f t="shared" si="59"/>
        <v>IPSM5214</v>
      </c>
      <c r="E3747" t="s">
        <v>3055</v>
      </c>
    </row>
    <row r="3748" spans="1:5" x14ac:dyDescent="0.25">
      <c r="A3748">
        <v>2121</v>
      </c>
      <c r="B3748" t="s">
        <v>1741</v>
      </c>
      <c r="C3748" t="s">
        <v>409</v>
      </c>
      <c r="D3748" t="str">
        <f t="shared" si="59"/>
        <v>IPSM5217</v>
      </c>
      <c r="E3748" t="s">
        <v>3055</v>
      </c>
    </row>
    <row r="3749" spans="1:5" x14ac:dyDescent="0.25">
      <c r="A3749">
        <v>2121</v>
      </c>
      <c r="B3749" t="s">
        <v>1741</v>
      </c>
      <c r="C3749" t="s">
        <v>449</v>
      </c>
      <c r="D3749" t="str">
        <f t="shared" si="59"/>
        <v>IPSM5225</v>
      </c>
      <c r="E3749" t="s">
        <v>3055</v>
      </c>
    </row>
    <row r="3750" spans="1:5" x14ac:dyDescent="0.25">
      <c r="A3750">
        <v>2121</v>
      </c>
      <c r="B3750" t="s">
        <v>1741</v>
      </c>
      <c r="C3750" t="s">
        <v>3211</v>
      </c>
      <c r="D3750" t="str">
        <f t="shared" si="59"/>
        <v>IPSM9108</v>
      </c>
      <c r="E3750" t="s">
        <v>3212</v>
      </c>
    </row>
    <row r="3751" spans="1:5" x14ac:dyDescent="0.25">
      <c r="A3751">
        <v>2121</v>
      </c>
      <c r="B3751" t="s">
        <v>1741</v>
      </c>
      <c r="C3751" t="s">
        <v>3074</v>
      </c>
      <c r="D3751" t="str">
        <f t="shared" si="59"/>
        <v>IPSM9202</v>
      </c>
      <c r="E3751" t="s">
        <v>3075</v>
      </c>
    </row>
    <row r="3752" spans="1:5" x14ac:dyDescent="0.25">
      <c r="A3752">
        <v>2121</v>
      </c>
      <c r="B3752" t="s">
        <v>1741</v>
      </c>
      <c r="C3752" t="s">
        <v>250</v>
      </c>
      <c r="D3752" t="str">
        <f t="shared" si="59"/>
        <v>IPSM9301</v>
      </c>
      <c r="E3752" t="s">
        <v>2968</v>
      </c>
    </row>
    <row r="3753" spans="1:5" x14ac:dyDescent="0.25">
      <c r="A3753">
        <v>2121</v>
      </c>
      <c r="B3753" t="s">
        <v>1741</v>
      </c>
      <c r="C3753" t="s">
        <v>367</v>
      </c>
      <c r="D3753" t="str">
        <f t="shared" si="59"/>
        <v>IPSM9310</v>
      </c>
      <c r="E3753" t="s">
        <v>2968</v>
      </c>
    </row>
    <row r="3754" spans="1:5" x14ac:dyDescent="0.25">
      <c r="A3754">
        <v>2121</v>
      </c>
      <c r="B3754" t="s">
        <v>1741</v>
      </c>
      <c r="C3754" t="s">
        <v>386</v>
      </c>
      <c r="D3754" t="str">
        <f t="shared" si="59"/>
        <v>IPSM9313</v>
      </c>
      <c r="E3754" t="s">
        <v>2944</v>
      </c>
    </row>
    <row r="3755" spans="1:5" x14ac:dyDescent="0.25">
      <c r="A3755">
        <v>2121</v>
      </c>
      <c r="B3755" t="s">
        <v>1741</v>
      </c>
      <c r="C3755" t="s">
        <v>3079</v>
      </c>
      <c r="D3755" t="str">
        <f t="shared" si="59"/>
        <v>IPSM9399</v>
      </c>
      <c r="E3755" t="s">
        <v>2968</v>
      </c>
    </row>
    <row r="3756" spans="1:5" x14ac:dyDescent="0.25">
      <c r="A3756">
        <v>2121</v>
      </c>
      <c r="B3756" t="s">
        <v>1741</v>
      </c>
      <c r="C3756" t="s">
        <v>3298</v>
      </c>
      <c r="D3756" t="str">
        <f t="shared" si="59"/>
        <v>IPSM9701</v>
      </c>
      <c r="E3756" t="s">
        <v>2968</v>
      </c>
    </row>
    <row r="3757" spans="1:5" x14ac:dyDescent="0.25">
      <c r="A3757">
        <v>2151</v>
      </c>
      <c r="B3757" t="s">
        <v>1724</v>
      </c>
      <c r="C3757" t="s">
        <v>2925</v>
      </c>
      <c r="D3757" t="str">
        <f t="shared" si="59"/>
        <v>FHA0810</v>
      </c>
      <c r="E3757" t="s">
        <v>2926</v>
      </c>
    </row>
    <row r="3758" spans="1:5" x14ac:dyDescent="0.25">
      <c r="A3758">
        <v>2151</v>
      </c>
      <c r="B3758" t="s">
        <v>1724</v>
      </c>
      <c r="C3758" t="s">
        <v>332</v>
      </c>
      <c r="D3758" t="str">
        <f t="shared" si="59"/>
        <v>FHA1314</v>
      </c>
      <c r="E3758" t="s">
        <v>3081</v>
      </c>
    </row>
    <row r="3759" spans="1:5" x14ac:dyDescent="0.25">
      <c r="A3759">
        <v>2151</v>
      </c>
      <c r="B3759" t="s">
        <v>1724</v>
      </c>
      <c r="C3759" t="s">
        <v>2942</v>
      </c>
      <c r="D3759" t="str">
        <f t="shared" si="59"/>
        <v>FHA1317</v>
      </c>
      <c r="E3759" t="s">
        <v>3081</v>
      </c>
    </row>
    <row r="3760" spans="1:5" x14ac:dyDescent="0.25">
      <c r="A3760">
        <v>2151</v>
      </c>
      <c r="B3760" t="s">
        <v>1724</v>
      </c>
      <c r="C3760" t="s">
        <v>399</v>
      </c>
      <c r="D3760" t="str">
        <f t="shared" si="59"/>
        <v>FHA1325</v>
      </c>
      <c r="E3760" t="s">
        <v>3081</v>
      </c>
    </row>
    <row r="3761" spans="1:5" x14ac:dyDescent="0.25">
      <c r="A3761">
        <v>2151</v>
      </c>
      <c r="B3761" t="s">
        <v>1724</v>
      </c>
      <c r="C3761" t="s">
        <v>2928</v>
      </c>
      <c r="D3761" t="str">
        <f t="shared" si="59"/>
        <v>FHA1401</v>
      </c>
      <c r="E3761" t="s">
        <v>44</v>
      </c>
    </row>
    <row r="3762" spans="1:5" x14ac:dyDescent="0.25">
      <c r="A3762">
        <v>2151</v>
      </c>
      <c r="B3762" t="s">
        <v>1724</v>
      </c>
      <c r="C3762" t="s">
        <v>222</v>
      </c>
      <c r="D3762" t="str">
        <f t="shared" si="59"/>
        <v>FHA1801</v>
      </c>
      <c r="E3762" t="s">
        <v>3230</v>
      </c>
    </row>
    <row r="3763" spans="1:5" x14ac:dyDescent="0.25">
      <c r="A3763">
        <v>2151</v>
      </c>
      <c r="B3763" t="s">
        <v>1724</v>
      </c>
      <c r="C3763" t="s">
        <v>2932</v>
      </c>
      <c r="D3763" t="str">
        <f t="shared" si="59"/>
        <v>FHA3001</v>
      </c>
      <c r="E3763" t="s">
        <v>2933</v>
      </c>
    </row>
    <row r="3764" spans="1:5" x14ac:dyDescent="0.25">
      <c r="A3764">
        <v>2151</v>
      </c>
      <c r="B3764" t="s">
        <v>1724</v>
      </c>
      <c r="C3764" t="s">
        <v>256</v>
      </c>
      <c r="D3764" t="str">
        <f t="shared" si="59"/>
        <v>FHA3002</v>
      </c>
      <c r="E3764" t="s">
        <v>2933</v>
      </c>
    </row>
    <row r="3765" spans="1:5" x14ac:dyDescent="0.25">
      <c r="A3765">
        <v>2151</v>
      </c>
      <c r="B3765" t="s">
        <v>1724</v>
      </c>
      <c r="C3765" t="s">
        <v>979</v>
      </c>
      <c r="D3765" t="str">
        <f t="shared" si="59"/>
        <v>FHA3003</v>
      </c>
      <c r="E3765" t="s">
        <v>2933</v>
      </c>
    </row>
    <row r="3766" spans="1:5" x14ac:dyDescent="0.25">
      <c r="A3766">
        <v>2151</v>
      </c>
      <c r="B3766" t="s">
        <v>1724</v>
      </c>
      <c r="C3766" t="s">
        <v>2937</v>
      </c>
      <c r="D3766" t="str">
        <f t="shared" si="59"/>
        <v>FHA3004</v>
      </c>
      <c r="E3766" t="s">
        <v>2933</v>
      </c>
    </row>
    <row r="3767" spans="1:5" x14ac:dyDescent="0.25">
      <c r="A3767">
        <v>2151</v>
      </c>
      <c r="B3767" t="s">
        <v>1724</v>
      </c>
      <c r="C3767" t="s">
        <v>2939</v>
      </c>
      <c r="D3767" t="str">
        <f t="shared" si="59"/>
        <v>FHA3005</v>
      </c>
      <c r="E3767" t="s">
        <v>2933</v>
      </c>
    </row>
    <row r="3768" spans="1:5" x14ac:dyDescent="0.25">
      <c r="A3768">
        <v>2151</v>
      </c>
      <c r="B3768" t="s">
        <v>1724</v>
      </c>
      <c r="C3768" t="s">
        <v>323</v>
      </c>
      <c r="D3768" t="str">
        <f t="shared" si="59"/>
        <v>FHA3006</v>
      </c>
      <c r="E3768" t="s">
        <v>2933</v>
      </c>
    </row>
    <row r="3769" spans="1:5" x14ac:dyDescent="0.25">
      <c r="A3769">
        <v>2151</v>
      </c>
      <c r="B3769" t="s">
        <v>1724</v>
      </c>
      <c r="C3769" t="s">
        <v>333</v>
      </c>
      <c r="D3769" t="str">
        <f t="shared" si="59"/>
        <v>FHA3007</v>
      </c>
      <c r="E3769" t="s">
        <v>2933</v>
      </c>
    </row>
    <row r="3770" spans="1:5" x14ac:dyDescent="0.25">
      <c r="A3770">
        <v>2151</v>
      </c>
      <c r="B3770" t="s">
        <v>1724</v>
      </c>
      <c r="C3770" t="s">
        <v>2941</v>
      </c>
      <c r="D3770" t="str">
        <f t="shared" si="59"/>
        <v>FHA3008</v>
      </c>
      <c r="E3770" t="s">
        <v>2933</v>
      </c>
    </row>
    <row r="3771" spans="1:5" x14ac:dyDescent="0.25">
      <c r="A3771">
        <v>2151</v>
      </c>
      <c r="B3771" t="s">
        <v>1724</v>
      </c>
      <c r="C3771" t="s">
        <v>2943</v>
      </c>
      <c r="D3771" t="str">
        <f t="shared" si="59"/>
        <v>FHA3010</v>
      </c>
      <c r="E3771" t="s">
        <v>2944</v>
      </c>
    </row>
    <row r="3772" spans="1:5" x14ac:dyDescent="0.25">
      <c r="A3772">
        <v>2151</v>
      </c>
      <c r="B3772" t="s">
        <v>1724</v>
      </c>
      <c r="C3772" t="s">
        <v>138</v>
      </c>
      <c r="D3772" t="str">
        <f t="shared" si="59"/>
        <v>FHA3012</v>
      </c>
      <c r="E3772" t="s">
        <v>2944</v>
      </c>
    </row>
    <row r="3773" spans="1:5" x14ac:dyDescent="0.25">
      <c r="A3773">
        <v>2151</v>
      </c>
      <c r="B3773" t="s">
        <v>1724</v>
      </c>
      <c r="C3773" t="s">
        <v>2946</v>
      </c>
      <c r="D3773" t="str">
        <f t="shared" si="59"/>
        <v>FHA3013</v>
      </c>
      <c r="E3773" t="s">
        <v>2933</v>
      </c>
    </row>
    <row r="3774" spans="1:5" x14ac:dyDescent="0.25">
      <c r="A3774">
        <v>2151</v>
      </c>
      <c r="B3774" t="s">
        <v>1724</v>
      </c>
      <c r="C3774" t="s">
        <v>2948</v>
      </c>
      <c r="D3774" t="str">
        <f t="shared" si="59"/>
        <v>FHA3015</v>
      </c>
      <c r="E3774" t="s">
        <v>2933</v>
      </c>
    </row>
    <row r="3775" spans="1:5" x14ac:dyDescent="0.25">
      <c r="A3775">
        <v>2151</v>
      </c>
      <c r="B3775" t="s">
        <v>1724</v>
      </c>
      <c r="C3775" t="s">
        <v>2950</v>
      </c>
      <c r="D3775" t="str">
        <f t="shared" si="59"/>
        <v>FHA3016</v>
      </c>
      <c r="E3775" t="s">
        <v>2933</v>
      </c>
    </row>
    <row r="3776" spans="1:5" x14ac:dyDescent="0.25">
      <c r="A3776">
        <v>2151</v>
      </c>
      <c r="B3776" t="s">
        <v>1724</v>
      </c>
      <c r="C3776" t="s">
        <v>406</v>
      </c>
      <c r="D3776" t="str">
        <f t="shared" si="59"/>
        <v>FHA3017</v>
      </c>
      <c r="E3776" t="s">
        <v>2933</v>
      </c>
    </row>
    <row r="3777" spans="1:5" x14ac:dyDescent="0.25">
      <c r="A3777">
        <v>2151</v>
      </c>
      <c r="B3777" t="s">
        <v>1724</v>
      </c>
      <c r="C3777" t="s">
        <v>411</v>
      </c>
      <c r="D3777" t="str">
        <f t="shared" si="59"/>
        <v>FHA3018</v>
      </c>
      <c r="E3777" t="s">
        <v>2933</v>
      </c>
    </row>
    <row r="3778" spans="1:5" x14ac:dyDescent="0.25">
      <c r="A3778">
        <v>2151</v>
      </c>
      <c r="B3778" t="s">
        <v>1724</v>
      </c>
      <c r="C3778" t="s">
        <v>2953</v>
      </c>
      <c r="D3778" t="str">
        <f t="shared" si="59"/>
        <v>FHA3019</v>
      </c>
      <c r="E3778" t="s">
        <v>2954</v>
      </c>
    </row>
    <row r="3779" spans="1:5" x14ac:dyDescent="0.25">
      <c r="A3779">
        <v>2151</v>
      </c>
      <c r="B3779" t="s">
        <v>1724</v>
      </c>
      <c r="C3779" t="s">
        <v>2955</v>
      </c>
      <c r="D3779" t="str">
        <f t="shared" si="59"/>
        <v>FHA3020</v>
      </c>
      <c r="E3779" t="s">
        <v>2933</v>
      </c>
    </row>
    <row r="3780" spans="1:5" x14ac:dyDescent="0.25">
      <c r="A3780">
        <v>2151</v>
      </c>
      <c r="B3780" t="s">
        <v>1724</v>
      </c>
      <c r="C3780" t="s">
        <v>2956</v>
      </c>
      <c r="D3780" t="str">
        <f t="shared" si="59"/>
        <v>FHA3021</v>
      </c>
      <c r="E3780" t="s">
        <v>2933</v>
      </c>
    </row>
    <row r="3781" spans="1:5" x14ac:dyDescent="0.25">
      <c r="A3781">
        <v>2151</v>
      </c>
      <c r="B3781" t="s">
        <v>1724</v>
      </c>
      <c r="C3781" t="s">
        <v>431</v>
      </c>
      <c r="D3781" t="str">
        <f t="shared" ref="D3781:D3844" si="60">CONCATENATE(B3781,LEFT(C3781,4))</f>
        <v>FHA3022</v>
      </c>
      <c r="E3781" t="s">
        <v>2933</v>
      </c>
    </row>
    <row r="3782" spans="1:5" x14ac:dyDescent="0.25">
      <c r="A3782">
        <v>2151</v>
      </c>
      <c r="B3782" t="s">
        <v>1724</v>
      </c>
      <c r="C3782" t="s">
        <v>441</v>
      </c>
      <c r="D3782" t="str">
        <f t="shared" si="60"/>
        <v>FHA3024</v>
      </c>
      <c r="E3782" t="s">
        <v>2933</v>
      </c>
    </row>
    <row r="3783" spans="1:5" x14ac:dyDescent="0.25">
      <c r="A3783">
        <v>2151</v>
      </c>
      <c r="B3783" t="s">
        <v>1724</v>
      </c>
      <c r="C3783" t="s">
        <v>2959</v>
      </c>
      <c r="D3783" t="str">
        <f t="shared" si="60"/>
        <v>FHA3025</v>
      </c>
      <c r="E3783" t="s">
        <v>2933</v>
      </c>
    </row>
    <row r="3784" spans="1:5" x14ac:dyDescent="0.25">
      <c r="A3784">
        <v>2151</v>
      </c>
      <c r="B3784" t="s">
        <v>1724</v>
      </c>
      <c r="C3784" t="s">
        <v>2960</v>
      </c>
      <c r="D3784" t="str">
        <f t="shared" si="60"/>
        <v>FHA3026</v>
      </c>
      <c r="E3784" t="s">
        <v>2958</v>
      </c>
    </row>
    <row r="3785" spans="1:5" x14ac:dyDescent="0.25">
      <c r="A3785">
        <v>2151</v>
      </c>
      <c r="B3785" t="s">
        <v>1724</v>
      </c>
      <c r="C3785" t="s">
        <v>2961</v>
      </c>
      <c r="D3785" t="str">
        <f t="shared" si="60"/>
        <v>FHA3027</v>
      </c>
      <c r="E3785" t="s">
        <v>2933</v>
      </c>
    </row>
    <row r="3786" spans="1:5" x14ac:dyDescent="0.25">
      <c r="A3786">
        <v>2151</v>
      </c>
      <c r="B3786" t="s">
        <v>1724</v>
      </c>
      <c r="C3786" t="s">
        <v>2984</v>
      </c>
      <c r="D3786" t="str">
        <f t="shared" si="60"/>
        <v>FHA3029</v>
      </c>
      <c r="E3786" t="s">
        <v>2933</v>
      </c>
    </row>
    <row r="3787" spans="1:5" x14ac:dyDescent="0.25">
      <c r="A3787">
        <v>2151</v>
      </c>
      <c r="B3787" t="s">
        <v>1724</v>
      </c>
      <c r="C3787" t="s">
        <v>467</v>
      </c>
      <c r="D3787" t="str">
        <f t="shared" si="60"/>
        <v>FHA3030</v>
      </c>
      <c r="E3787" t="s">
        <v>2933</v>
      </c>
    </row>
    <row r="3788" spans="1:5" x14ac:dyDescent="0.25">
      <c r="A3788">
        <v>2151</v>
      </c>
      <c r="B3788" t="s">
        <v>1724</v>
      </c>
      <c r="C3788" t="s">
        <v>2963</v>
      </c>
      <c r="D3788" t="str">
        <f t="shared" si="60"/>
        <v>FHA3032</v>
      </c>
      <c r="E3788" t="s">
        <v>2933</v>
      </c>
    </row>
    <row r="3789" spans="1:5" x14ac:dyDescent="0.25">
      <c r="A3789">
        <v>2151</v>
      </c>
      <c r="B3789" t="s">
        <v>1724</v>
      </c>
      <c r="C3789" t="s">
        <v>3242</v>
      </c>
      <c r="D3789" t="str">
        <f t="shared" si="60"/>
        <v>FHA3036</v>
      </c>
      <c r="E3789" t="s">
        <v>2933</v>
      </c>
    </row>
    <row r="3790" spans="1:5" x14ac:dyDescent="0.25">
      <c r="A3790">
        <v>2151</v>
      </c>
      <c r="B3790" t="s">
        <v>1724</v>
      </c>
      <c r="C3790" t="s">
        <v>485</v>
      </c>
      <c r="D3790" t="str">
        <f t="shared" si="60"/>
        <v>FHA3039</v>
      </c>
      <c r="E3790" t="s">
        <v>2933</v>
      </c>
    </row>
    <row r="3791" spans="1:5" x14ac:dyDescent="0.25">
      <c r="A3791">
        <v>2151</v>
      </c>
      <c r="B3791" t="s">
        <v>1724</v>
      </c>
      <c r="C3791" t="s">
        <v>487</v>
      </c>
      <c r="D3791" t="str">
        <f t="shared" si="60"/>
        <v>FHA3040</v>
      </c>
      <c r="E3791" t="s">
        <v>2933</v>
      </c>
    </row>
    <row r="3792" spans="1:5" x14ac:dyDescent="0.25">
      <c r="A3792">
        <v>2151</v>
      </c>
      <c r="B3792" t="s">
        <v>1724</v>
      </c>
      <c r="C3792" t="s">
        <v>2993</v>
      </c>
      <c r="D3792" t="str">
        <f t="shared" si="60"/>
        <v>FHA3041</v>
      </c>
      <c r="E3792" t="s">
        <v>2968</v>
      </c>
    </row>
    <row r="3793" spans="1:5" x14ac:dyDescent="0.25">
      <c r="A3793">
        <v>2151</v>
      </c>
      <c r="B3793" t="s">
        <v>1724</v>
      </c>
      <c r="C3793" t="s">
        <v>491</v>
      </c>
      <c r="D3793" t="str">
        <f t="shared" si="60"/>
        <v>FHA3099</v>
      </c>
      <c r="E3793" t="s">
        <v>2933</v>
      </c>
    </row>
    <row r="3794" spans="1:5" x14ac:dyDescent="0.25">
      <c r="A3794">
        <v>2151</v>
      </c>
      <c r="B3794" t="s">
        <v>1724</v>
      </c>
      <c r="C3794" t="s">
        <v>2967</v>
      </c>
      <c r="D3794" t="str">
        <f t="shared" si="60"/>
        <v>FHA3101</v>
      </c>
      <c r="E3794" t="s">
        <v>2968</v>
      </c>
    </row>
    <row r="3795" spans="1:5" x14ac:dyDescent="0.25">
      <c r="A3795">
        <v>2151</v>
      </c>
      <c r="B3795" t="s">
        <v>1724</v>
      </c>
      <c r="C3795" t="s">
        <v>2971</v>
      </c>
      <c r="D3795" t="str">
        <f t="shared" si="60"/>
        <v>FHA3202</v>
      </c>
      <c r="E3795" t="s">
        <v>2968</v>
      </c>
    </row>
    <row r="3796" spans="1:5" x14ac:dyDescent="0.25">
      <c r="A3796">
        <v>2151</v>
      </c>
      <c r="B3796" t="s">
        <v>1724</v>
      </c>
      <c r="C3796" t="s">
        <v>54</v>
      </c>
      <c r="D3796" t="str">
        <f t="shared" si="60"/>
        <v>FHA3301</v>
      </c>
      <c r="E3796" t="s">
        <v>44</v>
      </c>
    </row>
    <row r="3797" spans="1:5" x14ac:dyDescent="0.25">
      <c r="A3797">
        <v>2151</v>
      </c>
      <c r="B3797" t="s">
        <v>1724</v>
      </c>
      <c r="C3797" t="s">
        <v>2975</v>
      </c>
      <c r="D3797" t="str">
        <f t="shared" si="60"/>
        <v>FHA3302</v>
      </c>
      <c r="E3797" t="s">
        <v>44</v>
      </c>
    </row>
    <row r="3798" spans="1:5" x14ac:dyDescent="0.25">
      <c r="A3798">
        <v>2151</v>
      </c>
      <c r="B3798" t="s">
        <v>1724</v>
      </c>
      <c r="C3798" t="s">
        <v>2977</v>
      </c>
      <c r="D3798" t="str">
        <f t="shared" si="60"/>
        <v>FHA3304</v>
      </c>
      <c r="E3798" t="s">
        <v>44</v>
      </c>
    </row>
    <row r="3799" spans="1:5" x14ac:dyDescent="0.25">
      <c r="A3799">
        <v>2151</v>
      </c>
      <c r="B3799" t="s">
        <v>1724</v>
      </c>
      <c r="C3799" t="s">
        <v>309</v>
      </c>
      <c r="D3799" t="str">
        <f t="shared" si="60"/>
        <v>FHA3305</v>
      </c>
      <c r="E3799" t="s">
        <v>44</v>
      </c>
    </row>
    <row r="3800" spans="1:5" x14ac:dyDescent="0.25">
      <c r="A3800">
        <v>2151</v>
      </c>
      <c r="B3800" t="s">
        <v>1724</v>
      </c>
      <c r="C3800" t="s">
        <v>280</v>
      </c>
      <c r="D3800" t="str">
        <f t="shared" si="60"/>
        <v>FHA3403</v>
      </c>
      <c r="E3800" t="s">
        <v>3081</v>
      </c>
    </row>
    <row r="3801" spans="1:5" x14ac:dyDescent="0.25">
      <c r="A3801">
        <v>2151</v>
      </c>
      <c r="B3801" t="s">
        <v>1724</v>
      </c>
      <c r="C3801" t="s">
        <v>3201</v>
      </c>
      <c r="D3801" t="str">
        <f t="shared" si="60"/>
        <v>FHA3502</v>
      </c>
      <c r="E3801" t="s">
        <v>1660</v>
      </c>
    </row>
    <row r="3802" spans="1:5" x14ac:dyDescent="0.25">
      <c r="A3802">
        <v>2151</v>
      </c>
      <c r="B3802" t="s">
        <v>1724</v>
      </c>
      <c r="C3802" t="s">
        <v>3012</v>
      </c>
      <c r="D3802" t="str">
        <f t="shared" si="60"/>
        <v>FHA3601</v>
      </c>
      <c r="E3802" t="s">
        <v>65</v>
      </c>
    </row>
    <row r="3803" spans="1:5" x14ac:dyDescent="0.25">
      <c r="A3803">
        <v>2151</v>
      </c>
      <c r="B3803" t="s">
        <v>1724</v>
      </c>
      <c r="C3803" t="s">
        <v>297</v>
      </c>
      <c r="D3803" t="str">
        <f t="shared" si="60"/>
        <v>FHA3604</v>
      </c>
      <c r="E3803" t="s">
        <v>44</v>
      </c>
    </row>
    <row r="3804" spans="1:5" x14ac:dyDescent="0.25">
      <c r="A3804">
        <v>2151</v>
      </c>
      <c r="B3804" t="s">
        <v>1724</v>
      </c>
      <c r="C3804" t="s">
        <v>3234</v>
      </c>
      <c r="D3804" t="str">
        <f t="shared" si="60"/>
        <v>FHA3605</v>
      </c>
      <c r="E3804" t="s">
        <v>2968</v>
      </c>
    </row>
    <row r="3805" spans="1:5" x14ac:dyDescent="0.25">
      <c r="A3805">
        <v>2151</v>
      </c>
      <c r="B3805" t="s">
        <v>1724</v>
      </c>
      <c r="C3805" t="s">
        <v>355</v>
      </c>
      <c r="D3805" t="str">
        <f t="shared" si="60"/>
        <v>FHA3610</v>
      </c>
      <c r="E3805" t="s">
        <v>2968</v>
      </c>
    </row>
    <row r="3806" spans="1:5" x14ac:dyDescent="0.25">
      <c r="A3806">
        <v>2151</v>
      </c>
      <c r="B3806" t="s">
        <v>1724</v>
      </c>
      <c r="C3806" t="s">
        <v>2979</v>
      </c>
      <c r="D3806" t="str">
        <f t="shared" si="60"/>
        <v>FHA3612</v>
      </c>
      <c r="E3806" t="s">
        <v>2968</v>
      </c>
    </row>
    <row r="3807" spans="1:5" x14ac:dyDescent="0.25">
      <c r="A3807">
        <v>2151</v>
      </c>
      <c r="B3807" t="s">
        <v>1724</v>
      </c>
      <c r="C3807" t="s">
        <v>383</v>
      </c>
      <c r="D3807" t="str">
        <f t="shared" si="60"/>
        <v>FHA3614</v>
      </c>
      <c r="E3807" t="s">
        <v>2968</v>
      </c>
    </row>
    <row r="3808" spans="1:5" x14ac:dyDescent="0.25">
      <c r="A3808">
        <v>2151</v>
      </c>
      <c r="B3808" t="s">
        <v>1724</v>
      </c>
      <c r="C3808" t="s">
        <v>401</v>
      </c>
      <c r="D3808" t="str">
        <f t="shared" si="60"/>
        <v>FHA3617</v>
      </c>
      <c r="E3808" t="s">
        <v>2968</v>
      </c>
    </row>
    <row r="3809" spans="1:5" x14ac:dyDescent="0.25">
      <c r="A3809">
        <v>2151</v>
      </c>
      <c r="B3809" t="s">
        <v>1724</v>
      </c>
      <c r="C3809" t="s">
        <v>471</v>
      </c>
      <c r="D3809" t="str">
        <f t="shared" si="60"/>
        <v>FHA3699</v>
      </c>
      <c r="E3809" t="s">
        <v>2968</v>
      </c>
    </row>
    <row r="3810" spans="1:5" x14ac:dyDescent="0.25">
      <c r="A3810">
        <v>2151</v>
      </c>
      <c r="B3810" t="s">
        <v>1724</v>
      </c>
      <c r="C3810" t="s">
        <v>2980</v>
      </c>
      <c r="D3810" t="str">
        <f t="shared" si="60"/>
        <v>FHA3701</v>
      </c>
      <c r="E3810" t="s">
        <v>103</v>
      </c>
    </row>
    <row r="3811" spans="1:5" x14ac:dyDescent="0.25">
      <c r="A3811">
        <v>2151</v>
      </c>
      <c r="B3811" t="s">
        <v>1724</v>
      </c>
      <c r="C3811" t="s">
        <v>233</v>
      </c>
      <c r="D3811" t="str">
        <f t="shared" si="60"/>
        <v>FHA3901</v>
      </c>
      <c r="E3811" t="s">
        <v>2926</v>
      </c>
    </row>
    <row r="3812" spans="1:5" x14ac:dyDescent="0.25">
      <c r="A3812">
        <v>2151</v>
      </c>
      <c r="B3812" t="s">
        <v>1724</v>
      </c>
      <c r="C3812" t="s">
        <v>2988</v>
      </c>
      <c r="D3812" t="str">
        <f t="shared" si="60"/>
        <v>FHA3903</v>
      </c>
      <c r="E3812" t="s">
        <v>2968</v>
      </c>
    </row>
    <row r="3813" spans="1:5" x14ac:dyDescent="0.25">
      <c r="A3813">
        <v>2151</v>
      </c>
      <c r="B3813" t="s">
        <v>1724</v>
      </c>
      <c r="C3813" t="s">
        <v>299</v>
      </c>
      <c r="D3813" t="str">
        <f t="shared" si="60"/>
        <v>FHA3904</v>
      </c>
      <c r="E3813" t="s">
        <v>2968</v>
      </c>
    </row>
    <row r="3814" spans="1:5" x14ac:dyDescent="0.25">
      <c r="A3814">
        <v>2151</v>
      </c>
      <c r="B3814" t="s">
        <v>1724</v>
      </c>
      <c r="C3814" t="s">
        <v>326</v>
      </c>
      <c r="D3814" t="str">
        <f t="shared" si="60"/>
        <v>FHA3906</v>
      </c>
      <c r="E3814" t="s">
        <v>2968</v>
      </c>
    </row>
    <row r="3815" spans="1:5" x14ac:dyDescent="0.25">
      <c r="A3815">
        <v>2151</v>
      </c>
      <c r="B3815" t="s">
        <v>1724</v>
      </c>
      <c r="C3815" t="s">
        <v>2989</v>
      </c>
      <c r="D3815" t="str">
        <f t="shared" si="60"/>
        <v>FHA3908</v>
      </c>
      <c r="E3815" t="s">
        <v>2968</v>
      </c>
    </row>
    <row r="3816" spans="1:5" x14ac:dyDescent="0.25">
      <c r="A3816">
        <v>2151</v>
      </c>
      <c r="B3816" t="s">
        <v>1724</v>
      </c>
      <c r="C3816" t="s">
        <v>336</v>
      </c>
      <c r="D3816" t="str">
        <f t="shared" si="60"/>
        <v>FHA3909</v>
      </c>
      <c r="E3816" t="s">
        <v>2968</v>
      </c>
    </row>
    <row r="3817" spans="1:5" x14ac:dyDescent="0.25">
      <c r="A3817">
        <v>2151</v>
      </c>
      <c r="B3817" t="s">
        <v>1724</v>
      </c>
      <c r="C3817" t="s">
        <v>346</v>
      </c>
      <c r="D3817" t="str">
        <f t="shared" si="60"/>
        <v>FHA3910</v>
      </c>
      <c r="E3817" t="s">
        <v>2968</v>
      </c>
    </row>
    <row r="3818" spans="1:5" x14ac:dyDescent="0.25">
      <c r="A3818">
        <v>2151</v>
      </c>
      <c r="B3818" t="s">
        <v>1724</v>
      </c>
      <c r="C3818" t="s">
        <v>2991</v>
      </c>
      <c r="D3818" t="str">
        <f t="shared" si="60"/>
        <v>FHA3912</v>
      </c>
      <c r="E3818" t="s">
        <v>2992</v>
      </c>
    </row>
    <row r="3819" spans="1:5" x14ac:dyDescent="0.25">
      <c r="A3819">
        <v>2151</v>
      </c>
      <c r="B3819" t="s">
        <v>1724</v>
      </c>
      <c r="C3819" t="s">
        <v>2994</v>
      </c>
      <c r="D3819" t="str">
        <f t="shared" si="60"/>
        <v>FHA3913</v>
      </c>
      <c r="E3819" t="s">
        <v>2992</v>
      </c>
    </row>
    <row r="3820" spans="1:5" x14ac:dyDescent="0.25">
      <c r="A3820">
        <v>2151</v>
      </c>
      <c r="B3820" t="s">
        <v>1724</v>
      </c>
      <c r="C3820" t="s">
        <v>377</v>
      </c>
      <c r="D3820" t="str">
        <f t="shared" si="60"/>
        <v>FHA3914</v>
      </c>
      <c r="E3820" t="s">
        <v>3009</v>
      </c>
    </row>
    <row r="3821" spans="1:5" x14ac:dyDescent="0.25">
      <c r="A3821">
        <v>2151</v>
      </c>
      <c r="B3821" t="s">
        <v>1724</v>
      </c>
      <c r="C3821" t="s">
        <v>384</v>
      </c>
      <c r="D3821" t="str">
        <f t="shared" si="60"/>
        <v>FHA3915</v>
      </c>
      <c r="E3821" t="s">
        <v>2992</v>
      </c>
    </row>
    <row r="3822" spans="1:5" x14ac:dyDescent="0.25">
      <c r="A3822">
        <v>2151</v>
      </c>
      <c r="B3822" t="s">
        <v>1724</v>
      </c>
      <c r="C3822" t="s">
        <v>2996</v>
      </c>
      <c r="D3822" t="str">
        <f t="shared" si="60"/>
        <v>FHA3917</v>
      </c>
      <c r="E3822" t="s">
        <v>2958</v>
      </c>
    </row>
    <row r="3823" spans="1:5" x14ac:dyDescent="0.25">
      <c r="A3823">
        <v>2151</v>
      </c>
      <c r="B3823" t="s">
        <v>1724</v>
      </c>
      <c r="C3823" t="s">
        <v>3000</v>
      </c>
      <c r="D3823" t="str">
        <f t="shared" si="60"/>
        <v>FHA3919</v>
      </c>
      <c r="E3823" t="s">
        <v>3001</v>
      </c>
    </row>
    <row r="3824" spans="1:5" x14ac:dyDescent="0.25">
      <c r="A3824">
        <v>2151</v>
      </c>
      <c r="B3824" t="s">
        <v>1724</v>
      </c>
      <c r="C3824" t="s">
        <v>3002</v>
      </c>
      <c r="D3824" t="str">
        <f t="shared" si="60"/>
        <v>FHA3921</v>
      </c>
      <c r="E3824" t="s">
        <v>3001</v>
      </c>
    </row>
    <row r="3825" spans="1:5" x14ac:dyDescent="0.25">
      <c r="A3825">
        <v>2151</v>
      </c>
      <c r="B3825" t="s">
        <v>1724</v>
      </c>
      <c r="C3825" t="s">
        <v>3003</v>
      </c>
      <c r="D3825" t="str">
        <f t="shared" si="60"/>
        <v>FHA3922</v>
      </c>
      <c r="E3825" t="s">
        <v>2954</v>
      </c>
    </row>
    <row r="3826" spans="1:5" x14ac:dyDescent="0.25">
      <c r="A3826">
        <v>2151</v>
      </c>
      <c r="B3826" t="s">
        <v>1724</v>
      </c>
      <c r="C3826" t="s">
        <v>428</v>
      </c>
      <c r="D3826" t="str">
        <f t="shared" si="60"/>
        <v>FHA3923</v>
      </c>
      <c r="E3826" t="s">
        <v>2968</v>
      </c>
    </row>
    <row r="3827" spans="1:5" x14ac:dyDescent="0.25">
      <c r="A3827">
        <v>2151</v>
      </c>
      <c r="B3827" t="s">
        <v>1724</v>
      </c>
      <c r="C3827" t="s">
        <v>443</v>
      </c>
      <c r="D3827" t="str">
        <f t="shared" si="60"/>
        <v>FHA3926</v>
      </c>
      <c r="E3827" t="s">
        <v>3006</v>
      </c>
    </row>
    <row r="3828" spans="1:5" x14ac:dyDescent="0.25">
      <c r="A3828">
        <v>2151</v>
      </c>
      <c r="B3828" t="s">
        <v>1724</v>
      </c>
      <c r="C3828" t="s">
        <v>3008</v>
      </c>
      <c r="D3828" t="str">
        <f t="shared" si="60"/>
        <v>FHA3927</v>
      </c>
      <c r="E3828" t="s">
        <v>3009</v>
      </c>
    </row>
    <row r="3829" spans="1:5" x14ac:dyDescent="0.25">
      <c r="A3829">
        <v>2151</v>
      </c>
      <c r="B3829" t="s">
        <v>1724</v>
      </c>
      <c r="C3829" t="s">
        <v>1481</v>
      </c>
      <c r="D3829" t="str">
        <f t="shared" si="60"/>
        <v>FHA3931</v>
      </c>
      <c r="E3829" t="s">
        <v>2968</v>
      </c>
    </row>
    <row r="3830" spans="1:5" x14ac:dyDescent="0.25">
      <c r="A3830">
        <v>2151</v>
      </c>
      <c r="B3830" t="s">
        <v>1724</v>
      </c>
      <c r="C3830" t="s">
        <v>3017</v>
      </c>
      <c r="D3830" t="str">
        <f t="shared" si="60"/>
        <v>FHA3936</v>
      </c>
      <c r="E3830" t="s">
        <v>94</v>
      </c>
    </row>
    <row r="3831" spans="1:5" x14ac:dyDescent="0.25">
      <c r="A3831">
        <v>2151</v>
      </c>
      <c r="B3831" t="s">
        <v>1724</v>
      </c>
      <c r="C3831" t="s">
        <v>3202</v>
      </c>
      <c r="D3831" t="str">
        <f t="shared" si="60"/>
        <v>FHA3938</v>
      </c>
      <c r="E3831" t="s">
        <v>2968</v>
      </c>
    </row>
    <row r="3832" spans="1:5" x14ac:dyDescent="0.25">
      <c r="A3832">
        <v>2151</v>
      </c>
      <c r="B3832" t="s">
        <v>1724</v>
      </c>
      <c r="C3832" t="s">
        <v>3089</v>
      </c>
      <c r="D3832" t="str">
        <f t="shared" si="60"/>
        <v>FHA3939</v>
      </c>
      <c r="E3832" t="s">
        <v>2968</v>
      </c>
    </row>
    <row r="3833" spans="1:5" x14ac:dyDescent="0.25">
      <c r="A3833">
        <v>2151</v>
      </c>
      <c r="B3833" t="s">
        <v>1724</v>
      </c>
      <c r="C3833" t="s">
        <v>3019</v>
      </c>
      <c r="D3833" t="str">
        <f t="shared" si="60"/>
        <v>FHA3940</v>
      </c>
      <c r="E3833" t="s">
        <v>3009</v>
      </c>
    </row>
    <row r="3834" spans="1:5" x14ac:dyDescent="0.25">
      <c r="A3834">
        <v>2151</v>
      </c>
      <c r="B3834" t="s">
        <v>1724</v>
      </c>
      <c r="C3834" t="s">
        <v>3020</v>
      </c>
      <c r="D3834" t="str">
        <f t="shared" si="60"/>
        <v>FHA3943</v>
      </c>
      <c r="E3834" t="s">
        <v>2958</v>
      </c>
    </row>
    <row r="3835" spans="1:5" x14ac:dyDescent="0.25">
      <c r="A3835">
        <v>2151</v>
      </c>
      <c r="B3835" t="s">
        <v>1724</v>
      </c>
      <c r="C3835" t="s">
        <v>488</v>
      </c>
      <c r="D3835" t="str">
        <f t="shared" si="60"/>
        <v>FHA3946</v>
      </c>
      <c r="E3835" t="s">
        <v>3235</v>
      </c>
    </row>
    <row r="3836" spans="1:5" x14ac:dyDescent="0.25">
      <c r="A3836">
        <v>2151</v>
      </c>
      <c r="B3836" t="s">
        <v>1724</v>
      </c>
      <c r="C3836" t="s">
        <v>492</v>
      </c>
      <c r="D3836" t="str">
        <f t="shared" si="60"/>
        <v>FHA3948</v>
      </c>
      <c r="E3836" t="s">
        <v>3004</v>
      </c>
    </row>
    <row r="3837" spans="1:5" x14ac:dyDescent="0.25">
      <c r="A3837">
        <v>2151</v>
      </c>
      <c r="B3837" t="s">
        <v>1724</v>
      </c>
      <c r="C3837" t="s">
        <v>3096</v>
      </c>
      <c r="D3837" t="str">
        <f t="shared" si="60"/>
        <v>FHA3949</v>
      </c>
      <c r="E3837" t="s">
        <v>3004</v>
      </c>
    </row>
    <row r="3838" spans="1:5" x14ac:dyDescent="0.25">
      <c r="A3838">
        <v>2151</v>
      </c>
      <c r="B3838" t="s">
        <v>1724</v>
      </c>
      <c r="C3838" t="s">
        <v>3098</v>
      </c>
      <c r="D3838" t="str">
        <f t="shared" si="60"/>
        <v>FHA3952</v>
      </c>
      <c r="E3838" t="s">
        <v>65</v>
      </c>
    </row>
    <row r="3839" spans="1:5" x14ac:dyDescent="0.25">
      <c r="A3839">
        <v>2151</v>
      </c>
      <c r="B3839" t="s">
        <v>1724</v>
      </c>
      <c r="C3839" t="s">
        <v>496</v>
      </c>
      <c r="D3839" t="str">
        <f t="shared" si="60"/>
        <v>FHA3953</v>
      </c>
      <c r="E3839" t="s">
        <v>3004</v>
      </c>
    </row>
    <row r="3840" spans="1:5" x14ac:dyDescent="0.25">
      <c r="A3840">
        <v>2151</v>
      </c>
      <c r="B3840" t="s">
        <v>1724</v>
      </c>
      <c r="C3840" t="s">
        <v>498</v>
      </c>
      <c r="D3840" t="str">
        <f t="shared" si="60"/>
        <v>FHA3955</v>
      </c>
      <c r="E3840" t="s">
        <v>2968</v>
      </c>
    </row>
    <row r="3841" spans="1:5" x14ac:dyDescent="0.25">
      <c r="A3841">
        <v>2151</v>
      </c>
      <c r="B3841" t="s">
        <v>1724</v>
      </c>
      <c r="C3841" t="s">
        <v>501</v>
      </c>
      <c r="D3841" t="str">
        <f t="shared" si="60"/>
        <v>FHA3958</v>
      </c>
      <c r="E3841" t="s">
        <v>2968</v>
      </c>
    </row>
    <row r="3842" spans="1:5" x14ac:dyDescent="0.25">
      <c r="A3842">
        <v>2151</v>
      </c>
      <c r="B3842" t="s">
        <v>1724</v>
      </c>
      <c r="C3842" t="s">
        <v>3027</v>
      </c>
      <c r="D3842" t="str">
        <f t="shared" si="60"/>
        <v>FHA3961</v>
      </c>
      <c r="E3842" t="s">
        <v>2981</v>
      </c>
    </row>
    <row r="3843" spans="1:5" x14ac:dyDescent="0.25">
      <c r="A3843">
        <v>2151</v>
      </c>
      <c r="B3843" t="s">
        <v>1724</v>
      </c>
      <c r="C3843" t="s">
        <v>3104</v>
      </c>
      <c r="D3843" t="str">
        <f t="shared" si="60"/>
        <v>FHA3964</v>
      </c>
      <c r="E3843" t="s">
        <v>2968</v>
      </c>
    </row>
    <row r="3844" spans="1:5" x14ac:dyDescent="0.25">
      <c r="A3844">
        <v>2151</v>
      </c>
      <c r="B3844" t="s">
        <v>1724</v>
      </c>
      <c r="C3844" t="s">
        <v>511</v>
      </c>
      <c r="D3844" t="str">
        <f t="shared" si="60"/>
        <v>FHA3968</v>
      </c>
      <c r="E3844" t="s">
        <v>2968</v>
      </c>
    </row>
    <row r="3845" spans="1:5" x14ac:dyDescent="0.25">
      <c r="A3845">
        <v>2151</v>
      </c>
      <c r="B3845" t="s">
        <v>1724</v>
      </c>
      <c r="C3845" t="s">
        <v>1154</v>
      </c>
      <c r="D3845" t="str">
        <f t="shared" ref="D3845:D3908" si="61">CONCATENATE(B3845,LEFT(C3845,4))</f>
        <v>FHA3969</v>
      </c>
      <c r="E3845" t="s">
        <v>2992</v>
      </c>
    </row>
    <row r="3846" spans="1:5" x14ac:dyDescent="0.25">
      <c r="A3846">
        <v>2151</v>
      </c>
      <c r="B3846" t="s">
        <v>1724</v>
      </c>
      <c r="C3846" t="s">
        <v>3031</v>
      </c>
      <c r="D3846" t="str">
        <f t="shared" si="61"/>
        <v>FHA3970</v>
      </c>
      <c r="E3846" t="s">
        <v>3009</v>
      </c>
    </row>
    <row r="3847" spans="1:5" x14ac:dyDescent="0.25">
      <c r="A3847">
        <v>2151</v>
      </c>
      <c r="B3847" t="s">
        <v>1724</v>
      </c>
      <c r="C3847" t="s">
        <v>513</v>
      </c>
      <c r="D3847" t="str">
        <f t="shared" si="61"/>
        <v>FHA3971</v>
      </c>
      <c r="E3847" t="s">
        <v>3033</v>
      </c>
    </row>
    <row r="3848" spans="1:5" x14ac:dyDescent="0.25">
      <c r="A3848">
        <v>2151</v>
      </c>
      <c r="B3848" t="s">
        <v>1724</v>
      </c>
      <c r="C3848" t="s">
        <v>520</v>
      </c>
      <c r="D3848" t="str">
        <f t="shared" si="61"/>
        <v>FHA3978</v>
      </c>
      <c r="E3848" t="s">
        <v>103</v>
      </c>
    </row>
    <row r="3849" spans="1:5" x14ac:dyDescent="0.25">
      <c r="A3849">
        <v>2151</v>
      </c>
      <c r="B3849" t="s">
        <v>1724</v>
      </c>
      <c r="C3849" t="s">
        <v>3036</v>
      </c>
      <c r="D3849" t="str">
        <f t="shared" si="61"/>
        <v>FHA3987</v>
      </c>
      <c r="E3849" t="s">
        <v>2958</v>
      </c>
    </row>
    <row r="3850" spans="1:5" x14ac:dyDescent="0.25">
      <c r="A3850">
        <v>2151</v>
      </c>
      <c r="B3850" t="s">
        <v>1724</v>
      </c>
      <c r="C3850" t="s">
        <v>3040</v>
      </c>
      <c r="D3850" t="str">
        <f t="shared" si="61"/>
        <v>FHA3999</v>
      </c>
      <c r="E3850" t="s">
        <v>2968</v>
      </c>
    </row>
    <row r="3851" spans="1:5" x14ac:dyDescent="0.25">
      <c r="A3851">
        <v>2151</v>
      </c>
      <c r="B3851" t="s">
        <v>1724</v>
      </c>
      <c r="C3851" t="s">
        <v>3041</v>
      </c>
      <c r="D3851" t="str">
        <f t="shared" si="61"/>
        <v>FHA4002</v>
      </c>
      <c r="E3851" t="s">
        <v>3009</v>
      </c>
    </row>
    <row r="3852" spans="1:5" x14ac:dyDescent="0.25">
      <c r="A3852">
        <v>2151</v>
      </c>
      <c r="B3852" t="s">
        <v>1724</v>
      </c>
      <c r="C3852" t="s">
        <v>3043</v>
      </c>
      <c r="D3852" t="str">
        <f t="shared" si="61"/>
        <v>FHA4003</v>
      </c>
      <c r="E3852" t="s">
        <v>94</v>
      </c>
    </row>
    <row r="3853" spans="1:5" x14ac:dyDescent="0.25">
      <c r="A3853">
        <v>2151</v>
      </c>
      <c r="B3853" t="s">
        <v>1724</v>
      </c>
      <c r="C3853" t="s">
        <v>3045</v>
      </c>
      <c r="D3853" t="str">
        <f t="shared" si="61"/>
        <v>FHA4004</v>
      </c>
      <c r="E3853" t="s">
        <v>3009</v>
      </c>
    </row>
    <row r="3854" spans="1:5" x14ac:dyDescent="0.25">
      <c r="A3854">
        <v>2151</v>
      </c>
      <c r="B3854" t="s">
        <v>1724</v>
      </c>
      <c r="C3854" t="s">
        <v>3047</v>
      </c>
      <c r="D3854" t="str">
        <f t="shared" si="61"/>
        <v>FHA4005</v>
      </c>
      <c r="E3854" t="s">
        <v>3009</v>
      </c>
    </row>
    <row r="3855" spans="1:5" x14ac:dyDescent="0.25">
      <c r="A3855">
        <v>2151</v>
      </c>
      <c r="B3855" t="s">
        <v>1724</v>
      </c>
      <c r="C3855" t="s">
        <v>813</v>
      </c>
      <c r="D3855" t="str">
        <f t="shared" si="61"/>
        <v>FHA4006</v>
      </c>
      <c r="E3855" t="s">
        <v>3057</v>
      </c>
    </row>
    <row r="3856" spans="1:5" x14ac:dyDescent="0.25">
      <c r="A3856">
        <v>2151</v>
      </c>
      <c r="B3856" t="s">
        <v>1724</v>
      </c>
      <c r="C3856" t="s">
        <v>3128</v>
      </c>
      <c r="D3856" t="str">
        <f t="shared" si="61"/>
        <v>FHA4301</v>
      </c>
      <c r="E3856" t="s">
        <v>3239</v>
      </c>
    </row>
    <row r="3857" spans="1:5" x14ac:dyDescent="0.25">
      <c r="A3857">
        <v>2151</v>
      </c>
      <c r="B3857" t="s">
        <v>1724</v>
      </c>
      <c r="C3857" t="s">
        <v>3048</v>
      </c>
      <c r="D3857" t="str">
        <f t="shared" si="61"/>
        <v>FHA4701</v>
      </c>
      <c r="E3857" t="s">
        <v>3049</v>
      </c>
    </row>
    <row r="3858" spans="1:5" x14ac:dyDescent="0.25">
      <c r="A3858">
        <v>2151</v>
      </c>
      <c r="B3858" t="s">
        <v>1724</v>
      </c>
      <c r="C3858" t="s">
        <v>316</v>
      </c>
      <c r="D3858" t="str">
        <f t="shared" si="61"/>
        <v>FHA4706</v>
      </c>
      <c r="E3858" t="s">
        <v>3049</v>
      </c>
    </row>
    <row r="3859" spans="1:5" x14ac:dyDescent="0.25">
      <c r="A3859">
        <v>2151</v>
      </c>
      <c r="B3859" t="s">
        <v>1724</v>
      </c>
      <c r="C3859" t="s">
        <v>3205</v>
      </c>
      <c r="D3859" t="str">
        <f t="shared" si="61"/>
        <v>FHA4905</v>
      </c>
      <c r="E3859" t="s">
        <v>65</v>
      </c>
    </row>
    <row r="3860" spans="1:5" x14ac:dyDescent="0.25">
      <c r="A3860">
        <v>2151</v>
      </c>
      <c r="B3860" t="s">
        <v>1724</v>
      </c>
      <c r="C3860" t="s">
        <v>3053</v>
      </c>
      <c r="D3860" t="str">
        <f t="shared" si="61"/>
        <v>FHA5103</v>
      </c>
      <c r="E3860" t="s">
        <v>3052</v>
      </c>
    </row>
    <row r="3861" spans="1:5" x14ac:dyDescent="0.25">
      <c r="A3861">
        <v>2151</v>
      </c>
      <c r="B3861" t="s">
        <v>1724</v>
      </c>
      <c r="C3861" t="s">
        <v>173</v>
      </c>
      <c r="D3861" t="str">
        <f t="shared" si="61"/>
        <v>FHA5107</v>
      </c>
      <c r="E3861" t="s">
        <v>3052</v>
      </c>
    </row>
    <row r="3862" spans="1:5" x14ac:dyDescent="0.25">
      <c r="A3862">
        <v>2151</v>
      </c>
      <c r="B3862" t="s">
        <v>1724</v>
      </c>
      <c r="C3862" t="s">
        <v>3286</v>
      </c>
      <c r="D3862" t="str">
        <f t="shared" si="61"/>
        <v>FHA5109</v>
      </c>
      <c r="E3862" t="s">
        <v>3055</v>
      </c>
    </row>
    <row r="3863" spans="1:5" x14ac:dyDescent="0.25">
      <c r="A3863">
        <v>2151</v>
      </c>
      <c r="B3863" t="s">
        <v>1724</v>
      </c>
      <c r="C3863" t="s">
        <v>349</v>
      </c>
      <c r="D3863" t="str">
        <f t="shared" si="61"/>
        <v>FHA5110</v>
      </c>
      <c r="E3863" t="s">
        <v>3052</v>
      </c>
    </row>
    <row r="3864" spans="1:5" x14ac:dyDescent="0.25">
      <c r="A3864">
        <v>2151</v>
      </c>
      <c r="B3864" t="s">
        <v>1724</v>
      </c>
      <c r="C3864" t="s">
        <v>242</v>
      </c>
      <c r="D3864" t="str">
        <f t="shared" si="61"/>
        <v>FHA5201</v>
      </c>
      <c r="E3864" t="s">
        <v>2965</v>
      </c>
    </row>
    <row r="3865" spans="1:5" x14ac:dyDescent="0.25">
      <c r="A3865">
        <v>2151</v>
      </c>
      <c r="B3865" t="s">
        <v>1724</v>
      </c>
      <c r="C3865" t="s">
        <v>288</v>
      </c>
      <c r="D3865" t="str">
        <f t="shared" si="61"/>
        <v>FHA5203</v>
      </c>
      <c r="E3865" t="s">
        <v>3055</v>
      </c>
    </row>
    <row r="3866" spans="1:5" x14ac:dyDescent="0.25">
      <c r="A3866">
        <v>2151</v>
      </c>
      <c r="B3866" t="s">
        <v>1724</v>
      </c>
      <c r="C3866" t="s">
        <v>3054</v>
      </c>
      <c r="D3866" t="str">
        <f t="shared" si="61"/>
        <v>FHA5204</v>
      </c>
      <c r="E3866" t="s">
        <v>3055</v>
      </c>
    </row>
    <row r="3867" spans="1:5" x14ac:dyDescent="0.25">
      <c r="A3867">
        <v>2151</v>
      </c>
      <c r="B3867" t="s">
        <v>1724</v>
      </c>
      <c r="C3867" t="s">
        <v>329</v>
      </c>
      <c r="D3867" t="str">
        <f t="shared" si="61"/>
        <v>FHA5206</v>
      </c>
      <c r="E3867" t="s">
        <v>3057</v>
      </c>
    </row>
    <row r="3868" spans="1:5" x14ac:dyDescent="0.25">
      <c r="A3868">
        <v>2151</v>
      </c>
      <c r="B3868" t="s">
        <v>1724</v>
      </c>
      <c r="C3868" t="s">
        <v>3058</v>
      </c>
      <c r="D3868" t="str">
        <f t="shared" si="61"/>
        <v>FHA5207</v>
      </c>
      <c r="E3868" t="s">
        <v>3057</v>
      </c>
    </row>
    <row r="3869" spans="1:5" x14ac:dyDescent="0.25">
      <c r="A3869">
        <v>2151</v>
      </c>
      <c r="B3869" t="s">
        <v>1724</v>
      </c>
      <c r="C3869" t="s">
        <v>3060</v>
      </c>
      <c r="D3869" t="str">
        <f t="shared" si="61"/>
        <v>FHA5208</v>
      </c>
      <c r="E3869" t="s">
        <v>3057</v>
      </c>
    </row>
    <row r="3870" spans="1:5" x14ac:dyDescent="0.25">
      <c r="A3870">
        <v>2151</v>
      </c>
      <c r="B3870" t="s">
        <v>1724</v>
      </c>
      <c r="C3870" t="s">
        <v>359</v>
      </c>
      <c r="D3870" t="str">
        <f t="shared" si="61"/>
        <v>FHA5209</v>
      </c>
      <c r="E3870" t="s">
        <v>3055</v>
      </c>
    </row>
    <row r="3871" spans="1:5" x14ac:dyDescent="0.25">
      <c r="A3871">
        <v>2151</v>
      </c>
      <c r="B3871" t="s">
        <v>1724</v>
      </c>
      <c r="C3871" t="s">
        <v>3063</v>
      </c>
      <c r="D3871" t="str">
        <f t="shared" si="61"/>
        <v>FHA5210</v>
      </c>
      <c r="E3871" t="s">
        <v>3055</v>
      </c>
    </row>
    <row r="3872" spans="1:5" x14ac:dyDescent="0.25">
      <c r="A3872">
        <v>2151</v>
      </c>
      <c r="B3872" t="s">
        <v>1724</v>
      </c>
      <c r="C3872" t="s">
        <v>3155</v>
      </c>
      <c r="D3872" t="str">
        <f t="shared" si="61"/>
        <v>FHA5211</v>
      </c>
      <c r="E3872" t="s">
        <v>2944</v>
      </c>
    </row>
    <row r="3873" spans="1:5" x14ac:dyDescent="0.25">
      <c r="A3873">
        <v>2151</v>
      </c>
      <c r="B3873" t="s">
        <v>1724</v>
      </c>
      <c r="C3873" t="s">
        <v>3064</v>
      </c>
      <c r="D3873" t="str">
        <f t="shared" si="61"/>
        <v>FHA5212</v>
      </c>
      <c r="E3873" t="s">
        <v>3055</v>
      </c>
    </row>
    <row r="3874" spans="1:5" x14ac:dyDescent="0.25">
      <c r="A3874">
        <v>2151</v>
      </c>
      <c r="B3874" t="s">
        <v>1724</v>
      </c>
      <c r="C3874" t="s">
        <v>385</v>
      </c>
      <c r="D3874" t="str">
        <f t="shared" si="61"/>
        <v>FHA5213</v>
      </c>
      <c r="E3874" t="s">
        <v>3055</v>
      </c>
    </row>
    <row r="3875" spans="1:5" x14ac:dyDescent="0.25">
      <c r="A3875">
        <v>2151</v>
      </c>
      <c r="B3875" t="s">
        <v>1724</v>
      </c>
      <c r="C3875" t="s">
        <v>391</v>
      </c>
      <c r="D3875" t="str">
        <f t="shared" si="61"/>
        <v>FHA5214</v>
      </c>
      <c r="E3875" t="s">
        <v>3055</v>
      </c>
    </row>
    <row r="3876" spans="1:5" x14ac:dyDescent="0.25">
      <c r="A3876">
        <v>2151</v>
      </c>
      <c r="B3876" t="s">
        <v>1724</v>
      </c>
      <c r="C3876" t="s">
        <v>403</v>
      </c>
      <c r="D3876" t="str">
        <f t="shared" si="61"/>
        <v>FHA5216</v>
      </c>
      <c r="E3876" t="s">
        <v>3067</v>
      </c>
    </row>
    <row r="3877" spans="1:5" x14ac:dyDescent="0.25">
      <c r="A3877">
        <v>2151</v>
      </c>
      <c r="B3877" t="s">
        <v>1724</v>
      </c>
      <c r="C3877" t="s">
        <v>409</v>
      </c>
      <c r="D3877" t="str">
        <f t="shared" si="61"/>
        <v>FHA5217</v>
      </c>
      <c r="E3877" t="s">
        <v>3067</v>
      </c>
    </row>
    <row r="3878" spans="1:5" x14ac:dyDescent="0.25">
      <c r="A3878">
        <v>2151</v>
      </c>
      <c r="B3878" t="s">
        <v>1724</v>
      </c>
      <c r="C3878" t="s">
        <v>419</v>
      </c>
      <c r="D3878" t="str">
        <f t="shared" si="61"/>
        <v>FHA5219</v>
      </c>
      <c r="E3878" t="s">
        <v>3055</v>
      </c>
    </row>
    <row r="3879" spans="1:5" x14ac:dyDescent="0.25">
      <c r="A3879">
        <v>2151</v>
      </c>
      <c r="B3879" t="s">
        <v>1724</v>
      </c>
      <c r="C3879" t="s">
        <v>3068</v>
      </c>
      <c r="D3879" t="str">
        <f t="shared" si="61"/>
        <v>FHA5220</v>
      </c>
      <c r="E3879" t="s">
        <v>3057</v>
      </c>
    </row>
    <row r="3880" spans="1:5" x14ac:dyDescent="0.25">
      <c r="A3880">
        <v>2151</v>
      </c>
      <c r="B3880" t="s">
        <v>1724</v>
      </c>
      <c r="C3880" t="s">
        <v>429</v>
      </c>
      <c r="D3880" t="str">
        <f t="shared" si="61"/>
        <v>FHA5221</v>
      </c>
      <c r="E3880" t="s">
        <v>3055</v>
      </c>
    </row>
    <row r="3881" spans="1:5" x14ac:dyDescent="0.25">
      <c r="A3881">
        <v>2151</v>
      </c>
      <c r="B3881" t="s">
        <v>1724</v>
      </c>
      <c r="C3881" t="s">
        <v>434</v>
      </c>
      <c r="D3881" t="str">
        <f t="shared" si="61"/>
        <v>FHA5222</v>
      </c>
      <c r="E3881" t="s">
        <v>3055</v>
      </c>
    </row>
    <row r="3882" spans="1:5" x14ac:dyDescent="0.25">
      <c r="A3882">
        <v>2151</v>
      </c>
      <c r="B3882" t="s">
        <v>1724</v>
      </c>
      <c r="C3882" t="s">
        <v>449</v>
      </c>
      <c r="D3882" t="str">
        <f t="shared" si="61"/>
        <v>FHA5225</v>
      </c>
      <c r="E3882" t="s">
        <v>3055</v>
      </c>
    </row>
    <row r="3883" spans="1:5" x14ac:dyDescent="0.25">
      <c r="A3883">
        <v>2151</v>
      </c>
      <c r="B3883" t="s">
        <v>1724</v>
      </c>
      <c r="C3883" t="s">
        <v>3070</v>
      </c>
      <c r="D3883" t="str">
        <f t="shared" si="61"/>
        <v>FHA5226</v>
      </c>
      <c r="E3883" t="s">
        <v>3055</v>
      </c>
    </row>
    <row r="3884" spans="1:5" x14ac:dyDescent="0.25">
      <c r="A3884">
        <v>2151</v>
      </c>
      <c r="B3884" t="s">
        <v>1724</v>
      </c>
      <c r="C3884" t="s">
        <v>3072</v>
      </c>
      <c r="D3884" t="str">
        <f t="shared" si="61"/>
        <v>FHA5227</v>
      </c>
      <c r="E3884" t="s">
        <v>3055</v>
      </c>
    </row>
    <row r="3885" spans="1:5" x14ac:dyDescent="0.25">
      <c r="A3885">
        <v>2151</v>
      </c>
      <c r="B3885" t="s">
        <v>1724</v>
      </c>
      <c r="C3885" t="s">
        <v>459</v>
      </c>
      <c r="D3885" t="str">
        <f t="shared" si="61"/>
        <v>FHA5299</v>
      </c>
      <c r="E3885" t="s">
        <v>3055</v>
      </c>
    </row>
    <row r="3886" spans="1:5" x14ac:dyDescent="0.25">
      <c r="A3886">
        <v>2151</v>
      </c>
      <c r="B3886" t="s">
        <v>1724</v>
      </c>
      <c r="C3886" t="s">
        <v>3074</v>
      </c>
      <c r="D3886" t="str">
        <f t="shared" si="61"/>
        <v>FHA9202</v>
      </c>
      <c r="E3886" t="s">
        <v>3075</v>
      </c>
    </row>
    <row r="3887" spans="1:5" x14ac:dyDescent="0.25">
      <c r="A3887">
        <v>2151</v>
      </c>
      <c r="B3887" t="s">
        <v>1724</v>
      </c>
      <c r="C3887" t="s">
        <v>3079</v>
      </c>
      <c r="D3887" t="str">
        <f t="shared" si="61"/>
        <v>FHA9399</v>
      </c>
      <c r="E3887" t="s">
        <v>2968</v>
      </c>
    </row>
    <row r="3888" spans="1:5" x14ac:dyDescent="0.25">
      <c r="A3888">
        <v>2161</v>
      </c>
      <c r="B3888" t="s">
        <v>1729</v>
      </c>
      <c r="C3888" t="s">
        <v>332</v>
      </c>
      <c r="D3888" t="str">
        <f t="shared" si="61"/>
        <v>FUCAM1314</v>
      </c>
      <c r="E3888" t="s">
        <v>3081</v>
      </c>
    </row>
    <row r="3889" spans="1:5" x14ac:dyDescent="0.25">
      <c r="A3889">
        <v>2161</v>
      </c>
      <c r="B3889" t="s">
        <v>1729</v>
      </c>
      <c r="C3889" t="s">
        <v>2942</v>
      </c>
      <c r="D3889" t="str">
        <f t="shared" si="61"/>
        <v>FUCAM1317</v>
      </c>
      <c r="E3889" t="s">
        <v>3081</v>
      </c>
    </row>
    <row r="3890" spans="1:5" x14ac:dyDescent="0.25">
      <c r="A3890">
        <v>2161</v>
      </c>
      <c r="B3890" t="s">
        <v>1729</v>
      </c>
      <c r="C3890" t="s">
        <v>399</v>
      </c>
      <c r="D3890" t="str">
        <f t="shared" si="61"/>
        <v>FUCAM1325</v>
      </c>
      <c r="E3890" t="s">
        <v>3081</v>
      </c>
    </row>
    <row r="3891" spans="1:5" x14ac:dyDescent="0.25">
      <c r="A3891">
        <v>2161</v>
      </c>
      <c r="B3891" t="s">
        <v>1729</v>
      </c>
      <c r="C3891" t="s">
        <v>2928</v>
      </c>
      <c r="D3891" t="str">
        <f t="shared" si="61"/>
        <v>FUCAM1401</v>
      </c>
      <c r="E3891" t="s">
        <v>44</v>
      </c>
    </row>
    <row r="3892" spans="1:5" x14ac:dyDescent="0.25">
      <c r="A3892">
        <v>2161</v>
      </c>
      <c r="B3892" t="s">
        <v>1729</v>
      </c>
      <c r="C3892" t="s">
        <v>2932</v>
      </c>
      <c r="D3892" t="str">
        <f t="shared" si="61"/>
        <v>FUCAM3001</v>
      </c>
      <c r="E3892" t="s">
        <v>2933</v>
      </c>
    </row>
    <row r="3893" spans="1:5" x14ac:dyDescent="0.25">
      <c r="A3893">
        <v>2161</v>
      </c>
      <c r="B3893" t="s">
        <v>1729</v>
      </c>
      <c r="C3893" t="s">
        <v>256</v>
      </c>
      <c r="D3893" t="str">
        <f t="shared" si="61"/>
        <v>FUCAM3002</v>
      </c>
      <c r="E3893" t="s">
        <v>2933</v>
      </c>
    </row>
    <row r="3894" spans="1:5" x14ac:dyDescent="0.25">
      <c r="A3894">
        <v>2161</v>
      </c>
      <c r="B3894" t="s">
        <v>1729</v>
      </c>
      <c r="C3894" t="s">
        <v>979</v>
      </c>
      <c r="D3894" t="str">
        <f t="shared" si="61"/>
        <v>FUCAM3003</v>
      </c>
      <c r="E3894" t="s">
        <v>2933</v>
      </c>
    </row>
    <row r="3895" spans="1:5" x14ac:dyDescent="0.25">
      <c r="A3895">
        <v>2161</v>
      </c>
      <c r="B3895" t="s">
        <v>1729</v>
      </c>
      <c r="C3895" t="s">
        <v>2937</v>
      </c>
      <c r="D3895" t="str">
        <f t="shared" si="61"/>
        <v>FUCAM3004</v>
      </c>
      <c r="E3895" t="s">
        <v>2933</v>
      </c>
    </row>
    <row r="3896" spans="1:5" x14ac:dyDescent="0.25">
      <c r="A3896">
        <v>2161</v>
      </c>
      <c r="B3896" t="s">
        <v>1729</v>
      </c>
      <c r="C3896" t="s">
        <v>2939</v>
      </c>
      <c r="D3896" t="str">
        <f t="shared" si="61"/>
        <v>FUCAM3005</v>
      </c>
      <c r="E3896" t="s">
        <v>2933</v>
      </c>
    </row>
    <row r="3897" spans="1:5" x14ac:dyDescent="0.25">
      <c r="A3897">
        <v>2161</v>
      </c>
      <c r="B3897" t="s">
        <v>1729</v>
      </c>
      <c r="C3897" t="s">
        <v>323</v>
      </c>
      <c r="D3897" t="str">
        <f t="shared" si="61"/>
        <v>FUCAM3006</v>
      </c>
      <c r="E3897" t="s">
        <v>2933</v>
      </c>
    </row>
    <row r="3898" spans="1:5" x14ac:dyDescent="0.25">
      <c r="A3898">
        <v>2161</v>
      </c>
      <c r="B3898" t="s">
        <v>1729</v>
      </c>
      <c r="C3898" t="s">
        <v>333</v>
      </c>
      <c r="D3898" t="str">
        <f t="shared" si="61"/>
        <v>FUCAM3007</v>
      </c>
      <c r="E3898" t="s">
        <v>2933</v>
      </c>
    </row>
    <row r="3899" spans="1:5" x14ac:dyDescent="0.25">
      <c r="A3899">
        <v>2161</v>
      </c>
      <c r="B3899" t="s">
        <v>1729</v>
      </c>
      <c r="C3899" t="s">
        <v>2941</v>
      </c>
      <c r="D3899" t="str">
        <f t="shared" si="61"/>
        <v>FUCAM3008</v>
      </c>
      <c r="E3899" t="s">
        <v>2933</v>
      </c>
    </row>
    <row r="3900" spans="1:5" x14ac:dyDescent="0.25">
      <c r="A3900">
        <v>2161</v>
      </c>
      <c r="B3900" t="s">
        <v>1729</v>
      </c>
      <c r="C3900" t="s">
        <v>354</v>
      </c>
      <c r="D3900" t="str">
        <f t="shared" si="61"/>
        <v>FUCAM3009</v>
      </c>
      <c r="E3900" t="s">
        <v>2933</v>
      </c>
    </row>
    <row r="3901" spans="1:5" x14ac:dyDescent="0.25">
      <c r="A3901">
        <v>2161</v>
      </c>
      <c r="B3901" t="s">
        <v>1729</v>
      </c>
      <c r="C3901" t="s">
        <v>2943</v>
      </c>
      <c r="D3901" t="str">
        <f t="shared" si="61"/>
        <v>FUCAM3010</v>
      </c>
      <c r="E3901" t="s">
        <v>2944</v>
      </c>
    </row>
    <row r="3902" spans="1:5" x14ac:dyDescent="0.25">
      <c r="A3902">
        <v>2161</v>
      </c>
      <c r="B3902" t="s">
        <v>1729</v>
      </c>
      <c r="C3902" t="s">
        <v>138</v>
      </c>
      <c r="D3902" t="str">
        <f t="shared" si="61"/>
        <v>FUCAM3012</v>
      </c>
      <c r="E3902" t="s">
        <v>2944</v>
      </c>
    </row>
    <row r="3903" spans="1:5" x14ac:dyDescent="0.25">
      <c r="A3903">
        <v>2161</v>
      </c>
      <c r="B3903" t="s">
        <v>1729</v>
      </c>
      <c r="C3903" t="s">
        <v>2946</v>
      </c>
      <c r="D3903" t="str">
        <f t="shared" si="61"/>
        <v>FUCAM3013</v>
      </c>
      <c r="E3903" t="s">
        <v>2933</v>
      </c>
    </row>
    <row r="3904" spans="1:5" x14ac:dyDescent="0.25">
      <c r="A3904">
        <v>2161</v>
      </c>
      <c r="B3904" t="s">
        <v>1729</v>
      </c>
      <c r="C3904" t="s">
        <v>2948</v>
      </c>
      <c r="D3904" t="str">
        <f t="shared" si="61"/>
        <v>FUCAM3015</v>
      </c>
      <c r="E3904" t="s">
        <v>2933</v>
      </c>
    </row>
    <row r="3905" spans="1:5" x14ac:dyDescent="0.25">
      <c r="A3905">
        <v>2161</v>
      </c>
      <c r="B3905" t="s">
        <v>1729</v>
      </c>
      <c r="C3905" t="s">
        <v>2950</v>
      </c>
      <c r="D3905" t="str">
        <f t="shared" si="61"/>
        <v>FUCAM3016</v>
      </c>
      <c r="E3905" t="s">
        <v>2933</v>
      </c>
    </row>
    <row r="3906" spans="1:5" x14ac:dyDescent="0.25">
      <c r="A3906">
        <v>2161</v>
      </c>
      <c r="B3906" t="s">
        <v>1729</v>
      </c>
      <c r="C3906" t="s">
        <v>406</v>
      </c>
      <c r="D3906" t="str">
        <f t="shared" si="61"/>
        <v>FUCAM3017</v>
      </c>
      <c r="E3906" t="s">
        <v>2933</v>
      </c>
    </row>
    <row r="3907" spans="1:5" x14ac:dyDescent="0.25">
      <c r="A3907">
        <v>2161</v>
      </c>
      <c r="B3907" t="s">
        <v>1729</v>
      </c>
      <c r="C3907" t="s">
        <v>411</v>
      </c>
      <c r="D3907" t="str">
        <f t="shared" si="61"/>
        <v>FUCAM3018</v>
      </c>
      <c r="E3907" t="s">
        <v>2933</v>
      </c>
    </row>
    <row r="3908" spans="1:5" x14ac:dyDescent="0.25">
      <c r="A3908">
        <v>2161</v>
      </c>
      <c r="B3908" t="s">
        <v>1729</v>
      </c>
      <c r="C3908" t="s">
        <v>2953</v>
      </c>
      <c r="D3908" t="str">
        <f t="shared" si="61"/>
        <v>FUCAM3019</v>
      </c>
      <c r="E3908" t="s">
        <v>2954</v>
      </c>
    </row>
    <row r="3909" spans="1:5" x14ac:dyDescent="0.25">
      <c r="A3909">
        <v>2161</v>
      </c>
      <c r="B3909" t="s">
        <v>1729</v>
      </c>
      <c r="C3909" t="s">
        <v>2955</v>
      </c>
      <c r="D3909" t="str">
        <f t="shared" ref="D3909:D3972" si="62">CONCATENATE(B3909,LEFT(C3909,4))</f>
        <v>FUCAM3020</v>
      </c>
      <c r="E3909" t="s">
        <v>2933</v>
      </c>
    </row>
    <row r="3910" spans="1:5" x14ac:dyDescent="0.25">
      <c r="A3910">
        <v>2161</v>
      </c>
      <c r="B3910" t="s">
        <v>1729</v>
      </c>
      <c r="C3910" t="s">
        <v>2956</v>
      </c>
      <c r="D3910" t="str">
        <f t="shared" si="62"/>
        <v>FUCAM3021</v>
      </c>
      <c r="E3910" t="s">
        <v>2933</v>
      </c>
    </row>
    <row r="3911" spans="1:5" x14ac:dyDescent="0.25">
      <c r="A3911">
        <v>2161</v>
      </c>
      <c r="B3911" t="s">
        <v>1729</v>
      </c>
      <c r="C3911" t="s">
        <v>431</v>
      </c>
      <c r="D3911" t="str">
        <f t="shared" si="62"/>
        <v>FUCAM3022</v>
      </c>
      <c r="E3911" t="s">
        <v>2933</v>
      </c>
    </row>
    <row r="3912" spans="1:5" x14ac:dyDescent="0.25">
      <c r="A3912">
        <v>2161</v>
      </c>
      <c r="B3912" t="s">
        <v>1729</v>
      </c>
      <c r="C3912" t="s">
        <v>2957</v>
      </c>
      <c r="D3912" t="str">
        <f t="shared" si="62"/>
        <v>FUCAM3023</v>
      </c>
      <c r="E3912" t="s">
        <v>2958</v>
      </c>
    </row>
    <row r="3913" spans="1:5" x14ac:dyDescent="0.25">
      <c r="A3913">
        <v>2161</v>
      </c>
      <c r="B3913" t="s">
        <v>1729</v>
      </c>
      <c r="C3913" t="s">
        <v>441</v>
      </c>
      <c r="D3913" t="str">
        <f t="shared" si="62"/>
        <v>FUCAM3024</v>
      </c>
      <c r="E3913" t="s">
        <v>2933</v>
      </c>
    </row>
    <row r="3914" spans="1:5" x14ac:dyDescent="0.25">
      <c r="A3914">
        <v>2161</v>
      </c>
      <c r="B3914" t="s">
        <v>1729</v>
      </c>
      <c r="C3914" t="s">
        <v>2959</v>
      </c>
      <c r="D3914" t="str">
        <f t="shared" si="62"/>
        <v>FUCAM3025</v>
      </c>
      <c r="E3914" t="s">
        <v>2933</v>
      </c>
    </row>
    <row r="3915" spans="1:5" x14ac:dyDescent="0.25">
      <c r="A3915">
        <v>2161</v>
      </c>
      <c r="B3915" t="s">
        <v>1729</v>
      </c>
      <c r="C3915" t="s">
        <v>2960</v>
      </c>
      <c r="D3915" t="str">
        <f t="shared" si="62"/>
        <v>FUCAM3026</v>
      </c>
      <c r="E3915" t="s">
        <v>2958</v>
      </c>
    </row>
    <row r="3916" spans="1:5" x14ac:dyDescent="0.25">
      <c r="A3916">
        <v>2161</v>
      </c>
      <c r="B3916" t="s">
        <v>1729</v>
      </c>
      <c r="C3916" t="s">
        <v>2961</v>
      </c>
      <c r="D3916" t="str">
        <f t="shared" si="62"/>
        <v>FUCAM3027</v>
      </c>
      <c r="E3916" t="s">
        <v>2933</v>
      </c>
    </row>
    <row r="3917" spans="1:5" x14ac:dyDescent="0.25">
      <c r="A3917">
        <v>2161</v>
      </c>
      <c r="B3917" t="s">
        <v>1729</v>
      </c>
      <c r="C3917" t="s">
        <v>2984</v>
      </c>
      <c r="D3917" t="str">
        <f t="shared" si="62"/>
        <v>FUCAM3029</v>
      </c>
      <c r="E3917" t="s">
        <v>2933</v>
      </c>
    </row>
    <row r="3918" spans="1:5" x14ac:dyDescent="0.25">
      <c r="A3918">
        <v>2161</v>
      </c>
      <c r="B3918" t="s">
        <v>1729</v>
      </c>
      <c r="C3918" t="s">
        <v>467</v>
      </c>
      <c r="D3918" t="str">
        <f t="shared" si="62"/>
        <v>FUCAM3030</v>
      </c>
      <c r="E3918" t="s">
        <v>2933</v>
      </c>
    </row>
    <row r="3919" spans="1:5" x14ac:dyDescent="0.25">
      <c r="A3919">
        <v>2161</v>
      </c>
      <c r="B3919" t="s">
        <v>1729</v>
      </c>
      <c r="C3919" t="s">
        <v>470</v>
      </c>
      <c r="D3919" t="str">
        <f t="shared" si="62"/>
        <v>FUCAM3031</v>
      </c>
      <c r="E3919" t="s">
        <v>2933</v>
      </c>
    </row>
    <row r="3920" spans="1:5" x14ac:dyDescent="0.25">
      <c r="A3920">
        <v>2161</v>
      </c>
      <c r="B3920" t="s">
        <v>1729</v>
      </c>
      <c r="C3920" t="s">
        <v>487</v>
      </c>
      <c r="D3920" t="str">
        <f t="shared" si="62"/>
        <v>FUCAM3040</v>
      </c>
      <c r="E3920" t="s">
        <v>2933</v>
      </c>
    </row>
    <row r="3921" spans="1:5" x14ac:dyDescent="0.25">
      <c r="A3921">
        <v>2161</v>
      </c>
      <c r="B3921" t="s">
        <v>1729</v>
      </c>
      <c r="C3921" t="s">
        <v>2993</v>
      </c>
      <c r="D3921" t="str">
        <f t="shared" si="62"/>
        <v>FUCAM3041</v>
      </c>
      <c r="E3921" t="s">
        <v>2968</v>
      </c>
    </row>
    <row r="3922" spans="1:5" x14ac:dyDescent="0.25">
      <c r="A3922">
        <v>2161</v>
      </c>
      <c r="B3922" t="s">
        <v>1729</v>
      </c>
      <c r="C3922" t="s">
        <v>491</v>
      </c>
      <c r="D3922" t="str">
        <f t="shared" si="62"/>
        <v>FUCAM3099</v>
      </c>
      <c r="E3922" t="s">
        <v>2933</v>
      </c>
    </row>
    <row r="3923" spans="1:5" x14ac:dyDescent="0.25">
      <c r="A3923">
        <v>2161</v>
      </c>
      <c r="B3923" t="s">
        <v>1729</v>
      </c>
      <c r="C3923" t="s">
        <v>2967</v>
      </c>
      <c r="D3923" t="str">
        <f t="shared" si="62"/>
        <v>FUCAM3101</v>
      </c>
      <c r="E3923" t="s">
        <v>2968</v>
      </c>
    </row>
    <row r="3924" spans="1:5" x14ac:dyDescent="0.25">
      <c r="A3924">
        <v>2161</v>
      </c>
      <c r="B3924" t="s">
        <v>1729</v>
      </c>
      <c r="C3924" t="s">
        <v>54</v>
      </c>
      <c r="D3924" t="str">
        <f t="shared" si="62"/>
        <v>FUCAM3301</v>
      </c>
      <c r="E3924" t="s">
        <v>44</v>
      </c>
    </row>
    <row r="3925" spans="1:5" x14ac:dyDescent="0.25">
      <c r="A3925">
        <v>2161</v>
      </c>
      <c r="B3925" t="s">
        <v>1729</v>
      </c>
      <c r="C3925" t="s">
        <v>2975</v>
      </c>
      <c r="D3925" t="str">
        <f t="shared" si="62"/>
        <v>FUCAM3302</v>
      </c>
      <c r="E3925" t="s">
        <v>44</v>
      </c>
    </row>
    <row r="3926" spans="1:5" x14ac:dyDescent="0.25">
      <c r="A3926">
        <v>2161</v>
      </c>
      <c r="B3926" t="s">
        <v>1729</v>
      </c>
      <c r="C3926" t="s">
        <v>2977</v>
      </c>
      <c r="D3926" t="str">
        <f t="shared" si="62"/>
        <v>FUCAM3304</v>
      </c>
      <c r="E3926" t="s">
        <v>44</v>
      </c>
    </row>
    <row r="3927" spans="1:5" x14ac:dyDescent="0.25">
      <c r="A3927">
        <v>2161</v>
      </c>
      <c r="B3927" t="s">
        <v>1729</v>
      </c>
      <c r="C3927" t="s">
        <v>309</v>
      </c>
      <c r="D3927" t="str">
        <f t="shared" si="62"/>
        <v>FUCAM3305</v>
      </c>
      <c r="E3927" t="s">
        <v>2968</v>
      </c>
    </row>
    <row r="3928" spans="1:5" x14ac:dyDescent="0.25">
      <c r="A3928">
        <v>2161</v>
      </c>
      <c r="B3928" t="s">
        <v>1729</v>
      </c>
      <c r="C3928" t="s">
        <v>228</v>
      </c>
      <c r="D3928" t="str">
        <f t="shared" si="62"/>
        <v>FUCAM3401</v>
      </c>
      <c r="E3928" t="s">
        <v>2981</v>
      </c>
    </row>
    <row r="3929" spans="1:5" x14ac:dyDescent="0.25">
      <c r="A3929">
        <v>2161</v>
      </c>
      <c r="B3929" t="s">
        <v>1729</v>
      </c>
      <c r="C3929" t="s">
        <v>297</v>
      </c>
      <c r="D3929" t="str">
        <f t="shared" si="62"/>
        <v>FUCAM3604</v>
      </c>
      <c r="E3929" t="s">
        <v>44</v>
      </c>
    </row>
    <row r="3930" spans="1:5" x14ac:dyDescent="0.25">
      <c r="A3930">
        <v>2161</v>
      </c>
      <c r="B3930" t="s">
        <v>1729</v>
      </c>
      <c r="C3930" t="s">
        <v>3325</v>
      </c>
      <c r="D3930" t="str">
        <f t="shared" si="62"/>
        <v>FUCAM3606</v>
      </c>
      <c r="E3930" t="s">
        <v>87</v>
      </c>
    </row>
    <row r="3931" spans="1:5" x14ac:dyDescent="0.25">
      <c r="A3931">
        <v>2161</v>
      </c>
      <c r="B3931" t="s">
        <v>1729</v>
      </c>
      <c r="C3931" t="s">
        <v>355</v>
      </c>
      <c r="D3931" t="str">
        <f t="shared" si="62"/>
        <v>FUCAM3610</v>
      </c>
      <c r="E3931" t="s">
        <v>2968</v>
      </c>
    </row>
    <row r="3932" spans="1:5" x14ac:dyDescent="0.25">
      <c r="A3932">
        <v>2161</v>
      </c>
      <c r="B3932" t="s">
        <v>1729</v>
      </c>
      <c r="C3932" t="s">
        <v>2979</v>
      </c>
      <c r="D3932" t="str">
        <f t="shared" si="62"/>
        <v>FUCAM3612</v>
      </c>
      <c r="E3932" t="s">
        <v>2968</v>
      </c>
    </row>
    <row r="3933" spans="1:5" x14ac:dyDescent="0.25">
      <c r="A3933">
        <v>2161</v>
      </c>
      <c r="B3933" t="s">
        <v>1729</v>
      </c>
      <c r="C3933" t="s">
        <v>401</v>
      </c>
      <c r="D3933" t="str">
        <f t="shared" si="62"/>
        <v>FUCAM3617</v>
      </c>
      <c r="E3933" t="s">
        <v>2968</v>
      </c>
    </row>
    <row r="3934" spans="1:5" x14ac:dyDescent="0.25">
      <c r="A3934">
        <v>2161</v>
      </c>
      <c r="B3934" t="s">
        <v>1729</v>
      </c>
      <c r="C3934" t="s">
        <v>442</v>
      </c>
      <c r="D3934" t="str">
        <f t="shared" si="62"/>
        <v>FUCAM3625</v>
      </c>
      <c r="E3934" t="s">
        <v>2968</v>
      </c>
    </row>
    <row r="3935" spans="1:5" x14ac:dyDescent="0.25">
      <c r="A3935">
        <v>2161</v>
      </c>
      <c r="B3935" t="s">
        <v>1729</v>
      </c>
      <c r="C3935" t="s">
        <v>447</v>
      </c>
      <c r="D3935" t="str">
        <f t="shared" si="62"/>
        <v>FUCAM3626</v>
      </c>
      <c r="E3935" t="s">
        <v>2968</v>
      </c>
    </row>
    <row r="3936" spans="1:5" x14ac:dyDescent="0.25">
      <c r="A3936">
        <v>2161</v>
      </c>
      <c r="B3936" t="s">
        <v>1729</v>
      </c>
      <c r="C3936" t="s">
        <v>471</v>
      </c>
      <c r="D3936" t="str">
        <f t="shared" si="62"/>
        <v>FUCAM3699</v>
      </c>
      <c r="E3936" t="s">
        <v>2968</v>
      </c>
    </row>
    <row r="3937" spans="1:5" x14ac:dyDescent="0.25">
      <c r="A3937">
        <v>2161</v>
      </c>
      <c r="B3937" t="s">
        <v>1729</v>
      </c>
      <c r="C3937" t="s">
        <v>2985</v>
      </c>
      <c r="D3937" t="str">
        <f t="shared" si="62"/>
        <v>FUCAM3704</v>
      </c>
      <c r="E3937" t="s">
        <v>117</v>
      </c>
    </row>
    <row r="3938" spans="1:5" x14ac:dyDescent="0.25">
      <c r="A3938">
        <v>2161</v>
      </c>
      <c r="B3938" t="s">
        <v>1729</v>
      </c>
      <c r="C3938" t="s">
        <v>2986</v>
      </c>
      <c r="D3938" t="str">
        <f t="shared" si="62"/>
        <v>FUCAM3705</v>
      </c>
      <c r="E3938" t="s">
        <v>117</v>
      </c>
    </row>
    <row r="3939" spans="1:5" x14ac:dyDescent="0.25">
      <c r="A3939">
        <v>2161</v>
      </c>
      <c r="B3939" t="s">
        <v>1729</v>
      </c>
      <c r="C3939" t="s">
        <v>233</v>
      </c>
      <c r="D3939" t="str">
        <f t="shared" si="62"/>
        <v>FUCAM3901</v>
      </c>
      <c r="E3939" t="s">
        <v>2926</v>
      </c>
    </row>
    <row r="3940" spans="1:5" x14ac:dyDescent="0.25">
      <c r="A3940">
        <v>2161</v>
      </c>
      <c r="B3940" t="s">
        <v>1729</v>
      </c>
      <c r="C3940" t="s">
        <v>3056</v>
      </c>
      <c r="D3940" t="str">
        <f t="shared" si="62"/>
        <v>FUCAM3902</v>
      </c>
      <c r="E3940" t="s">
        <v>2926</v>
      </c>
    </row>
    <row r="3941" spans="1:5" x14ac:dyDescent="0.25">
      <c r="A3941">
        <v>2161</v>
      </c>
      <c r="B3941" t="s">
        <v>1729</v>
      </c>
      <c r="C3941" t="s">
        <v>2988</v>
      </c>
      <c r="D3941" t="str">
        <f t="shared" si="62"/>
        <v>FUCAM3903</v>
      </c>
      <c r="E3941" t="s">
        <v>87</v>
      </c>
    </row>
    <row r="3942" spans="1:5" x14ac:dyDescent="0.25">
      <c r="A3942">
        <v>2161</v>
      </c>
      <c r="B3942" t="s">
        <v>1729</v>
      </c>
      <c r="C3942" t="s">
        <v>299</v>
      </c>
      <c r="D3942" t="str">
        <f t="shared" si="62"/>
        <v>FUCAM3904</v>
      </c>
      <c r="E3942" t="s">
        <v>2968</v>
      </c>
    </row>
    <row r="3943" spans="1:5" x14ac:dyDescent="0.25">
      <c r="A3943">
        <v>2161</v>
      </c>
      <c r="B3943" t="s">
        <v>1729</v>
      </c>
      <c r="C3943" t="s">
        <v>2989</v>
      </c>
      <c r="D3943" t="str">
        <f t="shared" si="62"/>
        <v>FUCAM3908</v>
      </c>
      <c r="E3943" t="s">
        <v>2968</v>
      </c>
    </row>
    <row r="3944" spans="1:5" x14ac:dyDescent="0.25">
      <c r="A3944">
        <v>2161</v>
      </c>
      <c r="B3944" t="s">
        <v>1729</v>
      </c>
      <c r="C3944" t="s">
        <v>346</v>
      </c>
      <c r="D3944" t="str">
        <f t="shared" si="62"/>
        <v>FUCAM3910</v>
      </c>
      <c r="E3944" t="s">
        <v>2968</v>
      </c>
    </row>
    <row r="3945" spans="1:5" x14ac:dyDescent="0.25">
      <c r="A3945">
        <v>2161</v>
      </c>
      <c r="B3945" t="s">
        <v>1729</v>
      </c>
      <c r="C3945" t="s">
        <v>356</v>
      </c>
      <c r="D3945" t="str">
        <f t="shared" si="62"/>
        <v>FUCAM3911</v>
      </c>
      <c r="E3945" t="s">
        <v>2968</v>
      </c>
    </row>
    <row r="3946" spans="1:5" x14ac:dyDescent="0.25">
      <c r="A3946">
        <v>2161</v>
      </c>
      <c r="B3946" t="s">
        <v>1729</v>
      </c>
      <c r="C3946" t="s">
        <v>2991</v>
      </c>
      <c r="D3946" t="str">
        <f t="shared" si="62"/>
        <v>FUCAM3912</v>
      </c>
      <c r="E3946" t="s">
        <v>2992</v>
      </c>
    </row>
    <row r="3947" spans="1:5" x14ac:dyDescent="0.25">
      <c r="A3947">
        <v>2161</v>
      </c>
      <c r="B3947" t="s">
        <v>1729</v>
      </c>
      <c r="C3947" t="s">
        <v>2994</v>
      </c>
      <c r="D3947" t="str">
        <f t="shared" si="62"/>
        <v>FUCAM3913</v>
      </c>
      <c r="E3947" t="s">
        <v>2992</v>
      </c>
    </row>
    <row r="3948" spans="1:5" x14ac:dyDescent="0.25">
      <c r="A3948">
        <v>2161</v>
      </c>
      <c r="B3948" t="s">
        <v>1729</v>
      </c>
      <c r="C3948" t="s">
        <v>2996</v>
      </c>
      <c r="D3948" t="str">
        <f t="shared" si="62"/>
        <v>FUCAM3917</v>
      </c>
      <c r="E3948" t="s">
        <v>2958</v>
      </c>
    </row>
    <row r="3949" spans="1:5" x14ac:dyDescent="0.25">
      <c r="A3949">
        <v>2161</v>
      </c>
      <c r="B3949" t="s">
        <v>1729</v>
      </c>
      <c r="C3949" t="s">
        <v>2998</v>
      </c>
      <c r="D3949" t="str">
        <f t="shared" si="62"/>
        <v>FUCAM3918</v>
      </c>
      <c r="E3949" t="s">
        <v>2958</v>
      </c>
    </row>
    <row r="3950" spans="1:5" x14ac:dyDescent="0.25">
      <c r="A3950">
        <v>2161</v>
      </c>
      <c r="B3950" t="s">
        <v>1729</v>
      </c>
      <c r="C3950" t="s">
        <v>3000</v>
      </c>
      <c r="D3950" t="str">
        <f t="shared" si="62"/>
        <v>FUCAM3919</v>
      </c>
      <c r="E3950" t="s">
        <v>3001</v>
      </c>
    </row>
    <row r="3951" spans="1:5" x14ac:dyDescent="0.25">
      <c r="A3951">
        <v>2161</v>
      </c>
      <c r="B3951" t="s">
        <v>1729</v>
      </c>
      <c r="C3951" t="s">
        <v>3002</v>
      </c>
      <c r="D3951" t="str">
        <f t="shared" si="62"/>
        <v>FUCAM3921</v>
      </c>
      <c r="E3951" t="s">
        <v>3001</v>
      </c>
    </row>
    <row r="3952" spans="1:5" x14ac:dyDescent="0.25">
      <c r="A3952">
        <v>2161</v>
      </c>
      <c r="B3952" t="s">
        <v>1729</v>
      </c>
      <c r="C3952" t="s">
        <v>3003</v>
      </c>
      <c r="D3952" t="str">
        <f t="shared" si="62"/>
        <v>FUCAM3922</v>
      </c>
      <c r="E3952" t="s">
        <v>2954</v>
      </c>
    </row>
    <row r="3953" spans="1:5" x14ac:dyDescent="0.25">
      <c r="A3953">
        <v>2161</v>
      </c>
      <c r="B3953" t="s">
        <v>1729</v>
      </c>
      <c r="C3953" t="s">
        <v>566</v>
      </c>
      <c r="D3953" t="str">
        <f t="shared" si="62"/>
        <v>FUCAM3924</v>
      </c>
      <c r="E3953" t="s">
        <v>3004</v>
      </c>
    </row>
    <row r="3954" spans="1:5" x14ac:dyDescent="0.25">
      <c r="A3954">
        <v>2161</v>
      </c>
      <c r="B3954" t="s">
        <v>1729</v>
      </c>
      <c r="C3954" t="s">
        <v>438</v>
      </c>
      <c r="D3954" t="str">
        <f t="shared" si="62"/>
        <v>FUCAM3925</v>
      </c>
      <c r="E3954" t="s">
        <v>3006</v>
      </c>
    </row>
    <row r="3955" spans="1:5" x14ac:dyDescent="0.25">
      <c r="A3955">
        <v>2161</v>
      </c>
      <c r="B3955" t="s">
        <v>1729</v>
      </c>
      <c r="C3955" t="s">
        <v>443</v>
      </c>
      <c r="D3955" t="str">
        <f t="shared" si="62"/>
        <v>FUCAM3926</v>
      </c>
      <c r="E3955" t="s">
        <v>3006</v>
      </c>
    </row>
    <row r="3956" spans="1:5" x14ac:dyDescent="0.25">
      <c r="A3956">
        <v>2161</v>
      </c>
      <c r="B3956" t="s">
        <v>1729</v>
      </c>
      <c r="C3956" t="s">
        <v>1481</v>
      </c>
      <c r="D3956" t="str">
        <f t="shared" si="62"/>
        <v>FUCAM3931</v>
      </c>
      <c r="E3956" t="s">
        <v>2968</v>
      </c>
    </row>
    <row r="3957" spans="1:5" x14ac:dyDescent="0.25">
      <c r="A3957">
        <v>2161</v>
      </c>
      <c r="B3957" t="s">
        <v>1729</v>
      </c>
      <c r="C3957" t="s">
        <v>466</v>
      </c>
      <c r="D3957" t="str">
        <f t="shared" si="62"/>
        <v>FUCAM3933</v>
      </c>
      <c r="E3957" t="s">
        <v>2968</v>
      </c>
    </row>
    <row r="3958" spans="1:5" x14ac:dyDescent="0.25">
      <c r="A3958">
        <v>2161</v>
      </c>
      <c r="B3958" t="s">
        <v>1729</v>
      </c>
      <c r="C3958" t="s">
        <v>3017</v>
      </c>
      <c r="D3958" t="str">
        <f t="shared" si="62"/>
        <v>FUCAM3936</v>
      </c>
      <c r="E3958" t="s">
        <v>94</v>
      </c>
    </row>
    <row r="3959" spans="1:5" x14ac:dyDescent="0.25">
      <c r="A3959">
        <v>2161</v>
      </c>
      <c r="B3959" t="s">
        <v>1729</v>
      </c>
      <c r="C3959" t="s">
        <v>3088</v>
      </c>
      <c r="D3959" t="str">
        <f t="shared" si="62"/>
        <v>FUCAM3937</v>
      </c>
      <c r="E3959" t="s">
        <v>3107</v>
      </c>
    </row>
    <row r="3960" spans="1:5" x14ac:dyDescent="0.25">
      <c r="A3960">
        <v>2161</v>
      </c>
      <c r="B3960" t="s">
        <v>1729</v>
      </c>
      <c r="C3960" t="s">
        <v>3089</v>
      </c>
      <c r="D3960" t="str">
        <f t="shared" si="62"/>
        <v>FUCAM3939</v>
      </c>
      <c r="E3960" t="s">
        <v>2968</v>
      </c>
    </row>
    <row r="3961" spans="1:5" x14ac:dyDescent="0.25">
      <c r="A3961">
        <v>2161</v>
      </c>
      <c r="B3961" t="s">
        <v>1729</v>
      </c>
      <c r="C3961" t="s">
        <v>3019</v>
      </c>
      <c r="D3961" t="str">
        <f t="shared" si="62"/>
        <v>FUCAM3940</v>
      </c>
      <c r="E3961" t="s">
        <v>3009</v>
      </c>
    </row>
    <row r="3962" spans="1:5" x14ac:dyDescent="0.25">
      <c r="A3962">
        <v>2161</v>
      </c>
      <c r="B3962" t="s">
        <v>1729</v>
      </c>
      <c r="C3962" t="s">
        <v>480</v>
      </c>
      <c r="D3962" t="str">
        <f t="shared" si="62"/>
        <v>FUCAM3941</v>
      </c>
      <c r="E3962" t="s">
        <v>2968</v>
      </c>
    </row>
    <row r="3963" spans="1:5" x14ac:dyDescent="0.25">
      <c r="A3963">
        <v>2161</v>
      </c>
      <c r="B3963" t="s">
        <v>1729</v>
      </c>
      <c r="C3963" t="s">
        <v>3020</v>
      </c>
      <c r="D3963" t="str">
        <f t="shared" si="62"/>
        <v>FUCAM3943</v>
      </c>
      <c r="E3963" t="s">
        <v>2958</v>
      </c>
    </row>
    <row r="3964" spans="1:5" x14ac:dyDescent="0.25">
      <c r="A3964">
        <v>2161</v>
      </c>
      <c r="B3964" t="s">
        <v>1729</v>
      </c>
      <c r="C3964" t="s">
        <v>3096</v>
      </c>
      <c r="D3964" t="str">
        <f t="shared" si="62"/>
        <v>FUCAM3949</v>
      </c>
      <c r="E3964" t="s">
        <v>3004</v>
      </c>
    </row>
    <row r="3965" spans="1:5" x14ac:dyDescent="0.25">
      <c r="A3965">
        <v>2161</v>
      </c>
      <c r="B3965" t="s">
        <v>1729</v>
      </c>
      <c r="C3965" t="s">
        <v>3022</v>
      </c>
      <c r="D3965" t="str">
        <f t="shared" si="62"/>
        <v>FUCAM3950</v>
      </c>
      <c r="E3965" t="s">
        <v>44</v>
      </c>
    </row>
    <row r="3966" spans="1:5" x14ac:dyDescent="0.25">
      <c r="A3966">
        <v>2161</v>
      </c>
      <c r="B3966" t="s">
        <v>1729</v>
      </c>
      <c r="C3966" t="s">
        <v>3098</v>
      </c>
      <c r="D3966" t="str">
        <f t="shared" si="62"/>
        <v>FUCAM3952</v>
      </c>
      <c r="E3966" t="s">
        <v>65</v>
      </c>
    </row>
    <row r="3967" spans="1:5" x14ac:dyDescent="0.25">
      <c r="A3967">
        <v>2161</v>
      </c>
      <c r="B3967" t="s">
        <v>1729</v>
      </c>
      <c r="C3967" t="s">
        <v>498</v>
      </c>
      <c r="D3967" t="str">
        <f t="shared" si="62"/>
        <v>FUCAM3955</v>
      </c>
      <c r="E3967" t="s">
        <v>2968</v>
      </c>
    </row>
    <row r="3968" spans="1:5" x14ac:dyDescent="0.25">
      <c r="A3968">
        <v>2161</v>
      </c>
      <c r="B3968" t="s">
        <v>1729</v>
      </c>
      <c r="C3968" t="s">
        <v>3031</v>
      </c>
      <c r="D3968" t="str">
        <f t="shared" si="62"/>
        <v>FUCAM3970</v>
      </c>
      <c r="E3968" t="s">
        <v>3009</v>
      </c>
    </row>
    <row r="3969" spans="1:5" x14ac:dyDescent="0.25">
      <c r="A3969">
        <v>2161</v>
      </c>
      <c r="B3969" t="s">
        <v>1729</v>
      </c>
      <c r="C3969" t="s">
        <v>513</v>
      </c>
      <c r="D3969" t="str">
        <f t="shared" si="62"/>
        <v>FUCAM3971</v>
      </c>
      <c r="E3969" t="s">
        <v>3033</v>
      </c>
    </row>
    <row r="3970" spans="1:5" x14ac:dyDescent="0.25">
      <c r="A3970">
        <v>2161</v>
      </c>
      <c r="B3970" t="s">
        <v>1729</v>
      </c>
      <c r="C3970" t="s">
        <v>3111</v>
      </c>
      <c r="D3970" t="str">
        <f t="shared" si="62"/>
        <v>FUCAM3973</v>
      </c>
      <c r="E3970" t="s">
        <v>2968</v>
      </c>
    </row>
    <row r="3971" spans="1:5" x14ac:dyDescent="0.25">
      <c r="A3971">
        <v>2161</v>
      </c>
      <c r="B3971" t="s">
        <v>1729</v>
      </c>
      <c r="C3971" t="s">
        <v>3216</v>
      </c>
      <c r="D3971" t="str">
        <f t="shared" si="62"/>
        <v>FUCAM3980</v>
      </c>
      <c r="E3971" t="s">
        <v>3081</v>
      </c>
    </row>
    <row r="3972" spans="1:5" x14ac:dyDescent="0.25">
      <c r="A3972">
        <v>2161</v>
      </c>
      <c r="B3972" t="s">
        <v>1729</v>
      </c>
      <c r="C3972" t="s">
        <v>3036</v>
      </c>
      <c r="D3972" t="str">
        <f t="shared" si="62"/>
        <v>FUCAM3987</v>
      </c>
      <c r="E3972" t="s">
        <v>2958</v>
      </c>
    </row>
    <row r="3973" spans="1:5" x14ac:dyDescent="0.25">
      <c r="A3973">
        <v>2161</v>
      </c>
      <c r="B3973" t="s">
        <v>1729</v>
      </c>
      <c r="C3973" t="s">
        <v>3249</v>
      </c>
      <c r="D3973" t="str">
        <f t="shared" ref="D3973:D4036" si="63">CONCATENATE(B3973,LEFT(C3973,4))</f>
        <v>FUCAM3993</v>
      </c>
      <c r="E3973" t="s">
        <v>2968</v>
      </c>
    </row>
    <row r="3974" spans="1:5" x14ac:dyDescent="0.25">
      <c r="A3974">
        <v>2161</v>
      </c>
      <c r="B3974" t="s">
        <v>1729</v>
      </c>
      <c r="C3974" t="s">
        <v>3040</v>
      </c>
      <c r="D3974" t="str">
        <f t="shared" si="63"/>
        <v>FUCAM3999</v>
      </c>
      <c r="E3974" t="s">
        <v>2968</v>
      </c>
    </row>
    <row r="3975" spans="1:5" x14ac:dyDescent="0.25">
      <c r="A3975">
        <v>2161</v>
      </c>
      <c r="B3975" t="s">
        <v>1729</v>
      </c>
      <c r="C3975" t="s">
        <v>3041</v>
      </c>
      <c r="D3975" t="str">
        <f t="shared" si="63"/>
        <v>FUCAM4002</v>
      </c>
      <c r="E3975" t="s">
        <v>3009</v>
      </c>
    </row>
    <row r="3976" spans="1:5" x14ac:dyDescent="0.25">
      <c r="A3976">
        <v>2161</v>
      </c>
      <c r="B3976" t="s">
        <v>1729</v>
      </c>
      <c r="C3976" t="s">
        <v>3043</v>
      </c>
      <c r="D3976" t="str">
        <f t="shared" si="63"/>
        <v>FUCAM4003</v>
      </c>
      <c r="E3976" t="s">
        <v>94</v>
      </c>
    </row>
    <row r="3977" spans="1:5" x14ac:dyDescent="0.25">
      <c r="A3977">
        <v>2161</v>
      </c>
      <c r="B3977" t="s">
        <v>1729</v>
      </c>
      <c r="C3977" t="s">
        <v>3045</v>
      </c>
      <c r="D3977" t="str">
        <f t="shared" si="63"/>
        <v>FUCAM4004</v>
      </c>
      <c r="E3977" t="s">
        <v>3009</v>
      </c>
    </row>
    <row r="3978" spans="1:5" x14ac:dyDescent="0.25">
      <c r="A3978">
        <v>2161</v>
      </c>
      <c r="B3978" t="s">
        <v>1729</v>
      </c>
      <c r="C3978" t="s">
        <v>3047</v>
      </c>
      <c r="D3978" t="str">
        <f t="shared" si="63"/>
        <v>FUCAM4005</v>
      </c>
      <c r="E3978" t="s">
        <v>3009</v>
      </c>
    </row>
    <row r="3979" spans="1:5" x14ac:dyDescent="0.25">
      <c r="A3979">
        <v>2161</v>
      </c>
      <c r="B3979" t="s">
        <v>1729</v>
      </c>
      <c r="C3979" t="s">
        <v>3123</v>
      </c>
      <c r="D3979" t="str">
        <f t="shared" si="63"/>
        <v>FUCAM4101</v>
      </c>
      <c r="E3979" t="s">
        <v>2968</v>
      </c>
    </row>
    <row r="3980" spans="1:5" x14ac:dyDescent="0.25">
      <c r="A3980">
        <v>2161</v>
      </c>
      <c r="B3980" t="s">
        <v>1729</v>
      </c>
      <c r="C3980" t="s">
        <v>3048</v>
      </c>
      <c r="D3980" t="str">
        <f t="shared" si="63"/>
        <v>FUCAM4701</v>
      </c>
      <c r="E3980" t="s">
        <v>3049</v>
      </c>
    </row>
    <row r="3981" spans="1:5" x14ac:dyDescent="0.25">
      <c r="A3981">
        <v>2161</v>
      </c>
      <c r="B3981" t="s">
        <v>1729</v>
      </c>
      <c r="C3981" t="s">
        <v>265</v>
      </c>
      <c r="D3981" t="str">
        <f t="shared" si="63"/>
        <v>FUCAM4703</v>
      </c>
      <c r="E3981" t="s">
        <v>3049</v>
      </c>
    </row>
    <row r="3982" spans="1:5" x14ac:dyDescent="0.25">
      <c r="A3982">
        <v>2161</v>
      </c>
      <c r="B3982" t="s">
        <v>1729</v>
      </c>
      <c r="C3982" t="s">
        <v>316</v>
      </c>
      <c r="D3982" t="str">
        <f t="shared" si="63"/>
        <v>FUCAM4706</v>
      </c>
      <c r="E3982" t="s">
        <v>3049</v>
      </c>
    </row>
    <row r="3983" spans="1:5" x14ac:dyDescent="0.25">
      <c r="A3983">
        <v>2161</v>
      </c>
      <c r="B3983" t="s">
        <v>1729</v>
      </c>
      <c r="C3983" t="s">
        <v>3284</v>
      </c>
      <c r="D3983" t="str">
        <f t="shared" si="63"/>
        <v>FUCAM5102</v>
      </c>
      <c r="E3983" t="s">
        <v>3052</v>
      </c>
    </row>
    <row r="3984" spans="1:5" x14ac:dyDescent="0.25">
      <c r="A3984">
        <v>2161</v>
      </c>
      <c r="B3984" t="s">
        <v>1729</v>
      </c>
      <c r="C3984" t="s">
        <v>173</v>
      </c>
      <c r="D3984" t="str">
        <f t="shared" si="63"/>
        <v>FUCAM5107</v>
      </c>
      <c r="E3984" t="s">
        <v>3052</v>
      </c>
    </row>
    <row r="3985" spans="1:5" x14ac:dyDescent="0.25">
      <c r="A3985">
        <v>2161</v>
      </c>
      <c r="B3985" t="s">
        <v>1729</v>
      </c>
      <c r="C3985" t="s">
        <v>3147</v>
      </c>
      <c r="D3985" t="str">
        <f t="shared" si="63"/>
        <v>FUCAM5112</v>
      </c>
      <c r="E3985" t="s">
        <v>3052</v>
      </c>
    </row>
    <row r="3986" spans="1:5" x14ac:dyDescent="0.25">
      <c r="A3986">
        <v>2161</v>
      </c>
      <c r="B3986" t="s">
        <v>1729</v>
      </c>
      <c r="C3986" t="s">
        <v>3054</v>
      </c>
      <c r="D3986" t="str">
        <f t="shared" si="63"/>
        <v>FUCAM5204</v>
      </c>
      <c r="E3986" t="s">
        <v>3055</v>
      </c>
    </row>
    <row r="3987" spans="1:5" x14ac:dyDescent="0.25">
      <c r="A3987">
        <v>2161</v>
      </c>
      <c r="B3987" t="s">
        <v>1729</v>
      </c>
      <c r="C3987" t="s">
        <v>329</v>
      </c>
      <c r="D3987" t="str">
        <f t="shared" si="63"/>
        <v>FUCAM5206</v>
      </c>
      <c r="E3987" t="s">
        <v>3057</v>
      </c>
    </row>
    <row r="3988" spans="1:5" x14ac:dyDescent="0.25">
      <c r="A3988">
        <v>2161</v>
      </c>
      <c r="B3988" t="s">
        <v>1729</v>
      </c>
      <c r="C3988" t="s">
        <v>3058</v>
      </c>
      <c r="D3988" t="str">
        <f t="shared" si="63"/>
        <v>FUCAM5207</v>
      </c>
      <c r="E3988" t="s">
        <v>3057</v>
      </c>
    </row>
    <row r="3989" spans="1:5" x14ac:dyDescent="0.25">
      <c r="A3989">
        <v>2161</v>
      </c>
      <c r="B3989" t="s">
        <v>1729</v>
      </c>
      <c r="C3989" t="s">
        <v>3060</v>
      </c>
      <c r="D3989" t="str">
        <f t="shared" si="63"/>
        <v>FUCAM5208</v>
      </c>
      <c r="E3989" t="s">
        <v>3057</v>
      </c>
    </row>
    <row r="3990" spans="1:5" x14ac:dyDescent="0.25">
      <c r="A3990">
        <v>2161</v>
      </c>
      <c r="B3990" t="s">
        <v>1729</v>
      </c>
      <c r="C3990" t="s">
        <v>3063</v>
      </c>
      <c r="D3990" t="str">
        <f t="shared" si="63"/>
        <v>FUCAM5210</v>
      </c>
      <c r="E3990" t="s">
        <v>3055</v>
      </c>
    </row>
    <row r="3991" spans="1:5" x14ac:dyDescent="0.25">
      <c r="A3991">
        <v>2161</v>
      </c>
      <c r="B3991" t="s">
        <v>1729</v>
      </c>
      <c r="C3991" t="s">
        <v>3155</v>
      </c>
      <c r="D3991" t="str">
        <f t="shared" si="63"/>
        <v>FUCAM5211</v>
      </c>
      <c r="E3991" t="s">
        <v>2944</v>
      </c>
    </row>
    <row r="3992" spans="1:5" x14ac:dyDescent="0.25">
      <c r="A3992">
        <v>2161</v>
      </c>
      <c r="B3992" t="s">
        <v>1729</v>
      </c>
      <c r="C3992" t="s">
        <v>3064</v>
      </c>
      <c r="D3992" t="str">
        <f t="shared" si="63"/>
        <v>FUCAM5212</v>
      </c>
      <c r="E3992" t="s">
        <v>3055</v>
      </c>
    </row>
    <row r="3993" spans="1:5" x14ac:dyDescent="0.25">
      <c r="A3993">
        <v>2161</v>
      </c>
      <c r="B3993" t="s">
        <v>1729</v>
      </c>
      <c r="C3993" t="s">
        <v>385</v>
      </c>
      <c r="D3993" t="str">
        <f t="shared" si="63"/>
        <v>FUCAM5213</v>
      </c>
      <c r="E3993" t="s">
        <v>3055</v>
      </c>
    </row>
    <row r="3994" spans="1:5" x14ac:dyDescent="0.25">
      <c r="A3994">
        <v>2161</v>
      </c>
      <c r="B3994" t="s">
        <v>1729</v>
      </c>
      <c r="C3994" t="s">
        <v>391</v>
      </c>
      <c r="D3994" t="str">
        <f t="shared" si="63"/>
        <v>FUCAM5214</v>
      </c>
      <c r="E3994" t="s">
        <v>3055</v>
      </c>
    </row>
    <row r="3995" spans="1:5" x14ac:dyDescent="0.25">
      <c r="A3995">
        <v>2161</v>
      </c>
      <c r="B3995" t="s">
        <v>1729</v>
      </c>
      <c r="C3995" t="s">
        <v>403</v>
      </c>
      <c r="D3995" t="str">
        <f t="shared" si="63"/>
        <v>FUCAM5216</v>
      </c>
      <c r="E3995" t="s">
        <v>3055</v>
      </c>
    </row>
    <row r="3996" spans="1:5" x14ac:dyDescent="0.25">
      <c r="A3996">
        <v>2161</v>
      </c>
      <c r="B3996" t="s">
        <v>1729</v>
      </c>
      <c r="C3996" t="s">
        <v>409</v>
      </c>
      <c r="D3996" t="str">
        <f t="shared" si="63"/>
        <v>FUCAM5217</v>
      </c>
      <c r="E3996" t="s">
        <v>3055</v>
      </c>
    </row>
    <row r="3997" spans="1:5" x14ac:dyDescent="0.25">
      <c r="A3997">
        <v>2161</v>
      </c>
      <c r="B3997" t="s">
        <v>1729</v>
      </c>
      <c r="C3997" t="s">
        <v>419</v>
      </c>
      <c r="D3997" t="str">
        <f t="shared" si="63"/>
        <v>FUCAM5219</v>
      </c>
      <c r="E3997" t="s">
        <v>3055</v>
      </c>
    </row>
    <row r="3998" spans="1:5" x14ac:dyDescent="0.25">
      <c r="A3998">
        <v>2161</v>
      </c>
      <c r="B3998" t="s">
        <v>1729</v>
      </c>
      <c r="C3998" t="s">
        <v>3068</v>
      </c>
      <c r="D3998" t="str">
        <f t="shared" si="63"/>
        <v>FUCAM5220</v>
      </c>
      <c r="E3998" t="s">
        <v>3057</v>
      </c>
    </row>
    <row r="3999" spans="1:5" x14ac:dyDescent="0.25">
      <c r="A3999">
        <v>2161</v>
      </c>
      <c r="B3999" t="s">
        <v>1729</v>
      </c>
      <c r="C3999" t="s">
        <v>429</v>
      </c>
      <c r="D3999" t="str">
        <f t="shared" si="63"/>
        <v>FUCAM5221</v>
      </c>
      <c r="E3999" t="s">
        <v>3055</v>
      </c>
    </row>
    <row r="4000" spans="1:5" x14ac:dyDescent="0.25">
      <c r="A4000">
        <v>2161</v>
      </c>
      <c r="B4000" t="s">
        <v>1729</v>
      </c>
      <c r="C4000" t="s">
        <v>434</v>
      </c>
      <c r="D4000" t="str">
        <f t="shared" si="63"/>
        <v>FUCAM5222</v>
      </c>
      <c r="E4000" t="s">
        <v>3055</v>
      </c>
    </row>
    <row r="4001" spans="1:5" x14ac:dyDescent="0.25">
      <c r="A4001">
        <v>2161</v>
      </c>
      <c r="B4001" t="s">
        <v>1729</v>
      </c>
      <c r="C4001" t="s">
        <v>449</v>
      </c>
      <c r="D4001" t="str">
        <f t="shared" si="63"/>
        <v>FUCAM5225</v>
      </c>
      <c r="E4001" t="s">
        <v>3055</v>
      </c>
    </row>
    <row r="4002" spans="1:5" x14ac:dyDescent="0.25">
      <c r="A4002">
        <v>2161</v>
      </c>
      <c r="B4002" t="s">
        <v>1729</v>
      </c>
      <c r="C4002" t="s">
        <v>3070</v>
      </c>
      <c r="D4002" t="str">
        <f t="shared" si="63"/>
        <v>FUCAM5226</v>
      </c>
      <c r="E4002" t="s">
        <v>3055</v>
      </c>
    </row>
    <row r="4003" spans="1:5" x14ac:dyDescent="0.25">
      <c r="A4003">
        <v>2161</v>
      </c>
      <c r="B4003" t="s">
        <v>1729</v>
      </c>
      <c r="C4003" t="s">
        <v>459</v>
      </c>
      <c r="D4003" t="str">
        <f t="shared" si="63"/>
        <v>FUCAM5299</v>
      </c>
      <c r="E4003" t="s">
        <v>3055</v>
      </c>
    </row>
    <row r="4004" spans="1:5" x14ac:dyDescent="0.25">
      <c r="A4004">
        <v>2161</v>
      </c>
      <c r="B4004" t="s">
        <v>1729</v>
      </c>
      <c r="C4004" t="s">
        <v>3164</v>
      </c>
      <c r="D4004" t="str">
        <f t="shared" si="63"/>
        <v>FUCAM5905</v>
      </c>
      <c r="E4004" t="s">
        <v>2968</v>
      </c>
    </row>
    <row r="4005" spans="1:5" x14ac:dyDescent="0.25">
      <c r="A4005">
        <v>2161</v>
      </c>
      <c r="B4005" t="s">
        <v>1729</v>
      </c>
      <c r="C4005" t="s">
        <v>3211</v>
      </c>
      <c r="D4005" t="str">
        <f t="shared" si="63"/>
        <v>FUCAM9108</v>
      </c>
      <c r="E4005" t="s">
        <v>3212</v>
      </c>
    </row>
    <row r="4006" spans="1:5" x14ac:dyDescent="0.25">
      <c r="A4006">
        <v>2161</v>
      </c>
      <c r="B4006" t="s">
        <v>1729</v>
      </c>
      <c r="C4006" t="s">
        <v>3074</v>
      </c>
      <c r="D4006" t="str">
        <f t="shared" si="63"/>
        <v>FUCAM9202</v>
      </c>
      <c r="E4006" t="s">
        <v>3075</v>
      </c>
    </row>
    <row r="4007" spans="1:5" x14ac:dyDescent="0.25">
      <c r="A4007">
        <v>2161</v>
      </c>
      <c r="B4007" t="s">
        <v>1729</v>
      </c>
      <c r="C4007" t="s">
        <v>3079</v>
      </c>
      <c r="D4007" t="str">
        <f t="shared" si="63"/>
        <v>FUCAM9399</v>
      </c>
      <c r="E4007" t="s">
        <v>2968</v>
      </c>
    </row>
    <row r="4008" spans="1:5" x14ac:dyDescent="0.25">
      <c r="A4008">
        <v>2171</v>
      </c>
      <c r="B4008" t="s">
        <v>38</v>
      </c>
      <c r="C4008" t="s">
        <v>2942</v>
      </c>
      <c r="D4008" t="str">
        <f t="shared" si="63"/>
        <v>FAOP1317</v>
      </c>
      <c r="E4008" t="s">
        <v>3081</v>
      </c>
    </row>
    <row r="4009" spans="1:5" x14ac:dyDescent="0.25">
      <c r="A4009">
        <v>2171</v>
      </c>
      <c r="B4009" t="s">
        <v>38</v>
      </c>
      <c r="C4009" t="s">
        <v>2928</v>
      </c>
      <c r="D4009" t="str">
        <f t="shared" si="63"/>
        <v>FAOP1401</v>
      </c>
      <c r="E4009" t="s">
        <v>44</v>
      </c>
    </row>
    <row r="4010" spans="1:5" x14ac:dyDescent="0.25">
      <c r="A4010">
        <v>2171</v>
      </c>
      <c r="B4010" t="s">
        <v>38</v>
      </c>
      <c r="C4010" t="s">
        <v>2932</v>
      </c>
      <c r="D4010" t="str">
        <f t="shared" si="63"/>
        <v>FAOP3001</v>
      </c>
      <c r="E4010" t="s">
        <v>2933</v>
      </c>
    </row>
    <row r="4011" spans="1:5" x14ac:dyDescent="0.25">
      <c r="A4011">
        <v>2171</v>
      </c>
      <c r="B4011" t="s">
        <v>38</v>
      </c>
      <c r="C4011" t="s">
        <v>256</v>
      </c>
      <c r="D4011" t="str">
        <f t="shared" si="63"/>
        <v>FAOP3002</v>
      </c>
      <c r="E4011" t="s">
        <v>2933</v>
      </c>
    </row>
    <row r="4012" spans="1:5" x14ac:dyDescent="0.25">
      <c r="A4012">
        <v>2171</v>
      </c>
      <c r="B4012" t="s">
        <v>38</v>
      </c>
      <c r="C4012" t="s">
        <v>979</v>
      </c>
      <c r="D4012" t="str">
        <f t="shared" si="63"/>
        <v>FAOP3003</v>
      </c>
      <c r="E4012" t="s">
        <v>2933</v>
      </c>
    </row>
    <row r="4013" spans="1:5" x14ac:dyDescent="0.25">
      <c r="A4013">
        <v>2171</v>
      </c>
      <c r="B4013" t="s">
        <v>38</v>
      </c>
      <c r="C4013" t="s">
        <v>2937</v>
      </c>
      <c r="D4013" t="str">
        <f t="shared" si="63"/>
        <v>FAOP3004</v>
      </c>
      <c r="E4013" t="s">
        <v>2933</v>
      </c>
    </row>
    <row r="4014" spans="1:5" x14ac:dyDescent="0.25">
      <c r="A4014">
        <v>2171</v>
      </c>
      <c r="B4014" t="s">
        <v>38</v>
      </c>
      <c r="C4014" t="s">
        <v>2939</v>
      </c>
      <c r="D4014" t="str">
        <f t="shared" si="63"/>
        <v>FAOP3005</v>
      </c>
      <c r="E4014" t="s">
        <v>2933</v>
      </c>
    </row>
    <row r="4015" spans="1:5" x14ac:dyDescent="0.25">
      <c r="A4015">
        <v>2171</v>
      </c>
      <c r="B4015" t="s">
        <v>38</v>
      </c>
      <c r="C4015" t="s">
        <v>323</v>
      </c>
      <c r="D4015" t="str">
        <f t="shared" si="63"/>
        <v>FAOP3006</v>
      </c>
      <c r="E4015" t="s">
        <v>2933</v>
      </c>
    </row>
    <row r="4016" spans="1:5" x14ac:dyDescent="0.25">
      <c r="A4016">
        <v>2171</v>
      </c>
      <c r="B4016" t="s">
        <v>38</v>
      </c>
      <c r="C4016" t="s">
        <v>333</v>
      </c>
      <c r="D4016" t="str">
        <f t="shared" si="63"/>
        <v>FAOP3007</v>
      </c>
      <c r="E4016" t="s">
        <v>2933</v>
      </c>
    </row>
    <row r="4017" spans="1:5" x14ac:dyDescent="0.25">
      <c r="A4017">
        <v>2171</v>
      </c>
      <c r="B4017" t="s">
        <v>38</v>
      </c>
      <c r="C4017" t="s">
        <v>2941</v>
      </c>
      <c r="D4017" t="str">
        <f t="shared" si="63"/>
        <v>FAOP3008</v>
      </c>
      <c r="E4017" t="s">
        <v>2933</v>
      </c>
    </row>
    <row r="4018" spans="1:5" x14ac:dyDescent="0.25">
      <c r="A4018">
        <v>2171</v>
      </c>
      <c r="B4018" t="s">
        <v>38</v>
      </c>
      <c r="C4018" t="s">
        <v>2943</v>
      </c>
      <c r="D4018" t="str">
        <f t="shared" si="63"/>
        <v>FAOP3010</v>
      </c>
      <c r="E4018" t="s">
        <v>2944</v>
      </c>
    </row>
    <row r="4019" spans="1:5" x14ac:dyDescent="0.25">
      <c r="A4019">
        <v>2171</v>
      </c>
      <c r="B4019" t="s">
        <v>38</v>
      </c>
      <c r="C4019" t="s">
        <v>369</v>
      </c>
      <c r="D4019" t="str">
        <f t="shared" si="63"/>
        <v>FAOP3011</v>
      </c>
      <c r="E4019" t="s">
        <v>2933</v>
      </c>
    </row>
    <row r="4020" spans="1:5" x14ac:dyDescent="0.25">
      <c r="A4020">
        <v>2171</v>
      </c>
      <c r="B4020" t="s">
        <v>38</v>
      </c>
      <c r="C4020" t="s">
        <v>138</v>
      </c>
      <c r="D4020" t="str">
        <f t="shared" si="63"/>
        <v>FAOP3012</v>
      </c>
      <c r="E4020" t="s">
        <v>2944</v>
      </c>
    </row>
    <row r="4021" spans="1:5" x14ac:dyDescent="0.25">
      <c r="A4021">
        <v>2171</v>
      </c>
      <c r="B4021" t="s">
        <v>38</v>
      </c>
      <c r="C4021" t="s">
        <v>2946</v>
      </c>
      <c r="D4021" t="str">
        <f t="shared" si="63"/>
        <v>FAOP3013</v>
      </c>
      <c r="E4021" t="s">
        <v>2933</v>
      </c>
    </row>
    <row r="4022" spans="1:5" x14ac:dyDescent="0.25">
      <c r="A4022">
        <v>2171</v>
      </c>
      <c r="B4022" t="s">
        <v>38</v>
      </c>
      <c r="C4022" t="s">
        <v>2948</v>
      </c>
      <c r="D4022" t="str">
        <f t="shared" si="63"/>
        <v>FAOP3015</v>
      </c>
      <c r="E4022" t="s">
        <v>2933</v>
      </c>
    </row>
    <row r="4023" spans="1:5" x14ac:dyDescent="0.25">
      <c r="A4023">
        <v>2171</v>
      </c>
      <c r="B4023" t="s">
        <v>38</v>
      </c>
      <c r="C4023" t="s">
        <v>2950</v>
      </c>
      <c r="D4023" t="str">
        <f t="shared" si="63"/>
        <v>FAOP3016</v>
      </c>
      <c r="E4023" t="s">
        <v>2933</v>
      </c>
    </row>
    <row r="4024" spans="1:5" x14ac:dyDescent="0.25">
      <c r="A4024">
        <v>2171</v>
      </c>
      <c r="B4024" t="s">
        <v>38</v>
      </c>
      <c r="C4024" t="s">
        <v>406</v>
      </c>
      <c r="D4024" t="str">
        <f t="shared" si="63"/>
        <v>FAOP3017</v>
      </c>
      <c r="E4024" t="s">
        <v>2933</v>
      </c>
    </row>
    <row r="4025" spans="1:5" x14ac:dyDescent="0.25">
      <c r="A4025">
        <v>2171</v>
      </c>
      <c r="B4025" t="s">
        <v>38</v>
      </c>
      <c r="C4025" t="s">
        <v>411</v>
      </c>
      <c r="D4025" t="str">
        <f t="shared" si="63"/>
        <v>FAOP3018</v>
      </c>
      <c r="E4025" t="s">
        <v>2933</v>
      </c>
    </row>
    <row r="4026" spans="1:5" x14ac:dyDescent="0.25">
      <c r="A4026">
        <v>2171</v>
      </c>
      <c r="B4026" t="s">
        <v>38</v>
      </c>
      <c r="C4026" t="s">
        <v>2953</v>
      </c>
      <c r="D4026" t="str">
        <f t="shared" si="63"/>
        <v>FAOP3019</v>
      </c>
      <c r="E4026" t="s">
        <v>2954</v>
      </c>
    </row>
    <row r="4027" spans="1:5" x14ac:dyDescent="0.25">
      <c r="A4027">
        <v>2171</v>
      </c>
      <c r="B4027" t="s">
        <v>38</v>
      </c>
      <c r="C4027" t="s">
        <v>2955</v>
      </c>
      <c r="D4027" t="str">
        <f t="shared" si="63"/>
        <v>FAOP3020</v>
      </c>
      <c r="E4027" t="s">
        <v>2933</v>
      </c>
    </row>
    <row r="4028" spans="1:5" x14ac:dyDescent="0.25">
      <c r="A4028">
        <v>2171</v>
      </c>
      <c r="B4028" t="s">
        <v>38</v>
      </c>
      <c r="C4028" t="s">
        <v>2956</v>
      </c>
      <c r="D4028" t="str">
        <f t="shared" si="63"/>
        <v>FAOP3021</v>
      </c>
      <c r="E4028" t="s">
        <v>2933</v>
      </c>
    </row>
    <row r="4029" spans="1:5" x14ac:dyDescent="0.25">
      <c r="A4029">
        <v>2171</v>
      </c>
      <c r="B4029" t="s">
        <v>38</v>
      </c>
      <c r="C4029" t="s">
        <v>431</v>
      </c>
      <c r="D4029" t="str">
        <f t="shared" si="63"/>
        <v>FAOP3022</v>
      </c>
      <c r="E4029" t="s">
        <v>2933</v>
      </c>
    </row>
    <row r="4030" spans="1:5" x14ac:dyDescent="0.25">
      <c r="A4030">
        <v>2171</v>
      </c>
      <c r="B4030" t="s">
        <v>38</v>
      </c>
      <c r="C4030" t="s">
        <v>2957</v>
      </c>
      <c r="D4030" t="str">
        <f t="shared" si="63"/>
        <v>FAOP3023</v>
      </c>
      <c r="E4030" t="s">
        <v>2958</v>
      </c>
    </row>
    <row r="4031" spans="1:5" x14ac:dyDescent="0.25">
      <c r="A4031">
        <v>2171</v>
      </c>
      <c r="B4031" t="s">
        <v>38</v>
      </c>
      <c r="C4031" t="s">
        <v>441</v>
      </c>
      <c r="D4031" t="str">
        <f t="shared" si="63"/>
        <v>FAOP3024</v>
      </c>
      <c r="E4031" t="s">
        <v>2933</v>
      </c>
    </row>
    <row r="4032" spans="1:5" x14ac:dyDescent="0.25">
      <c r="A4032">
        <v>2171</v>
      </c>
      <c r="B4032" t="s">
        <v>38</v>
      </c>
      <c r="C4032" t="s">
        <v>2959</v>
      </c>
      <c r="D4032" t="str">
        <f t="shared" si="63"/>
        <v>FAOP3025</v>
      </c>
      <c r="E4032" t="s">
        <v>2933</v>
      </c>
    </row>
    <row r="4033" spans="1:5" x14ac:dyDescent="0.25">
      <c r="A4033">
        <v>2171</v>
      </c>
      <c r="B4033" t="s">
        <v>38</v>
      </c>
      <c r="C4033" t="s">
        <v>2960</v>
      </c>
      <c r="D4033" t="str">
        <f t="shared" si="63"/>
        <v>FAOP3026</v>
      </c>
      <c r="E4033" t="s">
        <v>2958</v>
      </c>
    </row>
    <row r="4034" spans="1:5" x14ac:dyDescent="0.25">
      <c r="A4034">
        <v>2171</v>
      </c>
      <c r="B4034" t="s">
        <v>38</v>
      </c>
      <c r="C4034" t="s">
        <v>2961</v>
      </c>
      <c r="D4034" t="str">
        <f t="shared" si="63"/>
        <v>FAOP3027</v>
      </c>
      <c r="E4034" t="s">
        <v>2933</v>
      </c>
    </row>
    <row r="4035" spans="1:5" x14ac:dyDescent="0.25">
      <c r="A4035">
        <v>2171</v>
      </c>
      <c r="B4035" t="s">
        <v>38</v>
      </c>
      <c r="C4035" t="s">
        <v>2984</v>
      </c>
      <c r="D4035" t="str">
        <f t="shared" si="63"/>
        <v>FAOP3029</v>
      </c>
      <c r="E4035" t="s">
        <v>2933</v>
      </c>
    </row>
    <row r="4036" spans="1:5" x14ac:dyDescent="0.25">
      <c r="A4036">
        <v>2171</v>
      </c>
      <c r="B4036" t="s">
        <v>38</v>
      </c>
      <c r="C4036" t="s">
        <v>467</v>
      </c>
      <c r="D4036" t="str">
        <f t="shared" si="63"/>
        <v>FAOP3030</v>
      </c>
      <c r="E4036" t="s">
        <v>2933</v>
      </c>
    </row>
    <row r="4037" spans="1:5" x14ac:dyDescent="0.25">
      <c r="A4037">
        <v>2171</v>
      </c>
      <c r="B4037" t="s">
        <v>38</v>
      </c>
      <c r="C4037" t="s">
        <v>470</v>
      </c>
      <c r="D4037" t="str">
        <f t="shared" ref="D4037:D4100" si="64">CONCATENATE(B4037,LEFT(C4037,4))</f>
        <v>FAOP3031</v>
      </c>
      <c r="E4037" t="s">
        <v>2933</v>
      </c>
    </row>
    <row r="4038" spans="1:5" x14ac:dyDescent="0.25">
      <c r="A4038">
        <v>2171</v>
      </c>
      <c r="B4038" t="s">
        <v>38</v>
      </c>
      <c r="C4038" t="s">
        <v>487</v>
      </c>
      <c r="D4038" t="str">
        <f t="shared" si="64"/>
        <v>FAOP3040</v>
      </c>
      <c r="E4038" t="s">
        <v>2933</v>
      </c>
    </row>
    <row r="4039" spans="1:5" x14ac:dyDescent="0.25">
      <c r="A4039">
        <v>2171</v>
      </c>
      <c r="B4039" t="s">
        <v>38</v>
      </c>
      <c r="C4039" t="s">
        <v>2993</v>
      </c>
      <c r="D4039" t="str">
        <f t="shared" si="64"/>
        <v>FAOP3041</v>
      </c>
      <c r="E4039" t="s">
        <v>2968</v>
      </c>
    </row>
    <row r="4040" spans="1:5" x14ac:dyDescent="0.25">
      <c r="A4040">
        <v>2171</v>
      </c>
      <c r="B4040" t="s">
        <v>38</v>
      </c>
      <c r="C4040" t="s">
        <v>491</v>
      </c>
      <c r="D4040" t="str">
        <f t="shared" si="64"/>
        <v>FAOP3099</v>
      </c>
      <c r="E4040" t="s">
        <v>2933</v>
      </c>
    </row>
    <row r="4041" spans="1:5" x14ac:dyDescent="0.25">
      <c r="A4041">
        <v>2171</v>
      </c>
      <c r="B4041" t="s">
        <v>38</v>
      </c>
      <c r="C4041" t="s">
        <v>294</v>
      </c>
      <c r="D4041" t="str">
        <f t="shared" si="64"/>
        <v>FAOP3104</v>
      </c>
      <c r="E4041" t="s">
        <v>3326</v>
      </c>
    </row>
    <row r="4042" spans="1:5" x14ac:dyDescent="0.25">
      <c r="A4042">
        <v>2171</v>
      </c>
      <c r="B4042" t="s">
        <v>38</v>
      </c>
      <c r="C4042" t="s">
        <v>54</v>
      </c>
      <c r="D4042" t="str">
        <f t="shared" si="64"/>
        <v>FAOP3301</v>
      </c>
      <c r="E4042" t="s">
        <v>44</v>
      </c>
    </row>
    <row r="4043" spans="1:5" x14ac:dyDescent="0.25">
      <c r="A4043">
        <v>2171</v>
      </c>
      <c r="B4043" t="s">
        <v>38</v>
      </c>
      <c r="C4043" t="s">
        <v>2975</v>
      </c>
      <c r="D4043" t="str">
        <f t="shared" si="64"/>
        <v>FAOP3302</v>
      </c>
      <c r="E4043" t="s">
        <v>44</v>
      </c>
    </row>
    <row r="4044" spans="1:5" x14ac:dyDescent="0.25">
      <c r="A4044">
        <v>2171</v>
      </c>
      <c r="B4044" t="s">
        <v>38</v>
      </c>
      <c r="C4044" t="s">
        <v>2977</v>
      </c>
      <c r="D4044" t="str">
        <f t="shared" si="64"/>
        <v>FAOP3304</v>
      </c>
      <c r="E4044" t="s">
        <v>44</v>
      </c>
    </row>
    <row r="4045" spans="1:5" x14ac:dyDescent="0.25">
      <c r="A4045">
        <v>2171</v>
      </c>
      <c r="B4045" t="s">
        <v>38</v>
      </c>
      <c r="C4045" t="s">
        <v>309</v>
      </c>
      <c r="D4045" t="str">
        <f t="shared" si="64"/>
        <v>FAOP3305</v>
      </c>
      <c r="E4045" t="s">
        <v>44</v>
      </c>
    </row>
    <row r="4046" spans="1:5" x14ac:dyDescent="0.25">
      <c r="A4046">
        <v>2171</v>
      </c>
      <c r="B4046" t="s">
        <v>38</v>
      </c>
      <c r="C4046" t="s">
        <v>3012</v>
      </c>
      <c r="D4046" t="str">
        <f t="shared" si="64"/>
        <v>FAOP3601</v>
      </c>
      <c r="E4046" t="s">
        <v>65</v>
      </c>
    </row>
    <row r="4047" spans="1:5" x14ac:dyDescent="0.25">
      <c r="A4047">
        <v>2171</v>
      </c>
      <c r="B4047" t="s">
        <v>38</v>
      </c>
      <c r="C4047" t="s">
        <v>297</v>
      </c>
      <c r="D4047" t="str">
        <f t="shared" si="64"/>
        <v>FAOP3604</v>
      </c>
      <c r="E4047" t="s">
        <v>44</v>
      </c>
    </row>
    <row r="4048" spans="1:5" x14ac:dyDescent="0.25">
      <c r="A4048">
        <v>2171</v>
      </c>
      <c r="B4048" t="s">
        <v>38</v>
      </c>
      <c r="C4048" t="s">
        <v>3234</v>
      </c>
      <c r="D4048" t="str">
        <f t="shared" si="64"/>
        <v>FAOP3605</v>
      </c>
      <c r="E4048" t="s">
        <v>2968</v>
      </c>
    </row>
    <row r="4049" spans="1:5" x14ac:dyDescent="0.25">
      <c r="A4049">
        <v>2171</v>
      </c>
      <c r="B4049" t="s">
        <v>38</v>
      </c>
      <c r="C4049" t="s">
        <v>355</v>
      </c>
      <c r="D4049" t="str">
        <f t="shared" si="64"/>
        <v>FAOP3610</v>
      </c>
      <c r="E4049" t="s">
        <v>2968</v>
      </c>
    </row>
    <row r="4050" spans="1:5" x14ac:dyDescent="0.25">
      <c r="A4050">
        <v>2171</v>
      </c>
      <c r="B4050" t="s">
        <v>38</v>
      </c>
      <c r="C4050" t="s">
        <v>2979</v>
      </c>
      <c r="D4050" t="str">
        <f t="shared" si="64"/>
        <v>FAOP3612</v>
      </c>
      <c r="E4050" t="s">
        <v>2968</v>
      </c>
    </row>
    <row r="4051" spans="1:5" x14ac:dyDescent="0.25">
      <c r="A4051">
        <v>2171</v>
      </c>
      <c r="B4051" t="s">
        <v>38</v>
      </c>
      <c r="C4051" t="s">
        <v>401</v>
      </c>
      <c r="D4051" t="str">
        <f t="shared" si="64"/>
        <v>FAOP3617</v>
      </c>
      <c r="E4051" t="s">
        <v>2968</v>
      </c>
    </row>
    <row r="4052" spans="1:5" x14ac:dyDescent="0.25">
      <c r="A4052">
        <v>2171</v>
      </c>
      <c r="B4052" t="s">
        <v>38</v>
      </c>
      <c r="C4052" t="s">
        <v>3301</v>
      </c>
      <c r="D4052" t="str">
        <f t="shared" si="64"/>
        <v>FAOP3624</v>
      </c>
      <c r="E4052" t="s">
        <v>2968</v>
      </c>
    </row>
    <row r="4053" spans="1:5" x14ac:dyDescent="0.25">
      <c r="A4053">
        <v>2171</v>
      </c>
      <c r="B4053" t="s">
        <v>38</v>
      </c>
      <c r="C4053" t="s">
        <v>442</v>
      </c>
      <c r="D4053" t="str">
        <f t="shared" si="64"/>
        <v>FAOP3625</v>
      </c>
      <c r="E4053" t="s">
        <v>2968</v>
      </c>
    </row>
    <row r="4054" spans="1:5" x14ac:dyDescent="0.25">
      <c r="A4054">
        <v>2171</v>
      </c>
      <c r="B4054" t="s">
        <v>38</v>
      </c>
      <c r="C4054" t="s">
        <v>468</v>
      </c>
      <c r="D4054" t="str">
        <f t="shared" si="64"/>
        <v>FAOP3631</v>
      </c>
      <c r="E4054" t="s">
        <v>3004</v>
      </c>
    </row>
    <row r="4055" spans="1:5" x14ac:dyDescent="0.25">
      <c r="A4055">
        <v>2171</v>
      </c>
      <c r="B4055" t="s">
        <v>38</v>
      </c>
      <c r="C4055" t="s">
        <v>471</v>
      </c>
      <c r="D4055" t="str">
        <f t="shared" si="64"/>
        <v>FAOP3699</v>
      </c>
      <c r="E4055" t="s">
        <v>2968</v>
      </c>
    </row>
    <row r="4056" spans="1:5" x14ac:dyDescent="0.25">
      <c r="A4056">
        <v>2171</v>
      </c>
      <c r="B4056" t="s">
        <v>38</v>
      </c>
      <c r="C4056" t="s">
        <v>2980</v>
      </c>
      <c r="D4056" t="str">
        <f t="shared" si="64"/>
        <v>FAOP3701</v>
      </c>
      <c r="E4056" t="s">
        <v>103</v>
      </c>
    </row>
    <row r="4057" spans="1:5" x14ac:dyDescent="0.25">
      <c r="A4057">
        <v>2171</v>
      </c>
      <c r="B4057" t="s">
        <v>38</v>
      </c>
      <c r="C4057" t="s">
        <v>3050</v>
      </c>
      <c r="D4057" t="str">
        <f t="shared" si="64"/>
        <v>FAOP3702</v>
      </c>
      <c r="E4057" t="s">
        <v>2981</v>
      </c>
    </row>
    <row r="4058" spans="1:5" x14ac:dyDescent="0.25">
      <c r="A4058">
        <v>2171</v>
      </c>
      <c r="B4058" t="s">
        <v>38</v>
      </c>
      <c r="C4058" t="s">
        <v>2983</v>
      </c>
      <c r="D4058" t="str">
        <f t="shared" si="64"/>
        <v>FAOP3703</v>
      </c>
      <c r="E4058" t="s">
        <v>117</v>
      </c>
    </row>
    <row r="4059" spans="1:5" x14ac:dyDescent="0.25">
      <c r="A4059">
        <v>2171</v>
      </c>
      <c r="B4059" t="s">
        <v>38</v>
      </c>
      <c r="C4059" t="s">
        <v>2985</v>
      </c>
      <c r="D4059" t="str">
        <f t="shared" si="64"/>
        <v>FAOP3704</v>
      </c>
      <c r="E4059" t="s">
        <v>117</v>
      </c>
    </row>
    <row r="4060" spans="1:5" x14ac:dyDescent="0.25">
      <c r="A4060">
        <v>2171</v>
      </c>
      <c r="B4060" t="s">
        <v>38</v>
      </c>
      <c r="C4060" t="s">
        <v>2986</v>
      </c>
      <c r="D4060" t="str">
        <f t="shared" si="64"/>
        <v>FAOP3705</v>
      </c>
      <c r="E4060" t="s">
        <v>117</v>
      </c>
    </row>
    <row r="4061" spans="1:5" x14ac:dyDescent="0.25">
      <c r="A4061">
        <v>2171</v>
      </c>
      <c r="B4061" t="s">
        <v>38</v>
      </c>
      <c r="C4061" t="s">
        <v>3327</v>
      </c>
      <c r="D4061" t="str">
        <f t="shared" si="64"/>
        <v>FAOP3707</v>
      </c>
      <c r="E4061" t="s">
        <v>3006</v>
      </c>
    </row>
    <row r="4062" spans="1:5" x14ac:dyDescent="0.25">
      <c r="A4062">
        <v>2171</v>
      </c>
      <c r="B4062" t="s">
        <v>38</v>
      </c>
      <c r="C4062" t="s">
        <v>233</v>
      </c>
      <c r="D4062" t="str">
        <f t="shared" si="64"/>
        <v>FAOP3901</v>
      </c>
      <c r="E4062" t="s">
        <v>2926</v>
      </c>
    </row>
    <row r="4063" spans="1:5" x14ac:dyDescent="0.25">
      <c r="A4063">
        <v>2171</v>
      </c>
      <c r="B4063" t="s">
        <v>38</v>
      </c>
      <c r="C4063" t="s">
        <v>2988</v>
      </c>
      <c r="D4063" t="str">
        <f t="shared" si="64"/>
        <v>FAOP3903</v>
      </c>
      <c r="E4063" t="s">
        <v>87</v>
      </c>
    </row>
    <row r="4064" spans="1:5" x14ac:dyDescent="0.25">
      <c r="A4064">
        <v>2171</v>
      </c>
      <c r="B4064" t="s">
        <v>38</v>
      </c>
      <c r="C4064" t="s">
        <v>299</v>
      </c>
      <c r="D4064" t="str">
        <f t="shared" si="64"/>
        <v>FAOP3904</v>
      </c>
      <c r="E4064" t="s">
        <v>2968</v>
      </c>
    </row>
    <row r="4065" spans="1:5" x14ac:dyDescent="0.25">
      <c r="A4065">
        <v>2171</v>
      </c>
      <c r="B4065" t="s">
        <v>38</v>
      </c>
      <c r="C4065" t="s">
        <v>336</v>
      </c>
      <c r="D4065" t="str">
        <f t="shared" si="64"/>
        <v>FAOP3909</v>
      </c>
      <c r="E4065" t="s">
        <v>2968</v>
      </c>
    </row>
    <row r="4066" spans="1:5" x14ac:dyDescent="0.25">
      <c r="A4066">
        <v>2171</v>
      </c>
      <c r="B4066" t="s">
        <v>38</v>
      </c>
      <c r="C4066" t="s">
        <v>346</v>
      </c>
      <c r="D4066" t="str">
        <f t="shared" si="64"/>
        <v>FAOP3910</v>
      </c>
      <c r="E4066" t="s">
        <v>2968</v>
      </c>
    </row>
    <row r="4067" spans="1:5" x14ac:dyDescent="0.25">
      <c r="A4067">
        <v>2171</v>
      </c>
      <c r="B4067" t="s">
        <v>38</v>
      </c>
      <c r="C4067" t="s">
        <v>356</v>
      </c>
      <c r="D4067" t="str">
        <f t="shared" si="64"/>
        <v>FAOP3911</v>
      </c>
      <c r="E4067" t="s">
        <v>2968</v>
      </c>
    </row>
    <row r="4068" spans="1:5" x14ac:dyDescent="0.25">
      <c r="A4068">
        <v>2171</v>
      </c>
      <c r="B4068" t="s">
        <v>38</v>
      </c>
      <c r="C4068" t="s">
        <v>2991</v>
      </c>
      <c r="D4068" t="str">
        <f t="shared" si="64"/>
        <v>FAOP3912</v>
      </c>
      <c r="E4068" t="s">
        <v>2992</v>
      </c>
    </row>
    <row r="4069" spans="1:5" x14ac:dyDescent="0.25">
      <c r="A4069">
        <v>2171</v>
      </c>
      <c r="B4069" t="s">
        <v>38</v>
      </c>
      <c r="C4069" t="s">
        <v>2994</v>
      </c>
      <c r="D4069" t="str">
        <f t="shared" si="64"/>
        <v>FAOP3913</v>
      </c>
      <c r="E4069" t="s">
        <v>2992</v>
      </c>
    </row>
    <row r="4070" spans="1:5" x14ac:dyDescent="0.25">
      <c r="A4070">
        <v>2171</v>
      </c>
      <c r="B4070" t="s">
        <v>38</v>
      </c>
      <c r="C4070" t="s">
        <v>377</v>
      </c>
      <c r="D4070" t="str">
        <f t="shared" si="64"/>
        <v>FAOP3914</v>
      </c>
      <c r="E4070" t="s">
        <v>3009</v>
      </c>
    </row>
    <row r="4071" spans="1:5" x14ac:dyDescent="0.25">
      <c r="A4071">
        <v>2171</v>
      </c>
      <c r="B4071" t="s">
        <v>38</v>
      </c>
      <c r="C4071" t="s">
        <v>384</v>
      </c>
      <c r="D4071" t="str">
        <f t="shared" si="64"/>
        <v>FAOP3915</v>
      </c>
      <c r="E4071" t="s">
        <v>2992</v>
      </c>
    </row>
    <row r="4072" spans="1:5" x14ac:dyDescent="0.25">
      <c r="A4072">
        <v>2171</v>
      </c>
      <c r="B4072" t="s">
        <v>38</v>
      </c>
      <c r="C4072" t="s">
        <v>2996</v>
      </c>
      <c r="D4072" t="str">
        <f t="shared" si="64"/>
        <v>FAOP3917</v>
      </c>
      <c r="E4072" t="s">
        <v>2958</v>
      </c>
    </row>
    <row r="4073" spans="1:5" x14ac:dyDescent="0.25">
      <c r="A4073">
        <v>2171</v>
      </c>
      <c r="B4073" t="s">
        <v>38</v>
      </c>
      <c r="C4073" t="s">
        <v>3000</v>
      </c>
      <c r="D4073" t="str">
        <f t="shared" si="64"/>
        <v>FAOP3919</v>
      </c>
      <c r="E4073" t="s">
        <v>3001</v>
      </c>
    </row>
    <row r="4074" spans="1:5" x14ac:dyDescent="0.25">
      <c r="A4074">
        <v>2171</v>
      </c>
      <c r="B4074" t="s">
        <v>38</v>
      </c>
      <c r="C4074" t="s">
        <v>3002</v>
      </c>
      <c r="D4074" t="str">
        <f t="shared" si="64"/>
        <v>FAOP3921</v>
      </c>
      <c r="E4074" t="s">
        <v>3001</v>
      </c>
    </row>
    <row r="4075" spans="1:5" x14ac:dyDescent="0.25">
      <c r="A4075">
        <v>2171</v>
      </c>
      <c r="B4075" t="s">
        <v>38</v>
      </c>
      <c r="C4075" t="s">
        <v>3003</v>
      </c>
      <c r="D4075" t="str">
        <f t="shared" si="64"/>
        <v>FAOP3922</v>
      </c>
      <c r="E4075" t="s">
        <v>2954</v>
      </c>
    </row>
    <row r="4076" spans="1:5" x14ac:dyDescent="0.25">
      <c r="A4076">
        <v>2171</v>
      </c>
      <c r="B4076" t="s">
        <v>38</v>
      </c>
      <c r="C4076" t="s">
        <v>428</v>
      </c>
      <c r="D4076" t="str">
        <f t="shared" si="64"/>
        <v>FAOP3923</v>
      </c>
      <c r="E4076" t="s">
        <v>2968</v>
      </c>
    </row>
    <row r="4077" spans="1:5" x14ac:dyDescent="0.25">
      <c r="A4077">
        <v>2171</v>
      </c>
      <c r="B4077" t="s">
        <v>38</v>
      </c>
      <c r="C4077" t="s">
        <v>566</v>
      </c>
      <c r="D4077" t="str">
        <f t="shared" si="64"/>
        <v>FAOP3924</v>
      </c>
      <c r="E4077" t="s">
        <v>3004</v>
      </c>
    </row>
    <row r="4078" spans="1:5" x14ac:dyDescent="0.25">
      <c r="A4078">
        <v>2171</v>
      </c>
      <c r="B4078" t="s">
        <v>38</v>
      </c>
      <c r="C4078" t="s">
        <v>443</v>
      </c>
      <c r="D4078" t="str">
        <f t="shared" si="64"/>
        <v>FAOP3926</v>
      </c>
      <c r="E4078" t="s">
        <v>3006</v>
      </c>
    </row>
    <row r="4079" spans="1:5" x14ac:dyDescent="0.25">
      <c r="A4079">
        <v>2171</v>
      </c>
      <c r="B4079" t="s">
        <v>38</v>
      </c>
      <c r="C4079" t="s">
        <v>3008</v>
      </c>
      <c r="D4079" t="str">
        <f t="shared" si="64"/>
        <v>FAOP3927</v>
      </c>
      <c r="E4079" t="s">
        <v>3009</v>
      </c>
    </row>
    <row r="4080" spans="1:5" x14ac:dyDescent="0.25">
      <c r="A4080">
        <v>2171</v>
      </c>
      <c r="B4080" t="s">
        <v>38</v>
      </c>
      <c r="C4080" t="s">
        <v>1481</v>
      </c>
      <c r="D4080" t="str">
        <f t="shared" si="64"/>
        <v>FAOP3931</v>
      </c>
      <c r="E4080" t="s">
        <v>2968</v>
      </c>
    </row>
    <row r="4081" spans="1:5" x14ac:dyDescent="0.25">
      <c r="A4081">
        <v>2171</v>
      </c>
      <c r="B4081" t="s">
        <v>38</v>
      </c>
      <c r="C4081" t="s">
        <v>3017</v>
      </c>
      <c r="D4081" t="str">
        <f t="shared" si="64"/>
        <v>FAOP3936</v>
      </c>
      <c r="E4081" t="s">
        <v>94</v>
      </c>
    </row>
    <row r="4082" spans="1:5" x14ac:dyDescent="0.25">
      <c r="A4082">
        <v>2171</v>
      </c>
      <c r="B4082" t="s">
        <v>38</v>
      </c>
      <c r="C4082" t="s">
        <v>3020</v>
      </c>
      <c r="D4082" t="str">
        <f t="shared" si="64"/>
        <v>FAOP3943</v>
      </c>
      <c r="E4082" t="s">
        <v>2958</v>
      </c>
    </row>
    <row r="4083" spans="1:5" x14ac:dyDescent="0.25">
      <c r="A4083">
        <v>2171</v>
      </c>
      <c r="B4083" t="s">
        <v>38</v>
      </c>
      <c r="C4083" t="s">
        <v>498</v>
      </c>
      <c r="D4083" t="str">
        <f t="shared" si="64"/>
        <v>FAOP3955</v>
      </c>
      <c r="E4083" t="s">
        <v>2968</v>
      </c>
    </row>
    <row r="4084" spans="1:5" x14ac:dyDescent="0.25">
      <c r="A4084">
        <v>2171</v>
      </c>
      <c r="B4084" t="s">
        <v>38</v>
      </c>
      <c r="C4084" t="s">
        <v>3027</v>
      </c>
      <c r="D4084" t="str">
        <f t="shared" si="64"/>
        <v>FAOP3961</v>
      </c>
      <c r="E4084" t="s">
        <v>103</v>
      </c>
    </row>
    <row r="4085" spans="1:5" x14ac:dyDescent="0.25">
      <c r="A4085">
        <v>2171</v>
      </c>
      <c r="B4085" t="s">
        <v>38</v>
      </c>
      <c r="C4085" t="s">
        <v>3031</v>
      </c>
      <c r="D4085" t="str">
        <f t="shared" si="64"/>
        <v>FAOP3970</v>
      </c>
      <c r="E4085" t="s">
        <v>3009</v>
      </c>
    </row>
    <row r="4086" spans="1:5" x14ac:dyDescent="0.25">
      <c r="A4086">
        <v>2171</v>
      </c>
      <c r="B4086" t="s">
        <v>38</v>
      </c>
      <c r="C4086" t="s">
        <v>3036</v>
      </c>
      <c r="D4086" t="str">
        <f t="shared" si="64"/>
        <v>FAOP3987</v>
      </c>
      <c r="E4086" t="s">
        <v>2958</v>
      </c>
    </row>
    <row r="4087" spans="1:5" x14ac:dyDescent="0.25">
      <c r="A4087">
        <v>2171</v>
      </c>
      <c r="B4087" t="s">
        <v>38</v>
      </c>
      <c r="C4087" t="s">
        <v>531</v>
      </c>
      <c r="D4087" t="str">
        <f t="shared" si="64"/>
        <v>FAOP3991</v>
      </c>
      <c r="E4087" t="s">
        <v>3328</v>
      </c>
    </row>
    <row r="4088" spans="1:5" x14ac:dyDescent="0.25">
      <c r="A4088">
        <v>2171</v>
      </c>
      <c r="B4088" t="s">
        <v>38</v>
      </c>
      <c r="C4088" t="s">
        <v>3236</v>
      </c>
      <c r="D4088" t="str">
        <f t="shared" si="64"/>
        <v>FAOP3992</v>
      </c>
      <c r="E4088" t="s">
        <v>3235</v>
      </c>
    </row>
    <row r="4089" spans="1:5" x14ac:dyDescent="0.25">
      <c r="A4089">
        <v>2171</v>
      </c>
      <c r="B4089" t="s">
        <v>38</v>
      </c>
      <c r="C4089" t="s">
        <v>3040</v>
      </c>
      <c r="D4089" t="str">
        <f t="shared" si="64"/>
        <v>FAOP3999</v>
      </c>
      <c r="E4089" t="s">
        <v>2968</v>
      </c>
    </row>
    <row r="4090" spans="1:5" x14ac:dyDescent="0.25">
      <c r="A4090">
        <v>2171</v>
      </c>
      <c r="B4090" t="s">
        <v>38</v>
      </c>
      <c r="C4090" t="s">
        <v>3041</v>
      </c>
      <c r="D4090" t="str">
        <f t="shared" si="64"/>
        <v>FAOP4002</v>
      </c>
      <c r="E4090" t="s">
        <v>3009</v>
      </c>
    </row>
    <row r="4091" spans="1:5" x14ac:dyDescent="0.25">
      <c r="A4091">
        <v>2171</v>
      </c>
      <c r="B4091" t="s">
        <v>38</v>
      </c>
      <c r="C4091" t="s">
        <v>3043</v>
      </c>
      <c r="D4091" t="str">
        <f t="shared" si="64"/>
        <v>FAOP4003</v>
      </c>
      <c r="E4091" t="s">
        <v>94</v>
      </c>
    </row>
    <row r="4092" spans="1:5" x14ac:dyDescent="0.25">
      <c r="A4092">
        <v>2171</v>
      </c>
      <c r="B4092" t="s">
        <v>38</v>
      </c>
      <c r="C4092" t="s">
        <v>3045</v>
      </c>
      <c r="D4092" t="str">
        <f t="shared" si="64"/>
        <v>FAOP4004</v>
      </c>
      <c r="E4092" t="s">
        <v>3009</v>
      </c>
    </row>
    <row r="4093" spans="1:5" x14ac:dyDescent="0.25">
      <c r="A4093">
        <v>2171</v>
      </c>
      <c r="B4093" t="s">
        <v>38</v>
      </c>
      <c r="C4093" t="s">
        <v>3047</v>
      </c>
      <c r="D4093" t="str">
        <f t="shared" si="64"/>
        <v>FAOP4005</v>
      </c>
      <c r="E4093" t="s">
        <v>3009</v>
      </c>
    </row>
    <row r="4094" spans="1:5" x14ac:dyDescent="0.25">
      <c r="A4094">
        <v>2171</v>
      </c>
      <c r="B4094" t="s">
        <v>38</v>
      </c>
      <c r="C4094" t="s">
        <v>813</v>
      </c>
      <c r="D4094" t="str">
        <f t="shared" si="64"/>
        <v>FAOP4006</v>
      </c>
      <c r="E4094" t="s">
        <v>3057</v>
      </c>
    </row>
    <row r="4095" spans="1:5" x14ac:dyDescent="0.25">
      <c r="A4095">
        <v>2171</v>
      </c>
      <c r="B4095" t="s">
        <v>38</v>
      </c>
      <c r="C4095" t="s">
        <v>3048</v>
      </c>
      <c r="D4095" t="str">
        <f t="shared" si="64"/>
        <v>FAOP4701</v>
      </c>
      <c r="E4095" t="s">
        <v>3049</v>
      </c>
    </row>
    <row r="4096" spans="1:5" x14ac:dyDescent="0.25">
      <c r="A4096">
        <v>2171</v>
      </c>
      <c r="B4096" t="s">
        <v>38</v>
      </c>
      <c r="C4096" t="s">
        <v>265</v>
      </c>
      <c r="D4096" t="str">
        <f t="shared" si="64"/>
        <v>FAOP4703</v>
      </c>
      <c r="E4096" t="s">
        <v>3049</v>
      </c>
    </row>
    <row r="4097" spans="1:5" x14ac:dyDescent="0.25">
      <c r="A4097">
        <v>2171</v>
      </c>
      <c r="B4097" t="s">
        <v>38</v>
      </c>
      <c r="C4097" t="s">
        <v>316</v>
      </c>
      <c r="D4097" t="str">
        <f t="shared" si="64"/>
        <v>FAOP4706</v>
      </c>
      <c r="E4097" t="s">
        <v>3049</v>
      </c>
    </row>
    <row r="4098" spans="1:5" x14ac:dyDescent="0.25">
      <c r="A4098">
        <v>2171</v>
      </c>
      <c r="B4098" t="s">
        <v>38</v>
      </c>
      <c r="C4098" t="s">
        <v>328</v>
      </c>
      <c r="D4098" t="str">
        <f t="shared" si="64"/>
        <v>FAOP4707</v>
      </c>
      <c r="E4098" t="s">
        <v>3049</v>
      </c>
    </row>
    <row r="4099" spans="1:5" x14ac:dyDescent="0.25">
      <c r="A4099">
        <v>2171</v>
      </c>
      <c r="B4099" t="s">
        <v>38</v>
      </c>
      <c r="C4099" t="s">
        <v>364</v>
      </c>
      <c r="D4099" t="str">
        <f t="shared" si="64"/>
        <v>FAOP4799</v>
      </c>
      <c r="E4099" t="s">
        <v>3049</v>
      </c>
    </row>
    <row r="4100" spans="1:5" x14ac:dyDescent="0.25">
      <c r="A4100">
        <v>2171</v>
      </c>
      <c r="B4100" t="s">
        <v>38</v>
      </c>
      <c r="C4100" t="s">
        <v>240</v>
      </c>
      <c r="D4100" t="str">
        <f t="shared" si="64"/>
        <v>FAOP4801</v>
      </c>
      <c r="E4100" t="s">
        <v>2926</v>
      </c>
    </row>
    <row r="4101" spans="1:5" x14ac:dyDescent="0.25">
      <c r="A4101">
        <v>2171</v>
      </c>
      <c r="B4101" t="s">
        <v>38</v>
      </c>
      <c r="C4101" t="s">
        <v>3324</v>
      </c>
      <c r="D4101" t="str">
        <f t="shared" ref="D4101:D4164" si="65">CONCATENATE(B4101,LEFT(C4101,4))</f>
        <v>FAOP4906</v>
      </c>
      <c r="E4101" t="s">
        <v>65</v>
      </c>
    </row>
    <row r="4102" spans="1:5" x14ac:dyDescent="0.25">
      <c r="A4102">
        <v>2171</v>
      </c>
      <c r="B4102" t="s">
        <v>38</v>
      </c>
      <c r="C4102" t="s">
        <v>349</v>
      </c>
      <c r="D4102" t="str">
        <f t="shared" si="65"/>
        <v>FAOP5110</v>
      </c>
      <c r="E4102" t="s">
        <v>3052</v>
      </c>
    </row>
    <row r="4103" spans="1:5" x14ac:dyDescent="0.25">
      <c r="A4103">
        <v>2171</v>
      </c>
      <c r="B4103" t="s">
        <v>38</v>
      </c>
      <c r="C4103" t="s">
        <v>3054</v>
      </c>
      <c r="D4103" t="str">
        <f t="shared" si="65"/>
        <v>FAOP5204</v>
      </c>
      <c r="E4103" t="s">
        <v>3055</v>
      </c>
    </row>
    <row r="4104" spans="1:5" x14ac:dyDescent="0.25">
      <c r="A4104">
        <v>2171</v>
      </c>
      <c r="B4104" t="s">
        <v>38</v>
      </c>
      <c r="C4104" t="s">
        <v>329</v>
      </c>
      <c r="D4104" t="str">
        <f t="shared" si="65"/>
        <v>FAOP5206</v>
      </c>
      <c r="E4104" t="s">
        <v>3057</v>
      </c>
    </row>
    <row r="4105" spans="1:5" x14ac:dyDescent="0.25">
      <c r="A4105">
        <v>2171</v>
      </c>
      <c r="B4105" t="s">
        <v>38</v>
      </c>
      <c r="C4105" t="s">
        <v>3058</v>
      </c>
      <c r="D4105" t="str">
        <f t="shared" si="65"/>
        <v>FAOP5207</v>
      </c>
      <c r="E4105" t="s">
        <v>3057</v>
      </c>
    </row>
    <row r="4106" spans="1:5" x14ac:dyDescent="0.25">
      <c r="A4106">
        <v>2171</v>
      </c>
      <c r="B4106" t="s">
        <v>38</v>
      </c>
      <c r="C4106" t="s">
        <v>3060</v>
      </c>
      <c r="D4106" t="str">
        <f t="shared" si="65"/>
        <v>FAOP5208</v>
      </c>
      <c r="E4106" t="s">
        <v>3057</v>
      </c>
    </row>
    <row r="4107" spans="1:5" x14ac:dyDescent="0.25">
      <c r="A4107">
        <v>2171</v>
      </c>
      <c r="B4107" t="s">
        <v>38</v>
      </c>
      <c r="C4107" t="s">
        <v>359</v>
      </c>
      <c r="D4107" t="str">
        <f t="shared" si="65"/>
        <v>FAOP5209</v>
      </c>
      <c r="E4107" t="s">
        <v>3055</v>
      </c>
    </row>
    <row r="4108" spans="1:5" x14ac:dyDescent="0.25">
      <c r="A4108">
        <v>2171</v>
      </c>
      <c r="B4108" t="s">
        <v>38</v>
      </c>
      <c r="C4108" t="s">
        <v>3063</v>
      </c>
      <c r="D4108" t="str">
        <f t="shared" si="65"/>
        <v>FAOP5210</v>
      </c>
      <c r="E4108" t="s">
        <v>3055</v>
      </c>
    </row>
    <row r="4109" spans="1:5" x14ac:dyDescent="0.25">
      <c r="A4109">
        <v>2171</v>
      </c>
      <c r="B4109" t="s">
        <v>38</v>
      </c>
      <c r="C4109" t="s">
        <v>3155</v>
      </c>
      <c r="D4109" t="str">
        <f t="shared" si="65"/>
        <v>FAOP5211</v>
      </c>
      <c r="E4109" t="s">
        <v>2944</v>
      </c>
    </row>
    <row r="4110" spans="1:5" x14ac:dyDescent="0.25">
      <c r="A4110">
        <v>2171</v>
      </c>
      <c r="B4110" t="s">
        <v>38</v>
      </c>
      <c r="C4110" t="s">
        <v>3064</v>
      </c>
      <c r="D4110" t="str">
        <f t="shared" si="65"/>
        <v>FAOP5212</v>
      </c>
      <c r="E4110" t="s">
        <v>3055</v>
      </c>
    </row>
    <row r="4111" spans="1:5" x14ac:dyDescent="0.25">
      <c r="A4111">
        <v>2171</v>
      </c>
      <c r="B4111" t="s">
        <v>38</v>
      </c>
      <c r="C4111" t="s">
        <v>391</v>
      </c>
      <c r="D4111" t="str">
        <f t="shared" si="65"/>
        <v>FAOP5214</v>
      </c>
      <c r="E4111" t="s">
        <v>3055</v>
      </c>
    </row>
    <row r="4112" spans="1:5" x14ac:dyDescent="0.25">
      <c r="A4112">
        <v>2171</v>
      </c>
      <c r="B4112" t="s">
        <v>38</v>
      </c>
      <c r="C4112" t="s">
        <v>3241</v>
      </c>
      <c r="D4112" t="str">
        <f t="shared" si="65"/>
        <v>FAOP5218</v>
      </c>
      <c r="E4112" t="s">
        <v>3055</v>
      </c>
    </row>
    <row r="4113" spans="1:5" x14ac:dyDescent="0.25">
      <c r="A4113">
        <v>2171</v>
      </c>
      <c r="B4113" t="s">
        <v>38</v>
      </c>
      <c r="C4113" t="s">
        <v>3068</v>
      </c>
      <c r="D4113" t="str">
        <f t="shared" si="65"/>
        <v>FAOP5220</v>
      </c>
      <c r="E4113" t="s">
        <v>3057</v>
      </c>
    </row>
    <row r="4114" spans="1:5" x14ac:dyDescent="0.25">
      <c r="A4114">
        <v>2171</v>
      </c>
      <c r="B4114" t="s">
        <v>38</v>
      </c>
      <c r="C4114" t="s">
        <v>449</v>
      </c>
      <c r="D4114" t="str">
        <f t="shared" si="65"/>
        <v>FAOP5225</v>
      </c>
      <c r="E4114" t="s">
        <v>3055</v>
      </c>
    </row>
    <row r="4115" spans="1:5" x14ac:dyDescent="0.25">
      <c r="A4115">
        <v>2171</v>
      </c>
      <c r="B4115" t="s">
        <v>38</v>
      </c>
      <c r="C4115" t="s">
        <v>3072</v>
      </c>
      <c r="D4115" t="str">
        <f t="shared" si="65"/>
        <v>FAOP5227</v>
      </c>
      <c r="E4115" t="s">
        <v>3055</v>
      </c>
    </row>
    <row r="4116" spans="1:5" x14ac:dyDescent="0.25">
      <c r="A4116">
        <v>2171</v>
      </c>
      <c r="B4116" t="s">
        <v>38</v>
      </c>
      <c r="C4116" t="s">
        <v>459</v>
      </c>
      <c r="D4116" t="str">
        <f t="shared" si="65"/>
        <v>FAOP5299</v>
      </c>
      <c r="E4116" t="s">
        <v>3055</v>
      </c>
    </row>
    <row r="4117" spans="1:5" x14ac:dyDescent="0.25">
      <c r="A4117">
        <v>2171</v>
      </c>
      <c r="B4117" t="s">
        <v>38</v>
      </c>
      <c r="C4117" t="s">
        <v>3211</v>
      </c>
      <c r="D4117" t="str">
        <f t="shared" si="65"/>
        <v>FAOP9108</v>
      </c>
      <c r="E4117" t="s">
        <v>3212</v>
      </c>
    </row>
    <row r="4118" spans="1:5" x14ac:dyDescent="0.25">
      <c r="A4118">
        <v>2171</v>
      </c>
      <c r="B4118" t="s">
        <v>38</v>
      </c>
      <c r="C4118" t="s">
        <v>3220</v>
      </c>
      <c r="D4118" t="str">
        <f t="shared" si="65"/>
        <v>FAOP9201</v>
      </c>
      <c r="E4118" t="s">
        <v>3075</v>
      </c>
    </row>
    <row r="4119" spans="1:5" x14ac:dyDescent="0.25">
      <c r="A4119">
        <v>2171</v>
      </c>
      <c r="B4119" t="s">
        <v>38</v>
      </c>
      <c r="C4119" t="s">
        <v>3074</v>
      </c>
      <c r="D4119" t="str">
        <f t="shared" si="65"/>
        <v>FAOP9202</v>
      </c>
      <c r="E4119" t="s">
        <v>3075</v>
      </c>
    </row>
    <row r="4120" spans="1:5" x14ac:dyDescent="0.25">
      <c r="A4120">
        <v>2171</v>
      </c>
      <c r="B4120" t="s">
        <v>38</v>
      </c>
      <c r="C4120" t="s">
        <v>3329</v>
      </c>
      <c r="D4120" t="str">
        <f t="shared" si="65"/>
        <v>FAOP9203</v>
      </c>
      <c r="E4120" t="s">
        <v>3075</v>
      </c>
    </row>
    <row r="4121" spans="1:5" x14ac:dyDescent="0.25">
      <c r="A4121">
        <v>2171</v>
      </c>
      <c r="B4121" t="s">
        <v>38</v>
      </c>
      <c r="C4121" t="s">
        <v>331</v>
      </c>
      <c r="D4121" t="str">
        <f t="shared" si="65"/>
        <v>FAOP9306</v>
      </c>
      <c r="E4121" t="s">
        <v>3076</v>
      </c>
    </row>
    <row r="4122" spans="1:5" x14ac:dyDescent="0.25">
      <c r="A4122">
        <v>2171</v>
      </c>
      <c r="B4122" t="s">
        <v>38</v>
      </c>
      <c r="C4122" t="s">
        <v>360</v>
      </c>
      <c r="D4122" t="str">
        <f t="shared" si="65"/>
        <v>FAOP9309</v>
      </c>
      <c r="E4122" t="s">
        <v>2968</v>
      </c>
    </row>
    <row r="4123" spans="1:5" x14ac:dyDescent="0.25">
      <c r="A4123">
        <v>2171</v>
      </c>
      <c r="B4123" t="s">
        <v>38</v>
      </c>
      <c r="C4123" t="s">
        <v>3079</v>
      </c>
      <c r="D4123" t="str">
        <f t="shared" si="65"/>
        <v>FAOP9399</v>
      </c>
      <c r="E4123" t="s">
        <v>3330</v>
      </c>
    </row>
    <row r="4124" spans="1:5" x14ac:dyDescent="0.25">
      <c r="A4124">
        <v>2171</v>
      </c>
      <c r="B4124" t="s">
        <v>38</v>
      </c>
      <c r="C4124" t="s">
        <v>482</v>
      </c>
      <c r="D4124" t="str">
        <f t="shared" si="65"/>
        <v>FAOP3942</v>
      </c>
      <c r="E4124" t="s">
        <v>3001</v>
      </c>
    </row>
    <row r="4125" spans="1:5" x14ac:dyDescent="0.25">
      <c r="A4125">
        <v>2181</v>
      </c>
      <c r="B4125" t="s">
        <v>1718</v>
      </c>
      <c r="C4125" t="s">
        <v>2925</v>
      </c>
      <c r="D4125" t="str">
        <f t="shared" si="65"/>
        <v>FCS0810</v>
      </c>
      <c r="E4125" t="s">
        <v>2926</v>
      </c>
    </row>
    <row r="4126" spans="1:5" x14ac:dyDescent="0.25">
      <c r="A4126">
        <v>2181</v>
      </c>
      <c r="B4126" t="s">
        <v>1718</v>
      </c>
      <c r="C4126" t="s">
        <v>399</v>
      </c>
      <c r="D4126" t="str">
        <f t="shared" si="65"/>
        <v>FCS1325</v>
      </c>
      <c r="E4126" t="s">
        <v>3081</v>
      </c>
    </row>
    <row r="4127" spans="1:5" x14ac:dyDescent="0.25">
      <c r="A4127">
        <v>2181</v>
      </c>
      <c r="B4127" t="s">
        <v>1718</v>
      </c>
      <c r="C4127" t="s">
        <v>2928</v>
      </c>
      <c r="D4127" t="str">
        <f t="shared" si="65"/>
        <v>FCS1401</v>
      </c>
      <c r="E4127" t="s">
        <v>44</v>
      </c>
    </row>
    <row r="4128" spans="1:5" x14ac:dyDescent="0.25">
      <c r="A4128">
        <v>2181</v>
      </c>
      <c r="B4128" t="s">
        <v>1718</v>
      </c>
      <c r="C4128" t="s">
        <v>979</v>
      </c>
      <c r="D4128" t="str">
        <f t="shared" si="65"/>
        <v>FCS3003</v>
      </c>
      <c r="E4128" t="s">
        <v>2933</v>
      </c>
    </row>
    <row r="4129" spans="1:5" x14ac:dyDescent="0.25">
      <c r="A4129">
        <v>2181</v>
      </c>
      <c r="B4129" t="s">
        <v>1718</v>
      </c>
      <c r="C4129" t="s">
        <v>2937</v>
      </c>
      <c r="D4129" t="str">
        <f t="shared" si="65"/>
        <v>FCS3004</v>
      </c>
      <c r="E4129" t="s">
        <v>2933</v>
      </c>
    </row>
    <row r="4130" spans="1:5" x14ac:dyDescent="0.25">
      <c r="A4130">
        <v>2181</v>
      </c>
      <c r="B4130" t="s">
        <v>1718</v>
      </c>
      <c r="C4130" t="s">
        <v>2939</v>
      </c>
      <c r="D4130" t="str">
        <f t="shared" si="65"/>
        <v>FCS3005</v>
      </c>
      <c r="E4130" t="s">
        <v>2933</v>
      </c>
    </row>
    <row r="4131" spans="1:5" x14ac:dyDescent="0.25">
      <c r="A4131">
        <v>2181</v>
      </c>
      <c r="B4131" t="s">
        <v>1718</v>
      </c>
      <c r="C4131" t="s">
        <v>2941</v>
      </c>
      <c r="D4131" t="str">
        <f t="shared" si="65"/>
        <v>FCS3008</v>
      </c>
      <c r="E4131" t="s">
        <v>2933</v>
      </c>
    </row>
    <row r="4132" spans="1:5" x14ac:dyDescent="0.25">
      <c r="A4132">
        <v>2181</v>
      </c>
      <c r="B4132" t="s">
        <v>1718</v>
      </c>
      <c r="C4132" t="s">
        <v>354</v>
      </c>
      <c r="D4132" t="str">
        <f t="shared" si="65"/>
        <v>FCS3009</v>
      </c>
      <c r="E4132" t="s">
        <v>2933</v>
      </c>
    </row>
    <row r="4133" spans="1:5" x14ac:dyDescent="0.25">
      <c r="A4133">
        <v>2181</v>
      </c>
      <c r="B4133" t="s">
        <v>1718</v>
      </c>
      <c r="C4133" t="s">
        <v>2943</v>
      </c>
      <c r="D4133" t="str">
        <f t="shared" si="65"/>
        <v>FCS3010</v>
      </c>
      <c r="E4133" t="s">
        <v>2944</v>
      </c>
    </row>
    <row r="4134" spans="1:5" x14ac:dyDescent="0.25">
      <c r="A4134">
        <v>2181</v>
      </c>
      <c r="B4134" t="s">
        <v>1718</v>
      </c>
      <c r="C4134" t="s">
        <v>138</v>
      </c>
      <c r="D4134" t="str">
        <f t="shared" si="65"/>
        <v>FCS3012</v>
      </c>
      <c r="E4134" t="s">
        <v>2944</v>
      </c>
    </row>
    <row r="4135" spans="1:5" x14ac:dyDescent="0.25">
      <c r="A4135">
        <v>2181</v>
      </c>
      <c r="B4135" t="s">
        <v>1718</v>
      </c>
      <c r="C4135" t="s">
        <v>2946</v>
      </c>
      <c r="D4135" t="str">
        <f t="shared" si="65"/>
        <v>FCS3013</v>
      </c>
      <c r="E4135" t="s">
        <v>2933</v>
      </c>
    </row>
    <row r="4136" spans="1:5" x14ac:dyDescent="0.25">
      <c r="A4136">
        <v>2181</v>
      </c>
      <c r="B4136" t="s">
        <v>1718</v>
      </c>
      <c r="C4136" t="s">
        <v>2948</v>
      </c>
      <c r="D4136" t="str">
        <f t="shared" si="65"/>
        <v>FCS3015</v>
      </c>
      <c r="E4136" t="s">
        <v>2933</v>
      </c>
    </row>
    <row r="4137" spans="1:5" x14ac:dyDescent="0.25">
      <c r="A4137">
        <v>2181</v>
      </c>
      <c r="B4137" t="s">
        <v>1718</v>
      </c>
      <c r="C4137" t="s">
        <v>2950</v>
      </c>
      <c r="D4137" t="str">
        <f t="shared" si="65"/>
        <v>FCS3016</v>
      </c>
      <c r="E4137" t="s">
        <v>2933</v>
      </c>
    </row>
    <row r="4138" spans="1:5" x14ac:dyDescent="0.25">
      <c r="A4138">
        <v>2181</v>
      </c>
      <c r="B4138" t="s">
        <v>1718</v>
      </c>
      <c r="C4138" t="s">
        <v>406</v>
      </c>
      <c r="D4138" t="str">
        <f t="shared" si="65"/>
        <v>FCS3017</v>
      </c>
      <c r="E4138" t="s">
        <v>2933</v>
      </c>
    </row>
    <row r="4139" spans="1:5" x14ac:dyDescent="0.25">
      <c r="A4139">
        <v>2181</v>
      </c>
      <c r="B4139" t="s">
        <v>1718</v>
      </c>
      <c r="C4139" t="s">
        <v>2953</v>
      </c>
      <c r="D4139" t="str">
        <f t="shared" si="65"/>
        <v>FCS3019</v>
      </c>
      <c r="E4139" t="s">
        <v>2954</v>
      </c>
    </row>
    <row r="4140" spans="1:5" x14ac:dyDescent="0.25">
      <c r="A4140">
        <v>2181</v>
      </c>
      <c r="B4140" t="s">
        <v>1718</v>
      </c>
      <c r="C4140" t="s">
        <v>2955</v>
      </c>
      <c r="D4140" t="str">
        <f t="shared" si="65"/>
        <v>FCS3020</v>
      </c>
      <c r="E4140" t="s">
        <v>2933</v>
      </c>
    </row>
    <row r="4141" spans="1:5" x14ac:dyDescent="0.25">
      <c r="A4141">
        <v>2181</v>
      </c>
      <c r="B4141" t="s">
        <v>1718</v>
      </c>
      <c r="C4141" t="s">
        <v>2956</v>
      </c>
      <c r="D4141" t="str">
        <f t="shared" si="65"/>
        <v>FCS3021</v>
      </c>
      <c r="E4141" t="s">
        <v>2933</v>
      </c>
    </row>
    <row r="4142" spans="1:5" x14ac:dyDescent="0.25">
      <c r="A4142">
        <v>2181</v>
      </c>
      <c r="B4142" t="s">
        <v>1718</v>
      </c>
      <c r="C4142" t="s">
        <v>431</v>
      </c>
      <c r="D4142" t="str">
        <f t="shared" si="65"/>
        <v>FCS3022</v>
      </c>
      <c r="E4142" t="s">
        <v>2933</v>
      </c>
    </row>
    <row r="4143" spans="1:5" x14ac:dyDescent="0.25">
      <c r="A4143">
        <v>2181</v>
      </c>
      <c r="B4143" t="s">
        <v>1718</v>
      </c>
      <c r="C4143" t="s">
        <v>441</v>
      </c>
      <c r="D4143" t="str">
        <f t="shared" si="65"/>
        <v>FCS3024</v>
      </c>
      <c r="E4143" t="s">
        <v>2933</v>
      </c>
    </row>
    <row r="4144" spans="1:5" x14ac:dyDescent="0.25">
      <c r="A4144">
        <v>2181</v>
      </c>
      <c r="B4144" t="s">
        <v>1718</v>
      </c>
      <c r="C4144" t="s">
        <v>2959</v>
      </c>
      <c r="D4144" t="str">
        <f t="shared" si="65"/>
        <v>FCS3025</v>
      </c>
      <c r="E4144" t="s">
        <v>2933</v>
      </c>
    </row>
    <row r="4145" spans="1:5" x14ac:dyDescent="0.25">
      <c r="A4145">
        <v>2181</v>
      </c>
      <c r="B4145" t="s">
        <v>1718</v>
      </c>
      <c r="C4145" t="s">
        <v>2960</v>
      </c>
      <c r="D4145" t="str">
        <f t="shared" si="65"/>
        <v>FCS3026</v>
      </c>
      <c r="E4145" t="s">
        <v>2958</v>
      </c>
    </row>
    <row r="4146" spans="1:5" x14ac:dyDescent="0.25">
      <c r="A4146">
        <v>2181</v>
      </c>
      <c r="B4146" t="s">
        <v>1718</v>
      </c>
      <c r="C4146" t="s">
        <v>2961</v>
      </c>
      <c r="D4146" t="str">
        <f t="shared" si="65"/>
        <v>FCS3027</v>
      </c>
      <c r="E4146" t="s">
        <v>2933</v>
      </c>
    </row>
    <row r="4147" spans="1:5" x14ac:dyDescent="0.25">
      <c r="A4147">
        <v>2181</v>
      </c>
      <c r="B4147" t="s">
        <v>1718</v>
      </c>
      <c r="C4147" t="s">
        <v>2993</v>
      </c>
      <c r="D4147" t="str">
        <f t="shared" si="65"/>
        <v>FCS3041</v>
      </c>
      <c r="E4147" t="s">
        <v>2968</v>
      </c>
    </row>
    <row r="4148" spans="1:5" x14ac:dyDescent="0.25">
      <c r="A4148">
        <v>2181</v>
      </c>
      <c r="B4148" t="s">
        <v>1718</v>
      </c>
      <c r="C4148" t="s">
        <v>491</v>
      </c>
      <c r="D4148" t="str">
        <f t="shared" si="65"/>
        <v>FCS3099</v>
      </c>
      <c r="E4148" t="s">
        <v>2933</v>
      </c>
    </row>
    <row r="4149" spans="1:5" x14ac:dyDescent="0.25">
      <c r="A4149">
        <v>2181</v>
      </c>
      <c r="B4149" t="s">
        <v>1718</v>
      </c>
      <c r="C4149" t="s">
        <v>2975</v>
      </c>
      <c r="D4149" t="str">
        <f t="shared" si="65"/>
        <v>FCS3302</v>
      </c>
      <c r="E4149" t="s">
        <v>44</v>
      </c>
    </row>
    <row r="4150" spans="1:5" x14ac:dyDescent="0.25">
      <c r="A4150">
        <v>2181</v>
      </c>
      <c r="B4150" t="s">
        <v>1718</v>
      </c>
      <c r="C4150" t="s">
        <v>2977</v>
      </c>
      <c r="D4150" t="str">
        <f t="shared" si="65"/>
        <v>FCS3304</v>
      </c>
      <c r="E4150" t="s">
        <v>44</v>
      </c>
    </row>
    <row r="4151" spans="1:5" x14ac:dyDescent="0.25">
      <c r="A4151">
        <v>2181</v>
      </c>
      <c r="B4151" t="s">
        <v>1718</v>
      </c>
      <c r="C4151" t="s">
        <v>309</v>
      </c>
      <c r="D4151" t="str">
        <f t="shared" si="65"/>
        <v>FCS3305</v>
      </c>
      <c r="E4151" t="s">
        <v>44</v>
      </c>
    </row>
    <row r="4152" spans="1:5" x14ac:dyDescent="0.25">
      <c r="A4152">
        <v>2181</v>
      </c>
      <c r="B4152" t="s">
        <v>1718</v>
      </c>
      <c r="C4152" t="s">
        <v>3232</v>
      </c>
      <c r="D4152" t="str">
        <f t="shared" si="65"/>
        <v>FCS3405</v>
      </c>
      <c r="E4152" t="s">
        <v>2926</v>
      </c>
    </row>
    <row r="4153" spans="1:5" x14ac:dyDescent="0.25">
      <c r="A4153">
        <v>2181</v>
      </c>
      <c r="B4153" t="s">
        <v>1718</v>
      </c>
      <c r="C4153" t="s">
        <v>3201</v>
      </c>
      <c r="D4153" t="str">
        <f t="shared" si="65"/>
        <v>FCS3502</v>
      </c>
      <c r="E4153" t="s">
        <v>2968</v>
      </c>
    </row>
    <row r="4154" spans="1:5" x14ac:dyDescent="0.25">
      <c r="A4154">
        <v>2181</v>
      </c>
      <c r="B4154" t="s">
        <v>1718</v>
      </c>
      <c r="C4154" t="s">
        <v>3234</v>
      </c>
      <c r="D4154" t="str">
        <f t="shared" si="65"/>
        <v>FCS3605</v>
      </c>
      <c r="E4154" t="s">
        <v>2968</v>
      </c>
    </row>
    <row r="4155" spans="1:5" x14ac:dyDescent="0.25">
      <c r="A4155">
        <v>2181</v>
      </c>
      <c r="B4155" t="s">
        <v>1718</v>
      </c>
      <c r="C4155" t="s">
        <v>355</v>
      </c>
      <c r="D4155" t="str">
        <f t="shared" si="65"/>
        <v>FCS3610</v>
      </c>
      <c r="E4155" t="s">
        <v>2968</v>
      </c>
    </row>
    <row r="4156" spans="1:5" x14ac:dyDescent="0.25">
      <c r="A4156">
        <v>2181</v>
      </c>
      <c r="B4156" t="s">
        <v>1718</v>
      </c>
      <c r="C4156" t="s">
        <v>2979</v>
      </c>
      <c r="D4156" t="str">
        <f t="shared" si="65"/>
        <v>FCS3612</v>
      </c>
      <c r="E4156" t="s">
        <v>2968</v>
      </c>
    </row>
    <row r="4157" spans="1:5" x14ac:dyDescent="0.25">
      <c r="A4157">
        <v>2181</v>
      </c>
      <c r="B4157" t="s">
        <v>1718</v>
      </c>
      <c r="C4157" t="s">
        <v>471</v>
      </c>
      <c r="D4157" t="str">
        <f t="shared" si="65"/>
        <v>FCS3699</v>
      </c>
      <c r="E4157" t="s">
        <v>2968</v>
      </c>
    </row>
    <row r="4158" spans="1:5" x14ac:dyDescent="0.25">
      <c r="A4158">
        <v>2181</v>
      </c>
      <c r="B4158" t="s">
        <v>1718</v>
      </c>
      <c r="C4158" t="s">
        <v>3050</v>
      </c>
      <c r="D4158" t="str">
        <f t="shared" si="65"/>
        <v>FCS3702</v>
      </c>
      <c r="E4158" t="s">
        <v>2981</v>
      </c>
    </row>
    <row r="4159" spans="1:5" x14ac:dyDescent="0.25">
      <c r="A4159">
        <v>2181</v>
      </c>
      <c r="B4159" t="s">
        <v>1718</v>
      </c>
      <c r="C4159" t="s">
        <v>2983</v>
      </c>
      <c r="D4159" t="str">
        <f t="shared" si="65"/>
        <v>FCS3703</v>
      </c>
      <c r="E4159" t="s">
        <v>117</v>
      </c>
    </row>
    <row r="4160" spans="1:5" x14ac:dyDescent="0.25">
      <c r="A4160">
        <v>2181</v>
      </c>
      <c r="B4160" t="s">
        <v>1718</v>
      </c>
      <c r="C4160" t="s">
        <v>2985</v>
      </c>
      <c r="D4160" t="str">
        <f t="shared" si="65"/>
        <v>FCS3704</v>
      </c>
      <c r="E4160" t="s">
        <v>117</v>
      </c>
    </row>
    <row r="4161" spans="1:5" x14ac:dyDescent="0.25">
      <c r="A4161">
        <v>2181</v>
      </c>
      <c r="B4161" t="s">
        <v>1718</v>
      </c>
      <c r="C4161" t="s">
        <v>2986</v>
      </c>
      <c r="D4161" t="str">
        <f t="shared" si="65"/>
        <v>FCS3705</v>
      </c>
      <c r="E4161" t="s">
        <v>117</v>
      </c>
    </row>
    <row r="4162" spans="1:5" x14ac:dyDescent="0.25">
      <c r="A4162">
        <v>2181</v>
      </c>
      <c r="B4162" t="s">
        <v>1718</v>
      </c>
      <c r="C4162" t="s">
        <v>233</v>
      </c>
      <c r="D4162" t="str">
        <f t="shared" si="65"/>
        <v>FCS3901</v>
      </c>
      <c r="E4162" t="s">
        <v>2926</v>
      </c>
    </row>
    <row r="4163" spans="1:5" x14ac:dyDescent="0.25">
      <c r="A4163">
        <v>2181</v>
      </c>
      <c r="B4163" t="s">
        <v>1718</v>
      </c>
      <c r="C4163" t="s">
        <v>299</v>
      </c>
      <c r="D4163" t="str">
        <f t="shared" si="65"/>
        <v>FCS3904</v>
      </c>
      <c r="E4163" t="s">
        <v>2968</v>
      </c>
    </row>
    <row r="4164" spans="1:5" x14ac:dyDescent="0.25">
      <c r="A4164">
        <v>2181</v>
      </c>
      <c r="B4164" t="s">
        <v>1718</v>
      </c>
      <c r="C4164" t="s">
        <v>2989</v>
      </c>
      <c r="D4164" t="str">
        <f t="shared" si="65"/>
        <v>FCS3908</v>
      </c>
      <c r="E4164" t="s">
        <v>2968</v>
      </c>
    </row>
    <row r="4165" spans="1:5" x14ac:dyDescent="0.25">
      <c r="A4165">
        <v>2181</v>
      </c>
      <c r="B4165" t="s">
        <v>1718</v>
      </c>
      <c r="C4165" t="s">
        <v>356</v>
      </c>
      <c r="D4165" t="str">
        <f t="shared" ref="D4165:D4228" si="66">CONCATENATE(B4165,LEFT(C4165,4))</f>
        <v>FCS3911</v>
      </c>
      <c r="E4165" t="s">
        <v>2968</v>
      </c>
    </row>
    <row r="4166" spans="1:5" x14ac:dyDescent="0.25">
      <c r="A4166">
        <v>2181</v>
      </c>
      <c r="B4166" t="s">
        <v>1718</v>
      </c>
      <c r="C4166" t="s">
        <v>2991</v>
      </c>
      <c r="D4166" t="str">
        <f t="shared" si="66"/>
        <v>FCS3912</v>
      </c>
      <c r="E4166" t="s">
        <v>2992</v>
      </c>
    </row>
    <row r="4167" spans="1:5" x14ac:dyDescent="0.25">
      <c r="A4167">
        <v>2181</v>
      </c>
      <c r="B4167" t="s">
        <v>1718</v>
      </c>
      <c r="C4167" t="s">
        <v>2994</v>
      </c>
      <c r="D4167" t="str">
        <f t="shared" si="66"/>
        <v>FCS3913</v>
      </c>
      <c r="E4167" t="s">
        <v>2992</v>
      </c>
    </row>
    <row r="4168" spans="1:5" x14ac:dyDescent="0.25">
      <c r="A4168">
        <v>2181</v>
      </c>
      <c r="B4168" t="s">
        <v>1718</v>
      </c>
      <c r="C4168" t="s">
        <v>384</v>
      </c>
      <c r="D4168" t="str">
        <f t="shared" si="66"/>
        <v>FCS3915</v>
      </c>
      <c r="E4168" t="s">
        <v>2992</v>
      </c>
    </row>
    <row r="4169" spans="1:5" x14ac:dyDescent="0.25">
      <c r="A4169">
        <v>2181</v>
      </c>
      <c r="B4169" t="s">
        <v>1718</v>
      </c>
      <c r="C4169" t="s">
        <v>2996</v>
      </c>
      <c r="D4169" t="str">
        <f t="shared" si="66"/>
        <v>FCS3917</v>
      </c>
      <c r="E4169" t="s">
        <v>2958</v>
      </c>
    </row>
    <row r="4170" spans="1:5" x14ac:dyDescent="0.25">
      <c r="A4170">
        <v>2181</v>
      </c>
      <c r="B4170" t="s">
        <v>1718</v>
      </c>
      <c r="C4170" t="s">
        <v>3000</v>
      </c>
      <c r="D4170" t="str">
        <f t="shared" si="66"/>
        <v>FCS3919</v>
      </c>
      <c r="E4170" t="s">
        <v>3001</v>
      </c>
    </row>
    <row r="4171" spans="1:5" x14ac:dyDescent="0.25">
      <c r="A4171">
        <v>2181</v>
      </c>
      <c r="B4171" t="s">
        <v>1718</v>
      </c>
      <c r="C4171" t="s">
        <v>3077</v>
      </c>
      <c r="D4171" t="str">
        <f t="shared" si="66"/>
        <v>FCS3920</v>
      </c>
      <c r="E4171" t="s">
        <v>3107</v>
      </c>
    </row>
    <row r="4172" spans="1:5" x14ac:dyDescent="0.25">
      <c r="A4172">
        <v>2181</v>
      </c>
      <c r="B4172" t="s">
        <v>1718</v>
      </c>
      <c r="C4172" t="s">
        <v>3002</v>
      </c>
      <c r="D4172" t="str">
        <f t="shared" si="66"/>
        <v>FCS3921</v>
      </c>
      <c r="E4172" t="s">
        <v>3001</v>
      </c>
    </row>
    <row r="4173" spans="1:5" x14ac:dyDescent="0.25">
      <c r="A4173">
        <v>2181</v>
      </c>
      <c r="B4173" t="s">
        <v>1718</v>
      </c>
      <c r="C4173" t="s">
        <v>3003</v>
      </c>
      <c r="D4173" t="str">
        <f t="shared" si="66"/>
        <v>FCS3922</v>
      </c>
      <c r="E4173" t="s">
        <v>2954</v>
      </c>
    </row>
    <row r="4174" spans="1:5" x14ac:dyDescent="0.25">
      <c r="A4174">
        <v>2181</v>
      </c>
      <c r="B4174" t="s">
        <v>1718</v>
      </c>
      <c r="C4174" t="s">
        <v>438</v>
      </c>
      <c r="D4174" t="str">
        <f t="shared" si="66"/>
        <v>FCS3925</v>
      </c>
      <c r="E4174" t="s">
        <v>2968</v>
      </c>
    </row>
    <row r="4175" spans="1:5" x14ac:dyDescent="0.25">
      <c r="A4175">
        <v>2181</v>
      </c>
      <c r="B4175" t="s">
        <v>1718</v>
      </c>
      <c r="C4175" t="s">
        <v>443</v>
      </c>
      <c r="D4175" t="str">
        <f t="shared" si="66"/>
        <v>FCS3926</v>
      </c>
      <c r="E4175" t="s">
        <v>3006</v>
      </c>
    </row>
    <row r="4176" spans="1:5" x14ac:dyDescent="0.25">
      <c r="A4176">
        <v>2181</v>
      </c>
      <c r="B4176" t="s">
        <v>1718</v>
      </c>
      <c r="C4176" t="s">
        <v>1481</v>
      </c>
      <c r="D4176" t="str">
        <f t="shared" si="66"/>
        <v>FCS3931</v>
      </c>
      <c r="E4176" t="s">
        <v>2968</v>
      </c>
    </row>
    <row r="4177" spans="1:5" x14ac:dyDescent="0.25">
      <c r="A4177">
        <v>2181</v>
      </c>
      <c r="B4177" t="s">
        <v>1718</v>
      </c>
      <c r="C4177" t="s">
        <v>3017</v>
      </c>
      <c r="D4177" t="str">
        <f t="shared" si="66"/>
        <v>FCS3936</v>
      </c>
      <c r="E4177" t="s">
        <v>94</v>
      </c>
    </row>
    <row r="4178" spans="1:5" x14ac:dyDescent="0.25">
      <c r="A4178">
        <v>2181</v>
      </c>
      <c r="B4178" t="s">
        <v>1718</v>
      </c>
      <c r="C4178" t="s">
        <v>3202</v>
      </c>
      <c r="D4178" t="str">
        <f t="shared" si="66"/>
        <v>FCS3938</v>
      </c>
      <c r="E4178" t="s">
        <v>2968</v>
      </c>
    </row>
    <row r="4179" spans="1:5" x14ac:dyDescent="0.25">
      <c r="A4179">
        <v>2181</v>
      </c>
      <c r="B4179" t="s">
        <v>1718</v>
      </c>
      <c r="C4179" t="s">
        <v>3089</v>
      </c>
      <c r="D4179" t="str">
        <f t="shared" si="66"/>
        <v>FCS3939</v>
      </c>
      <c r="E4179" t="s">
        <v>2968</v>
      </c>
    </row>
    <row r="4180" spans="1:5" x14ac:dyDescent="0.25">
      <c r="A4180">
        <v>2181</v>
      </c>
      <c r="B4180" t="s">
        <v>1718</v>
      </c>
      <c r="C4180" t="s">
        <v>3019</v>
      </c>
      <c r="D4180" t="str">
        <f t="shared" si="66"/>
        <v>FCS3940</v>
      </c>
      <c r="E4180" t="s">
        <v>3009</v>
      </c>
    </row>
    <row r="4181" spans="1:5" x14ac:dyDescent="0.25">
      <c r="A4181">
        <v>2181</v>
      </c>
      <c r="B4181" t="s">
        <v>1718</v>
      </c>
      <c r="C4181" t="s">
        <v>3020</v>
      </c>
      <c r="D4181" t="str">
        <f t="shared" si="66"/>
        <v>FCS3943</v>
      </c>
      <c r="E4181" t="s">
        <v>2958</v>
      </c>
    </row>
    <row r="4182" spans="1:5" x14ac:dyDescent="0.25">
      <c r="A4182">
        <v>2181</v>
      </c>
      <c r="B4182" t="s">
        <v>1718</v>
      </c>
      <c r="C4182" t="s">
        <v>488</v>
      </c>
      <c r="D4182" t="str">
        <f t="shared" si="66"/>
        <v>FCS3946</v>
      </c>
      <c r="E4182" t="s">
        <v>3235</v>
      </c>
    </row>
    <row r="4183" spans="1:5" x14ac:dyDescent="0.25">
      <c r="A4183">
        <v>2181</v>
      </c>
      <c r="B4183" t="s">
        <v>1718</v>
      </c>
      <c r="C4183" t="s">
        <v>3098</v>
      </c>
      <c r="D4183" t="str">
        <f t="shared" si="66"/>
        <v>FCS3952</v>
      </c>
      <c r="E4183" t="s">
        <v>65</v>
      </c>
    </row>
    <row r="4184" spans="1:5" x14ac:dyDescent="0.25">
      <c r="A4184">
        <v>2181</v>
      </c>
      <c r="B4184" t="s">
        <v>1718</v>
      </c>
      <c r="C4184" t="s">
        <v>3025</v>
      </c>
      <c r="D4184" t="str">
        <f t="shared" si="66"/>
        <v>FCS3959</v>
      </c>
      <c r="E4184" t="s">
        <v>2968</v>
      </c>
    </row>
    <row r="4185" spans="1:5" x14ac:dyDescent="0.25">
      <c r="A4185">
        <v>2181</v>
      </c>
      <c r="B4185" t="s">
        <v>1718</v>
      </c>
      <c r="C4185" t="s">
        <v>3027</v>
      </c>
      <c r="D4185" t="str">
        <f t="shared" si="66"/>
        <v>FCS3961</v>
      </c>
      <c r="E4185" t="s">
        <v>2981</v>
      </c>
    </row>
    <row r="4186" spans="1:5" x14ac:dyDescent="0.25">
      <c r="A4186">
        <v>2181</v>
      </c>
      <c r="B4186" t="s">
        <v>1718</v>
      </c>
      <c r="C4186" t="s">
        <v>3031</v>
      </c>
      <c r="D4186" t="str">
        <f t="shared" si="66"/>
        <v>FCS3970</v>
      </c>
      <c r="E4186" t="s">
        <v>3009</v>
      </c>
    </row>
    <row r="4187" spans="1:5" x14ac:dyDescent="0.25">
      <c r="A4187">
        <v>2181</v>
      </c>
      <c r="B4187" t="s">
        <v>1718</v>
      </c>
      <c r="C4187" t="s">
        <v>513</v>
      </c>
      <c r="D4187" t="str">
        <f t="shared" si="66"/>
        <v>FCS3971</v>
      </c>
      <c r="E4187" t="s">
        <v>3033</v>
      </c>
    </row>
    <row r="4188" spans="1:5" x14ac:dyDescent="0.25">
      <c r="A4188">
        <v>2181</v>
      </c>
      <c r="B4188" t="s">
        <v>1718</v>
      </c>
      <c r="C4188" t="s">
        <v>516</v>
      </c>
      <c r="D4188" t="str">
        <f t="shared" si="66"/>
        <v>FCS3974</v>
      </c>
      <c r="E4188" t="s">
        <v>3131</v>
      </c>
    </row>
    <row r="4189" spans="1:5" x14ac:dyDescent="0.25">
      <c r="A4189">
        <v>2181</v>
      </c>
      <c r="B4189" t="s">
        <v>1718</v>
      </c>
      <c r="C4189" t="s">
        <v>3216</v>
      </c>
      <c r="D4189" t="str">
        <f t="shared" si="66"/>
        <v>FCS3980</v>
      </c>
      <c r="E4189" t="s">
        <v>3081</v>
      </c>
    </row>
    <row r="4190" spans="1:5" x14ac:dyDescent="0.25">
      <c r="A4190">
        <v>2181</v>
      </c>
      <c r="B4190" t="s">
        <v>1718</v>
      </c>
      <c r="C4190" t="s">
        <v>526</v>
      </c>
      <c r="D4190" t="str">
        <f t="shared" si="66"/>
        <v>FCS3986</v>
      </c>
      <c r="E4190" t="s">
        <v>2968</v>
      </c>
    </row>
    <row r="4191" spans="1:5" x14ac:dyDescent="0.25">
      <c r="A4191">
        <v>2181</v>
      </c>
      <c r="B4191" t="s">
        <v>1718</v>
      </c>
      <c r="C4191" t="s">
        <v>3036</v>
      </c>
      <c r="D4191" t="str">
        <f t="shared" si="66"/>
        <v>FCS3987</v>
      </c>
      <c r="E4191" t="s">
        <v>2958</v>
      </c>
    </row>
    <row r="4192" spans="1:5" x14ac:dyDescent="0.25">
      <c r="A4192">
        <v>2181</v>
      </c>
      <c r="B4192" t="s">
        <v>1718</v>
      </c>
      <c r="C4192" t="s">
        <v>3236</v>
      </c>
      <c r="D4192" t="str">
        <f t="shared" si="66"/>
        <v>FCS3992</v>
      </c>
      <c r="E4192" t="s">
        <v>3235</v>
      </c>
    </row>
    <row r="4193" spans="1:5" x14ac:dyDescent="0.25">
      <c r="A4193">
        <v>2181</v>
      </c>
      <c r="B4193" t="s">
        <v>1718</v>
      </c>
      <c r="C4193" t="s">
        <v>3040</v>
      </c>
      <c r="D4193" t="str">
        <f t="shared" si="66"/>
        <v>FCS3999</v>
      </c>
      <c r="E4193" t="s">
        <v>2968</v>
      </c>
    </row>
    <row r="4194" spans="1:5" x14ac:dyDescent="0.25">
      <c r="A4194">
        <v>2181</v>
      </c>
      <c r="B4194" t="s">
        <v>1718</v>
      </c>
      <c r="C4194" t="s">
        <v>3041</v>
      </c>
      <c r="D4194" t="str">
        <f t="shared" si="66"/>
        <v>FCS4002</v>
      </c>
      <c r="E4194" t="s">
        <v>3009</v>
      </c>
    </row>
    <row r="4195" spans="1:5" x14ac:dyDescent="0.25">
      <c r="A4195">
        <v>2181</v>
      </c>
      <c r="B4195" t="s">
        <v>1718</v>
      </c>
      <c r="C4195" t="s">
        <v>3043</v>
      </c>
      <c r="D4195" t="str">
        <f t="shared" si="66"/>
        <v>FCS4003</v>
      </c>
      <c r="E4195" t="s">
        <v>94</v>
      </c>
    </row>
    <row r="4196" spans="1:5" x14ac:dyDescent="0.25">
      <c r="A4196">
        <v>2181</v>
      </c>
      <c r="B4196" t="s">
        <v>1718</v>
      </c>
      <c r="C4196" t="s">
        <v>3045</v>
      </c>
      <c r="D4196" t="str">
        <f t="shared" si="66"/>
        <v>FCS4004</v>
      </c>
      <c r="E4196" t="s">
        <v>3009</v>
      </c>
    </row>
    <row r="4197" spans="1:5" x14ac:dyDescent="0.25">
      <c r="A4197">
        <v>2181</v>
      </c>
      <c r="B4197" t="s">
        <v>1718</v>
      </c>
      <c r="C4197" t="s">
        <v>3047</v>
      </c>
      <c r="D4197" t="str">
        <f t="shared" si="66"/>
        <v>FCS4005</v>
      </c>
      <c r="E4197" t="s">
        <v>3009</v>
      </c>
    </row>
    <row r="4198" spans="1:5" x14ac:dyDescent="0.25">
      <c r="A4198">
        <v>2181</v>
      </c>
      <c r="B4198" t="s">
        <v>1718</v>
      </c>
      <c r="C4198" t="s">
        <v>813</v>
      </c>
      <c r="D4198" t="str">
        <f t="shared" si="66"/>
        <v>FCS4006</v>
      </c>
      <c r="E4198" t="s">
        <v>3057</v>
      </c>
    </row>
    <row r="4199" spans="1:5" x14ac:dyDescent="0.25">
      <c r="A4199">
        <v>2181</v>
      </c>
      <c r="B4199" t="s">
        <v>1718</v>
      </c>
      <c r="C4199" t="s">
        <v>3048</v>
      </c>
      <c r="D4199" t="str">
        <f t="shared" si="66"/>
        <v>FCS4701</v>
      </c>
      <c r="E4199" t="s">
        <v>3049</v>
      </c>
    </row>
    <row r="4200" spans="1:5" x14ac:dyDescent="0.25">
      <c r="A4200">
        <v>2181</v>
      </c>
      <c r="B4200" t="s">
        <v>1718</v>
      </c>
      <c r="C4200" t="s">
        <v>316</v>
      </c>
      <c r="D4200" t="str">
        <f t="shared" si="66"/>
        <v>FCS4706</v>
      </c>
      <c r="E4200" t="s">
        <v>3049</v>
      </c>
    </row>
    <row r="4201" spans="1:5" x14ac:dyDescent="0.25">
      <c r="A4201">
        <v>2181</v>
      </c>
      <c r="B4201" t="s">
        <v>1718</v>
      </c>
      <c r="C4201" t="s">
        <v>328</v>
      </c>
      <c r="D4201" t="str">
        <f t="shared" si="66"/>
        <v>FCS4707</v>
      </c>
      <c r="E4201" t="s">
        <v>3049</v>
      </c>
    </row>
    <row r="4202" spans="1:5" x14ac:dyDescent="0.25">
      <c r="A4202">
        <v>2181</v>
      </c>
      <c r="B4202" t="s">
        <v>1718</v>
      </c>
      <c r="C4202" t="s">
        <v>348</v>
      </c>
      <c r="D4202" t="str">
        <f t="shared" si="66"/>
        <v>FCS4709</v>
      </c>
      <c r="E4202" t="s">
        <v>3049</v>
      </c>
    </row>
    <row r="4203" spans="1:5" x14ac:dyDescent="0.25">
      <c r="A4203">
        <v>2181</v>
      </c>
      <c r="B4203" t="s">
        <v>1718</v>
      </c>
      <c r="C4203" t="s">
        <v>357</v>
      </c>
      <c r="D4203" t="str">
        <f t="shared" si="66"/>
        <v>FCS4710</v>
      </c>
      <c r="E4203" t="s">
        <v>3049</v>
      </c>
    </row>
    <row r="4204" spans="1:5" x14ac:dyDescent="0.25">
      <c r="A4204">
        <v>2181</v>
      </c>
      <c r="B4204" t="s">
        <v>1718</v>
      </c>
      <c r="C4204" t="s">
        <v>364</v>
      </c>
      <c r="D4204" t="str">
        <f t="shared" si="66"/>
        <v>FCS4799</v>
      </c>
      <c r="E4204" t="s">
        <v>3049</v>
      </c>
    </row>
    <row r="4205" spans="1:5" x14ac:dyDescent="0.25">
      <c r="A4205">
        <v>2181</v>
      </c>
      <c r="B4205" t="s">
        <v>1718</v>
      </c>
      <c r="C4205" t="s">
        <v>3054</v>
      </c>
      <c r="D4205" t="str">
        <f t="shared" si="66"/>
        <v>FCS5204</v>
      </c>
      <c r="E4205" t="s">
        <v>3055</v>
      </c>
    </row>
    <row r="4206" spans="1:5" x14ac:dyDescent="0.25">
      <c r="A4206">
        <v>2181</v>
      </c>
      <c r="B4206" t="s">
        <v>1718</v>
      </c>
      <c r="C4206" t="s">
        <v>3058</v>
      </c>
      <c r="D4206" t="str">
        <f t="shared" si="66"/>
        <v>FCS5207</v>
      </c>
      <c r="E4206" t="s">
        <v>3057</v>
      </c>
    </row>
    <row r="4207" spans="1:5" x14ac:dyDescent="0.25">
      <c r="A4207">
        <v>2181</v>
      </c>
      <c r="B4207" t="s">
        <v>1718</v>
      </c>
      <c r="C4207" t="s">
        <v>3060</v>
      </c>
      <c r="D4207" t="str">
        <f t="shared" si="66"/>
        <v>FCS5208</v>
      </c>
      <c r="E4207" t="s">
        <v>3057</v>
      </c>
    </row>
    <row r="4208" spans="1:5" x14ac:dyDescent="0.25">
      <c r="A4208">
        <v>2181</v>
      </c>
      <c r="B4208" t="s">
        <v>1718</v>
      </c>
      <c r="C4208" t="s">
        <v>3063</v>
      </c>
      <c r="D4208" t="str">
        <f t="shared" si="66"/>
        <v>FCS5210</v>
      </c>
      <c r="E4208" t="s">
        <v>3055</v>
      </c>
    </row>
    <row r="4209" spans="1:5" x14ac:dyDescent="0.25">
      <c r="A4209">
        <v>2181</v>
      </c>
      <c r="B4209" t="s">
        <v>1718</v>
      </c>
      <c r="C4209" t="s">
        <v>3064</v>
      </c>
      <c r="D4209" t="str">
        <f t="shared" si="66"/>
        <v>FCS5212</v>
      </c>
      <c r="E4209" t="s">
        <v>3055</v>
      </c>
    </row>
    <row r="4210" spans="1:5" x14ac:dyDescent="0.25">
      <c r="A4210">
        <v>2181</v>
      </c>
      <c r="B4210" t="s">
        <v>1718</v>
      </c>
      <c r="C4210" t="s">
        <v>391</v>
      </c>
      <c r="D4210" t="str">
        <f t="shared" si="66"/>
        <v>FCS5214</v>
      </c>
      <c r="E4210" t="s">
        <v>3055</v>
      </c>
    </row>
    <row r="4211" spans="1:5" x14ac:dyDescent="0.25">
      <c r="A4211">
        <v>2181</v>
      </c>
      <c r="B4211" t="s">
        <v>1718</v>
      </c>
      <c r="C4211" t="s">
        <v>449</v>
      </c>
      <c r="D4211" t="str">
        <f t="shared" si="66"/>
        <v>FCS5225</v>
      </c>
      <c r="E4211" t="s">
        <v>3055</v>
      </c>
    </row>
    <row r="4212" spans="1:5" x14ac:dyDescent="0.25">
      <c r="A4212">
        <v>2181</v>
      </c>
      <c r="B4212" t="s">
        <v>1718</v>
      </c>
      <c r="C4212" t="s">
        <v>3070</v>
      </c>
      <c r="D4212" t="str">
        <f t="shared" si="66"/>
        <v>FCS5226</v>
      </c>
      <c r="E4212" t="s">
        <v>3055</v>
      </c>
    </row>
    <row r="4213" spans="1:5" x14ac:dyDescent="0.25">
      <c r="A4213">
        <v>2181</v>
      </c>
      <c r="B4213" t="s">
        <v>1718</v>
      </c>
      <c r="C4213" t="s">
        <v>3244</v>
      </c>
      <c r="D4213" t="str">
        <f t="shared" si="66"/>
        <v>FCS8501</v>
      </c>
      <c r="E4213" t="s">
        <v>3235</v>
      </c>
    </row>
    <row r="4214" spans="1:5" x14ac:dyDescent="0.25">
      <c r="A4214">
        <v>2181</v>
      </c>
      <c r="B4214" t="s">
        <v>1718</v>
      </c>
      <c r="C4214" t="s">
        <v>3074</v>
      </c>
      <c r="D4214" t="str">
        <f t="shared" si="66"/>
        <v>FCS9202</v>
      </c>
      <c r="E4214" t="s">
        <v>3075</v>
      </c>
    </row>
    <row r="4215" spans="1:5" x14ac:dyDescent="0.25">
      <c r="A4215">
        <v>2181</v>
      </c>
      <c r="B4215" t="s">
        <v>1718</v>
      </c>
      <c r="C4215" t="s">
        <v>3079</v>
      </c>
      <c r="D4215" t="str">
        <f t="shared" si="66"/>
        <v>FCS9399</v>
      </c>
      <c r="E4215" t="s">
        <v>2968</v>
      </c>
    </row>
    <row r="4216" spans="1:5" x14ac:dyDescent="0.25">
      <c r="A4216">
        <v>2181</v>
      </c>
      <c r="B4216" t="s">
        <v>1718</v>
      </c>
      <c r="C4216" t="s">
        <v>346</v>
      </c>
      <c r="D4216" t="str">
        <f t="shared" si="66"/>
        <v>FCS3910</v>
      </c>
      <c r="E4216" t="s">
        <v>3264</v>
      </c>
    </row>
    <row r="4217" spans="1:5" x14ac:dyDescent="0.25">
      <c r="A4217">
        <v>2201</v>
      </c>
      <c r="B4217" t="s">
        <v>1737</v>
      </c>
      <c r="C4217" t="s">
        <v>2925</v>
      </c>
      <c r="D4217" t="str">
        <f t="shared" si="66"/>
        <v>IEPHA0810</v>
      </c>
      <c r="E4217" t="s">
        <v>2926</v>
      </c>
    </row>
    <row r="4218" spans="1:5" x14ac:dyDescent="0.25">
      <c r="A4218">
        <v>2201</v>
      </c>
      <c r="B4218" t="s">
        <v>1737</v>
      </c>
      <c r="C4218" t="s">
        <v>332</v>
      </c>
      <c r="D4218" t="str">
        <f t="shared" si="66"/>
        <v>IEPHA1314</v>
      </c>
      <c r="E4218" t="s">
        <v>3081</v>
      </c>
    </row>
    <row r="4219" spans="1:5" x14ac:dyDescent="0.25">
      <c r="A4219">
        <v>2201</v>
      </c>
      <c r="B4219" t="s">
        <v>1737</v>
      </c>
      <c r="C4219" t="s">
        <v>399</v>
      </c>
      <c r="D4219" t="str">
        <f t="shared" si="66"/>
        <v>IEPHA1325</v>
      </c>
      <c r="E4219" t="s">
        <v>3081</v>
      </c>
    </row>
    <row r="4220" spans="1:5" x14ac:dyDescent="0.25">
      <c r="A4220">
        <v>2201</v>
      </c>
      <c r="B4220" t="s">
        <v>1737</v>
      </c>
      <c r="C4220" t="s">
        <v>2928</v>
      </c>
      <c r="D4220" t="str">
        <f t="shared" si="66"/>
        <v>IEPHA1401</v>
      </c>
      <c r="E4220" t="s">
        <v>44</v>
      </c>
    </row>
    <row r="4221" spans="1:5" x14ac:dyDescent="0.25">
      <c r="A4221">
        <v>2201</v>
      </c>
      <c r="B4221" t="s">
        <v>1737</v>
      </c>
      <c r="C4221" t="s">
        <v>2932</v>
      </c>
      <c r="D4221" t="str">
        <f t="shared" si="66"/>
        <v>IEPHA3001</v>
      </c>
      <c r="E4221" t="s">
        <v>2933</v>
      </c>
    </row>
    <row r="4222" spans="1:5" x14ac:dyDescent="0.25">
      <c r="A4222">
        <v>2201</v>
      </c>
      <c r="B4222" t="s">
        <v>1737</v>
      </c>
      <c r="C4222" t="s">
        <v>979</v>
      </c>
      <c r="D4222" t="str">
        <f t="shared" si="66"/>
        <v>IEPHA3003</v>
      </c>
      <c r="E4222" t="s">
        <v>2933</v>
      </c>
    </row>
    <row r="4223" spans="1:5" x14ac:dyDescent="0.25">
      <c r="A4223">
        <v>2201</v>
      </c>
      <c r="B4223" t="s">
        <v>1737</v>
      </c>
      <c r="C4223" t="s">
        <v>2939</v>
      </c>
      <c r="D4223" t="str">
        <f t="shared" si="66"/>
        <v>IEPHA3005</v>
      </c>
      <c r="E4223" t="s">
        <v>2933</v>
      </c>
    </row>
    <row r="4224" spans="1:5" x14ac:dyDescent="0.25">
      <c r="A4224">
        <v>2201</v>
      </c>
      <c r="B4224" t="s">
        <v>1737</v>
      </c>
      <c r="C4224" t="s">
        <v>323</v>
      </c>
      <c r="D4224" t="str">
        <f t="shared" si="66"/>
        <v>IEPHA3006</v>
      </c>
      <c r="E4224" t="s">
        <v>2933</v>
      </c>
    </row>
    <row r="4225" spans="1:5" x14ac:dyDescent="0.25">
      <c r="A4225">
        <v>2201</v>
      </c>
      <c r="B4225" t="s">
        <v>1737</v>
      </c>
      <c r="C4225" t="s">
        <v>2941</v>
      </c>
      <c r="D4225" t="str">
        <f t="shared" si="66"/>
        <v>IEPHA3008</v>
      </c>
      <c r="E4225" t="s">
        <v>2933</v>
      </c>
    </row>
    <row r="4226" spans="1:5" x14ac:dyDescent="0.25">
      <c r="A4226">
        <v>2201</v>
      </c>
      <c r="B4226" t="s">
        <v>1737</v>
      </c>
      <c r="C4226" t="s">
        <v>2943</v>
      </c>
      <c r="D4226" t="str">
        <f t="shared" si="66"/>
        <v>IEPHA3010</v>
      </c>
      <c r="E4226" t="s">
        <v>2944</v>
      </c>
    </row>
    <row r="4227" spans="1:5" x14ac:dyDescent="0.25">
      <c r="A4227">
        <v>2201</v>
      </c>
      <c r="B4227" t="s">
        <v>1737</v>
      </c>
      <c r="C4227" t="s">
        <v>369</v>
      </c>
      <c r="D4227" t="str">
        <f t="shared" si="66"/>
        <v>IEPHA3011</v>
      </c>
      <c r="E4227" t="s">
        <v>2933</v>
      </c>
    </row>
    <row r="4228" spans="1:5" x14ac:dyDescent="0.25">
      <c r="A4228">
        <v>2201</v>
      </c>
      <c r="B4228" t="s">
        <v>1737</v>
      </c>
      <c r="C4228" t="s">
        <v>138</v>
      </c>
      <c r="D4228" t="str">
        <f t="shared" si="66"/>
        <v>IEPHA3012</v>
      </c>
      <c r="E4228" t="s">
        <v>2944</v>
      </c>
    </row>
    <row r="4229" spans="1:5" x14ac:dyDescent="0.25">
      <c r="A4229">
        <v>2201</v>
      </c>
      <c r="B4229" t="s">
        <v>1737</v>
      </c>
      <c r="C4229" t="s">
        <v>2946</v>
      </c>
      <c r="D4229" t="str">
        <f t="shared" ref="D4229:D4292" si="67">CONCATENATE(B4229,LEFT(C4229,4))</f>
        <v>IEPHA3013</v>
      </c>
      <c r="E4229" t="s">
        <v>2933</v>
      </c>
    </row>
    <row r="4230" spans="1:5" x14ac:dyDescent="0.25">
      <c r="A4230">
        <v>2201</v>
      </c>
      <c r="B4230" t="s">
        <v>1737</v>
      </c>
      <c r="C4230" t="s">
        <v>2950</v>
      </c>
      <c r="D4230" t="str">
        <f t="shared" si="67"/>
        <v>IEPHA3016</v>
      </c>
      <c r="E4230" t="s">
        <v>2933</v>
      </c>
    </row>
    <row r="4231" spans="1:5" x14ac:dyDescent="0.25">
      <c r="A4231">
        <v>2201</v>
      </c>
      <c r="B4231" t="s">
        <v>1737</v>
      </c>
      <c r="C4231" t="s">
        <v>406</v>
      </c>
      <c r="D4231" t="str">
        <f t="shared" si="67"/>
        <v>IEPHA3017</v>
      </c>
      <c r="E4231" t="s">
        <v>2933</v>
      </c>
    </row>
    <row r="4232" spans="1:5" x14ac:dyDescent="0.25">
      <c r="A4232">
        <v>2201</v>
      </c>
      <c r="B4232" t="s">
        <v>1737</v>
      </c>
      <c r="C4232" t="s">
        <v>2953</v>
      </c>
      <c r="D4232" t="str">
        <f t="shared" si="67"/>
        <v>IEPHA3019</v>
      </c>
      <c r="E4232" t="s">
        <v>2954</v>
      </c>
    </row>
    <row r="4233" spans="1:5" x14ac:dyDescent="0.25">
      <c r="A4233">
        <v>2201</v>
      </c>
      <c r="B4233" t="s">
        <v>1737</v>
      </c>
      <c r="C4233" t="s">
        <v>2955</v>
      </c>
      <c r="D4233" t="str">
        <f t="shared" si="67"/>
        <v>IEPHA3020</v>
      </c>
      <c r="E4233" t="s">
        <v>2933</v>
      </c>
    </row>
    <row r="4234" spans="1:5" x14ac:dyDescent="0.25">
      <c r="A4234">
        <v>2201</v>
      </c>
      <c r="B4234" t="s">
        <v>1737</v>
      </c>
      <c r="C4234" t="s">
        <v>2956</v>
      </c>
      <c r="D4234" t="str">
        <f t="shared" si="67"/>
        <v>IEPHA3021</v>
      </c>
      <c r="E4234" t="s">
        <v>2933</v>
      </c>
    </row>
    <row r="4235" spans="1:5" x14ac:dyDescent="0.25">
      <c r="A4235">
        <v>2201</v>
      </c>
      <c r="B4235" t="s">
        <v>1737</v>
      </c>
      <c r="C4235" t="s">
        <v>431</v>
      </c>
      <c r="D4235" t="str">
        <f t="shared" si="67"/>
        <v>IEPHA3022</v>
      </c>
      <c r="E4235" t="s">
        <v>2933</v>
      </c>
    </row>
    <row r="4236" spans="1:5" x14ac:dyDescent="0.25">
      <c r="A4236">
        <v>2201</v>
      </c>
      <c r="B4236" t="s">
        <v>1737</v>
      </c>
      <c r="C4236" t="s">
        <v>2957</v>
      </c>
      <c r="D4236" t="str">
        <f t="shared" si="67"/>
        <v>IEPHA3023</v>
      </c>
      <c r="E4236" t="s">
        <v>2958</v>
      </c>
    </row>
    <row r="4237" spans="1:5" x14ac:dyDescent="0.25">
      <c r="A4237">
        <v>2201</v>
      </c>
      <c r="B4237" t="s">
        <v>1737</v>
      </c>
      <c r="C4237" t="s">
        <v>441</v>
      </c>
      <c r="D4237" t="str">
        <f t="shared" si="67"/>
        <v>IEPHA3024</v>
      </c>
      <c r="E4237" t="s">
        <v>2933</v>
      </c>
    </row>
    <row r="4238" spans="1:5" x14ac:dyDescent="0.25">
      <c r="A4238">
        <v>2201</v>
      </c>
      <c r="B4238" t="s">
        <v>1737</v>
      </c>
      <c r="C4238" t="s">
        <v>2959</v>
      </c>
      <c r="D4238" t="str">
        <f t="shared" si="67"/>
        <v>IEPHA3025</v>
      </c>
      <c r="E4238" t="s">
        <v>2933</v>
      </c>
    </row>
    <row r="4239" spans="1:5" x14ac:dyDescent="0.25">
      <c r="A4239">
        <v>2201</v>
      </c>
      <c r="B4239" t="s">
        <v>1737</v>
      </c>
      <c r="C4239" t="s">
        <v>2960</v>
      </c>
      <c r="D4239" t="str">
        <f t="shared" si="67"/>
        <v>IEPHA3026</v>
      </c>
      <c r="E4239" t="s">
        <v>2958</v>
      </c>
    </row>
    <row r="4240" spans="1:5" x14ac:dyDescent="0.25">
      <c r="A4240">
        <v>2201</v>
      </c>
      <c r="B4240" t="s">
        <v>1737</v>
      </c>
      <c r="C4240" t="s">
        <v>2961</v>
      </c>
      <c r="D4240" t="str">
        <f t="shared" si="67"/>
        <v>IEPHA3027</v>
      </c>
      <c r="E4240" t="s">
        <v>2933</v>
      </c>
    </row>
    <row r="4241" spans="1:5" x14ac:dyDescent="0.25">
      <c r="A4241">
        <v>2201</v>
      </c>
      <c r="B4241" t="s">
        <v>1737</v>
      </c>
      <c r="C4241" t="s">
        <v>467</v>
      </c>
      <c r="D4241" t="str">
        <f t="shared" si="67"/>
        <v>IEPHA3030</v>
      </c>
      <c r="E4241" t="s">
        <v>2933</v>
      </c>
    </row>
    <row r="4242" spans="1:5" x14ac:dyDescent="0.25">
      <c r="A4242">
        <v>2201</v>
      </c>
      <c r="B4242" t="s">
        <v>1737</v>
      </c>
      <c r="C4242" t="s">
        <v>2975</v>
      </c>
      <c r="D4242" t="str">
        <f t="shared" si="67"/>
        <v>IEPHA3302</v>
      </c>
      <c r="E4242" t="s">
        <v>44</v>
      </c>
    </row>
    <row r="4243" spans="1:5" x14ac:dyDescent="0.25">
      <c r="A4243">
        <v>2201</v>
      </c>
      <c r="B4243" t="s">
        <v>1737</v>
      </c>
      <c r="C4243" t="s">
        <v>2977</v>
      </c>
      <c r="D4243" t="str">
        <f t="shared" si="67"/>
        <v>IEPHA3304</v>
      </c>
      <c r="E4243" t="s">
        <v>44</v>
      </c>
    </row>
    <row r="4244" spans="1:5" x14ac:dyDescent="0.25">
      <c r="A4244">
        <v>2201</v>
      </c>
      <c r="B4244" t="s">
        <v>1737</v>
      </c>
      <c r="C4244" t="s">
        <v>309</v>
      </c>
      <c r="D4244" t="str">
        <f t="shared" si="67"/>
        <v>IEPHA3305</v>
      </c>
      <c r="E4244" t="s">
        <v>44</v>
      </c>
    </row>
    <row r="4245" spans="1:5" x14ac:dyDescent="0.25">
      <c r="A4245">
        <v>2201</v>
      </c>
      <c r="B4245" t="s">
        <v>1737</v>
      </c>
      <c r="C4245" t="s">
        <v>3201</v>
      </c>
      <c r="D4245" t="str">
        <f t="shared" si="67"/>
        <v>IEPHA3502</v>
      </c>
      <c r="E4245" t="s">
        <v>2968</v>
      </c>
    </row>
    <row r="4246" spans="1:5" x14ac:dyDescent="0.25">
      <c r="A4246">
        <v>2201</v>
      </c>
      <c r="B4246" t="s">
        <v>1737</v>
      </c>
      <c r="C4246" t="s">
        <v>355</v>
      </c>
      <c r="D4246" t="str">
        <f t="shared" si="67"/>
        <v>IEPHA3610</v>
      </c>
      <c r="E4246" t="s">
        <v>2968</v>
      </c>
    </row>
    <row r="4247" spans="1:5" x14ac:dyDescent="0.25">
      <c r="A4247">
        <v>2201</v>
      </c>
      <c r="B4247" t="s">
        <v>1737</v>
      </c>
      <c r="C4247" t="s">
        <v>2979</v>
      </c>
      <c r="D4247" t="str">
        <f t="shared" si="67"/>
        <v>IEPHA3612</v>
      </c>
      <c r="E4247" t="s">
        <v>2968</v>
      </c>
    </row>
    <row r="4248" spans="1:5" x14ac:dyDescent="0.25">
      <c r="A4248">
        <v>2201</v>
      </c>
      <c r="B4248" t="s">
        <v>1737</v>
      </c>
      <c r="C4248" t="s">
        <v>401</v>
      </c>
      <c r="D4248" t="str">
        <f t="shared" si="67"/>
        <v>IEPHA3617</v>
      </c>
      <c r="E4248" t="s">
        <v>2968</v>
      </c>
    </row>
    <row r="4249" spans="1:5" x14ac:dyDescent="0.25">
      <c r="A4249">
        <v>2201</v>
      </c>
      <c r="B4249" t="s">
        <v>1737</v>
      </c>
      <c r="C4249" t="s">
        <v>471</v>
      </c>
      <c r="D4249" t="str">
        <f t="shared" si="67"/>
        <v>IEPHA3699</v>
      </c>
      <c r="E4249" t="s">
        <v>2968</v>
      </c>
    </row>
    <row r="4250" spans="1:5" x14ac:dyDescent="0.25">
      <c r="A4250">
        <v>2201</v>
      </c>
      <c r="B4250" t="s">
        <v>1737</v>
      </c>
      <c r="C4250" t="s">
        <v>3050</v>
      </c>
      <c r="D4250" t="str">
        <f t="shared" si="67"/>
        <v>IEPHA3702</v>
      </c>
      <c r="E4250" t="s">
        <v>2981</v>
      </c>
    </row>
    <row r="4251" spans="1:5" x14ac:dyDescent="0.25">
      <c r="A4251">
        <v>2201</v>
      </c>
      <c r="B4251" t="s">
        <v>1737</v>
      </c>
      <c r="C4251" t="s">
        <v>2983</v>
      </c>
      <c r="D4251" t="str">
        <f t="shared" si="67"/>
        <v>IEPHA3703</v>
      </c>
      <c r="E4251" t="s">
        <v>117</v>
      </c>
    </row>
    <row r="4252" spans="1:5" x14ac:dyDescent="0.25">
      <c r="A4252">
        <v>2201</v>
      </c>
      <c r="B4252" t="s">
        <v>1737</v>
      </c>
      <c r="C4252" t="s">
        <v>2985</v>
      </c>
      <c r="D4252" t="str">
        <f t="shared" si="67"/>
        <v>IEPHA3704</v>
      </c>
      <c r="E4252" t="s">
        <v>117</v>
      </c>
    </row>
    <row r="4253" spans="1:5" x14ac:dyDescent="0.25">
      <c r="A4253">
        <v>2201</v>
      </c>
      <c r="B4253" t="s">
        <v>1737</v>
      </c>
      <c r="C4253" t="s">
        <v>2986</v>
      </c>
      <c r="D4253" t="str">
        <f t="shared" si="67"/>
        <v>IEPHA3705</v>
      </c>
      <c r="E4253" t="s">
        <v>117</v>
      </c>
    </row>
    <row r="4254" spans="1:5" x14ac:dyDescent="0.25">
      <c r="A4254">
        <v>2201</v>
      </c>
      <c r="B4254" t="s">
        <v>1737</v>
      </c>
      <c r="C4254" t="s">
        <v>2988</v>
      </c>
      <c r="D4254" t="str">
        <f t="shared" si="67"/>
        <v>IEPHA3903</v>
      </c>
      <c r="E4254" t="s">
        <v>87</v>
      </c>
    </row>
    <row r="4255" spans="1:5" x14ac:dyDescent="0.25">
      <c r="A4255">
        <v>2201</v>
      </c>
      <c r="B4255" t="s">
        <v>1737</v>
      </c>
      <c r="C4255" t="s">
        <v>299</v>
      </c>
      <c r="D4255" t="str">
        <f t="shared" si="67"/>
        <v>IEPHA3904</v>
      </c>
      <c r="E4255" t="s">
        <v>2968</v>
      </c>
    </row>
    <row r="4256" spans="1:5" x14ac:dyDescent="0.25">
      <c r="A4256">
        <v>2201</v>
      </c>
      <c r="B4256" t="s">
        <v>1737</v>
      </c>
      <c r="C4256" t="s">
        <v>326</v>
      </c>
      <c r="D4256" t="str">
        <f t="shared" si="67"/>
        <v>IEPHA3906</v>
      </c>
      <c r="E4256" t="s">
        <v>2968</v>
      </c>
    </row>
    <row r="4257" spans="1:5" x14ac:dyDescent="0.25">
      <c r="A4257">
        <v>2201</v>
      </c>
      <c r="B4257" t="s">
        <v>1737</v>
      </c>
      <c r="C4257" t="s">
        <v>2989</v>
      </c>
      <c r="D4257" t="str">
        <f t="shared" si="67"/>
        <v>IEPHA3908</v>
      </c>
      <c r="E4257" t="s">
        <v>2968</v>
      </c>
    </row>
    <row r="4258" spans="1:5" x14ac:dyDescent="0.25">
      <c r="A4258">
        <v>2201</v>
      </c>
      <c r="B4258" t="s">
        <v>1737</v>
      </c>
      <c r="C4258" t="s">
        <v>346</v>
      </c>
      <c r="D4258" t="str">
        <f t="shared" si="67"/>
        <v>IEPHA3910</v>
      </c>
      <c r="E4258" t="s">
        <v>2968</v>
      </c>
    </row>
    <row r="4259" spans="1:5" x14ac:dyDescent="0.25">
      <c r="A4259">
        <v>2201</v>
      </c>
      <c r="B4259" t="s">
        <v>1737</v>
      </c>
      <c r="C4259" t="s">
        <v>356</v>
      </c>
      <c r="D4259" t="str">
        <f t="shared" si="67"/>
        <v>IEPHA3911</v>
      </c>
      <c r="E4259" t="s">
        <v>2968</v>
      </c>
    </row>
    <row r="4260" spans="1:5" x14ac:dyDescent="0.25">
      <c r="A4260">
        <v>2201</v>
      </c>
      <c r="B4260" t="s">
        <v>1737</v>
      </c>
      <c r="C4260" t="s">
        <v>2991</v>
      </c>
      <c r="D4260" t="str">
        <f t="shared" si="67"/>
        <v>IEPHA3912</v>
      </c>
      <c r="E4260" t="s">
        <v>2992</v>
      </c>
    </row>
    <row r="4261" spans="1:5" x14ac:dyDescent="0.25">
      <c r="A4261">
        <v>2201</v>
      </c>
      <c r="B4261" t="s">
        <v>1737</v>
      </c>
      <c r="C4261" t="s">
        <v>2994</v>
      </c>
      <c r="D4261" t="str">
        <f t="shared" si="67"/>
        <v>IEPHA3913</v>
      </c>
      <c r="E4261" t="s">
        <v>2992</v>
      </c>
    </row>
    <row r="4262" spans="1:5" x14ac:dyDescent="0.25">
      <c r="A4262">
        <v>2201</v>
      </c>
      <c r="B4262" t="s">
        <v>1737</v>
      </c>
      <c r="C4262" t="s">
        <v>384</v>
      </c>
      <c r="D4262" t="str">
        <f t="shared" si="67"/>
        <v>IEPHA3915</v>
      </c>
      <c r="E4262" t="s">
        <v>2992</v>
      </c>
    </row>
    <row r="4263" spans="1:5" x14ac:dyDescent="0.25">
      <c r="A4263">
        <v>2201</v>
      </c>
      <c r="B4263" t="s">
        <v>1737</v>
      </c>
      <c r="C4263" t="s">
        <v>2996</v>
      </c>
      <c r="D4263" t="str">
        <f t="shared" si="67"/>
        <v>IEPHA3917</v>
      </c>
      <c r="E4263" t="s">
        <v>2958</v>
      </c>
    </row>
    <row r="4264" spans="1:5" x14ac:dyDescent="0.25">
      <c r="A4264">
        <v>2201</v>
      </c>
      <c r="B4264" t="s">
        <v>1737</v>
      </c>
      <c r="C4264" t="s">
        <v>2998</v>
      </c>
      <c r="D4264" t="str">
        <f t="shared" si="67"/>
        <v>IEPHA3918</v>
      </c>
      <c r="E4264" t="s">
        <v>2958</v>
      </c>
    </row>
    <row r="4265" spans="1:5" x14ac:dyDescent="0.25">
      <c r="A4265">
        <v>2201</v>
      </c>
      <c r="B4265" t="s">
        <v>1737</v>
      </c>
      <c r="C4265" t="s">
        <v>3000</v>
      </c>
      <c r="D4265" t="str">
        <f t="shared" si="67"/>
        <v>IEPHA3919</v>
      </c>
      <c r="E4265" t="s">
        <v>3001</v>
      </c>
    </row>
    <row r="4266" spans="1:5" x14ac:dyDescent="0.25">
      <c r="A4266">
        <v>2201</v>
      </c>
      <c r="B4266" t="s">
        <v>1737</v>
      </c>
      <c r="C4266" t="s">
        <v>3002</v>
      </c>
      <c r="D4266" t="str">
        <f t="shared" si="67"/>
        <v>IEPHA3921</v>
      </c>
      <c r="E4266" t="s">
        <v>3001</v>
      </c>
    </row>
    <row r="4267" spans="1:5" x14ac:dyDescent="0.25">
      <c r="A4267">
        <v>2201</v>
      </c>
      <c r="B4267" t="s">
        <v>1737</v>
      </c>
      <c r="C4267" t="s">
        <v>3003</v>
      </c>
      <c r="D4267" t="str">
        <f t="shared" si="67"/>
        <v>IEPHA3922</v>
      </c>
      <c r="E4267" t="s">
        <v>2954</v>
      </c>
    </row>
    <row r="4268" spans="1:5" x14ac:dyDescent="0.25">
      <c r="A4268">
        <v>2201</v>
      </c>
      <c r="B4268" t="s">
        <v>1737</v>
      </c>
      <c r="C4268" t="s">
        <v>428</v>
      </c>
      <c r="D4268" t="str">
        <f t="shared" si="67"/>
        <v>IEPHA3923</v>
      </c>
      <c r="E4268" t="s">
        <v>2968</v>
      </c>
    </row>
    <row r="4269" spans="1:5" x14ac:dyDescent="0.25">
      <c r="A4269">
        <v>2201</v>
      </c>
      <c r="B4269" t="s">
        <v>1737</v>
      </c>
      <c r="C4269" t="s">
        <v>566</v>
      </c>
      <c r="D4269" t="str">
        <f t="shared" si="67"/>
        <v>IEPHA3924</v>
      </c>
      <c r="E4269" t="s">
        <v>3004</v>
      </c>
    </row>
    <row r="4270" spans="1:5" x14ac:dyDescent="0.25">
      <c r="A4270">
        <v>2201</v>
      </c>
      <c r="B4270" t="s">
        <v>1737</v>
      </c>
      <c r="C4270" t="s">
        <v>443</v>
      </c>
      <c r="D4270" t="str">
        <f t="shared" si="67"/>
        <v>IEPHA3926</v>
      </c>
      <c r="E4270" t="s">
        <v>3006</v>
      </c>
    </row>
    <row r="4271" spans="1:5" x14ac:dyDescent="0.25">
      <c r="A4271">
        <v>2201</v>
      </c>
      <c r="B4271" t="s">
        <v>1737</v>
      </c>
      <c r="C4271" t="s">
        <v>3008</v>
      </c>
      <c r="D4271" t="str">
        <f t="shared" si="67"/>
        <v>IEPHA3927</v>
      </c>
      <c r="E4271" t="s">
        <v>3009</v>
      </c>
    </row>
    <row r="4272" spans="1:5" x14ac:dyDescent="0.25">
      <c r="A4272">
        <v>2201</v>
      </c>
      <c r="B4272" t="s">
        <v>1737</v>
      </c>
      <c r="C4272" t="s">
        <v>458</v>
      </c>
      <c r="D4272" t="str">
        <f t="shared" si="67"/>
        <v>IEPHA3930</v>
      </c>
      <c r="E4272" t="s">
        <v>3006</v>
      </c>
    </row>
    <row r="4273" spans="1:5" x14ac:dyDescent="0.25">
      <c r="A4273">
        <v>2201</v>
      </c>
      <c r="B4273" t="s">
        <v>1737</v>
      </c>
      <c r="C4273" t="s">
        <v>1481</v>
      </c>
      <c r="D4273" t="str">
        <f t="shared" si="67"/>
        <v>IEPHA3931</v>
      </c>
      <c r="E4273" t="s">
        <v>2968</v>
      </c>
    </row>
    <row r="4274" spans="1:5" x14ac:dyDescent="0.25">
      <c r="A4274">
        <v>2201</v>
      </c>
      <c r="B4274" t="s">
        <v>1737</v>
      </c>
      <c r="C4274" t="s">
        <v>466</v>
      </c>
      <c r="D4274" t="str">
        <f t="shared" si="67"/>
        <v>IEPHA3933</v>
      </c>
      <c r="E4274" t="s">
        <v>2968</v>
      </c>
    </row>
    <row r="4275" spans="1:5" x14ac:dyDescent="0.25">
      <c r="A4275">
        <v>2201</v>
      </c>
      <c r="B4275" t="s">
        <v>1737</v>
      </c>
      <c r="C4275" t="s">
        <v>3017</v>
      </c>
      <c r="D4275" t="str">
        <f t="shared" si="67"/>
        <v>IEPHA3936</v>
      </c>
      <c r="E4275" t="s">
        <v>94</v>
      </c>
    </row>
    <row r="4276" spans="1:5" x14ac:dyDescent="0.25">
      <c r="A4276">
        <v>2201</v>
      </c>
      <c r="B4276" t="s">
        <v>1737</v>
      </c>
      <c r="C4276" t="s">
        <v>3202</v>
      </c>
      <c r="D4276" t="str">
        <f t="shared" si="67"/>
        <v>IEPHA3938</v>
      </c>
      <c r="E4276" t="s">
        <v>2968</v>
      </c>
    </row>
    <row r="4277" spans="1:5" x14ac:dyDescent="0.25">
      <c r="A4277">
        <v>2201</v>
      </c>
      <c r="B4277" t="s">
        <v>1737</v>
      </c>
      <c r="C4277" t="s">
        <v>3089</v>
      </c>
      <c r="D4277" t="str">
        <f t="shared" si="67"/>
        <v>IEPHA3939</v>
      </c>
      <c r="E4277" t="s">
        <v>2968</v>
      </c>
    </row>
    <row r="4278" spans="1:5" x14ac:dyDescent="0.25">
      <c r="A4278">
        <v>2201</v>
      </c>
      <c r="B4278" t="s">
        <v>1737</v>
      </c>
      <c r="C4278" t="s">
        <v>3019</v>
      </c>
      <c r="D4278" t="str">
        <f t="shared" si="67"/>
        <v>IEPHA3940</v>
      </c>
      <c r="E4278" t="s">
        <v>3009</v>
      </c>
    </row>
    <row r="4279" spans="1:5" x14ac:dyDescent="0.25">
      <c r="A4279">
        <v>2201</v>
      </c>
      <c r="B4279" t="s">
        <v>1737</v>
      </c>
      <c r="C4279" t="s">
        <v>480</v>
      </c>
      <c r="D4279" t="str">
        <f t="shared" si="67"/>
        <v>IEPHA3941</v>
      </c>
      <c r="E4279" t="s">
        <v>2968</v>
      </c>
    </row>
    <row r="4280" spans="1:5" x14ac:dyDescent="0.25">
      <c r="A4280">
        <v>2201</v>
      </c>
      <c r="B4280" t="s">
        <v>1737</v>
      </c>
      <c r="C4280" t="s">
        <v>3020</v>
      </c>
      <c r="D4280" t="str">
        <f t="shared" si="67"/>
        <v>IEPHA3943</v>
      </c>
      <c r="E4280" t="s">
        <v>2958</v>
      </c>
    </row>
    <row r="4281" spans="1:5" x14ac:dyDescent="0.25">
      <c r="A4281">
        <v>2201</v>
      </c>
      <c r="B4281" t="s">
        <v>1737</v>
      </c>
      <c r="C4281" t="s">
        <v>488</v>
      </c>
      <c r="D4281" t="str">
        <f t="shared" si="67"/>
        <v>IEPHA3946</v>
      </c>
      <c r="E4281" t="s">
        <v>3235</v>
      </c>
    </row>
    <row r="4282" spans="1:5" x14ac:dyDescent="0.25">
      <c r="A4282">
        <v>2201</v>
      </c>
      <c r="B4282" t="s">
        <v>1737</v>
      </c>
      <c r="C4282" t="s">
        <v>492</v>
      </c>
      <c r="D4282" t="str">
        <f t="shared" si="67"/>
        <v>IEPHA3948</v>
      </c>
      <c r="E4282" t="s">
        <v>3004</v>
      </c>
    </row>
    <row r="4283" spans="1:5" x14ac:dyDescent="0.25">
      <c r="A4283">
        <v>2201</v>
      </c>
      <c r="B4283" t="s">
        <v>1737</v>
      </c>
      <c r="C4283" t="s">
        <v>3098</v>
      </c>
      <c r="D4283" t="str">
        <f t="shared" si="67"/>
        <v>IEPHA3952</v>
      </c>
      <c r="E4283" t="s">
        <v>65</v>
      </c>
    </row>
    <row r="4284" spans="1:5" x14ac:dyDescent="0.25">
      <c r="A4284">
        <v>2201</v>
      </c>
      <c r="B4284" t="s">
        <v>1737</v>
      </c>
      <c r="C4284" t="s">
        <v>498</v>
      </c>
      <c r="D4284" t="str">
        <f t="shared" si="67"/>
        <v>IEPHA3955</v>
      </c>
      <c r="E4284" t="s">
        <v>2968</v>
      </c>
    </row>
    <row r="4285" spans="1:5" x14ac:dyDescent="0.25">
      <c r="A4285">
        <v>2201</v>
      </c>
      <c r="B4285" t="s">
        <v>1737</v>
      </c>
      <c r="C4285" t="s">
        <v>3025</v>
      </c>
      <c r="D4285" t="str">
        <f t="shared" si="67"/>
        <v>IEPHA3959</v>
      </c>
      <c r="E4285" t="s">
        <v>2968</v>
      </c>
    </row>
    <row r="4286" spans="1:5" x14ac:dyDescent="0.25">
      <c r="A4286">
        <v>2201</v>
      </c>
      <c r="B4286" t="s">
        <v>1737</v>
      </c>
      <c r="C4286" t="s">
        <v>3027</v>
      </c>
      <c r="D4286" t="str">
        <f t="shared" si="67"/>
        <v>IEPHA3961</v>
      </c>
      <c r="E4286" t="s">
        <v>103</v>
      </c>
    </row>
    <row r="4287" spans="1:5" x14ac:dyDescent="0.25">
      <c r="A4287">
        <v>2201</v>
      </c>
      <c r="B4287" t="s">
        <v>1737</v>
      </c>
      <c r="C4287" t="s">
        <v>3103</v>
      </c>
      <c r="D4287" t="str">
        <f t="shared" si="67"/>
        <v>IEPHA3962</v>
      </c>
      <c r="E4287" t="s">
        <v>3033</v>
      </c>
    </row>
    <row r="4288" spans="1:5" x14ac:dyDescent="0.25">
      <c r="A4288">
        <v>2201</v>
      </c>
      <c r="B4288" t="s">
        <v>1737</v>
      </c>
      <c r="C4288" t="s">
        <v>3104</v>
      </c>
      <c r="D4288" t="str">
        <f t="shared" si="67"/>
        <v>IEPHA3964</v>
      </c>
      <c r="E4288" t="s">
        <v>3331</v>
      </c>
    </row>
    <row r="4289" spans="1:5" x14ac:dyDescent="0.25">
      <c r="A4289">
        <v>2201</v>
      </c>
      <c r="B4289" t="s">
        <v>1737</v>
      </c>
      <c r="C4289" t="s">
        <v>1154</v>
      </c>
      <c r="D4289" t="str">
        <f t="shared" si="67"/>
        <v>IEPHA3969</v>
      </c>
      <c r="E4289" t="s">
        <v>2992</v>
      </c>
    </row>
    <row r="4290" spans="1:5" x14ac:dyDescent="0.25">
      <c r="A4290">
        <v>2201</v>
      </c>
      <c r="B4290" t="s">
        <v>1737</v>
      </c>
      <c r="C4290" t="s">
        <v>3031</v>
      </c>
      <c r="D4290" t="str">
        <f t="shared" si="67"/>
        <v>IEPHA3970</v>
      </c>
      <c r="E4290" t="s">
        <v>3009</v>
      </c>
    </row>
    <row r="4291" spans="1:5" x14ac:dyDescent="0.25">
      <c r="A4291">
        <v>2201</v>
      </c>
      <c r="B4291" t="s">
        <v>1737</v>
      </c>
      <c r="C4291" t="s">
        <v>513</v>
      </c>
      <c r="D4291" t="str">
        <f t="shared" si="67"/>
        <v>IEPHA3971</v>
      </c>
      <c r="E4291" t="s">
        <v>3033</v>
      </c>
    </row>
    <row r="4292" spans="1:5" x14ac:dyDescent="0.25">
      <c r="A4292">
        <v>2201</v>
      </c>
      <c r="B4292" t="s">
        <v>1737</v>
      </c>
      <c r="C4292" t="s">
        <v>3216</v>
      </c>
      <c r="D4292" t="str">
        <f t="shared" si="67"/>
        <v>IEPHA3980</v>
      </c>
      <c r="E4292" t="s">
        <v>3081</v>
      </c>
    </row>
    <row r="4293" spans="1:5" x14ac:dyDescent="0.25">
      <c r="A4293">
        <v>2201</v>
      </c>
      <c r="B4293" t="s">
        <v>1737</v>
      </c>
      <c r="C4293" t="s">
        <v>521</v>
      </c>
      <c r="D4293" t="str">
        <f t="shared" ref="D4293:D4356" si="68">CONCATENATE(B4293,LEFT(C4293,4))</f>
        <v>IEPHA3981</v>
      </c>
      <c r="E4293" t="s">
        <v>3248</v>
      </c>
    </row>
    <row r="4294" spans="1:5" x14ac:dyDescent="0.25">
      <c r="A4294">
        <v>2201</v>
      </c>
      <c r="B4294" t="s">
        <v>1737</v>
      </c>
      <c r="C4294" t="s">
        <v>3036</v>
      </c>
      <c r="D4294" t="str">
        <f t="shared" si="68"/>
        <v>IEPHA3987</v>
      </c>
      <c r="E4294" t="s">
        <v>2958</v>
      </c>
    </row>
    <row r="4295" spans="1:5" x14ac:dyDescent="0.25">
      <c r="A4295">
        <v>2201</v>
      </c>
      <c r="B4295" t="s">
        <v>1737</v>
      </c>
      <c r="C4295" t="s">
        <v>3040</v>
      </c>
      <c r="D4295" t="str">
        <f t="shared" si="68"/>
        <v>IEPHA3999</v>
      </c>
      <c r="E4295" t="s">
        <v>2968</v>
      </c>
    </row>
    <row r="4296" spans="1:5" x14ac:dyDescent="0.25">
      <c r="A4296">
        <v>2201</v>
      </c>
      <c r="B4296" t="s">
        <v>1737</v>
      </c>
      <c r="C4296" t="s">
        <v>3041</v>
      </c>
      <c r="D4296" t="str">
        <f t="shared" si="68"/>
        <v>IEPHA4002</v>
      </c>
      <c r="E4296" t="s">
        <v>3009</v>
      </c>
    </row>
    <row r="4297" spans="1:5" x14ac:dyDescent="0.25">
      <c r="A4297">
        <v>2201</v>
      </c>
      <c r="B4297" t="s">
        <v>1737</v>
      </c>
      <c r="C4297" t="s">
        <v>3043</v>
      </c>
      <c r="D4297" t="str">
        <f t="shared" si="68"/>
        <v>IEPHA4003</v>
      </c>
      <c r="E4297" t="s">
        <v>94</v>
      </c>
    </row>
    <row r="4298" spans="1:5" x14ac:dyDescent="0.25">
      <c r="A4298">
        <v>2201</v>
      </c>
      <c r="B4298" t="s">
        <v>1737</v>
      </c>
      <c r="C4298" t="s">
        <v>3045</v>
      </c>
      <c r="D4298" t="str">
        <f t="shared" si="68"/>
        <v>IEPHA4004</v>
      </c>
      <c r="E4298" t="s">
        <v>3009</v>
      </c>
    </row>
    <row r="4299" spans="1:5" x14ac:dyDescent="0.25">
      <c r="A4299">
        <v>2201</v>
      </c>
      <c r="B4299" t="s">
        <v>1737</v>
      </c>
      <c r="C4299" t="s">
        <v>3047</v>
      </c>
      <c r="D4299" t="str">
        <f t="shared" si="68"/>
        <v>IEPHA4005</v>
      </c>
      <c r="E4299" t="s">
        <v>3009</v>
      </c>
    </row>
    <row r="4300" spans="1:5" x14ac:dyDescent="0.25">
      <c r="A4300">
        <v>2201</v>
      </c>
      <c r="B4300" t="s">
        <v>1737</v>
      </c>
      <c r="C4300" t="s">
        <v>3048</v>
      </c>
      <c r="D4300" t="str">
        <f t="shared" si="68"/>
        <v>IEPHA4701</v>
      </c>
      <c r="E4300" t="s">
        <v>3049</v>
      </c>
    </row>
    <row r="4301" spans="1:5" x14ac:dyDescent="0.25">
      <c r="A4301">
        <v>2201</v>
      </c>
      <c r="B4301" t="s">
        <v>1737</v>
      </c>
      <c r="C4301" t="s">
        <v>265</v>
      </c>
      <c r="D4301" t="str">
        <f t="shared" si="68"/>
        <v>IEPHA4703</v>
      </c>
      <c r="E4301" t="s">
        <v>3049</v>
      </c>
    </row>
    <row r="4302" spans="1:5" x14ac:dyDescent="0.25">
      <c r="A4302">
        <v>2201</v>
      </c>
      <c r="B4302" t="s">
        <v>1737</v>
      </c>
      <c r="C4302" t="s">
        <v>316</v>
      </c>
      <c r="D4302" t="str">
        <f t="shared" si="68"/>
        <v>IEPHA4706</v>
      </c>
      <c r="E4302" t="s">
        <v>3049</v>
      </c>
    </row>
    <row r="4303" spans="1:5" x14ac:dyDescent="0.25">
      <c r="A4303">
        <v>2201</v>
      </c>
      <c r="B4303" t="s">
        <v>1737</v>
      </c>
      <c r="C4303" t="s">
        <v>364</v>
      </c>
      <c r="D4303" t="str">
        <f t="shared" si="68"/>
        <v>IEPHA4799</v>
      </c>
      <c r="E4303" t="s">
        <v>3049</v>
      </c>
    </row>
    <row r="4304" spans="1:5" x14ac:dyDescent="0.25">
      <c r="A4304">
        <v>2201</v>
      </c>
      <c r="B4304" t="s">
        <v>1737</v>
      </c>
      <c r="C4304" t="s">
        <v>3240</v>
      </c>
      <c r="D4304" t="str">
        <f t="shared" si="68"/>
        <v>IEPHA4904</v>
      </c>
      <c r="E4304" t="s">
        <v>2926</v>
      </c>
    </row>
    <row r="4305" spans="1:5" x14ac:dyDescent="0.25">
      <c r="A4305">
        <v>2201</v>
      </c>
      <c r="B4305" t="s">
        <v>1737</v>
      </c>
      <c r="C4305" t="s">
        <v>3053</v>
      </c>
      <c r="D4305" t="str">
        <f t="shared" si="68"/>
        <v>IEPHA5103</v>
      </c>
      <c r="E4305" t="s">
        <v>3052</v>
      </c>
    </row>
    <row r="4306" spans="1:5" x14ac:dyDescent="0.25">
      <c r="A4306">
        <v>2201</v>
      </c>
      <c r="B4306" t="s">
        <v>1737</v>
      </c>
      <c r="C4306" t="s">
        <v>317</v>
      </c>
      <c r="D4306" t="str">
        <f t="shared" si="68"/>
        <v>IEPHA5106</v>
      </c>
      <c r="E4306" t="s">
        <v>3052</v>
      </c>
    </row>
    <row r="4307" spans="1:5" x14ac:dyDescent="0.25">
      <c r="A4307">
        <v>2201</v>
      </c>
      <c r="B4307" t="s">
        <v>1737</v>
      </c>
      <c r="C4307" t="s">
        <v>173</v>
      </c>
      <c r="D4307" t="str">
        <f t="shared" si="68"/>
        <v>IEPHA5107</v>
      </c>
      <c r="E4307" t="s">
        <v>3052</v>
      </c>
    </row>
    <row r="4308" spans="1:5" x14ac:dyDescent="0.25">
      <c r="A4308">
        <v>2201</v>
      </c>
      <c r="B4308" t="s">
        <v>1737</v>
      </c>
      <c r="C4308" t="s">
        <v>3054</v>
      </c>
      <c r="D4308" t="str">
        <f t="shared" si="68"/>
        <v>IEPHA5204</v>
      </c>
      <c r="E4308" t="s">
        <v>3055</v>
      </c>
    </row>
    <row r="4309" spans="1:5" x14ac:dyDescent="0.25">
      <c r="A4309">
        <v>2201</v>
      </c>
      <c r="B4309" t="s">
        <v>1737</v>
      </c>
      <c r="C4309" t="s">
        <v>329</v>
      </c>
      <c r="D4309" t="str">
        <f t="shared" si="68"/>
        <v>IEPHA5206</v>
      </c>
      <c r="E4309" t="s">
        <v>3057</v>
      </c>
    </row>
    <row r="4310" spans="1:5" x14ac:dyDescent="0.25">
      <c r="A4310">
        <v>2201</v>
      </c>
      <c r="B4310" t="s">
        <v>1737</v>
      </c>
      <c r="C4310" t="s">
        <v>3058</v>
      </c>
      <c r="D4310" t="str">
        <f t="shared" si="68"/>
        <v>IEPHA5207</v>
      </c>
      <c r="E4310" t="s">
        <v>3057</v>
      </c>
    </row>
    <row r="4311" spans="1:5" x14ac:dyDescent="0.25">
      <c r="A4311">
        <v>2201</v>
      </c>
      <c r="B4311" t="s">
        <v>1737</v>
      </c>
      <c r="C4311" t="s">
        <v>3060</v>
      </c>
      <c r="D4311" t="str">
        <f t="shared" si="68"/>
        <v>IEPHA5208</v>
      </c>
      <c r="E4311" t="s">
        <v>3057</v>
      </c>
    </row>
    <row r="4312" spans="1:5" x14ac:dyDescent="0.25">
      <c r="A4312">
        <v>2201</v>
      </c>
      <c r="B4312" t="s">
        <v>1737</v>
      </c>
      <c r="C4312" t="s">
        <v>3063</v>
      </c>
      <c r="D4312" t="str">
        <f t="shared" si="68"/>
        <v>IEPHA5210</v>
      </c>
      <c r="E4312" t="s">
        <v>3055</v>
      </c>
    </row>
    <row r="4313" spans="1:5" x14ac:dyDescent="0.25">
      <c r="A4313">
        <v>2201</v>
      </c>
      <c r="B4313" t="s">
        <v>1737</v>
      </c>
      <c r="C4313" t="s">
        <v>3064</v>
      </c>
      <c r="D4313" t="str">
        <f t="shared" si="68"/>
        <v>IEPHA5212</v>
      </c>
      <c r="E4313" t="s">
        <v>3055</v>
      </c>
    </row>
    <row r="4314" spans="1:5" x14ac:dyDescent="0.25">
      <c r="A4314">
        <v>2201</v>
      </c>
      <c r="B4314" t="s">
        <v>1737</v>
      </c>
      <c r="C4314" t="s">
        <v>391</v>
      </c>
      <c r="D4314" t="str">
        <f t="shared" si="68"/>
        <v>IEPHA5214</v>
      </c>
      <c r="E4314" t="s">
        <v>3055</v>
      </c>
    </row>
    <row r="4315" spans="1:5" x14ac:dyDescent="0.25">
      <c r="A4315">
        <v>2201</v>
      </c>
      <c r="B4315" t="s">
        <v>1737</v>
      </c>
      <c r="C4315" t="s">
        <v>3241</v>
      </c>
      <c r="D4315" t="str">
        <f t="shared" si="68"/>
        <v>IEPHA5218</v>
      </c>
      <c r="E4315" t="s">
        <v>3055</v>
      </c>
    </row>
    <row r="4316" spans="1:5" x14ac:dyDescent="0.25">
      <c r="A4316">
        <v>2201</v>
      </c>
      <c r="B4316" t="s">
        <v>1737</v>
      </c>
      <c r="C4316" t="s">
        <v>459</v>
      </c>
      <c r="D4316" t="str">
        <f t="shared" si="68"/>
        <v>IEPHA5299</v>
      </c>
      <c r="E4316" t="s">
        <v>3055</v>
      </c>
    </row>
    <row r="4317" spans="1:5" x14ac:dyDescent="0.25">
      <c r="A4317">
        <v>2201</v>
      </c>
      <c r="B4317" t="s">
        <v>1737</v>
      </c>
      <c r="C4317" t="s">
        <v>3074</v>
      </c>
      <c r="D4317" t="str">
        <f t="shared" si="68"/>
        <v>IEPHA9202</v>
      </c>
      <c r="E4317" t="s">
        <v>3075</v>
      </c>
    </row>
    <row r="4318" spans="1:5" x14ac:dyDescent="0.25">
      <c r="A4318">
        <v>2201</v>
      </c>
      <c r="B4318" t="s">
        <v>1737</v>
      </c>
      <c r="C4318" t="s">
        <v>331</v>
      </c>
      <c r="D4318" t="str">
        <f t="shared" si="68"/>
        <v>IEPHA9306</v>
      </c>
      <c r="E4318" t="s">
        <v>3076</v>
      </c>
    </row>
    <row r="4319" spans="1:5" x14ac:dyDescent="0.25">
      <c r="A4319">
        <v>2201</v>
      </c>
      <c r="B4319" t="s">
        <v>1737</v>
      </c>
      <c r="C4319" t="s">
        <v>367</v>
      </c>
      <c r="D4319" t="str">
        <f t="shared" si="68"/>
        <v>IEPHA9310</v>
      </c>
      <c r="E4319" t="s">
        <v>2968</v>
      </c>
    </row>
    <row r="4320" spans="1:5" x14ac:dyDescent="0.25">
      <c r="A4320">
        <v>2201</v>
      </c>
      <c r="B4320" t="s">
        <v>1737</v>
      </c>
      <c r="C4320" t="s">
        <v>3079</v>
      </c>
      <c r="D4320" t="str">
        <f t="shared" si="68"/>
        <v>IEPHA9399</v>
      </c>
      <c r="E4320" t="s">
        <v>2968</v>
      </c>
    </row>
    <row r="4321" spans="1:5" x14ac:dyDescent="0.25">
      <c r="A4321">
        <v>2201</v>
      </c>
      <c r="B4321" t="s">
        <v>1737</v>
      </c>
      <c r="C4321" t="s">
        <v>294</v>
      </c>
      <c r="D4321" t="str">
        <f t="shared" si="68"/>
        <v>IEPHA3104</v>
      </c>
      <c r="E4321" t="s">
        <v>3326</v>
      </c>
    </row>
    <row r="4322" spans="1:5" x14ac:dyDescent="0.25">
      <c r="A4322">
        <v>2201</v>
      </c>
      <c r="B4322" t="s">
        <v>1737</v>
      </c>
      <c r="C4322" t="s">
        <v>3123</v>
      </c>
      <c r="D4322" t="str">
        <f t="shared" si="68"/>
        <v>IEPHA4101</v>
      </c>
      <c r="E4322" t="s">
        <v>3218</v>
      </c>
    </row>
    <row r="4323" spans="1:5" x14ac:dyDescent="0.25">
      <c r="A4323">
        <v>2201</v>
      </c>
      <c r="B4323" t="s">
        <v>1737</v>
      </c>
      <c r="C4323" t="s">
        <v>457</v>
      </c>
      <c r="D4323" t="str">
        <f t="shared" si="68"/>
        <v>IEPHA3628</v>
      </c>
      <c r="E4323" t="s">
        <v>2968</v>
      </c>
    </row>
    <row r="4324" spans="1:5" x14ac:dyDescent="0.25">
      <c r="A4324">
        <v>2201</v>
      </c>
      <c r="B4324" t="s">
        <v>1737</v>
      </c>
      <c r="C4324" t="s">
        <v>297</v>
      </c>
      <c r="D4324" t="str">
        <f t="shared" si="68"/>
        <v>IEPHA3604</v>
      </c>
      <c r="E4324" t="s">
        <v>44</v>
      </c>
    </row>
    <row r="4325" spans="1:5" x14ac:dyDescent="0.25">
      <c r="A4325">
        <v>2211</v>
      </c>
      <c r="B4325" t="s">
        <v>1760</v>
      </c>
      <c r="C4325" t="s">
        <v>3229</v>
      </c>
      <c r="D4325" t="str">
        <f t="shared" si="68"/>
        <v>TVMINAS1307</v>
      </c>
      <c r="E4325" t="s">
        <v>3081</v>
      </c>
    </row>
    <row r="4326" spans="1:5" x14ac:dyDescent="0.25">
      <c r="A4326">
        <v>2211</v>
      </c>
      <c r="B4326" t="s">
        <v>1760</v>
      </c>
      <c r="C4326" t="s">
        <v>332</v>
      </c>
      <c r="D4326" t="str">
        <f t="shared" si="68"/>
        <v>TVMINAS1314</v>
      </c>
      <c r="E4326" t="s">
        <v>3081</v>
      </c>
    </row>
    <row r="4327" spans="1:5" x14ac:dyDescent="0.25">
      <c r="A4327">
        <v>2211</v>
      </c>
      <c r="B4327" t="s">
        <v>1760</v>
      </c>
      <c r="C4327" t="s">
        <v>399</v>
      </c>
      <c r="D4327" t="str">
        <f t="shared" si="68"/>
        <v>TVMINAS1325</v>
      </c>
      <c r="E4327" t="s">
        <v>3081</v>
      </c>
    </row>
    <row r="4328" spans="1:5" x14ac:dyDescent="0.25">
      <c r="A4328">
        <v>2211</v>
      </c>
      <c r="B4328" t="s">
        <v>1760</v>
      </c>
      <c r="C4328" t="s">
        <v>2928</v>
      </c>
      <c r="D4328" t="str">
        <f t="shared" si="68"/>
        <v>TVMINAS1401</v>
      </c>
      <c r="E4328" t="s">
        <v>44</v>
      </c>
    </row>
    <row r="4329" spans="1:5" x14ac:dyDescent="0.25">
      <c r="A4329">
        <v>2211</v>
      </c>
      <c r="B4329" t="s">
        <v>1760</v>
      </c>
      <c r="C4329" t="s">
        <v>2930</v>
      </c>
      <c r="D4329" t="str">
        <f t="shared" si="68"/>
        <v>TVMINAS1501</v>
      </c>
      <c r="E4329" t="s">
        <v>44</v>
      </c>
    </row>
    <row r="4330" spans="1:5" x14ac:dyDescent="0.25">
      <c r="A4330">
        <v>2211</v>
      </c>
      <c r="B4330" t="s">
        <v>1760</v>
      </c>
      <c r="C4330" t="s">
        <v>2932</v>
      </c>
      <c r="D4330" t="str">
        <f t="shared" si="68"/>
        <v>TVMINAS3001</v>
      </c>
      <c r="E4330" t="s">
        <v>2933</v>
      </c>
    </row>
    <row r="4331" spans="1:5" x14ac:dyDescent="0.25">
      <c r="A4331">
        <v>2211</v>
      </c>
      <c r="B4331" t="s">
        <v>1760</v>
      </c>
      <c r="C4331" t="s">
        <v>979</v>
      </c>
      <c r="D4331" t="str">
        <f t="shared" si="68"/>
        <v>TVMINAS3003</v>
      </c>
      <c r="E4331" t="s">
        <v>2933</v>
      </c>
    </row>
    <row r="4332" spans="1:5" x14ac:dyDescent="0.25">
      <c r="A4332">
        <v>2211</v>
      </c>
      <c r="B4332" t="s">
        <v>1760</v>
      </c>
      <c r="C4332" t="s">
        <v>2939</v>
      </c>
      <c r="D4332" t="str">
        <f t="shared" si="68"/>
        <v>TVMINAS3005</v>
      </c>
      <c r="E4332" t="s">
        <v>2933</v>
      </c>
    </row>
    <row r="4333" spans="1:5" x14ac:dyDescent="0.25">
      <c r="A4333">
        <v>2211</v>
      </c>
      <c r="B4333" t="s">
        <v>1760</v>
      </c>
      <c r="C4333" t="s">
        <v>2941</v>
      </c>
      <c r="D4333" t="str">
        <f t="shared" si="68"/>
        <v>TVMINAS3008</v>
      </c>
      <c r="E4333" t="s">
        <v>2933</v>
      </c>
    </row>
    <row r="4334" spans="1:5" x14ac:dyDescent="0.25">
      <c r="A4334">
        <v>2211</v>
      </c>
      <c r="B4334" t="s">
        <v>1760</v>
      </c>
      <c r="C4334" t="s">
        <v>2943</v>
      </c>
      <c r="D4334" t="str">
        <f t="shared" si="68"/>
        <v>TVMINAS3010</v>
      </c>
      <c r="E4334" t="s">
        <v>2944</v>
      </c>
    </row>
    <row r="4335" spans="1:5" x14ac:dyDescent="0.25">
      <c r="A4335">
        <v>2211</v>
      </c>
      <c r="B4335" t="s">
        <v>1760</v>
      </c>
      <c r="C4335" t="s">
        <v>2948</v>
      </c>
      <c r="D4335" t="str">
        <f t="shared" si="68"/>
        <v>TVMINAS3015</v>
      </c>
      <c r="E4335" t="s">
        <v>2933</v>
      </c>
    </row>
    <row r="4336" spans="1:5" x14ac:dyDescent="0.25">
      <c r="A4336">
        <v>2211</v>
      </c>
      <c r="B4336" t="s">
        <v>1760</v>
      </c>
      <c r="C4336" t="s">
        <v>2950</v>
      </c>
      <c r="D4336" t="str">
        <f t="shared" si="68"/>
        <v>TVMINAS3016</v>
      </c>
      <c r="E4336" t="s">
        <v>2933</v>
      </c>
    </row>
    <row r="4337" spans="1:5" x14ac:dyDescent="0.25">
      <c r="A4337">
        <v>2211</v>
      </c>
      <c r="B4337" t="s">
        <v>1760</v>
      </c>
      <c r="C4337" t="s">
        <v>406</v>
      </c>
      <c r="D4337" t="str">
        <f t="shared" si="68"/>
        <v>TVMINAS3017</v>
      </c>
      <c r="E4337" t="s">
        <v>2933</v>
      </c>
    </row>
    <row r="4338" spans="1:5" x14ac:dyDescent="0.25">
      <c r="A4338">
        <v>2211</v>
      </c>
      <c r="B4338" t="s">
        <v>1760</v>
      </c>
      <c r="C4338" t="s">
        <v>2953</v>
      </c>
      <c r="D4338" t="str">
        <f t="shared" si="68"/>
        <v>TVMINAS3019</v>
      </c>
      <c r="E4338" t="s">
        <v>2954</v>
      </c>
    </row>
    <row r="4339" spans="1:5" x14ac:dyDescent="0.25">
      <c r="A4339">
        <v>2211</v>
      </c>
      <c r="B4339" t="s">
        <v>1760</v>
      </c>
      <c r="C4339" t="s">
        <v>2955</v>
      </c>
      <c r="D4339" t="str">
        <f t="shared" si="68"/>
        <v>TVMINAS3020</v>
      </c>
      <c r="E4339" t="s">
        <v>2933</v>
      </c>
    </row>
    <row r="4340" spans="1:5" x14ac:dyDescent="0.25">
      <c r="A4340">
        <v>2211</v>
      </c>
      <c r="B4340" t="s">
        <v>1760</v>
      </c>
      <c r="C4340" t="s">
        <v>2956</v>
      </c>
      <c r="D4340" t="str">
        <f t="shared" si="68"/>
        <v>TVMINAS3021</v>
      </c>
      <c r="E4340" t="s">
        <v>2933</v>
      </c>
    </row>
    <row r="4341" spans="1:5" x14ac:dyDescent="0.25">
      <c r="A4341">
        <v>2211</v>
      </c>
      <c r="B4341" t="s">
        <v>1760</v>
      </c>
      <c r="C4341" t="s">
        <v>431</v>
      </c>
      <c r="D4341" t="str">
        <f t="shared" si="68"/>
        <v>TVMINAS3022</v>
      </c>
      <c r="E4341" t="s">
        <v>2933</v>
      </c>
    </row>
    <row r="4342" spans="1:5" x14ac:dyDescent="0.25">
      <c r="A4342">
        <v>2211</v>
      </c>
      <c r="B4342" t="s">
        <v>1760</v>
      </c>
      <c r="C4342" t="s">
        <v>2957</v>
      </c>
      <c r="D4342" t="str">
        <f t="shared" si="68"/>
        <v>TVMINAS3023</v>
      </c>
      <c r="E4342" t="s">
        <v>2958</v>
      </c>
    </row>
    <row r="4343" spans="1:5" x14ac:dyDescent="0.25">
      <c r="A4343">
        <v>2211</v>
      </c>
      <c r="B4343" t="s">
        <v>1760</v>
      </c>
      <c r="C4343" t="s">
        <v>441</v>
      </c>
      <c r="D4343" t="str">
        <f t="shared" si="68"/>
        <v>TVMINAS3024</v>
      </c>
      <c r="E4343" t="s">
        <v>2933</v>
      </c>
    </row>
    <row r="4344" spans="1:5" x14ac:dyDescent="0.25">
      <c r="A4344">
        <v>2211</v>
      </c>
      <c r="B4344" t="s">
        <v>1760</v>
      </c>
      <c r="C4344" t="s">
        <v>2959</v>
      </c>
      <c r="D4344" t="str">
        <f t="shared" si="68"/>
        <v>TVMINAS3025</v>
      </c>
      <c r="E4344" t="s">
        <v>2933</v>
      </c>
    </row>
    <row r="4345" spans="1:5" x14ac:dyDescent="0.25">
      <c r="A4345">
        <v>2211</v>
      </c>
      <c r="B4345" t="s">
        <v>1760</v>
      </c>
      <c r="C4345" t="s">
        <v>2960</v>
      </c>
      <c r="D4345" t="str">
        <f t="shared" si="68"/>
        <v>TVMINAS3026</v>
      </c>
      <c r="E4345" t="s">
        <v>2958</v>
      </c>
    </row>
    <row r="4346" spans="1:5" x14ac:dyDescent="0.25">
      <c r="A4346">
        <v>2211</v>
      </c>
      <c r="B4346" t="s">
        <v>1760</v>
      </c>
      <c r="C4346" t="s">
        <v>2961</v>
      </c>
      <c r="D4346" t="str">
        <f t="shared" si="68"/>
        <v>TVMINAS3027</v>
      </c>
      <c r="E4346" t="s">
        <v>2933</v>
      </c>
    </row>
    <row r="4347" spans="1:5" x14ac:dyDescent="0.25">
      <c r="A4347">
        <v>2211</v>
      </c>
      <c r="B4347" t="s">
        <v>1760</v>
      </c>
      <c r="C4347" t="s">
        <v>2975</v>
      </c>
      <c r="D4347" t="str">
        <f t="shared" si="68"/>
        <v>TVMINAS3302</v>
      </c>
      <c r="E4347" t="s">
        <v>44</v>
      </c>
    </row>
    <row r="4348" spans="1:5" x14ac:dyDescent="0.25">
      <c r="A4348">
        <v>2211</v>
      </c>
      <c r="B4348" t="s">
        <v>1760</v>
      </c>
      <c r="C4348" t="s">
        <v>2977</v>
      </c>
      <c r="D4348" t="str">
        <f t="shared" si="68"/>
        <v>TVMINAS3304</v>
      </c>
      <c r="E4348" t="s">
        <v>44</v>
      </c>
    </row>
    <row r="4349" spans="1:5" x14ac:dyDescent="0.25">
      <c r="A4349">
        <v>2211</v>
      </c>
      <c r="B4349" t="s">
        <v>1760</v>
      </c>
      <c r="C4349" t="s">
        <v>228</v>
      </c>
      <c r="D4349" t="str">
        <f t="shared" si="68"/>
        <v>TVMINAS3401</v>
      </c>
      <c r="E4349" t="s">
        <v>3231</v>
      </c>
    </row>
    <row r="4350" spans="1:5" x14ac:dyDescent="0.25">
      <c r="A4350">
        <v>2211</v>
      </c>
      <c r="B4350" t="s">
        <v>1760</v>
      </c>
      <c r="C4350" t="s">
        <v>280</v>
      </c>
      <c r="D4350" t="str">
        <f t="shared" si="68"/>
        <v>TVMINAS3403</v>
      </c>
      <c r="E4350" t="s">
        <v>3081</v>
      </c>
    </row>
    <row r="4351" spans="1:5" x14ac:dyDescent="0.25">
      <c r="A4351">
        <v>2211</v>
      </c>
      <c r="B4351" t="s">
        <v>1760</v>
      </c>
      <c r="C4351" t="s">
        <v>296</v>
      </c>
      <c r="D4351" t="str">
        <f t="shared" si="68"/>
        <v>TVMINAS3404</v>
      </c>
      <c r="E4351" t="s">
        <v>3081</v>
      </c>
    </row>
    <row r="4352" spans="1:5" x14ac:dyDescent="0.25">
      <c r="A4352">
        <v>2211</v>
      </c>
      <c r="B4352" t="s">
        <v>1760</v>
      </c>
      <c r="C4352" t="s">
        <v>297</v>
      </c>
      <c r="D4352" t="str">
        <f t="shared" si="68"/>
        <v>TVMINAS3604</v>
      </c>
      <c r="E4352" t="s">
        <v>44</v>
      </c>
    </row>
    <row r="4353" spans="1:5" x14ac:dyDescent="0.25">
      <c r="A4353">
        <v>2211</v>
      </c>
      <c r="B4353" t="s">
        <v>1760</v>
      </c>
      <c r="C4353" t="s">
        <v>355</v>
      </c>
      <c r="D4353" t="str">
        <f t="shared" si="68"/>
        <v>TVMINAS3610</v>
      </c>
      <c r="E4353" t="s">
        <v>2968</v>
      </c>
    </row>
    <row r="4354" spans="1:5" x14ac:dyDescent="0.25">
      <c r="A4354">
        <v>2211</v>
      </c>
      <c r="B4354" t="s">
        <v>1760</v>
      </c>
      <c r="C4354" t="s">
        <v>2979</v>
      </c>
      <c r="D4354" t="str">
        <f t="shared" si="68"/>
        <v>TVMINAS3612</v>
      </c>
      <c r="E4354" t="s">
        <v>2968</v>
      </c>
    </row>
    <row r="4355" spans="1:5" x14ac:dyDescent="0.25">
      <c r="A4355">
        <v>2211</v>
      </c>
      <c r="B4355" t="s">
        <v>1760</v>
      </c>
      <c r="C4355" t="s">
        <v>3050</v>
      </c>
      <c r="D4355" t="str">
        <f t="shared" si="68"/>
        <v>TVMINAS3702</v>
      </c>
      <c r="E4355" t="s">
        <v>2981</v>
      </c>
    </row>
    <row r="4356" spans="1:5" x14ac:dyDescent="0.25">
      <c r="A4356">
        <v>2211</v>
      </c>
      <c r="B4356" t="s">
        <v>1760</v>
      </c>
      <c r="C4356" t="s">
        <v>2983</v>
      </c>
      <c r="D4356" t="str">
        <f t="shared" si="68"/>
        <v>TVMINAS3703</v>
      </c>
      <c r="E4356" t="s">
        <v>117</v>
      </c>
    </row>
    <row r="4357" spans="1:5" x14ac:dyDescent="0.25">
      <c r="A4357">
        <v>2211</v>
      </c>
      <c r="B4357" t="s">
        <v>1760</v>
      </c>
      <c r="C4357" t="s">
        <v>2985</v>
      </c>
      <c r="D4357" t="str">
        <f t="shared" ref="D4357:D4420" si="69">CONCATENATE(B4357,LEFT(C4357,4))</f>
        <v>TVMINAS3704</v>
      </c>
      <c r="E4357" t="s">
        <v>117</v>
      </c>
    </row>
    <row r="4358" spans="1:5" x14ac:dyDescent="0.25">
      <c r="A4358">
        <v>2211</v>
      </c>
      <c r="B4358" t="s">
        <v>1760</v>
      </c>
      <c r="C4358" t="s">
        <v>2986</v>
      </c>
      <c r="D4358" t="str">
        <f t="shared" si="69"/>
        <v>TVMINAS3705</v>
      </c>
      <c r="E4358" t="s">
        <v>117</v>
      </c>
    </row>
    <row r="4359" spans="1:5" x14ac:dyDescent="0.25">
      <c r="A4359">
        <v>2211</v>
      </c>
      <c r="B4359" t="s">
        <v>1760</v>
      </c>
      <c r="C4359" t="s">
        <v>233</v>
      </c>
      <c r="D4359" t="str">
        <f t="shared" si="69"/>
        <v>TVMINAS3901</v>
      </c>
      <c r="E4359" t="s">
        <v>2926</v>
      </c>
    </row>
    <row r="4360" spans="1:5" x14ac:dyDescent="0.25">
      <c r="A4360">
        <v>2211</v>
      </c>
      <c r="B4360" t="s">
        <v>1760</v>
      </c>
      <c r="C4360" t="s">
        <v>2988</v>
      </c>
      <c r="D4360" t="str">
        <f t="shared" si="69"/>
        <v>TVMINAS3903</v>
      </c>
      <c r="E4360" t="s">
        <v>2968</v>
      </c>
    </row>
    <row r="4361" spans="1:5" x14ac:dyDescent="0.25">
      <c r="A4361">
        <v>2211</v>
      </c>
      <c r="B4361" t="s">
        <v>1760</v>
      </c>
      <c r="C4361" t="s">
        <v>299</v>
      </c>
      <c r="D4361" t="str">
        <f t="shared" si="69"/>
        <v>TVMINAS3904</v>
      </c>
      <c r="E4361" t="s">
        <v>2968</v>
      </c>
    </row>
    <row r="4362" spans="1:5" x14ac:dyDescent="0.25">
      <c r="A4362">
        <v>2211</v>
      </c>
      <c r="B4362" t="s">
        <v>1760</v>
      </c>
      <c r="C4362" t="s">
        <v>326</v>
      </c>
      <c r="D4362" t="str">
        <f t="shared" si="69"/>
        <v>TVMINAS3906</v>
      </c>
      <c r="E4362" t="s">
        <v>2968</v>
      </c>
    </row>
    <row r="4363" spans="1:5" x14ac:dyDescent="0.25">
      <c r="A4363">
        <v>2211</v>
      </c>
      <c r="B4363" t="s">
        <v>1760</v>
      </c>
      <c r="C4363" t="s">
        <v>2989</v>
      </c>
      <c r="D4363" t="str">
        <f t="shared" si="69"/>
        <v>TVMINAS3908</v>
      </c>
      <c r="E4363" t="s">
        <v>2968</v>
      </c>
    </row>
    <row r="4364" spans="1:5" x14ac:dyDescent="0.25">
      <c r="A4364">
        <v>2211</v>
      </c>
      <c r="B4364" t="s">
        <v>1760</v>
      </c>
      <c r="C4364" t="s">
        <v>346</v>
      </c>
      <c r="D4364" t="str">
        <f t="shared" si="69"/>
        <v>TVMINAS3910</v>
      </c>
      <c r="E4364" t="s">
        <v>2968</v>
      </c>
    </row>
    <row r="4365" spans="1:5" x14ac:dyDescent="0.25">
      <c r="A4365">
        <v>2211</v>
      </c>
      <c r="B4365" t="s">
        <v>1760</v>
      </c>
      <c r="C4365" t="s">
        <v>356</v>
      </c>
      <c r="D4365" t="str">
        <f t="shared" si="69"/>
        <v>TVMINAS3911</v>
      </c>
      <c r="E4365" t="s">
        <v>2968</v>
      </c>
    </row>
    <row r="4366" spans="1:5" x14ac:dyDescent="0.25">
      <c r="A4366">
        <v>2211</v>
      </c>
      <c r="B4366" t="s">
        <v>1760</v>
      </c>
      <c r="C4366" t="s">
        <v>2991</v>
      </c>
      <c r="D4366" t="str">
        <f t="shared" si="69"/>
        <v>TVMINAS3912</v>
      </c>
      <c r="E4366" t="s">
        <v>2992</v>
      </c>
    </row>
    <row r="4367" spans="1:5" x14ac:dyDescent="0.25">
      <c r="A4367">
        <v>2211</v>
      </c>
      <c r="B4367" t="s">
        <v>1760</v>
      </c>
      <c r="C4367" t="s">
        <v>2994</v>
      </c>
      <c r="D4367" t="str">
        <f t="shared" si="69"/>
        <v>TVMINAS3913</v>
      </c>
      <c r="E4367" t="s">
        <v>2992</v>
      </c>
    </row>
    <row r="4368" spans="1:5" x14ac:dyDescent="0.25">
      <c r="A4368">
        <v>2211</v>
      </c>
      <c r="B4368" t="s">
        <v>1760</v>
      </c>
      <c r="C4368" t="s">
        <v>384</v>
      </c>
      <c r="D4368" t="str">
        <f t="shared" si="69"/>
        <v>TVMINAS3915</v>
      </c>
      <c r="E4368" t="s">
        <v>2992</v>
      </c>
    </row>
    <row r="4369" spans="1:5" x14ac:dyDescent="0.25">
      <c r="A4369">
        <v>2211</v>
      </c>
      <c r="B4369" t="s">
        <v>1760</v>
      </c>
      <c r="C4369" t="s">
        <v>2996</v>
      </c>
      <c r="D4369" t="str">
        <f t="shared" si="69"/>
        <v>TVMINAS3917</v>
      </c>
      <c r="E4369" t="s">
        <v>2958</v>
      </c>
    </row>
    <row r="4370" spans="1:5" x14ac:dyDescent="0.25">
      <c r="A4370">
        <v>2211</v>
      </c>
      <c r="B4370" t="s">
        <v>1760</v>
      </c>
      <c r="C4370" t="s">
        <v>2998</v>
      </c>
      <c r="D4370" t="str">
        <f t="shared" si="69"/>
        <v>TVMINAS3918</v>
      </c>
      <c r="E4370" t="s">
        <v>2958</v>
      </c>
    </row>
    <row r="4371" spans="1:5" x14ac:dyDescent="0.25">
      <c r="A4371">
        <v>2211</v>
      </c>
      <c r="B4371" t="s">
        <v>1760</v>
      </c>
      <c r="C4371" t="s">
        <v>3000</v>
      </c>
      <c r="D4371" t="str">
        <f t="shared" si="69"/>
        <v>TVMINAS3919</v>
      </c>
      <c r="E4371" t="s">
        <v>3001</v>
      </c>
    </row>
    <row r="4372" spans="1:5" x14ac:dyDescent="0.25">
      <c r="A4372">
        <v>2211</v>
      </c>
      <c r="B4372" t="s">
        <v>1760</v>
      </c>
      <c r="C4372" t="s">
        <v>3077</v>
      </c>
      <c r="D4372" t="str">
        <f t="shared" si="69"/>
        <v>TVMINAS3920</v>
      </c>
      <c r="E4372" t="s">
        <v>3107</v>
      </c>
    </row>
    <row r="4373" spans="1:5" x14ac:dyDescent="0.25">
      <c r="A4373">
        <v>2211</v>
      </c>
      <c r="B4373" t="s">
        <v>1760</v>
      </c>
      <c r="C4373" t="s">
        <v>3002</v>
      </c>
      <c r="D4373" t="str">
        <f t="shared" si="69"/>
        <v>TVMINAS3921</v>
      </c>
      <c r="E4373" t="s">
        <v>3001</v>
      </c>
    </row>
    <row r="4374" spans="1:5" x14ac:dyDescent="0.25">
      <c r="A4374">
        <v>2211</v>
      </c>
      <c r="B4374" t="s">
        <v>1760</v>
      </c>
      <c r="C4374" t="s">
        <v>3003</v>
      </c>
      <c r="D4374" t="str">
        <f t="shared" si="69"/>
        <v>TVMINAS3922</v>
      </c>
      <c r="E4374" t="s">
        <v>2954</v>
      </c>
    </row>
    <row r="4375" spans="1:5" x14ac:dyDescent="0.25">
      <c r="A4375">
        <v>2211</v>
      </c>
      <c r="B4375" t="s">
        <v>1760</v>
      </c>
      <c r="C4375" t="s">
        <v>566</v>
      </c>
      <c r="D4375" t="str">
        <f t="shared" si="69"/>
        <v>TVMINAS3924</v>
      </c>
      <c r="E4375" t="s">
        <v>3004</v>
      </c>
    </row>
    <row r="4376" spans="1:5" x14ac:dyDescent="0.25">
      <c r="A4376">
        <v>2211</v>
      </c>
      <c r="B4376" t="s">
        <v>1760</v>
      </c>
      <c r="C4376" t="s">
        <v>443</v>
      </c>
      <c r="D4376" t="str">
        <f t="shared" si="69"/>
        <v>TVMINAS3926</v>
      </c>
      <c r="E4376" t="s">
        <v>3006</v>
      </c>
    </row>
    <row r="4377" spans="1:5" x14ac:dyDescent="0.25">
      <c r="A4377">
        <v>2211</v>
      </c>
      <c r="B4377" t="s">
        <v>1760</v>
      </c>
      <c r="C4377" t="s">
        <v>3008</v>
      </c>
      <c r="D4377" t="str">
        <f t="shared" si="69"/>
        <v>TVMINAS3927</v>
      </c>
      <c r="E4377" t="s">
        <v>3009</v>
      </c>
    </row>
    <row r="4378" spans="1:5" x14ac:dyDescent="0.25">
      <c r="A4378">
        <v>2211</v>
      </c>
      <c r="B4378" t="s">
        <v>1760</v>
      </c>
      <c r="C4378" t="s">
        <v>1481</v>
      </c>
      <c r="D4378" t="str">
        <f t="shared" si="69"/>
        <v>TVMINAS3931</v>
      </c>
      <c r="E4378" t="s">
        <v>2968</v>
      </c>
    </row>
    <row r="4379" spans="1:5" x14ac:dyDescent="0.25">
      <c r="A4379">
        <v>2211</v>
      </c>
      <c r="B4379" t="s">
        <v>1760</v>
      </c>
      <c r="C4379" t="s">
        <v>3017</v>
      </c>
      <c r="D4379" t="str">
        <f t="shared" si="69"/>
        <v>TVMINAS3936</v>
      </c>
      <c r="E4379" t="s">
        <v>94</v>
      </c>
    </row>
    <row r="4380" spans="1:5" x14ac:dyDescent="0.25">
      <c r="A4380">
        <v>2211</v>
      </c>
      <c r="B4380" t="s">
        <v>1760</v>
      </c>
      <c r="C4380" t="s">
        <v>3088</v>
      </c>
      <c r="D4380" t="str">
        <f t="shared" si="69"/>
        <v>TVMINAS3937</v>
      </c>
      <c r="E4380" t="s">
        <v>3107</v>
      </c>
    </row>
    <row r="4381" spans="1:5" x14ac:dyDescent="0.25">
      <c r="A4381">
        <v>2211</v>
      </c>
      <c r="B4381" t="s">
        <v>1760</v>
      </c>
      <c r="C4381" t="s">
        <v>3019</v>
      </c>
      <c r="D4381" t="str">
        <f t="shared" si="69"/>
        <v>TVMINAS3940</v>
      </c>
      <c r="E4381" t="s">
        <v>3009</v>
      </c>
    </row>
    <row r="4382" spans="1:5" x14ac:dyDescent="0.25">
      <c r="A4382">
        <v>2211</v>
      </c>
      <c r="B4382" t="s">
        <v>1760</v>
      </c>
      <c r="C4382" t="s">
        <v>480</v>
      </c>
      <c r="D4382" t="str">
        <f t="shared" si="69"/>
        <v>TVMINAS3941</v>
      </c>
      <c r="E4382" t="s">
        <v>2968</v>
      </c>
    </row>
    <row r="4383" spans="1:5" x14ac:dyDescent="0.25">
      <c r="A4383">
        <v>2211</v>
      </c>
      <c r="B4383" t="s">
        <v>1760</v>
      </c>
      <c r="C4383" t="s">
        <v>3020</v>
      </c>
      <c r="D4383" t="str">
        <f t="shared" si="69"/>
        <v>TVMINAS3943</v>
      </c>
      <c r="E4383" t="s">
        <v>2958</v>
      </c>
    </row>
    <row r="4384" spans="1:5" x14ac:dyDescent="0.25">
      <c r="A4384">
        <v>2211</v>
      </c>
      <c r="B4384" t="s">
        <v>1760</v>
      </c>
      <c r="C4384" t="s">
        <v>3098</v>
      </c>
      <c r="D4384" t="str">
        <f t="shared" si="69"/>
        <v>TVMINAS3952</v>
      </c>
      <c r="E4384" t="s">
        <v>65</v>
      </c>
    </row>
    <row r="4385" spans="1:5" x14ac:dyDescent="0.25">
      <c r="A4385">
        <v>2211</v>
      </c>
      <c r="B4385" t="s">
        <v>1760</v>
      </c>
      <c r="C4385" t="s">
        <v>499</v>
      </c>
      <c r="D4385" t="str">
        <f t="shared" si="69"/>
        <v>TVMINAS3956</v>
      </c>
      <c r="E4385" t="s">
        <v>3269</v>
      </c>
    </row>
    <row r="4386" spans="1:5" x14ac:dyDescent="0.25">
      <c r="A4386">
        <v>2211</v>
      </c>
      <c r="B4386" t="s">
        <v>1760</v>
      </c>
      <c r="C4386" t="s">
        <v>3025</v>
      </c>
      <c r="D4386" t="str">
        <f t="shared" si="69"/>
        <v>TVMINAS3959</v>
      </c>
      <c r="E4386" t="s">
        <v>2968</v>
      </c>
    </row>
    <row r="4387" spans="1:5" x14ac:dyDescent="0.25">
      <c r="A4387">
        <v>2211</v>
      </c>
      <c r="B4387" t="s">
        <v>1760</v>
      </c>
      <c r="C4387" t="s">
        <v>3027</v>
      </c>
      <c r="D4387" t="str">
        <f t="shared" si="69"/>
        <v>TVMINAS3961</v>
      </c>
      <c r="E4387" t="s">
        <v>103</v>
      </c>
    </row>
    <row r="4388" spans="1:5" x14ac:dyDescent="0.25">
      <c r="A4388">
        <v>2211</v>
      </c>
      <c r="B4388" t="s">
        <v>1760</v>
      </c>
      <c r="C4388" t="s">
        <v>3103</v>
      </c>
      <c r="D4388" t="str">
        <f t="shared" si="69"/>
        <v>TVMINAS3962</v>
      </c>
      <c r="E4388" t="s">
        <v>3033</v>
      </c>
    </row>
    <row r="4389" spans="1:5" x14ac:dyDescent="0.25">
      <c r="A4389">
        <v>2211</v>
      </c>
      <c r="B4389" t="s">
        <v>1760</v>
      </c>
      <c r="C4389" t="s">
        <v>1154</v>
      </c>
      <c r="D4389" t="str">
        <f t="shared" si="69"/>
        <v>TVMINAS3969</v>
      </c>
      <c r="E4389" t="s">
        <v>2992</v>
      </c>
    </row>
    <row r="4390" spans="1:5" x14ac:dyDescent="0.25">
      <c r="A4390">
        <v>2211</v>
      </c>
      <c r="B4390" t="s">
        <v>1760</v>
      </c>
      <c r="C4390" t="s">
        <v>3031</v>
      </c>
      <c r="D4390" t="str">
        <f t="shared" si="69"/>
        <v>TVMINAS3970</v>
      </c>
      <c r="E4390" t="s">
        <v>3009</v>
      </c>
    </row>
    <row r="4391" spans="1:5" x14ac:dyDescent="0.25">
      <c r="A4391">
        <v>2211</v>
      </c>
      <c r="B4391" t="s">
        <v>1760</v>
      </c>
      <c r="C4391" t="s">
        <v>526</v>
      </c>
      <c r="D4391" t="str">
        <f t="shared" si="69"/>
        <v>TVMINAS3986</v>
      </c>
      <c r="E4391" t="s">
        <v>2968</v>
      </c>
    </row>
    <row r="4392" spans="1:5" x14ac:dyDescent="0.25">
      <c r="A4392">
        <v>2211</v>
      </c>
      <c r="B4392" t="s">
        <v>1760</v>
      </c>
      <c r="C4392" t="s">
        <v>3036</v>
      </c>
      <c r="D4392" t="str">
        <f t="shared" si="69"/>
        <v>TVMINAS3987</v>
      </c>
      <c r="E4392" t="s">
        <v>2958</v>
      </c>
    </row>
    <row r="4393" spans="1:5" x14ac:dyDescent="0.25">
      <c r="A4393">
        <v>2211</v>
      </c>
      <c r="B4393" t="s">
        <v>1760</v>
      </c>
      <c r="C4393" t="s">
        <v>3040</v>
      </c>
      <c r="D4393" t="str">
        <f t="shared" si="69"/>
        <v>TVMINAS3999</v>
      </c>
      <c r="E4393" t="s">
        <v>2968</v>
      </c>
    </row>
    <row r="4394" spans="1:5" x14ac:dyDescent="0.25">
      <c r="A4394">
        <v>2211</v>
      </c>
      <c r="B4394" t="s">
        <v>1760</v>
      </c>
      <c r="C4394" t="s">
        <v>3041</v>
      </c>
      <c r="D4394" t="str">
        <f t="shared" si="69"/>
        <v>TVMINAS4002</v>
      </c>
      <c r="E4394" t="s">
        <v>3009</v>
      </c>
    </row>
    <row r="4395" spans="1:5" x14ac:dyDescent="0.25">
      <c r="A4395">
        <v>2211</v>
      </c>
      <c r="B4395" t="s">
        <v>1760</v>
      </c>
      <c r="C4395" t="s">
        <v>3043</v>
      </c>
      <c r="D4395" t="str">
        <f t="shared" si="69"/>
        <v>TVMINAS4003</v>
      </c>
      <c r="E4395" t="s">
        <v>94</v>
      </c>
    </row>
    <row r="4396" spans="1:5" x14ac:dyDescent="0.25">
      <c r="A4396">
        <v>2211</v>
      </c>
      <c r="B4396" t="s">
        <v>1760</v>
      </c>
      <c r="C4396" t="s">
        <v>3045</v>
      </c>
      <c r="D4396" t="str">
        <f t="shared" si="69"/>
        <v>TVMINAS4004</v>
      </c>
      <c r="E4396" t="s">
        <v>3009</v>
      </c>
    </row>
    <row r="4397" spans="1:5" x14ac:dyDescent="0.25">
      <c r="A4397">
        <v>2211</v>
      </c>
      <c r="B4397" t="s">
        <v>1760</v>
      </c>
      <c r="C4397" t="s">
        <v>3047</v>
      </c>
      <c r="D4397" t="str">
        <f t="shared" si="69"/>
        <v>TVMINAS4005</v>
      </c>
      <c r="E4397" t="s">
        <v>3009</v>
      </c>
    </row>
    <row r="4398" spans="1:5" x14ac:dyDescent="0.25">
      <c r="A4398">
        <v>2211</v>
      </c>
      <c r="B4398" t="s">
        <v>1760</v>
      </c>
      <c r="C4398" t="s">
        <v>3048</v>
      </c>
      <c r="D4398" t="str">
        <f t="shared" si="69"/>
        <v>TVMINAS4701</v>
      </c>
      <c r="E4398" t="s">
        <v>3049</v>
      </c>
    </row>
    <row r="4399" spans="1:5" x14ac:dyDescent="0.25">
      <c r="A4399">
        <v>2211</v>
      </c>
      <c r="B4399" t="s">
        <v>1760</v>
      </c>
      <c r="C4399" t="s">
        <v>316</v>
      </c>
      <c r="D4399" t="str">
        <f t="shared" si="69"/>
        <v>TVMINAS4706</v>
      </c>
      <c r="E4399" t="s">
        <v>3049</v>
      </c>
    </row>
    <row r="4400" spans="1:5" x14ac:dyDescent="0.25">
      <c r="A4400">
        <v>2211</v>
      </c>
      <c r="B4400" t="s">
        <v>1760</v>
      </c>
      <c r="C4400" t="s">
        <v>357</v>
      </c>
      <c r="D4400" t="str">
        <f t="shared" si="69"/>
        <v>TVMINAS4710</v>
      </c>
      <c r="E4400" t="s">
        <v>3049</v>
      </c>
    </row>
    <row r="4401" spans="1:5" x14ac:dyDescent="0.25">
      <c r="A4401">
        <v>2211</v>
      </c>
      <c r="B4401" t="s">
        <v>1760</v>
      </c>
      <c r="C4401" t="s">
        <v>364</v>
      </c>
      <c r="D4401" t="str">
        <f t="shared" si="69"/>
        <v>TVMINAS4799</v>
      </c>
      <c r="E4401" t="s">
        <v>3049</v>
      </c>
    </row>
    <row r="4402" spans="1:5" x14ac:dyDescent="0.25">
      <c r="A4402">
        <v>2211</v>
      </c>
      <c r="B4402" t="s">
        <v>1760</v>
      </c>
      <c r="C4402" t="s">
        <v>3054</v>
      </c>
      <c r="D4402" t="str">
        <f t="shared" si="69"/>
        <v>TVMINAS5204</v>
      </c>
      <c r="E4402" t="s">
        <v>3055</v>
      </c>
    </row>
    <row r="4403" spans="1:5" x14ac:dyDescent="0.25">
      <c r="A4403">
        <v>2211</v>
      </c>
      <c r="B4403" t="s">
        <v>1760</v>
      </c>
      <c r="C4403" t="s">
        <v>329</v>
      </c>
      <c r="D4403" t="str">
        <f t="shared" si="69"/>
        <v>TVMINAS5206</v>
      </c>
      <c r="E4403" t="s">
        <v>3057</v>
      </c>
    </row>
    <row r="4404" spans="1:5" x14ac:dyDescent="0.25">
      <c r="A4404">
        <v>2211</v>
      </c>
      <c r="B4404" t="s">
        <v>1760</v>
      </c>
      <c r="C4404" t="s">
        <v>3058</v>
      </c>
      <c r="D4404" t="str">
        <f t="shared" si="69"/>
        <v>TVMINAS5207</v>
      </c>
      <c r="E4404" t="s">
        <v>3057</v>
      </c>
    </row>
    <row r="4405" spans="1:5" x14ac:dyDescent="0.25">
      <c r="A4405">
        <v>2211</v>
      </c>
      <c r="B4405" t="s">
        <v>1760</v>
      </c>
      <c r="C4405" t="s">
        <v>3060</v>
      </c>
      <c r="D4405" t="str">
        <f t="shared" si="69"/>
        <v>TVMINAS5208</v>
      </c>
      <c r="E4405" t="s">
        <v>3057</v>
      </c>
    </row>
    <row r="4406" spans="1:5" x14ac:dyDescent="0.25">
      <c r="A4406">
        <v>2211</v>
      </c>
      <c r="B4406" t="s">
        <v>1760</v>
      </c>
      <c r="C4406" t="s">
        <v>3063</v>
      </c>
      <c r="D4406" t="str">
        <f t="shared" si="69"/>
        <v>TVMINAS5210</v>
      </c>
      <c r="E4406" t="s">
        <v>3055</v>
      </c>
    </row>
    <row r="4407" spans="1:5" x14ac:dyDescent="0.25">
      <c r="A4407">
        <v>2211</v>
      </c>
      <c r="B4407" t="s">
        <v>1760</v>
      </c>
      <c r="C4407" t="s">
        <v>3064</v>
      </c>
      <c r="D4407" t="str">
        <f t="shared" si="69"/>
        <v>TVMINAS5212</v>
      </c>
      <c r="E4407" t="s">
        <v>3055</v>
      </c>
    </row>
    <row r="4408" spans="1:5" x14ac:dyDescent="0.25">
      <c r="A4408">
        <v>2211</v>
      </c>
      <c r="B4408" t="s">
        <v>1760</v>
      </c>
      <c r="C4408" t="s">
        <v>391</v>
      </c>
      <c r="D4408" t="str">
        <f t="shared" si="69"/>
        <v>TVMINAS5214</v>
      </c>
      <c r="E4408" t="s">
        <v>3055</v>
      </c>
    </row>
    <row r="4409" spans="1:5" x14ac:dyDescent="0.25">
      <c r="A4409">
        <v>2211</v>
      </c>
      <c r="B4409" t="s">
        <v>1760</v>
      </c>
      <c r="C4409" t="s">
        <v>409</v>
      </c>
      <c r="D4409" t="str">
        <f t="shared" si="69"/>
        <v>TVMINAS5217</v>
      </c>
      <c r="E4409" t="s">
        <v>3067</v>
      </c>
    </row>
    <row r="4410" spans="1:5" x14ac:dyDescent="0.25">
      <c r="A4410">
        <v>2211</v>
      </c>
      <c r="B4410" t="s">
        <v>1760</v>
      </c>
      <c r="C4410" t="s">
        <v>449</v>
      </c>
      <c r="D4410" t="str">
        <f t="shared" si="69"/>
        <v>TVMINAS5225</v>
      </c>
      <c r="E4410" t="s">
        <v>3055</v>
      </c>
    </row>
    <row r="4411" spans="1:5" x14ac:dyDescent="0.25">
      <c r="A4411">
        <v>2211</v>
      </c>
      <c r="B4411" t="s">
        <v>1760</v>
      </c>
      <c r="C4411" t="s">
        <v>3074</v>
      </c>
      <c r="D4411" t="str">
        <f t="shared" si="69"/>
        <v>TVMINAS9202</v>
      </c>
      <c r="E4411" t="s">
        <v>3075</v>
      </c>
    </row>
    <row r="4412" spans="1:5" x14ac:dyDescent="0.25">
      <c r="A4412">
        <v>2211</v>
      </c>
      <c r="B4412" t="s">
        <v>1760</v>
      </c>
      <c r="C4412" t="s">
        <v>331</v>
      </c>
      <c r="D4412" t="str">
        <f t="shared" si="69"/>
        <v>TVMINAS9306</v>
      </c>
      <c r="E4412" t="s">
        <v>3076</v>
      </c>
    </row>
    <row r="4413" spans="1:5" x14ac:dyDescent="0.25">
      <c r="A4413">
        <v>2211</v>
      </c>
      <c r="B4413" t="s">
        <v>1760</v>
      </c>
      <c r="C4413" t="s">
        <v>3079</v>
      </c>
      <c r="D4413" t="str">
        <f t="shared" si="69"/>
        <v>TVMINAS9399</v>
      </c>
      <c r="E4413" t="s">
        <v>2968</v>
      </c>
    </row>
    <row r="4414" spans="1:5" x14ac:dyDescent="0.25">
      <c r="A4414">
        <v>2211</v>
      </c>
      <c r="B4414" t="s">
        <v>1760</v>
      </c>
      <c r="C4414" t="s">
        <v>471</v>
      </c>
      <c r="D4414" t="str">
        <f t="shared" si="69"/>
        <v>TVMINAS3699</v>
      </c>
      <c r="E4414" t="s">
        <v>2968</v>
      </c>
    </row>
    <row r="4415" spans="1:5" x14ac:dyDescent="0.25">
      <c r="A4415">
        <v>2241</v>
      </c>
      <c r="B4415" t="s">
        <v>1738</v>
      </c>
      <c r="C4415" t="s">
        <v>3332</v>
      </c>
      <c r="D4415" t="str">
        <f t="shared" si="69"/>
        <v>IGAM0702</v>
      </c>
      <c r="E4415" t="s">
        <v>3006</v>
      </c>
    </row>
    <row r="4416" spans="1:5" x14ac:dyDescent="0.25">
      <c r="A4416">
        <v>2241</v>
      </c>
      <c r="B4416" t="s">
        <v>1738</v>
      </c>
      <c r="C4416" t="s">
        <v>332</v>
      </c>
      <c r="D4416" t="str">
        <f t="shared" si="69"/>
        <v>IGAM1314</v>
      </c>
      <c r="E4416" t="s">
        <v>3081</v>
      </c>
    </row>
    <row r="4417" spans="1:5" x14ac:dyDescent="0.25">
      <c r="A4417">
        <v>2241</v>
      </c>
      <c r="B4417" t="s">
        <v>1738</v>
      </c>
      <c r="C4417" t="s">
        <v>2942</v>
      </c>
      <c r="D4417" t="str">
        <f t="shared" si="69"/>
        <v>IGAM1317</v>
      </c>
      <c r="E4417" t="s">
        <v>3081</v>
      </c>
    </row>
    <row r="4418" spans="1:5" x14ac:dyDescent="0.25">
      <c r="A4418">
        <v>2241</v>
      </c>
      <c r="B4418" t="s">
        <v>1738</v>
      </c>
      <c r="C4418" t="s">
        <v>2928</v>
      </c>
      <c r="D4418" t="str">
        <f t="shared" si="69"/>
        <v>IGAM1401</v>
      </c>
      <c r="E4418" t="s">
        <v>44</v>
      </c>
    </row>
    <row r="4419" spans="1:5" x14ac:dyDescent="0.25">
      <c r="A4419">
        <v>2241</v>
      </c>
      <c r="B4419" t="s">
        <v>1738</v>
      </c>
      <c r="C4419" t="s">
        <v>2932</v>
      </c>
      <c r="D4419" t="str">
        <f t="shared" si="69"/>
        <v>IGAM3001</v>
      </c>
      <c r="E4419" t="s">
        <v>2933</v>
      </c>
    </row>
    <row r="4420" spans="1:5" x14ac:dyDescent="0.25">
      <c r="A4420">
        <v>2241</v>
      </c>
      <c r="B4420" t="s">
        <v>1738</v>
      </c>
      <c r="C4420" t="s">
        <v>979</v>
      </c>
      <c r="D4420" t="str">
        <f t="shared" si="69"/>
        <v>IGAM3003</v>
      </c>
      <c r="E4420" t="s">
        <v>2933</v>
      </c>
    </row>
    <row r="4421" spans="1:5" x14ac:dyDescent="0.25">
      <c r="A4421">
        <v>2241</v>
      </c>
      <c r="B4421" t="s">
        <v>1738</v>
      </c>
      <c r="C4421" t="s">
        <v>2937</v>
      </c>
      <c r="D4421" t="str">
        <f t="shared" ref="D4421:D4484" si="70">CONCATENATE(B4421,LEFT(C4421,4))</f>
        <v>IGAM3004</v>
      </c>
      <c r="E4421" t="s">
        <v>2933</v>
      </c>
    </row>
    <row r="4422" spans="1:5" x14ac:dyDescent="0.25">
      <c r="A4422">
        <v>2241</v>
      </c>
      <c r="B4422" t="s">
        <v>1738</v>
      </c>
      <c r="C4422" t="s">
        <v>2939</v>
      </c>
      <c r="D4422" t="str">
        <f t="shared" si="70"/>
        <v>IGAM3005</v>
      </c>
      <c r="E4422" t="s">
        <v>2933</v>
      </c>
    </row>
    <row r="4423" spans="1:5" x14ac:dyDescent="0.25">
      <c r="A4423">
        <v>2241</v>
      </c>
      <c r="B4423" t="s">
        <v>1738</v>
      </c>
      <c r="C4423" t="s">
        <v>2943</v>
      </c>
      <c r="D4423" t="str">
        <f t="shared" si="70"/>
        <v>IGAM3010</v>
      </c>
      <c r="E4423" t="s">
        <v>2944</v>
      </c>
    </row>
    <row r="4424" spans="1:5" x14ac:dyDescent="0.25">
      <c r="A4424">
        <v>2241</v>
      </c>
      <c r="B4424" t="s">
        <v>1738</v>
      </c>
      <c r="C4424" t="s">
        <v>138</v>
      </c>
      <c r="D4424" t="str">
        <f t="shared" si="70"/>
        <v>IGAM3012</v>
      </c>
      <c r="E4424" t="s">
        <v>2944</v>
      </c>
    </row>
    <row r="4425" spans="1:5" x14ac:dyDescent="0.25">
      <c r="A4425">
        <v>2241</v>
      </c>
      <c r="B4425" t="s">
        <v>1738</v>
      </c>
      <c r="C4425" t="s">
        <v>2946</v>
      </c>
      <c r="D4425" t="str">
        <f t="shared" si="70"/>
        <v>IGAM3013</v>
      </c>
      <c r="E4425" t="s">
        <v>2933</v>
      </c>
    </row>
    <row r="4426" spans="1:5" x14ac:dyDescent="0.25">
      <c r="A4426">
        <v>2241</v>
      </c>
      <c r="B4426" t="s">
        <v>1738</v>
      </c>
      <c r="C4426" t="s">
        <v>2948</v>
      </c>
      <c r="D4426" t="str">
        <f t="shared" si="70"/>
        <v>IGAM3015</v>
      </c>
      <c r="E4426" t="s">
        <v>2933</v>
      </c>
    </row>
    <row r="4427" spans="1:5" x14ac:dyDescent="0.25">
      <c r="A4427">
        <v>2241</v>
      </c>
      <c r="B4427" t="s">
        <v>1738</v>
      </c>
      <c r="C4427" t="s">
        <v>2950</v>
      </c>
      <c r="D4427" t="str">
        <f t="shared" si="70"/>
        <v>IGAM3016</v>
      </c>
      <c r="E4427" t="s">
        <v>3291</v>
      </c>
    </row>
    <row r="4428" spans="1:5" x14ac:dyDescent="0.25">
      <c r="A4428">
        <v>2241</v>
      </c>
      <c r="B4428" t="s">
        <v>1738</v>
      </c>
      <c r="C4428" t="s">
        <v>406</v>
      </c>
      <c r="D4428" t="str">
        <f t="shared" si="70"/>
        <v>IGAM3017</v>
      </c>
      <c r="E4428" t="s">
        <v>2933</v>
      </c>
    </row>
    <row r="4429" spans="1:5" x14ac:dyDescent="0.25">
      <c r="A4429">
        <v>2241</v>
      </c>
      <c r="B4429" t="s">
        <v>1738</v>
      </c>
      <c r="C4429" t="s">
        <v>2953</v>
      </c>
      <c r="D4429" t="str">
        <f t="shared" si="70"/>
        <v>IGAM3019</v>
      </c>
      <c r="E4429" t="s">
        <v>2954</v>
      </c>
    </row>
    <row r="4430" spans="1:5" x14ac:dyDescent="0.25">
      <c r="A4430">
        <v>2241</v>
      </c>
      <c r="B4430" t="s">
        <v>1738</v>
      </c>
      <c r="C4430" t="s">
        <v>2955</v>
      </c>
      <c r="D4430" t="str">
        <f t="shared" si="70"/>
        <v>IGAM3020</v>
      </c>
      <c r="E4430" t="s">
        <v>2933</v>
      </c>
    </row>
    <row r="4431" spans="1:5" x14ac:dyDescent="0.25">
      <c r="A4431">
        <v>2241</v>
      </c>
      <c r="B4431" t="s">
        <v>1738</v>
      </c>
      <c r="C4431" t="s">
        <v>2956</v>
      </c>
      <c r="D4431" t="str">
        <f t="shared" si="70"/>
        <v>IGAM3021</v>
      </c>
      <c r="E4431" t="s">
        <v>2933</v>
      </c>
    </row>
    <row r="4432" spans="1:5" x14ac:dyDescent="0.25">
      <c r="A4432">
        <v>2241</v>
      </c>
      <c r="B4432" t="s">
        <v>1738</v>
      </c>
      <c r="C4432" t="s">
        <v>431</v>
      </c>
      <c r="D4432" t="str">
        <f t="shared" si="70"/>
        <v>IGAM3022</v>
      </c>
      <c r="E4432" t="s">
        <v>2933</v>
      </c>
    </row>
    <row r="4433" spans="1:5" x14ac:dyDescent="0.25">
      <c r="A4433">
        <v>2241</v>
      </c>
      <c r="B4433" t="s">
        <v>1738</v>
      </c>
      <c r="C4433" t="s">
        <v>2957</v>
      </c>
      <c r="D4433" t="str">
        <f t="shared" si="70"/>
        <v>IGAM3023</v>
      </c>
      <c r="E4433" t="s">
        <v>2958</v>
      </c>
    </row>
    <row r="4434" spans="1:5" x14ac:dyDescent="0.25">
      <c r="A4434">
        <v>2241</v>
      </c>
      <c r="B4434" t="s">
        <v>1738</v>
      </c>
      <c r="C4434" t="s">
        <v>441</v>
      </c>
      <c r="D4434" t="str">
        <f t="shared" si="70"/>
        <v>IGAM3024</v>
      </c>
      <c r="E4434" t="s">
        <v>2933</v>
      </c>
    </row>
    <row r="4435" spans="1:5" x14ac:dyDescent="0.25">
      <c r="A4435">
        <v>2241</v>
      </c>
      <c r="B4435" t="s">
        <v>1738</v>
      </c>
      <c r="C4435" t="s">
        <v>2959</v>
      </c>
      <c r="D4435" t="str">
        <f t="shared" si="70"/>
        <v>IGAM3025</v>
      </c>
      <c r="E4435" t="s">
        <v>2933</v>
      </c>
    </row>
    <row r="4436" spans="1:5" x14ac:dyDescent="0.25">
      <c r="A4436">
        <v>2241</v>
      </c>
      <c r="B4436" t="s">
        <v>1738</v>
      </c>
      <c r="C4436" t="s">
        <v>2960</v>
      </c>
      <c r="D4436" t="str">
        <f t="shared" si="70"/>
        <v>IGAM3026</v>
      </c>
      <c r="E4436" t="s">
        <v>2958</v>
      </c>
    </row>
    <row r="4437" spans="1:5" x14ac:dyDescent="0.25">
      <c r="A4437">
        <v>2241</v>
      </c>
      <c r="B4437" t="s">
        <v>1738</v>
      </c>
      <c r="C4437" t="s">
        <v>2961</v>
      </c>
      <c r="D4437" t="str">
        <f t="shared" si="70"/>
        <v>IGAM3027</v>
      </c>
      <c r="E4437" t="s">
        <v>2933</v>
      </c>
    </row>
    <row r="4438" spans="1:5" x14ac:dyDescent="0.25">
      <c r="A4438">
        <v>2241</v>
      </c>
      <c r="B4438" t="s">
        <v>1738</v>
      </c>
      <c r="C4438" t="s">
        <v>2993</v>
      </c>
      <c r="D4438" t="str">
        <f t="shared" si="70"/>
        <v>IGAM3041</v>
      </c>
      <c r="E4438" t="s">
        <v>2933</v>
      </c>
    </row>
    <row r="4439" spans="1:5" x14ac:dyDescent="0.25">
      <c r="A4439">
        <v>2241</v>
      </c>
      <c r="B4439" t="s">
        <v>1738</v>
      </c>
      <c r="C4439" t="s">
        <v>491</v>
      </c>
      <c r="D4439" t="str">
        <f t="shared" si="70"/>
        <v>IGAM3099</v>
      </c>
      <c r="E4439" t="s">
        <v>2933</v>
      </c>
    </row>
    <row r="4440" spans="1:5" x14ac:dyDescent="0.25">
      <c r="A4440">
        <v>2241</v>
      </c>
      <c r="B4440" t="s">
        <v>1738</v>
      </c>
      <c r="C4440" t="s">
        <v>2967</v>
      </c>
      <c r="D4440" t="str">
        <f t="shared" si="70"/>
        <v>IGAM3101</v>
      </c>
      <c r="E4440" t="s">
        <v>3278</v>
      </c>
    </row>
    <row r="4441" spans="1:5" x14ac:dyDescent="0.25">
      <c r="A4441">
        <v>2241</v>
      </c>
      <c r="B4441" t="s">
        <v>1738</v>
      </c>
      <c r="C4441" t="s">
        <v>54</v>
      </c>
      <c r="D4441" t="str">
        <f t="shared" si="70"/>
        <v>IGAM3301</v>
      </c>
      <c r="E4441" t="s">
        <v>44</v>
      </c>
    </row>
    <row r="4442" spans="1:5" x14ac:dyDescent="0.25">
      <c r="A4442">
        <v>2241</v>
      </c>
      <c r="B4442" t="s">
        <v>1738</v>
      </c>
      <c r="C4442" t="s">
        <v>2975</v>
      </c>
      <c r="D4442" t="str">
        <f t="shared" si="70"/>
        <v>IGAM3302</v>
      </c>
      <c r="E4442" t="s">
        <v>44</v>
      </c>
    </row>
    <row r="4443" spans="1:5" x14ac:dyDescent="0.25">
      <c r="A4443">
        <v>2241</v>
      </c>
      <c r="B4443" t="s">
        <v>1738</v>
      </c>
      <c r="C4443" t="s">
        <v>2977</v>
      </c>
      <c r="D4443" t="str">
        <f t="shared" si="70"/>
        <v>IGAM3304</v>
      </c>
      <c r="E4443" t="s">
        <v>44</v>
      </c>
    </row>
    <row r="4444" spans="1:5" x14ac:dyDescent="0.25">
      <c r="A4444">
        <v>2241</v>
      </c>
      <c r="B4444" t="s">
        <v>1738</v>
      </c>
      <c r="C4444" t="s">
        <v>3201</v>
      </c>
      <c r="D4444" t="str">
        <f t="shared" si="70"/>
        <v>IGAM3502</v>
      </c>
      <c r="E4444" t="s">
        <v>1660</v>
      </c>
    </row>
    <row r="4445" spans="1:5" x14ac:dyDescent="0.25">
      <c r="A4445">
        <v>2241</v>
      </c>
      <c r="B4445" t="s">
        <v>1738</v>
      </c>
      <c r="C4445" t="s">
        <v>297</v>
      </c>
      <c r="D4445" t="str">
        <f t="shared" si="70"/>
        <v>IGAM3604</v>
      </c>
      <c r="E4445" t="s">
        <v>44</v>
      </c>
    </row>
    <row r="4446" spans="1:5" x14ac:dyDescent="0.25">
      <c r="A4446">
        <v>2241</v>
      </c>
      <c r="B4446" t="s">
        <v>1738</v>
      </c>
      <c r="C4446" t="s">
        <v>355</v>
      </c>
      <c r="D4446" t="str">
        <f t="shared" si="70"/>
        <v>IGAM3610</v>
      </c>
      <c r="E4446" t="s">
        <v>3258</v>
      </c>
    </row>
    <row r="4447" spans="1:5" x14ac:dyDescent="0.25">
      <c r="A4447">
        <v>2241</v>
      </c>
      <c r="B4447" t="s">
        <v>1738</v>
      </c>
      <c r="C4447" t="s">
        <v>2979</v>
      </c>
      <c r="D4447" t="str">
        <f t="shared" si="70"/>
        <v>IGAM3612</v>
      </c>
      <c r="E4447" t="s">
        <v>3259</v>
      </c>
    </row>
    <row r="4448" spans="1:5" x14ac:dyDescent="0.25">
      <c r="A4448">
        <v>2241</v>
      </c>
      <c r="B4448" t="s">
        <v>1738</v>
      </c>
      <c r="C4448" t="s">
        <v>442</v>
      </c>
      <c r="D4448" t="str">
        <f t="shared" si="70"/>
        <v>IGAM3625</v>
      </c>
      <c r="E4448" t="s">
        <v>3333</v>
      </c>
    </row>
    <row r="4449" spans="1:5" x14ac:dyDescent="0.25">
      <c r="A4449">
        <v>2241</v>
      </c>
      <c r="B4449" t="s">
        <v>1738</v>
      </c>
      <c r="C4449" t="s">
        <v>471</v>
      </c>
      <c r="D4449" t="str">
        <f t="shared" si="70"/>
        <v>IGAM3699</v>
      </c>
      <c r="E4449" t="s">
        <v>3261</v>
      </c>
    </row>
    <row r="4450" spans="1:5" x14ac:dyDescent="0.25">
      <c r="A4450">
        <v>2241</v>
      </c>
      <c r="B4450" t="s">
        <v>1738</v>
      </c>
      <c r="C4450" t="s">
        <v>3050</v>
      </c>
      <c r="D4450" t="str">
        <f t="shared" si="70"/>
        <v>IGAM3702</v>
      </c>
      <c r="E4450" t="s">
        <v>2981</v>
      </c>
    </row>
    <row r="4451" spans="1:5" x14ac:dyDescent="0.25">
      <c r="A4451">
        <v>2241</v>
      </c>
      <c r="B4451" t="s">
        <v>1738</v>
      </c>
      <c r="C4451" t="s">
        <v>2983</v>
      </c>
      <c r="D4451" t="str">
        <f t="shared" si="70"/>
        <v>IGAM3703</v>
      </c>
      <c r="E4451" t="s">
        <v>117</v>
      </c>
    </row>
    <row r="4452" spans="1:5" x14ac:dyDescent="0.25">
      <c r="A4452">
        <v>2241</v>
      </c>
      <c r="B4452" t="s">
        <v>1738</v>
      </c>
      <c r="C4452" t="s">
        <v>2985</v>
      </c>
      <c r="D4452" t="str">
        <f t="shared" si="70"/>
        <v>IGAM3704</v>
      </c>
      <c r="E4452" t="s">
        <v>117</v>
      </c>
    </row>
    <row r="4453" spans="1:5" x14ac:dyDescent="0.25">
      <c r="A4453">
        <v>2241</v>
      </c>
      <c r="B4453" t="s">
        <v>1738</v>
      </c>
      <c r="C4453" t="s">
        <v>2986</v>
      </c>
      <c r="D4453" t="str">
        <f t="shared" si="70"/>
        <v>IGAM3705</v>
      </c>
      <c r="E4453" t="s">
        <v>117</v>
      </c>
    </row>
    <row r="4454" spans="1:5" x14ac:dyDescent="0.25">
      <c r="A4454">
        <v>2241</v>
      </c>
      <c r="B4454" t="s">
        <v>1738</v>
      </c>
      <c r="C4454" t="s">
        <v>299</v>
      </c>
      <c r="D4454" t="str">
        <f t="shared" si="70"/>
        <v>IGAM3904</v>
      </c>
      <c r="E4454" t="s">
        <v>3262</v>
      </c>
    </row>
    <row r="4455" spans="1:5" x14ac:dyDescent="0.25">
      <c r="A4455">
        <v>2241</v>
      </c>
      <c r="B4455" t="s">
        <v>1738</v>
      </c>
      <c r="C4455" t="s">
        <v>326</v>
      </c>
      <c r="D4455" t="str">
        <f t="shared" si="70"/>
        <v>IGAM3906</v>
      </c>
      <c r="E4455" t="s">
        <v>3263</v>
      </c>
    </row>
    <row r="4456" spans="1:5" x14ac:dyDescent="0.25">
      <c r="A4456">
        <v>2241</v>
      </c>
      <c r="B4456" t="s">
        <v>1738</v>
      </c>
      <c r="C4456" t="s">
        <v>2989</v>
      </c>
      <c r="D4456" t="str">
        <f t="shared" si="70"/>
        <v>IGAM3908</v>
      </c>
      <c r="E4456" t="s">
        <v>3310</v>
      </c>
    </row>
    <row r="4457" spans="1:5" x14ac:dyDescent="0.25">
      <c r="A4457">
        <v>2241</v>
      </c>
      <c r="B4457" t="s">
        <v>1738</v>
      </c>
      <c r="C4457" t="s">
        <v>336</v>
      </c>
      <c r="D4457" t="str">
        <f t="shared" si="70"/>
        <v>IGAM3909</v>
      </c>
      <c r="E4457" t="s">
        <v>3292</v>
      </c>
    </row>
    <row r="4458" spans="1:5" x14ac:dyDescent="0.25">
      <c r="A4458">
        <v>2241</v>
      </c>
      <c r="B4458" t="s">
        <v>1738</v>
      </c>
      <c r="C4458" t="s">
        <v>346</v>
      </c>
      <c r="D4458" t="str">
        <f t="shared" si="70"/>
        <v>IGAM3910</v>
      </c>
      <c r="E4458" t="s">
        <v>3264</v>
      </c>
    </row>
    <row r="4459" spans="1:5" x14ac:dyDescent="0.25">
      <c r="A4459">
        <v>2241</v>
      </c>
      <c r="B4459" t="s">
        <v>1738</v>
      </c>
      <c r="C4459" t="s">
        <v>356</v>
      </c>
      <c r="D4459" t="str">
        <f t="shared" si="70"/>
        <v>IGAM3911</v>
      </c>
      <c r="E4459" t="s">
        <v>3311</v>
      </c>
    </row>
    <row r="4460" spans="1:5" x14ac:dyDescent="0.25">
      <c r="A4460">
        <v>2241</v>
      </c>
      <c r="B4460" t="s">
        <v>1738</v>
      </c>
      <c r="C4460" t="s">
        <v>2991</v>
      </c>
      <c r="D4460" t="str">
        <f t="shared" si="70"/>
        <v>IGAM3912</v>
      </c>
      <c r="E4460" t="s">
        <v>2992</v>
      </c>
    </row>
    <row r="4461" spans="1:5" x14ac:dyDescent="0.25">
      <c r="A4461">
        <v>2241</v>
      </c>
      <c r="B4461" t="s">
        <v>1738</v>
      </c>
      <c r="C4461" t="s">
        <v>384</v>
      </c>
      <c r="D4461" t="str">
        <f t="shared" si="70"/>
        <v>IGAM3915</v>
      </c>
      <c r="E4461" t="s">
        <v>2992</v>
      </c>
    </row>
    <row r="4462" spans="1:5" x14ac:dyDescent="0.25">
      <c r="A4462">
        <v>2241</v>
      </c>
      <c r="B4462" t="s">
        <v>1738</v>
      </c>
      <c r="C4462" t="s">
        <v>2996</v>
      </c>
      <c r="D4462" t="str">
        <f t="shared" si="70"/>
        <v>IGAM3917</v>
      </c>
      <c r="E4462" t="s">
        <v>2958</v>
      </c>
    </row>
    <row r="4463" spans="1:5" x14ac:dyDescent="0.25">
      <c r="A4463">
        <v>2241</v>
      </c>
      <c r="B4463" t="s">
        <v>1738</v>
      </c>
      <c r="C4463" t="s">
        <v>2998</v>
      </c>
      <c r="D4463" t="str">
        <f t="shared" si="70"/>
        <v>IGAM3918</v>
      </c>
      <c r="E4463" t="s">
        <v>2958</v>
      </c>
    </row>
    <row r="4464" spans="1:5" x14ac:dyDescent="0.25">
      <c r="A4464">
        <v>2241</v>
      </c>
      <c r="B4464" t="s">
        <v>1738</v>
      </c>
      <c r="C4464" t="s">
        <v>3000</v>
      </c>
      <c r="D4464" t="str">
        <f t="shared" si="70"/>
        <v>IGAM3919</v>
      </c>
      <c r="E4464" t="s">
        <v>3001</v>
      </c>
    </row>
    <row r="4465" spans="1:5" x14ac:dyDescent="0.25">
      <c r="A4465">
        <v>2241</v>
      </c>
      <c r="B4465" t="s">
        <v>1738</v>
      </c>
      <c r="C4465" t="s">
        <v>3003</v>
      </c>
      <c r="D4465" t="str">
        <f t="shared" si="70"/>
        <v>IGAM3922</v>
      </c>
      <c r="E4465" t="s">
        <v>2954</v>
      </c>
    </row>
    <row r="4466" spans="1:5" x14ac:dyDescent="0.25">
      <c r="A4466">
        <v>2241</v>
      </c>
      <c r="B4466" t="s">
        <v>1738</v>
      </c>
      <c r="C4466" t="s">
        <v>566</v>
      </c>
      <c r="D4466" t="str">
        <f t="shared" si="70"/>
        <v>IGAM3924</v>
      </c>
      <c r="E4466" t="s">
        <v>3004</v>
      </c>
    </row>
    <row r="4467" spans="1:5" x14ac:dyDescent="0.25">
      <c r="A4467">
        <v>2241</v>
      </c>
      <c r="B4467" t="s">
        <v>1738</v>
      </c>
      <c r="C4467" t="s">
        <v>438</v>
      </c>
      <c r="D4467" t="str">
        <f t="shared" si="70"/>
        <v>IGAM3925</v>
      </c>
      <c r="E4467" t="s">
        <v>3312</v>
      </c>
    </row>
    <row r="4468" spans="1:5" x14ac:dyDescent="0.25">
      <c r="A4468">
        <v>2241</v>
      </c>
      <c r="B4468" t="s">
        <v>1738</v>
      </c>
      <c r="C4468" t="s">
        <v>443</v>
      </c>
      <c r="D4468" t="str">
        <f t="shared" si="70"/>
        <v>IGAM3926</v>
      </c>
      <c r="E4468" t="s">
        <v>3006</v>
      </c>
    </row>
    <row r="4469" spans="1:5" x14ac:dyDescent="0.25">
      <c r="A4469">
        <v>2241</v>
      </c>
      <c r="B4469" t="s">
        <v>1738</v>
      </c>
      <c r="C4469" t="s">
        <v>3008</v>
      </c>
      <c r="D4469" t="str">
        <f t="shared" si="70"/>
        <v>IGAM3927</v>
      </c>
      <c r="E4469" t="s">
        <v>3009</v>
      </c>
    </row>
    <row r="4470" spans="1:5" x14ac:dyDescent="0.25">
      <c r="A4470">
        <v>2241</v>
      </c>
      <c r="B4470" t="s">
        <v>1738</v>
      </c>
      <c r="C4470" t="s">
        <v>458</v>
      </c>
      <c r="D4470" t="str">
        <f t="shared" si="70"/>
        <v>IGAM3930</v>
      </c>
      <c r="E4470" t="s">
        <v>3006</v>
      </c>
    </row>
    <row r="4471" spans="1:5" x14ac:dyDescent="0.25">
      <c r="A4471">
        <v>2241</v>
      </c>
      <c r="B4471" t="s">
        <v>1738</v>
      </c>
      <c r="C4471" t="s">
        <v>1481</v>
      </c>
      <c r="D4471" t="str">
        <f t="shared" si="70"/>
        <v>IGAM3931</v>
      </c>
      <c r="E4471" t="s">
        <v>3318</v>
      </c>
    </row>
    <row r="4472" spans="1:5" x14ac:dyDescent="0.25">
      <c r="A4472">
        <v>2241</v>
      </c>
      <c r="B4472" t="s">
        <v>1738</v>
      </c>
      <c r="C4472" t="s">
        <v>466</v>
      </c>
      <c r="D4472" t="str">
        <f t="shared" si="70"/>
        <v>IGAM3933</v>
      </c>
      <c r="E4472" t="s">
        <v>3334</v>
      </c>
    </row>
    <row r="4473" spans="1:5" x14ac:dyDescent="0.25">
      <c r="A4473">
        <v>2241</v>
      </c>
      <c r="B4473" t="s">
        <v>1738</v>
      </c>
      <c r="C4473" t="s">
        <v>3089</v>
      </c>
      <c r="D4473" t="str">
        <f t="shared" si="70"/>
        <v>IGAM3939</v>
      </c>
      <c r="E4473" t="s">
        <v>3335</v>
      </c>
    </row>
    <row r="4474" spans="1:5" x14ac:dyDescent="0.25">
      <c r="A4474">
        <v>2241</v>
      </c>
      <c r="B4474" t="s">
        <v>1738</v>
      </c>
      <c r="C4474" t="s">
        <v>3019</v>
      </c>
      <c r="D4474" t="str">
        <f t="shared" si="70"/>
        <v>IGAM3940</v>
      </c>
      <c r="E4474" t="s">
        <v>3009</v>
      </c>
    </row>
    <row r="4475" spans="1:5" x14ac:dyDescent="0.25">
      <c r="A4475">
        <v>2241</v>
      </c>
      <c r="B4475" t="s">
        <v>1738</v>
      </c>
      <c r="C4475" t="s">
        <v>480</v>
      </c>
      <c r="D4475" t="str">
        <f t="shared" si="70"/>
        <v>IGAM3941</v>
      </c>
      <c r="E4475" t="s">
        <v>3267</v>
      </c>
    </row>
    <row r="4476" spans="1:5" x14ac:dyDescent="0.25">
      <c r="A4476">
        <v>2241</v>
      </c>
      <c r="B4476" t="s">
        <v>1738</v>
      </c>
      <c r="C4476" t="s">
        <v>3020</v>
      </c>
      <c r="D4476" t="str">
        <f t="shared" si="70"/>
        <v>IGAM3943</v>
      </c>
      <c r="E4476" t="s">
        <v>2958</v>
      </c>
    </row>
    <row r="4477" spans="1:5" x14ac:dyDescent="0.25">
      <c r="A4477">
        <v>2241</v>
      </c>
      <c r="B4477" t="s">
        <v>1738</v>
      </c>
      <c r="C4477" t="s">
        <v>492</v>
      </c>
      <c r="D4477" t="str">
        <f t="shared" si="70"/>
        <v>IGAM3948</v>
      </c>
      <c r="E4477" t="s">
        <v>3004</v>
      </c>
    </row>
    <row r="4478" spans="1:5" x14ac:dyDescent="0.25">
      <c r="A4478">
        <v>2241</v>
      </c>
      <c r="B4478" t="s">
        <v>1738</v>
      </c>
      <c r="C4478" t="s">
        <v>3098</v>
      </c>
      <c r="D4478" t="str">
        <f t="shared" si="70"/>
        <v>IGAM3952</v>
      </c>
      <c r="E4478" t="s">
        <v>65</v>
      </c>
    </row>
    <row r="4479" spans="1:5" x14ac:dyDescent="0.25">
      <c r="A4479">
        <v>2241</v>
      </c>
      <c r="B4479" t="s">
        <v>1738</v>
      </c>
      <c r="C4479" t="s">
        <v>3031</v>
      </c>
      <c r="D4479" t="str">
        <f t="shared" si="70"/>
        <v>IGAM3970</v>
      </c>
      <c r="E4479" t="s">
        <v>3009</v>
      </c>
    </row>
    <row r="4480" spans="1:5" x14ac:dyDescent="0.25">
      <c r="A4480">
        <v>2241</v>
      </c>
      <c r="B4480" t="s">
        <v>1738</v>
      </c>
      <c r="C4480" t="s">
        <v>3111</v>
      </c>
      <c r="D4480" t="str">
        <f t="shared" si="70"/>
        <v>IGAM3973</v>
      </c>
      <c r="E4480" t="s">
        <v>3271</v>
      </c>
    </row>
    <row r="4481" spans="1:5" x14ac:dyDescent="0.25">
      <c r="A4481">
        <v>2241</v>
      </c>
      <c r="B4481" t="s">
        <v>1738</v>
      </c>
      <c r="C4481" t="s">
        <v>520</v>
      </c>
      <c r="D4481" t="str">
        <f t="shared" si="70"/>
        <v>IGAM3978</v>
      </c>
      <c r="E4481" t="s">
        <v>2981</v>
      </c>
    </row>
    <row r="4482" spans="1:5" x14ac:dyDescent="0.25">
      <c r="A4482">
        <v>2241</v>
      </c>
      <c r="B4482" t="s">
        <v>1738</v>
      </c>
      <c r="C4482" t="s">
        <v>3036</v>
      </c>
      <c r="D4482" t="str">
        <f t="shared" si="70"/>
        <v>IGAM3987</v>
      </c>
      <c r="E4482" t="s">
        <v>2958</v>
      </c>
    </row>
    <row r="4483" spans="1:5" x14ac:dyDescent="0.25">
      <c r="A4483">
        <v>2241</v>
      </c>
      <c r="B4483" t="s">
        <v>1738</v>
      </c>
      <c r="C4483" t="s">
        <v>3040</v>
      </c>
      <c r="D4483" t="str">
        <f t="shared" si="70"/>
        <v>IGAM3999</v>
      </c>
      <c r="E4483" t="s">
        <v>3336</v>
      </c>
    </row>
    <row r="4484" spans="1:5" x14ac:dyDescent="0.25">
      <c r="A4484">
        <v>2241</v>
      </c>
      <c r="B4484" t="s">
        <v>1738</v>
      </c>
      <c r="C4484" t="s">
        <v>3041</v>
      </c>
      <c r="D4484" t="str">
        <f t="shared" si="70"/>
        <v>IGAM4002</v>
      </c>
      <c r="E4484" t="s">
        <v>3009</v>
      </c>
    </row>
    <row r="4485" spans="1:5" x14ac:dyDescent="0.25">
      <c r="A4485">
        <v>2241</v>
      </c>
      <c r="B4485" t="s">
        <v>1738</v>
      </c>
      <c r="C4485" t="s">
        <v>3043</v>
      </c>
      <c r="D4485" t="str">
        <f t="shared" ref="D4485:D4548" si="71">CONCATENATE(B4485,LEFT(C4485,4))</f>
        <v>IGAM4003</v>
      </c>
      <c r="E4485" t="s">
        <v>94</v>
      </c>
    </row>
    <row r="4486" spans="1:5" x14ac:dyDescent="0.25">
      <c r="A4486">
        <v>2241</v>
      </c>
      <c r="B4486" t="s">
        <v>1738</v>
      </c>
      <c r="C4486" t="s">
        <v>3045</v>
      </c>
      <c r="D4486" t="str">
        <f t="shared" si="71"/>
        <v>IGAM4004</v>
      </c>
      <c r="E4486" t="s">
        <v>3009</v>
      </c>
    </row>
    <row r="4487" spans="1:5" x14ac:dyDescent="0.25">
      <c r="A4487">
        <v>2241</v>
      </c>
      <c r="B4487" t="s">
        <v>1738</v>
      </c>
      <c r="C4487" t="s">
        <v>3047</v>
      </c>
      <c r="D4487" t="str">
        <f t="shared" si="71"/>
        <v>IGAM4005</v>
      </c>
      <c r="E4487" t="s">
        <v>3009</v>
      </c>
    </row>
    <row r="4488" spans="1:5" x14ac:dyDescent="0.25">
      <c r="A4488">
        <v>2241</v>
      </c>
      <c r="B4488" t="s">
        <v>1738</v>
      </c>
      <c r="C4488" t="s">
        <v>813</v>
      </c>
      <c r="D4488" t="str">
        <f t="shared" si="71"/>
        <v>IGAM4006</v>
      </c>
      <c r="E4488" t="s">
        <v>3057</v>
      </c>
    </row>
    <row r="4489" spans="1:5" x14ac:dyDescent="0.25">
      <c r="A4489">
        <v>2241</v>
      </c>
      <c r="B4489" t="s">
        <v>1738</v>
      </c>
      <c r="C4489" t="s">
        <v>3123</v>
      </c>
      <c r="D4489" t="str">
        <f t="shared" si="71"/>
        <v>IGAM4101</v>
      </c>
      <c r="E4489" t="s">
        <v>3337</v>
      </c>
    </row>
    <row r="4490" spans="1:5" x14ac:dyDescent="0.25">
      <c r="A4490">
        <v>2241</v>
      </c>
      <c r="B4490" t="s">
        <v>1738</v>
      </c>
      <c r="C4490" t="s">
        <v>3127</v>
      </c>
      <c r="D4490" t="str">
        <f t="shared" si="71"/>
        <v>IGAM4201</v>
      </c>
      <c r="E4490" t="s">
        <v>3218</v>
      </c>
    </row>
    <row r="4491" spans="1:5" x14ac:dyDescent="0.25">
      <c r="A4491">
        <v>2241</v>
      </c>
      <c r="B4491" t="s">
        <v>1738</v>
      </c>
      <c r="C4491" t="s">
        <v>3128</v>
      </c>
      <c r="D4491" t="str">
        <f t="shared" si="71"/>
        <v>IGAM4301</v>
      </c>
      <c r="E4491" t="s">
        <v>3239</v>
      </c>
    </row>
    <row r="4492" spans="1:5" x14ac:dyDescent="0.25">
      <c r="A4492">
        <v>2241</v>
      </c>
      <c r="B4492" t="s">
        <v>1738</v>
      </c>
      <c r="C4492" t="s">
        <v>3048</v>
      </c>
      <c r="D4492" t="str">
        <f t="shared" si="71"/>
        <v>IGAM4701</v>
      </c>
      <c r="E4492" t="s">
        <v>3049</v>
      </c>
    </row>
    <row r="4493" spans="1:5" x14ac:dyDescent="0.25">
      <c r="A4493">
        <v>2241</v>
      </c>
      <c r="B4493" t="s">
        <v>1738</v>
      </c>
      <c r="C4493" t="s">
        <v>265</v>
      </c>
      <c r="D4493" t="str">
        <f t="shared" si="71"/>
        <v>IGAM4703</v>
      </c>
      <c r="E4493" t="s">
        <v>3049</v>
      </c>
    </row>
    <row r="4494" spans="1:5" x14ac:dyDescent="0.25">
      <c r="A4494">
        <v>2241</v>
      </c>
      <c r="B4494" t="s">
        <v>1738</v>
      </c>
      <c r="C4494" t="s">
        <v>316</v>
      </c>
      <c r="D4494" t="str">
        <f t="shared" si="71"/>
        <v>IGAM4706</v>
      </c>
      <c r="E4494" t="s">
        <v>3049</v>
      </c>
    </row>
    <row r="4495" spans="1:5" x14ac:dyDescent="0.25">
      <c r="A4495">
        <v>2241</v>
      </c>
      <c r="B4495" t="s">
        <v>1738</v>
      </c>
      <c r="C4495" t="s">
        <v>364</v>
      </c>
      <c r="D4495" t="str">
        <f t="shared" si="71"/>
        <v>IGAM4799</v>
      </c>
      <c r="E4495" t="s">
        <v>3049</v>
      </c>
    </row>
    <row r="4496" spans="1:5" x14ac:dyDescent="0.25">
      <c r="A4496">
        <v>2241</v>
      </c>
      <c r="B4496" t="s">
        <v>1738</v>
      </c>
      <c r="C4496" t="s">
        <v>242</v>
      </c>
      <c r="D4496" t="str">
        <f t="shared" si="71"/>
        <v>IGAM5201</v>
      </c>
      <c r="E4496" t="s">
        <v>2965</v>
      </c>
    </row>
    <row r="4497" spans="1:5" x14ac:dyDescent="0.25">
      <c r="A4497">
        <v>2241</v>
      </c>
      <c r="B4497" t="s">
        <v>1738</v>
      </c>
      <c r="C4497" t="s">
        <v>3054</v>
      </c>
      <c r="D4497" t="str">
        <f t="shared" si="71"/>
        <v>IGAM5204</v>
      </c>
      <c r="E4497" t="s">
        <v>3055</v>
      </c>
    </row>
    <row r="4498" spans="1:5" x14ac:dyDescent="0.25">
      <c r="A4498">
        <v>2241</v>
      </c>
      <c r="B4498" t="s">
        <v>1738</v>
      </c>
      <c r="C4498" t="s">
        <v>329</v>
      </c>
      <c r="D4498" t="str">
        <f t="shared" si="71"/>
        <v>IGAM5206</v>
      </c>
      <c r="E4498" t="s">
        <v>3057</v>
      </c>
    </row>
    <row r="4499" spans="1:5" x14ac:dyDescent="0.25">
      <c r="A4499">
        <v>2241</v>
      </c>
      <c r="B4499" t="s">
        <v>1738</v>
      </c>
      <c r="C4499" t="s">
        <v>3058</v>
      </c>
      <c r="D4499" t="str">
        <f t="shared" si="71"/>
        <v>IGAM5207</v>
      </c>
      <c r="E4499" t="s">
        <v>3057</v>
      </c>
    </row>
    <row r="4500" spans="1:5" x14ac:dyDescent="0.25">
      <c r="A4500">
        <v>2241</v>
      </c>
      <c r="B4500" t="s">
        <v>1738</v>
      </c>
      <c r="C4500" t="s">
        <v>3060</v>
      </c>
      <c r="D4500" t="str">
        <f t="shared" si="71"/>
        <v>IGAM5208</v>
      </c>
      <c r="E4500" t="s">
        <v>3057</v>
      </c>
    </row>
    <row r="4501" spans="1:5" x14ac:dyDescent="0.25">
      <c r="A4501">
        <v>2241</v>
      </c>
      <c r="B4501" t="s">
        <v>1738</v>
      </c>
      <c r="C4501" t="s">
        <v>3063</v>
      </c>
      <c r="D4501" t="str">
        <f t="shared" si="71"/>
        <v>IGAM5210</v>
      </c>
      <c r="E4501" t="s">
        <v>3055</v>
      </c>
    </row>
    <row r="4502" spans="1:5" x14ac:dyDescent="0.25">
      <c r="A4502">
        <v>2241</v>
      </c>
      <c r="B4502" t="s">
        <v>1738</v>
      </c>
      <c r="C4502" t="s">
        <v>3064</v>
      </c>
      <c r="D4502" t="str">
        <f t="shared" si="71"/>
        <v>IGAM5212</v>
      </c>
      <c r="E4502" t="s">
        <v>3055</v>
      </c>
    </row>
    <row r="4503" spans="1:5" x14ac:dyDescent="0.25">
      <c r="A4503">
        <v>2241</v>
      </c>
      <c r="B4503" t="s">
        <v>1738</v>
      </c>
      <c r="C4503" t="s">
        <v>409</v>
      </c>
      <c r="D4503" t="str">
        <f t="shared" si="71"/>
        <v>IGAM5217</v>
      </c>
      <c r="E4503" t="s">
        <v>3055</v>
      </c>
    </row>
    <row r="4504" spans="1:5" x14ac:dyDescent="0.25">
      <c r="A4504">
        <v>2241</v>
      </c>
      <c r="B4504" t="s">
        <v>1738</v>
      </c>
      <c r="C4504" t="s">
        <v>434</v>
      </c>
      <c r="D4504" t="str">
        <f t="shared" si="71"/>
        <v>IGAM5222</v>
      </c>
      <c r="E4504" t="s">
        <v>3055</v>
      </c>
    </row>
    <row r="4505" spans="1:5" x14ac:dyDescent="0.25">
      <c r="A4505">
        <v>2241</v>
      </c>
      <c r="B4505" t="s">
        <v>1738</v>
      </c>
      <c r="C4505" t="s">
        <v>449</v>
      </c>
      <c r="D4505" t="str">
        <f t="shared" si="71"/>
        <v>IGAM5225</v>
      </c>
      <c r="E4505" t="s">
        <v>3055</v>
      </c>
    </row>
    <row r="4506" spans="1:5" x14ac:dyDescent="0.25">
      <c r="A4506">
        <v>2241</v>
      </c>
      <c r="B4506" t="s">
        <v>1738</v>
      </c>
      <c r="C4506" t="s">
        <v>3150</v>
      </c>
      <c r="D4506" t="str">
        <f t="shared" si="71"/>
        <v>IGAM5230</v>
      </c>
      <c r="E4506" t="s">
        <v>3055</v>
      </c>
    </row>
    <row r="4507" spans="1:5" x14ac:dyDescent="0.25">
      <c r="A4507">
        <v>2241</v>
      </c>
      <c r="B4507" t="s">
        <v>1738</v>
      </c>
      <c r="C4507" t="s">
        <v>3074</v>
      </c>
      <c r="D4507" t="str">
        <f t="shared" si="71"/>
        <v>IGAM9202</v>
      </c>
      <c r="E4507" t="s">
        <v>3075</v>
      </c>
    </row>
    <row r="4508" spans="1:5" x14ac:dyDescent="0.25">
      <c r="A4508">
        <v>2241</v>
      </c>
      <c r="B4508" t="s">
        <v>1738</v>
      </c>
      <c r="C4508" t="s">
        <v>331</v>
      </c>
      <c r="D4508" t="str">
        <f t="shared" si="71"/>
        <v>IGAM9306</v>
      </c>
      <c r="E4508" t="s">
        <v>3076</v>
      </c>
    </row>
    <row r="4509" spans="1:5" x14ac:dyDescent="0.25">
      <c r="A4509">
        <v>2241</v>
      </c>
      <c r="B4509" t="s">
        <v>1738</v>
      </c>
      <c r="C4509" t="s">
        <v>367</v>
      </c>
      <c r="D4509" t="str">
        <f t="shared" si="71"/>
        <v>IGAM9310</v>
      </c>
      <c r="E4509" t="s">
        <v>3338</v>
      </c>
    </row>
    <row r="4510" spans="1:5" x14ac:dyDescent="0.25">
      <c r="A4510">
        <v>2241</v>
      </c>
      <c r="B4510" t="s">
        <v>1738</v>
      </c>
      <c r="C4510" t="s">
        <v>3079</v>
      </c>
      <c r="D4510" t="str">
        <f t="shared" si="71"/>
        <v>IGAM9399</v>
      </c>
      <c r="E4510" t="s">
        <v>3277</v>
      </c>
    </row>
    <row r="4511" spans="1:5" x14ac:dyDescent="0.25">
      <c r="A4511">
        <v>2241</v>
      </c>
      <c r="B4511" t="s">
        <v>1738</v>
      </c>
      <c r="C4511" t="s">
        <v>2988</v>
      </c>
      <c r="D4511" t="str">
        <f t="shared" si="71"/>
        <v>IGAM3903</v>
      </c>
      <c r="E4511" t="s">
        <v>2968</v>
      </c>
    </row>
    <row r="4512" spans="1:5" x14ac:dyDescent="0.25">
      <c r="A4512">
        <v>2241</v>
      </c>
      <c r="B4512" t="s">
        <v>1738</v>
      </c>
      <c r="C4512" t="s">
        <v>440</v>
      </c>
      <c r="D4512" t="str">
        <f t="shared" si="71"/>
        <v>IGAM9326</v>
      </c>
      <c r="E4512" t="s">
        <v>2968</v>
      </c>
    </row>
    <row r="4513" spans="1:5" x14ac:dyDescent="0.25">
      <c r="A4513">
        <v>2251</v>
      </c>
      <c r="B4513" t="s">
        <v>1742</v>
      </c>
      <c r="C4513" t="s">
        <v>2928</v>
      </c>
      <c r="D4513" t="str">
        <f t="shared" si="71"/>
        <v>JUCEMG1401</v>
      </c>
      <c r="E4513" t="s">
        <v>44</v>
      </c>
    </row>
    <row r="4514" spans="1:5" x14ac:dyDescent="0.25">
      <c r="A4514">
        <v>2251</v>
      </c>
      <c r="B4514" t="s">
        <v>1742</v>
      </c>
      <c r="C4514" t="s">
        <v>979</v>
      </c>
      <c r="D4514" t="str">
        <f t="shared" si="71"/>
        <v>JUCEMG3003</v>
      </c>
      <c r="E4514" t="s">
        <v>2933</v>
      </c>
    </row>
    <row r="4515" spans="1:5" x14ac:dyDescent="0.25">
      <c r="A4515">
        <v>2251</v>
      </c>
      <c r="B4515" t="s">
        <v>1742</v>
      </c>
      <c r="C4515" t="s">
        <v>2939</v>
      </c>
      <c r="D4515" t="str">
        <f t="shared" si="71"/>
        <v>JUCEMG3005</v>
      </c>
      <c r="E4515" t="s">
        <v>2933</v>
      </c>
    </row>
    <row r="4516" spans="1:5" x14ac:dyDescent="0.25">
      <c r="A4516">
        <v>2251</v>
      </c>
      <c r="B4516" t="s">
        <v>1742</v>
      </c>
      <c r="C4516" t="s">
        <v>2941</v>
      </c>
      <c r="D4516" t="str">
        <f t="shared" si="71"/>
        <v>JUCEMG3008</v>
      </c>
      <c r="E4516" t="s">
        <v>2933</v>
      </c>
    </row>
    <row r="4517" spans="1:5" x14ac:dyDescent="0.25">
      <c r="A4517">
        <v>2251</v>
      </c>
      <c r="B4517" t="s">
        <v>1742</v>
      </c>
      <c r="C4517" t="s">
        <v>2943</v>
      </c>
      <c r="D4517" t="str">
        <f t="shared" si="71"/>
        <v>JUCEMG3010</v>
      </c>
      <c r="E4517" t="s">
        <v>2944</v>
      </c>
    </row>
    <row r="4518" spans="1:5" x14ac:dyDescent="0.25">
      <c r="A4518">
        <v>2251</v>
      </c>
      <c r="B4518" t="s">
        <v>1742</v>
      </c>
      <c r="C4518" t="s">
        <v>2948</v>
      </c>
      <c r="D4518" t="str">
        <f t="shared" si="71"/>
        <v>JUCEMG3015</v>
      </c>
      <c r="E4518" t="s">
        <v>2933</v>
      </c>
    </row>
    <row r="4519" spans="1:5" x14ac:dyDescent="0.25">
      <c r="A4519">
        <v>2251</v>
      </c>
      <c r="B4519" t="s">
        <v>1742</v>
      </c>
      <c r="C4519" t="s">
        <v>2950</v>
      </c>
      <c r="D4519" t="str">
        <f t="shared" si="71"/>
        <v>JUCEMG3016</v>
      </c>
      <c r="E4519" t="s">
        <v>2933</v>
      </c>
    </row>
    <row r="4520" spans="1:5" x14ac:dyDescent="0.25">
      <c r="A4520">
        <v>2251</v>
      </c>
      <c r="B4520" t="s">
        <v>1742</v>
      </c>
      <c r="C4520" t="s">
        <v>2955</v>
      </c>
      <c r="D4520" t="str">
        <f t="shared" si="71"/>
        <v>JUCEMG3020</v>
      </c>
      <c r="E4520" t="s">
        <v>2933</v>
      </c>
    </row>
    <row r="4521" spans="1:5" x14ac:dyDescent="0.25">
      <c r="A4521">
        <v>2251</v>
      </c>
      <c r="B4521" t="s">
        <v>1742</v>
      </c>
      <c r="C4521" t="s">
        <v>431</v>
      </c>
      <c r="D4521" t="str">
        <f t="shared" si="71"/>
        <v>JUCEMG3022</v>
      </c>
      <c r="E4521" t="s">
        <v>2933</v>
      </c>
    </row>
    <row r="4522" spans="1:5" x14ac:dyDescent="0.25">
      <c r="A4522">
        <v>2251</v>
      </c>
      <c r="B4522" t="s">
        <v>1742</v>
      </c>
      <c r="C4522" t="s">
        <v>441</v>
      </c>
      <c r="D4522" t="str">
        <f t="shared" si="71"/>
        <v>JUCEMG3024</v>
      </c>
      <c r="E4522" t="s">
        <v>2933</v>
      </c>
    </row>
    <row r="4523" spans="1:5" x14ac:dyDescent="0.25">
      <c r="A4523">
        <v>2251</v>
      </c>
      <c r="B4523" t="s">
        <v>1742</v>
      </c>
      <c r="C4523" t="s">
        <v>2960</v>
      </c>
      <c r="D4523" t="str">
        <f t="shared" si="71"/>
        <v>JUCEMG3026</v>
      </c>
      <c r="E4523" t="s">
        <v>2958</v>
      </c>
    </row>
    <row r="4524" spans="1:5" x14ac:dyDescent="0.25">
      <c r="A4524">
        <v>2251</v>
      </c>
      <c r="B4524" t="s">
        <v>1742</v>
      </c>
      <c r="C4524" t="s">
        <v>2961</v>
      </c>
      <c r="D4524" t="str">
        <f t="shared" si="71"/>
        <v>JUCEMG3027</v>
      </c>
      <c r="E4524" t="s">
        <v>2933</v>
      </c>
    </row>
    <row r="4525" spans="1:5" x14ac:dyDescent="0.25">
      <c r="A4525">
        <v>2251</v>
      </c>
      <c r="B4525" t="s">
        <v>1742</v>
      </c>
      <c r="C4525" t="s">
        <v>467</v>
      </c>
      <c r="D4525" t="str">
        <f t="shared" si="71"/>
        <v>JUCEMG3030</v>
      </c>
      <c r="E4525" t="s">
        <v>2933</v>
      </c>
    </row>
    <row r="4526" spans="1:5" x14ac:dyDescent="0.25">
      <c r="A4526">
        <v>2251</v>
      </c>
      <c r="B4526" t="s">
        <v>1742</v>
      </c>
      <c r="C4526" t="s">
        <v>491</v>
      </c>
      <c r="D4526" t="str">
        <f t="shared" si="71"/>
        <v>JUCEMG3099</v>
      </c>
      <c r="E4526" t="s">
        <v>2933</v>
      </c>
    </row>
    <row r="4527" spans="1:5" x14ac:dyDescent="0.25">
      <c r="A4527">
        <v>2251</v>
      </c>
      <c r="B4527" t="s">
        <v>1742</v>
      </c>
      <c r="C4527" t="s">
        <v>54</v>
      </c>
      <c r="D4527" t="str">
        <f t="shared" si="71"/>
        <v>JUCEMG3301</v>
      </c>
      <c r="E4527" t="s">
        <v>44</v>
      </c>
    </row>
    <row r="4528" spans="1:5" x14ac:dyDescent="0.25">
      <c r="A4528">
        <v>2251</v>
      </c>
      <c r="B4528" t="s">
        <v>1742</v>
      </c>
      <c r="C4528" t="s">
        <v>2975</v>
      </c>
      <c r="D4528" t="str">
        <f t="shared" si="71"/>
        <v>JUCEMG3302</v>
      </c>
      <c r="E4528" t="s">
        <v>44</v>
      </c>
    </row>
    <row r="4529" spans="1:5" x14ac:dyDescent="0.25">
      <c r="A4529">
        <v>2251</v>
      </c>
      <c r="B4529" t="s">
        <v>1742</v>
      </c>
      <c r="C4529" t="s">
        <v>2977</v>
      </c>
      <c r="D4529" t="str">
        <f t="shared" si="71"/>
        <v>JUCEMG3304</v>
      </c>
      <c r="E4529" t="s">
        <v>44</v>
      </c>
    </row>
    <row r="4530" spans="1:5" x14ac:dyDescent="0.25">
      <c r="A4530">
        <v>2251</v>
      </c>
      <c r="B4530" t="s">
        <v>1742</v>
      </c>
      <c r="C4530" t="s">
        <v>309</v>
      </c>
      <c r="D4530" t="str">
        <f t="shared" si="71"/>
        <v>JUCEMG3305</v>
      </c>
      <c r="E4530" t="s">
        <v>2968</v>
      </c>
    </row>
    <row r="4531" spans="1:5" x14ac:dyDescent="0.25">
      <c r="A4531">
        <v>2251</v>
      </c>
      <c r="B4531" t="s">
        <v>1742</v>
      </c>
      <c r="C4531" t="s">
        <v>297</v>
      </c>
      <c r="D4531" t="str">
        <f t="shared" si="71"/>
        <v>JUCEMG3604</v>
      </c>
      <c r="E4531" t="s">
        <v>44</v>
      </c>
    </row>
    <row r="4532" spans="1:5" x14ac:dyDescent="0.25">
      <c r="A4532">
        <v>2251</v>
      </c>
      <c r="B4532" t="s">
        <v>1742</v>
      </c>
      <c r="C4532" t="s">
        <v>355</v>
      </c>
      <c r="D4532" t="str">
        <f t="shared" si="71"/>
        <v>JUCEMG3610</v>
      </c>
      <c r="E4532" t="s">
        <v>2968</v>
      </c>
    </row>
    <row r="4533" spans="1:5" x14ac:dyDescent="0.25">
      <c r="A4533">
        <v>2251</v>
      </c>
      <c r="B4533" t="s">
        <v>1742</v>
      </c>
      <c r="C4533" t="s">
        <v>2979</v>
      </c>
      <c r="D4533" t="str">
        <f t="shared" si="71"/>
        <v>JUCEMG3612</v>
      </c>
      <c r="E4533" t="s">
        <v>2968</v>
      </c>
    </row>
    <row r="4534" spans="1:5" x14ac:dyDescent="0.25">
      <c r="A4534">
        <v>2251</v>
      </c>
      <c r="B4534" t="s">
        <v>1742</v>
      </c>
      <c r="C4534" t="s">
        <v>468</v>
      </c>
      <c r="D4534" t="str">
        <f t="shared" si="71"/>
        <v>JUCEMG3631</v>
      </c>
      <c r="E4534" t="s">
        <v>3004</v>
      </c>
    </row>
    <row r="4535" spans="1:5" x14ac:dyDescent="0.25">
      <c r="A4535">
        <v>2251</v>
      </c>
      <c r="B4535" t="s">
        <v>1742</v>
      </c>
      <c r="C4535" t="s">
        <v>2980</v>
      </c>
      <c r="D4535" t="str">
        <f t="shared" si="71"/>
        <v>JUCEMG3701</v>
      </c>
      <c r="E4535" t="s">
        <v>103</v>
      </c>
    </row>
    <row r="4536" spans="1:5" x14ac:dyDescent="0.25">
      <c r="A4536">
        <v>2251</v>
      </c>
      <c r="B4536" t="s">
        <v>1742</v>
      </c>
      <c r="C4536" t="s">
        <v>3050</v>
      </c>
      <c r="D4536" t="str">
        <f t="shared" si="71"/>
        <v>JUCEMG3702</v>
      </c>
      <c r="E4536" t="s">
        <v>2981</v>
      </c>
    </row>
    <row r="4537" spans="1:5" x14ac:dyDescent="0.25">
      <c r="A4537">
        <v>2251</v>
      </c>
      <c r="B4537" t="s">
        <v>1742</v>
      </c>
      <c r="C4537" t="s">
        <v>2985</v>
      </c>
      <c r="D4537" t="str">
        <f t="shared" si="71"/>
        <v>JUCEMG3704</v>
      </c>
      <c r="E4537" t="s">
        <v>117</v>
      </c>
    </row>
    <row r="4538" spans="1:5" x14ac:dyDescent="0.25">
      <c r="A4538">
        <v>2251</v>
      </c>
      <c r="B4538" t="s">
        <v>1742</v>
      </c>
      <c r="C4538" t="s">
        <v>326</v>
      </c>
      <c r="D4538" t="str">
        <f t="shared" si="71"/>
        <v>JUCEMG3906</v>
      </c>
      <c r="E4538" t="s">
        <v>2968</v>
      </c>
    </row>
    <row r="4539" spans="1:5" x14ac:dyDescent="0.25">
      <c r="A4539">
        <v>2251</v>
      </c>
      <c r="B4539" t="s">
        <v>1742</v>
      </c>
      <c r="C4539" t="s">
        <v>2989</v>
      </c>
      <c r="D4539" t="str">
        <f t="shared" si="71"/>
        <v>JUCEMG3908</v>
      </c>
      <c r="E4539" t="s">
        <v>2968</v>
      </c>
    </row>
    <row r="4540" spans="1:5" x14ac:dyDescent="0.25">
      <c r="A4540">
        <v>2251</v>
      </c>
      <c r="B4540" t="s">
        <v>1742</v>
      </c>
      <c r="C4540" t="s">
        <v>346</v>
      </c>
      <c r="D4540" t="str">
        <f t="shared" si="71"/>
        <v>JUCEMG3910</v>
      </c>
      <c r="E4540" t="s">
        <v>2968</v>
      </c>
    </row>
    <row r="4541" spans="1:5" x14ac:dyDescent="0.25">
      <c r="A4541">
        <v>2251</v>
      </c>
      <c r="B4541" t="s">
        <v>1742</v>
      </c>
      <c r="C4541" t="s">
        <v>356</v>
      </c>
      <c r="D4541" t="str">
        <f t="shared" si="71"/>
        <v>JUCEMG3911</v>
      </c>
      <c r="E4541" t="s">
        <v>2968</v>
      </c>
    </row>
    <row r="4542" spans="1:5" x14ac:dyDescent="0.25">
      <c r="A4542">
        <v>2251</v>
      </c>
      <c r="B4542" t="s">
        <v>1742</v>
      </c>
      <c r="C4542" t="s">
        <v>2991</v>
      </c>
      <c r="D4542" t="str">
        <f t="shared" si="71"/>
        <v>JUCEMG3912</v>
      </c>
      <c r="E4542" t="s">
        <v>2992</v>
      </c>
    </row>
    <row r="4543" spans="1:5" x14ac:dyDescent="0.25">
      <c r="A4543">
        <v>2251</v>
      </c>
      <c r="B4543" t="s">
        <v>1742</v>
      </c>
      <c r="C4543" t="s">
        <v>2994</v>
      </c>
      <c r="D4543" t="str">
        <f t="shared" si="71"/>
        <v>JUCEMG3913</v>
      </c>
      <c r="E4543" t="s">
        <v>2992</v>
      </c>
    </row>
    <row r="4544" spans="1:5" x14ac:dyDescent="0.25">
      <c r="A4544">
        <v>2251</v>
      </c>
      <c r="B4544" t="s">
        <v>1742</v>
      </c>
      <c r="C4544" t="s">
        <v>384</v>
      </c>
      <c r="D4544" t="str">
        <f t="shared" si="71"/>
        <v>JUCEMG3915</v>
      </c>
      <c r="E4544" t="s">
        <v>2992</v>
      </c>
    </row>
    <row r="4545" spans="1:5" x14ac:dyDescent="0.25">
      <c r="A4545">
        <v>2251</v>
      </c>
      <c r="B4545" t="s">
        <v>1742</v>
      </c>
      <c r="C4545" t="s">
        <v>2996</v>
      </c>
      <c r="D4545" t="str">
        <f t="shared" si="71"/>
        <v>JUCEMG3917</v>
      </c>
      <c r="E4545" t="s">
        <v>2958</v>
      </c>
    </row>
    <row r="4546" spans="1:5" x14ac:dyDescent="0.25">
      <c r="A4546">
        <v>2251</v>
      </c>
      <c r="B4546" t="s">
        <v>1742</v>
      </c>
      <c r="C4546" t="s">
        <v>3000</v>
      </c>
      <c r="D4546" t="str">
        <f t="shared" si="71"/>
        <v>JUCEMG3919</v>
      </c>
      <c r="E4546" t="s">
        <v>3001</v>
      </c>
    </row>
    <row r="4547" spans="1:5" x14ac:dyDescent="0.25">
      <c r="A4547">
        <v>2251</v>
      </c>
      <c r="B4547" t="s">
        <v>1742</v>
      </c>
      <c r="C4547" t="s">
        <v>3077</v>
      </c>
      <c r="D4547" t="str">
        <f t="shared" si="71"/>
        <v>JUCEMG3920</v>
      </c>
      <c r="E4547" t="s">
        <v>3107</v>
      </c>
    </row>
    <row r="4548" spans="1:5" x14ac:dyDescent="0.25">
      <c r="A4548">
        <v>2251</v>
      </c>
      <c r="B4548" t="s">
        <v>1742</v>
      </c>
      <c r="C4548" t="s">
        <v>3002</v>
      </c>
      <c r="D4548" t="str">
        <f t="shared" si="71"/>
        <v>JUCEMG3921</v>
      </c>
      <c r="E4548" t="s">
        <v>3001</v>
      </c>
    </row>
    <row r="4549" spans="1:5" x14ac:dyDescent="0.25">
      <c r="A4549">
        <v>2251</v>
      </c>
      <c r="B4549" t="s">
        <v>1742</v>
      </c>
      <c r="C4549" t="s">
        <v>3003</v>
      </c>
      <c r="D4549" t="str">
        <f t="shared" ref="D4549:D4612" si="72">CONCATENATE(B4549,LEFT(C4549,4))</f>
        <v>JUCEMG3922</v>
      </c>
      <c r="E4549" t="s">
        <v>2954</v>
      </c>
    </row>
    <row r="4550" spans="1:5" x14ac:dyDescent="0.25">
      <c r="A4550">
        <v>2251</v>
      </c>
      <c r="B4550" t="s">
        <v>1742</v>
      </c>
      <c r="C4550" t="s">
        <v>438</v>
      </c>
      <c r="D4550" t="str">
        <f t="shared" si="72"/>
        <v>JUCEMG3925</v>
      </c>
      <c r="E4550" t="s">
        <v>3006</v>
      </c>
    </row>
    <row r="4551" spans="1:5" x14ac:dyDescent="0.25">
      <c r="A4551">
        <v>2251</v>
      </c>
      <c r="B4551" t="s">
        <v>1742</v>
      </c>
      <c r="C4551" t="s">
        <v>443</v>
      </c>
      <c r="D4551" t="str">
        <f t="shared" si="72"/>
        <v>JUCEMG3926</v>
      </c>
      <c r="E4551" t="s">
        <v>3006</v>
      </c>
    </row>
    <row r="4552" spans="1:5" x14ac:dyDescent="0.25">
      <c r="A4552">
        <v>2251</v>
      </c>
      <c r="B4552" t="s">
        <v>1742</v>
      </c>
      <c r="C4552" t="s">
        <v>3008</v>
      </c>
      <c r="D4552" t="str">
        <f t="shared" si="72"/>
        <v>JUCEMG3927</v>
      </c>
      <c r="E4552" t="s">
        <v>3009</v>
      </c>
    </row>
    <row r="4553" spans="1:5" x14ac:dyDescent="0.25">
      <c r="A4553">
        <v>2251</v>
      </c>
      <c r="B4553" t="s">
        <v>1742</v>
      </c>
      <c r="C4553" t="s">
        <v>1481</v>
      </c>
      <c r="D4553" t="str">
        <f t="shared" si="72"/>
        <v>JUCEMG3931</v>
      </c>
      <c r="E4553" t="s">
        <v>2968</v>
      </c>
    </row>
    <row r="4554" spans="1:5" x14ac:dyDescent="0.25">
      <c r="A4554">
        <v>2251</v>
      </c>
      <c r="B4554" t="s">
        <v>1742</v>
      </c>
      <c r="C4554" t="s">
        <v>3017</v>
      </c>
      <c r="D4554" t="str">
        <f t="shared" si="72"/>
        <v>JUCEMG3936</v>
      </c>
      <c r="E4554" t="s">
        <v>94</v>
      </c>
    </row>
    <row r="4555" spans="1:5" x14ac:dyDescent="0.25">
      <c r="A4555">
        <v>2251</v>
      </c>
      <c r="B4555" t="s">
        <v>1742</v>
      </c>
      <c r="C4555" t="s">
        <v>3089</v>
      </c>
      <c r="D4555" t="str">
        <f t="shared" si="72"/>
        <v>JUCEMG3939</v>
      </c>
      <c r="E4555" t="s">
        <v>2968</v>
      </c>
    </row>
    <row r="4556" spans="1:5" x14ac:dyDescent="0.25">
      <c r="A4556">
        <v>2251</v>
      </c>
      <c r="B4556" t="s">
        <v>1742</v>
      </c>
      <c r="C4556" t="s">
        <v>3019</v>
      </c>
      <c r="D4556" t="str">
        <f t="shared" si="72"/>
        <v>JUCEMG3940</v>
      </c>
      <c r="E4556" t="s">
        <v>3009</v>
      </c>
    </row>
    <row r="4557" spans="1:5" x14ac:dyDescent="0.25">
      <c r="A4557">
        <v>2251</v>
      </c>
      <c r="B4557" t="s">
        <v>1742</v>
      </c>
      <c r="C4557" t="s">
        <v>482</v>
      </c>
      <c r="D4557" t="str">
        <f t="shared" si="72"/>
        <v>JUCEMG3942</v>
      </c>
      <c r="E4557" t="s">
        <v>2968</v>
      </c>
    </row>
    <row r="4558" spans="1:5" x14ac:dyDescent="0.25">
      <c r="A4558">
        <v>2251</v>
      </c>
      <c r="B4558" t="s">
        <v>1742</v>
      </c>
      <c r="C4558" t="s">
        <v>3020</v>
      </c>
      <c r="D4558" t="str">
        <f t="shared" si="72"/>
        <v>JUCEMG3943</v>
      </c>
      <c r="E4558" t="s">
        <v>2958</v>
      </c>
    </row>
    <row r="4559" spans="1:5" x14ac:dyDescent="0.25">
      <c r="A4559">
        <v>2251</v>
      </c>
      <c r="B4559" t="s">
        <v>1742</v>
      </c>
      <c r="C4559" t="s">
        <v>3098</v>
      </c>
      <c r="D4559" t="str">
        <f t="shared" si="72"/>
        <v>JUCEMG3952</v>
      </c>
      <c r="E4559" t="s">
        <v>65</v>
      </c>
    </row>
    <row r="4560" spans="1:5" x14ac:dyDescent="0.25">
      <c r="A4560">
        <v>2251</v>
      </c>
      <c r="B4560" t="s">
        <v>1742</v>
      </c>
      <c r="C4560" t="s">
        <v>496</v>
      </c>
      <c r="D4560" t="str">
        <f t="shared" si="72"/>
        <v>JUCEMG3953</v>
      </c>
      <c r="E4560" t="s">
        <v>3004</v>
      </c>
    </row>
    <row r="4561" spans="1:5" x14ac:dyDescent="0.25">
      <c r="A4561">
        <v>2251</v>
      </c>
      <c r="B4561" t="s">
        <v>1742</v>
      </c>
      <c r="C4561" t="s">
        <v>3025</v>
      </c>
      <c r="D4561" t="str">
        <f t="shared" si="72"/>
        <v>JUCEMG3959</v>
      </c>
      <c r="E4561" t="s">
        <v>2968</v>
      </c>
    </row>
    <row r="4562" spans="1:5" x14ac:dyDescent="0.25">
      <c r="A4562">
        <v>2251</v>
      </c>
      <c r="B4562" t="s">
        <v>1742</v>
      </c>
      <c r="C4562" t="s">
        <v>3031</v>
      </c>
      <c r="D4562" t="str">
        <f t="shared" si="72"/>
        <v>JUCEMG3970</v>
      </c>
      <c r="E4562" t="s">
        <v>3009</v>
      </c>
    </row>
    <row r="4563" spans="1:5" x14ac:dyDescent="0.25">
      <c r="A4563">
        <v>2251</v>
      </c>
      <c r="B4563" t="s">
        <v>1742</v>
      </c>
      <c r="C4563" t="s">
        <v>520</v>
      </c>
      <c r="D4563" t="str">
        <f t="shared" si="72"/>
        <v>JUCEMG3978</v>
      </c>
      <c r="E4563" t="s">
        <v>2981</v>
      </c>
    </row>
    <row r="4564" spans="1:5" x14ac:dyDescent="0.25">
      <c r="A4564">
        <v>2251</v>
      </c>
      <c r="B4564" t="s">
        <v>1742</v>
      </c>
      <c r="C4564" t="s">
        <v>3040</v>
      </c>
      <c r="D4564" t="str">
        <f t="shared" si="72"/>
        <v>JUCEMG3999</v>
      </c>
      <c r="E4564" t="s">
        <v>2968</v>
      </c>
    </row>
    <row r="4565" spans="1:5" x14ac:dyDescent="0.25">
      <c r="A4565">
        <v>2251</v>
      </c>
      <c r="B4565" t="s">
        <v>1742</v>
      </c>
      <c r="C4565" t="s">
        <v>3041</v>
      </c>
      <c r="D4565" t="str">
        <f t="shared" si="72"/>
        <v>JUCEMG4002</v>
      </c>
      <c r="E4565" t="s">
        <v>3009</v>
      </c>
    </row>
    <row r="4566" spans="1:5" x14ac:dyDescent="0.25">
      <c r="A4566">
        <v>2251</v>
      </c>
      <c r="B4566" t="s">
        <v>1742</v>
      </c>
      <c r="C4566" t="s">
        <v>3043</v>
      </c>
      <c r="D4566" t="str">
        <f t="shared" si="72"/>
        <v>JUCEMG4003</v>
      </c>
      <c r="E4566" t="s">
        <v>94</v>
      </c>
    </row>
    <row r="4567" spans="1:5" x14ac:dyDescent="0.25">
      <c r="A4567">
        <v>2251</v>
      </c>
      <c r="B4567" t="s">
        <v>1742</v>
      </c>
      <c r="C4567" t="s">
        <v>3045</v>
      </c>
      <c r="D4567" t="str">
        <f t="shared" si="72"/>
        <v>JUCEMG4004</v>
      </c>
      <c r="E4567" t="s">
        <v>3009</v>
      </c>
    </row>
    <row r="4568" spans="1:5" x14ac:dyDescent="0.25">
      <c r="A4568">
        <v>2251</v>
      </c>
      <c r="B4568" t="s">
        <v>1742</v>
      </c>
      <c r="C4568" t="s">
        <v>3047</v>
      </c>
      <c r="D4568" t="str">
        <f t="shared" si="72"/>
        <v>JUCEMG4005</v>
      </c>
      <c r="E4568" t="s">
        <v>3009</v>
      </c>
    </row>
    <row r="4569" spans="1:5" x14ac:dyDescent="0.25">
      <c r="A4569">
        <v>2251</v>
      </c>
      <c r="B4569" t="s">
        <v>1742</v>
      </c>
      <c r="C4569" t="s">
        <v>813</v>
      </c>
      <c r="D4569" t="str">
        <f t="shared" si="72"/>
        <v>JUCEMG4006</v>
      </c>
      <c r="E4569" t="s">
        <v>3057</v>
      </c>
    </row>
    <row r="4570" spans="1:5" x14ac:dyDescent="0.25">
      <c r="A4570">
        <v>2251</v>
      </c>
      <c r="B4570" t="s">
        <v>1742</v>
      </c>
      <c r="C4570" t="s">
        <v>3280</v>
      </c>
      <c r="D4570" t="str">
        <f t="shared" si="72"/>
        <v>JUCEMG4602</v>
      </c>
      <c r="E4570" t="s">
        <v>2926</v>
      </c>
    </row>
    <row r="4571" spans="1:5" x14ac:dyDescent="0.25">
      <c r="A4571">
        <v>2251</v>
      </c>
      <c r="B4571" t="s">
        <v>1742</v>
      </c>
      <c r="C4571" t="s">
        <v>3048</v>
      </c>
      <c r="D4571" t="str">
        <f t="shared" si="72"/>
        <v>JUCEMG4701</v>
      </c>
      <c r="E4571" t="s">
        <v>3049</v>
      </c>
    </row>
    <row r="4572" spans="1:5" x14ac:dyDescent="0.25">
      <c r="A4572">
        <v>2251</v>
      </c>
      <c r="B4572" t="s">
        <v>1742</v>
      </c>
      <c r="C4572" t="s">
        <v>265</v>
      </c>
      <c r="D4572" t="str">
        <f t="shared" si="72"/>
        <v>JUCEMG4703</v>
      </c>
      <c r="E4572" t="s">
        <v>3049</v>
      </c>
    </row>
    <row r="4573" spans="1:5" x14ac:dyDescent="0.25">
      <c r="A4573">
        <v>2251</v>
      </c>
      <c r="B4573" t="s">
        <v>1742</v>
      </c>
      <c r="C4573" t="s">
        <v>316</v>
      </c>
      <c r="D4573" t="str">
        <f t="shared" si="72"/>
        <v>JUCEMG4706</v>
      </c>
      <c r="E4573" t="s">
        <v>3049</v>
      </c>
    </row>
    <row r="4574" spans="1:5" x14ac:dyDescent="0.25">
      <c r="A4574">
        <v>2251</v>
      </c>
      <c r="B4574" t="s">
        <v>1742</v>
      </c>
      <c r="C4574" t="s">
        <v>328</v>
      </c>
      <c r="D4574" t="str">
        <f t="shared" si="72"/>
        <v>JUCEMG4707</v>
      </c>
      <c r="E4574" t="s">
        <v>3049</v>
      </c>
    </row>
    <row r="4575" spans="1:5" x14ac:dyDescent="0.25">
      <c r="A4575">
        <v>2251</v>
      </c>
      <c r="B4575" t="s">
        <v>1742</v>
      </c>
      <c r="C4575" t="s">
        <v>364</v>
      </c>
      <c r="D4575" t="str">
        <f t="shared" si="72"/>
        <v>JUCEMG4799</v>
      </c>
      <c r="E4575" t="s">
        <v>3049</v>
      </c>
    </row>
    <row r="4576" spans="1:5" x14ac:dyDescent="0.25">
      <c r="A4576">
        <v>2251</v>
      </c>
      <c r="B4576" t="s">
        <v>1742</v>
      </c>
      <c r="C4576" t="s">
        <v>3240</v>
      </c>
      <c r="D4576" t="str">
        <f t="shared" si="72"/>
        <v>JUCEMG4904</v>
      </c>
      <c r="E4576" t="s">
        <v>2926</v>
      </c>
    </row>
    <row r="4577" spans="1:5" x14ac:dyDescent="0.25">
      <c r="A4577">
        <v>2251</v>
      </c>
      <c r="B4577" t="s">
        <v>1742</v>
      </c>
      <c r="C4577" t="s">
        <v>3324</v>
      </c>
      <c r="D4577" t="str">
        <f t="shared" si="72"/>
        <v>JUCEMG4906</v>
      </c>
      <c r="E4577" t="s">
        <v>65</v>
      </c>
    </row>
    <row r="4578" spans="1:5" x14ac:dyDescent="0.25">
      <c r="A4578">
        <v>2251</v>
      </c>
      <c r="B4578" t="s">
        <v>1742</v>
      </c>
      <c r="C4578" t="s">
        <v>3058</v>
      </c>
      <c r="D4578" t="str">
        <f t="shared" si="72"/>
        <v>JUCEMG5207</v>
      </c>
      <c r="E4578" t="s">
        <v>3057</v>
      </c>
    </row>
    <row r="4579" spans="1:5" x14ac:dyDescent="0.25">
      <c r="A4579">
        <v>2251</v>
      </c>
      <c r="B4579" t="s">
        <v>1742</v>
      </c>
      <c r="C4579" t="s">
        <v>3060</v>
      </c>
      <c r="D4579" t="str">
        <f t="shared" si="72"/>
        <v>JUCEMG5208</v>
      </c>
      <c r="E4579" t="s">
        <v>3057</v>
      </c>
    </row>
    <row r="4580" spans="1:5" x14ac:dyDescent="0.25">
      <c r="A4580">
        <v>2251</v>
      </c>
      <c r="B4580" t="s">
        <v>1742</v>
      </c>
      <c r="C4580" t="s">
        <v>3064</v>
      </c>
      <c r="D4580" t="str">
        <f t="shared" si="72"/>
        <v>JUCEMG5212</v>
      </c>
      <c r="E4580" t="s">
        <v>3055</v>
      </c>
    </row>
    <row r="4581" spans="1:5" x14ac:dyDescent="0.25">
      <c r="A4581">
        <v>2251</v>
      </c>
      <c r="B4581" t="s">
        <v>1742</v>
      </c>
      <c r="C4581" t="s">
        <v>3220</v>
      </c>
      <c r="D4581" t="str">
        <f t="shared" si="72"/>
        <v>JUCEMG9201</v>
      </c>
      <c r="E4581" t="s">
        <v>3075</v>
      </c>
    </row>
    <row r="4582" spans="1:5" x14ac:dyDescent="0.25">
      <c r="A4582">
        <v>2251</v>
      </c>
      <c r="B4582" t="s">
        <v>1742</v>
      </c>
      <c r="C4582" t="s">
        <v>3074</v>
      </c>
      <c r="D4582" t="str">
        <f t="shared" si="72"/>
        <v>JUCEMG9202</v>
      </c>
      <c r="E4582" t="s">
        <v>3075</v>
      </c>
    </row>
    <row r="4583" spans="1:5" x14ac:dyDescent="0.25">
      <c r="A4583">
        <v>2251</v>
      </c>
      <c r="B4583" t="s">
        <v>1742</v>
      </c>
      <c r="C4583" t="s">
        <v>331</v>
      </c>
      <c r="D4583" t="str">
        <f t="shared" si="72"/>
        <v>JUCEMG9306</v>
      </c>
      <c r="E4583" t="s">
        <v>3076</v>
      </c>
    </row>
    <row r="4584" spans="1:5" x14ac:dyDescent="0.25">
      <c r="A4584">
        <v>2251</v>
      </c>
      <c r="B4584" t="s">
        <v>1742</v>
      </c>
      <c r="C4584" t="s">
        <v>3079</v>
      </c>
      <c r="D4584" t="str">
        <f t="shared" si="72"/>
        <v>JUCEMG9399</v>
      </c>
      <c r="E4584" t="s">
        <v>2968</v>
      </c>
    </row>
    <row r="4585" spans="1:5" x14ac:dyDescent="0.25">
      <c r="A4585">
        <v>2251</v>
      </c>
      <c r="B4585" t="s">
        <v>1742</v>
      </c>
      <c r="C4585" t="s">
        <v>3298</v>
      </c>
      <c r="D4585" t="str">
        <f t="shared" si="72"/>
        <v>JUCEMG9701</v>
      </c>
      <c r="E4585" t="s">
        <v>2968</v>
      </c>
    </row>
    <row r="4586" spans="1:5" x14ac:dyDescent="0.25">
      <c r="A4586">
        <v>2251</v>
      </c>
      <c r="B4586" t="s">
        <v>1742</v>
      </c>
      <c r="C4586" t="s">
        <v>492</v>
      </c>
      <c r="D4586" t="str">
        <f t="shared" si="72"/>
        <v>JUCEMG3948</v>
      </c>
      <c r="E4586" t="s">
        <v>3004</v>
      </c>
    </row>
    <row r="4587" spans="1:5" x14ac:dyDescent="0.25">
      <c r="A4587">
        <v>2251</v>
      </c>
      <c r="B4587" t="s">
        <v>1742</v>
      </c>
      <c r="C4587" t="s">
        <v>2988</v>
      </c>
      <c r="D4587" t="str">
        <f t="shared" si="72"/>
        <v>JUCEMG3903</v>
      </c>
      <c r="E4587" t="s">
        <v>2968</v>
      </c>
    </row>
    <row r="4588" spans="1:5" x14ac:dyDescent="0.25">
      <c r="A4588">
        <v>2251</v>
      </c>
      <c r="B4588" t="s">
        <v>1742</v>
      </c>
      <c r="C4588" t="s">
        <v>2986</v>
      </c>
      <c r="D4588" t="str">
        <f t="shared" si="72"/>
        <v>JUCEMG3705</v>
      </c>
      <c r="E4588" t="s">
        <v>117</v>
      </c>
    </row>
    <row r="4589" spans="1:5" x14ac:dyDescent="0.25">
      <c r="A4589">
        <v>2251</v>
      </c>
      <c r="B4589" t="s">
        <v>1742</v>
      </c>
      <c r="C4589" t="s">
        <v>480</v>
      </c>
      <c r="D4589" t="str">
        <f t="shared" si="72"/>
        <v>JUCEMG3941</v>
      </c>
      <c r="E4589" t="s">
        <v>2968</v>
      </c>
    </row>
    <row r="4590" spans="1:5" x14ac:dyDescent="0.25">
      <c r="A4590">
        <v>2251</v>
      </c>
      <c r="B4590" t="s">
        <v>1742</v>
      </c>
      <c r="C4590" t="s">
        <v>3070</v>
      </c>
      <c r="D4590" t="str">
        <f t="shared" si="72"/>
        <v>JUCEMG5226</v>
      </c>
      <c r="E4590" t="s">
        <v>3055</v>
      </c>
    </row>
    <row r="4591" spans="1:5" x14ac:dyDescent="0.25">
      <c r="A4591">
        <v>2251</v>
      </c>
      <c r="B4591" t="s">
        <v>1742</v>
      </c>
      <c r="C4591" t="s">
        <v>566</v>
      </c>
      <c r="D4591" t="str">
        <f t="shared" si="72"/>
        <v>JUCEMG3924</v>
      </c>
      <c r="E4591" t="s">
        <v>2968</v>
      </c>
    </row>
    <row r="4592" spans="1:5" x14ac:dyDescent="0.25">
      <c r="A4592">
        <v>2261</v>
      </c>
      <c r="B4592" t="s">
        <v>1731</v>
      </c>
      <c r="C4592" t="s">
        <v>3332</v>
      </c>
      <c r="D4592" t="str">
        <f t="shared" si="72"/>
        <v>FUNED0702</v>
      </c>
      <c r="E4592" t="s">
        <v>3006</v>
      </c>
    </row>
    <row r="4593" spans="1:5" x14ac:dyDescent="0.25">
      <c r="A4593">
        <v>2261</v>
      </c>
      <c r="B4593" t="s">
        <v>1731</v>
      </c>
      <c r="C4593" t="s">
        <v>3339</v>
      </c>
      <c r="D4593" t="str">
        <f t="shared" si="72"/>
        <v>FUNED0803</v>
      </c>
      <c r="E4593" t="s">
        <v>2926</v>
      </c>
    </row>
    <row r="4594" spans="1:5" x14ac:dyDescent="0.25">
      <c r="A4594">
        <v>2261</v>
      </c>
      <c r="B4594" t="s">
        <v>1731</v>
      </c>
      <c r="C4594" t="s">
        <v>2925</v>
      </c>
      <c r="D4594" t="str">
        <f t="shared" si="72"/>
        <v>FUNED0810</v>
      </c>
      <c r="E4594" t="s">
        <v>2926</v>
      </c>
    </row>
    <row r="4595" spans="1:5" x14ac:dyDescent="0.25">
      <c r="A4595">
        <v>2261</v>
      </c>
      <c r="B4595" t="s">
        <v>1731</v>
      </c>
      <c r="C4595" t="s">
        <v>3229</v>
      </c>
      <c r="D4595" t="str">
        <f t="shared" si="72"/>
        <v>FUNED1307</v>
      </c>
      <c r="E4595" t="s">
        <v>3081</v>
      </c>
    </row>
    <row r="4596" spans="1:5" x14ac:dyDescent="0.25">
      <c r="A4596">
        <v>2261</v>
      </c>
      <c r="B4596" t="s">
        <v>1731</v>
      </c>
      <c r="C4596" t="s">
        <v>332</v>
      </c>
      <c r="D4596" t="str">
        <f t="shared" si="72"/>
        <v>FUNED1314</v>
      </c>
      <c r="E4596" t="s">
        <v>3081</v>
      </c>
    </row>
    <row r="4597" spans="1:5" x14ac:dyDescent="0.25">
      <c r="A4597">
        <v>2261</v>
      </c>
      <c r="B4597" t="s">
        <v>1731</v>
      </c>
      <c r="C4597" t="s">
        <v>2942</v>
      </c>
      <c r="D4597" t="str">
        <f t="shared" si="72"/>
        <v>FUNED1317</v>
      </c>
      <c r="E4597" t="s">
        <v>3081</v>
      </c>
    </row>
    <row r="4598" spans="1:5" x14ac:dyDescent="0.25">
      <c r="A4598">
        <v>2261</v>
      </c>
      <c r="B4598" t="s">
        <v>1731</v>
      </c>
      <c r="C4598" t="s">
        <v>3282</v>
      </c>
      <c r="D4598" t="str">
        <f t="shared" si="72"/>
        <v>FUNED1323</v>
      </c>
      <c r="E4598" t="s">
        <v>2944</v>
      </c>
    </row>
    <row r="4599" spans="1:5" x14ac:dyDescent="0.25">
      <c r="A4599">
        <v>2261</v>
      </c>
      <c r="B4599" t="s">
        <v>1731</v>
      </c>
      <c r="C4599" t="s">
        <v>399</v>
      </c>
      <c r="D4599" t="str">
        <f t="shared" si="72"/>
        <v>FUNED1325</v>
      </c>
      <c r="E4599" t="s">
        <v>3081</v>
      </c>
    </row>
    <row r="4600" spans="1:5" x14ac:dyDescent="0.25">
      <c r="A4600">
        <v>2261</v>
      </c>
      <c r="B4600" t="s">
        <v>1731</v>
      </c>
      <c r="C4600" t="s">
        <v>2928</v>
      </c>
      <c r="D4600" t="str">
        <f t="shared" si="72"/>
        <v>FUNED1401</v>
      </c>
      <c r="E4600" t="s">
        <v>44</v>
      </c>
    </row>
    <row r="4601" spans="1:5" x14ac:dyDescent="0.25">
      <c r="A4601">
        <v>2261</v>
      </c>
      <c r="B4601" t="s">
        <v>1731</v>
      </c>
      <c r="C4601" t="s">
        <v>2951</v>
      </c>
      <c r="D4601" t="str">
        <f t="shared" si="72"/>
        <v>FUNED2001</v>
      </c>
      <c r="E4601" t="s">
        <v>2926</v>
      </c>
    </row>
    <row r="4602" spans="1:5" x14ac:dyDescent="0.25">
      <c r="A4602">
        <v>2261</v>
      </c>
      <c r="B4602" t="s">
        <v>1731</v>
      </c>
      <c r="C4602" t="s">
        <v>2932</v>
      </c>
      <c r="D4602" t="str">
        <f t="shared" si="72"/>
        <v>FUNED3001</v>
      </c>
      <c r="E4602" t="s">
        <v>2933</v>
      </c>
    </row>
    <row r="4603" spans="1:5" x14ac:dyDescent="0.25">
      <c r="A4603">
        <v>2261</v>
      </c>
      <c r="B4603" t="s">
        <v>1731</v>
      </c>
      <c r="C4603" t="s">
        <v>256</v>
      </c>
      <c r="D4603" t="str">
        <f t="shared" si="72"/>
        <v>FUNED3002</v>
      </c>
      <c r="E4603" t="s">
        <v>2933</v>
      </c>
    </row>
    <row r="4604" spans="1:5" x14ac:dyDescent="0.25">
      <c r="A4604">
        <v>2261</v>
      </c>
      <c r="B4604" t="s">
        <v>1731</v>
      </c>
      <c r="C4604" t="s">
        <v>979</v>
      </c>
      <c r="D4604" t="str">
        <f t="shared" si="72"/>
        <v>FUNED3003</v>
      </c>
      <c r="E4604" t="s">
        <v>2933</v>
      </c>
    </row>
    <row r="4605" spans="1:5" x14ac:dyDescent="0.25">
      <c r="A4605">
        <v>2261</v>
      </c>
      <c r="B4605" t="s">
        <v>1731</v>
      </c>
      <c r="C4605" t="s">
        <v>2937</v>
      </c>
      <c r="D4605" t="str">
        <f t="shared" si="72"/>
        <v>FUNED3004</v>
      </c>
      <c r="E4605" t="s">
        <v>2933</v>
      </c>
    </row>
    <row r="4606" spans="1:5" x14ac:dyDescent="0.25">
      <c r="A4606">
        <v>2261</v>
      </c>
      <c r="B4606" t="s">
        <v>1731</v>
      </c>
      <c r="C4606" t="s">
        <v>2939</v>
      </c>
      <c r="D4606" t="str">
        <f t="shared" si="72"/>
        <v>FUNED3005</v>
      </c>
      <c r="E4606" t="s">
        <v>2933</v>
      </c>
    </row>
    <row r="4607" spans="1:5" x14ac:dyDescent="0.25">
      <c r="A4607">
        <v>2261</v>
      </c>
      <c r="B4607" t="s">
        <v>1731</v>
      </c>
      <c r="C4607" t="s">
        <v>323</v>
      </c>
      <c r="D4607" t="str">
        <f t="shared" si="72"/>
        <v>FUNED3006</v>
      </c>
      <c r="E4607" t="s">
        <v>2933</v>
      </c>
    </row>
    <row r="4608" spans="1:5" x14ac:dyDescent="0.25">
      <c r="A4608">
        <v>2261</v>
      </c>
      <c r="B4608" t="s">
        <v>1731</v>
      </c>
      <c r="C4608" t="s">
        <v>333</v>
      </c>
      <c r="D4608" t="str">
        <f t="shared" si="72"/>
        <v>FUNED3007</v>
      </c>
      <c r="E4608" t="s">
        <v>2933</v>
      </c>
    </row>
    <row r="4609" spans="1:5" x14ac:dyDescent="0.25">
      <c r="A4609">
        <v>2261</v>
      </c>
      <c r="B4609" t="s">
        <v>1731</v>
      </c>
      <c r="C4609" t="s">
        <v>2941</v>
      </c>
      <c r="D4609" t="str">
        <f t="shared" si="72"/>
        <v>FUNED3008</v>
      </c>
      <c r="E4609" t="s">
        <v>2933</v>
      </c>
    </row>
    <row r="4610" spans="1:5" x14ac:dyDescent="0.25">
      <c r="A4610">
        <v>2261</v>
      </c>
      <c r="B4610" t="s">
        <v>1731</v>
      </c>
      <c r="C4610" t="s">
        <v>354</v>
      </c>
      <c r="D4610" t="str">
        <f t="shared" si="72"/>
        <v>FUNED3009</v>
      </c>
      <c r="E4610" t="s">
        <v>2933</v>
      </c>
    </row>
    <row r="4611" spans="1:5" x14ac:dyDescent="0.25">
      <c r="A4611">
        <v>2261</v>
      </c>
      <c r="B4611" t="s">
        <v>1731</v>
      </c>
      <c r="C4611" t="s">
        <v>2943</v>
      </c>
      <c r="D4611" t="str">
        <f t="shared" si="72"/>
        <v>FUNED3010</v>
      </c>
      <c r="E4611" t="s">
        <v>2944</v>
      </c>
    </row>
    <row r="4612" spans="1:5" x14ac:dyDescent="0.25">
      <c r="A4612">
        <v>2261</v>
      </c>
      <c r="B4612" t="s">
        <v>1731</v>
      </c>
      <c r="C4612" t="s">
        <v>369</v>
      </c>
      <c r="D4612" t="str">
        <f t="shared" si="72"/>
        <v>FUNED3011</v>
      </c>
      <c r="E4612" t="s">
        <v>2933</v>
      </c>
    </row>
    <row r="4613" spans="1:5" x14ac:dyDescent="0.25">
      <c r="A4613">
        <v>2261</v>
      </c>
      <c r="B4613" t="s">
        <v>1731</v>
      </c>
      <c r="C4613" t="s">
        <v>138</v>
      </c>
      <c r="D4613" t="str">
        <f t="shared" ref="D4613:D4676" si="73">CONCATENATE(B4613,LEFT(C4613,4))</f>
        <v>FUNED3012</v>
      </c>
      <c r="E4613" t="s">
        <v>2944</v>
      </c>
    </row>
    <row r="4614" spans="1:5" x14ac:dyDescent="0.25">
      <c r="A4614">
        <v>2261</v>
      </c>
      <c r="B4614" t="s">
        <v>1731</v>
      </c>
      <c r="C4614" t="s">
        <v>2946</v>
      </c>
      <c r="D4614" t="str">
        <f t="shared" si="73"/>
        <v>FUNED3013</v>
      </c>
      <c r="E4614" t="s">
        <v>2933</v>
      </c>
    </row>
    <row r="4615" spans="1:5" x14ac:dyDescent="0.25">
      <c r="A4615">
        <v>2261</v>
      </c>
      <c r="B4615" t="s">
        <v>1731</v>
      </c>
      <c r="C4615" t="s">
        <v>2948</v>
      </c>
      <c r="D4615" t="str">
        <f t="shared" si="73"/>
        <v>FUNED3015</v>
      </c>
      <c r="E4615" t="s">
        <v>2933</v>
      </c>
    </row>
    <row r="4616" spans="1:5" x14ac:dyDescent="0.25">
      <c r="A4616">
        <v>2261</v>
      </c>
      <c r="B4616" t="s">
        <v>1731</v>
      </c>
      <c r="C4616" t="s">
        <v>2950</v>
      </c>
      <c r="D4616" t="str">
        <f t="shared" si="73"/>
        <v>FUNED3016</v>
      </c>
      <c r="E4616" t="s">
        <v>2933</v>
      </c>
    </row>
    <row r="4617" spans="1:5" x14ac:dyDescent="0.25">
      <c r="A4617">
        <v>2261</v>
      </c>
      <c r="B4617" t="s">
        <v>1731</v>
      </c>
      <c r="C4617" t="s">
        <v>406</v>
      </c>
      <c r="D4617" t="str">
        <f t="shared" si="73"/>
        <v>FUNED3017</v>
      </c>
      <c r="E4617" t="s">
        <v>2933</v>
      </c>
    </row>
    <row r="4618" spans="1:5" x14ac:dyDescent="0.25">
      <c r="A4618">
        <v>2261</v>
      </c>
      <c r="B4618" t="s">
        <v>1731</v>
      </c>
      <c r="C4618" t="s">
        <v>411</v>
      </c>
      <c r="D4618" t="str">
        <f t="shared" si="73"/>
        <v>FUNED3018</v>
      </c>
      <c r="E4618" t="s">
        <v>2933</v>
      </c>
    </row>
    <row r="4619" spans="1:5" x14ac:dyDescent="0.25">
      <c r="A4619">
        <v>2261</v>
      </c>
      <c r="B4619" t="s">
        <v>1731</v>
      </c>
      <c r="C4619" t="s">
        <v>2953</v>
      </c>
      <c r="D4619" t="str">
        <f t="shared" si="73"/>
        <v>FUNED3019</v>
      </c>
      <c r="E4619" t="s">
        <v>2954</v>
      </c>
    </row>
    <row r="4620" spans="1:5" x14ac:dyDescent="0.25">
      <c r="A4620">
        <v>2261</v>
      </c>
      <c r="B4620" t="s">
        <v>1731</v>
      </c>
      <c r="C4620" t="s">
        <v>2955</v>
      </c>
      <c r="D4620" t="str">
        <f t="shared" si="73"/>
        <v>FUNED3020</v>
      </c>
      <c r="E4620" t="s">
        <v>2933</v>
      </c>
    </row>
    <row r="4621" spans="1:5" x14ac:dyDescent="0.25">
      <c r="A4621">
        <v>2261</v>
      </c>
      <c r="B4621" t="s">
        <v>1731</v>
      </c>
      <c r="C4621" t="s">
        <v>2956</v>
      </c>
      <c r="D4621" t="str">
        <f t="shared" si="73"/>
        <v>FUNED3021</v>
      </c>
      <c r="E4621" t="s">
        <v>2933</v>
      </c>
    </row>
    <row r="4622" spans="1:5" x14ac:dyDescent="0.25">
      <c r="A4622">
        <v>2261</v>
      </c>
      <c r="B4622" t="s">
        <v>1731</v>
      </c>
      <c r="C4622" t="s">
        <v>431</v>
      </c>
      <c r="D4622" t="str">
        <f t="shared" si="73"/>
        <v>FUNED3022</v>
      </c>
      <c r="E4622" t="s">
        <v>2933</v>
      </c>
    </row>
    <row r="4623" spans="1:5" x14ac:dyDescent="0.25">
      <c r="A4623">
        <v>2261</v>
      </c>
      <c r="B4623" t="s">
        <v>1731</v>
      </c>
      <c r="C4623" t="s">
        <v>2957</v>
      </c>
      <c r="D4623" t="str">
        <f t="shared" si="73"/>
        <v>FUNED3023</v>
      </c>
      <c r="E4623" t="s">
        <v>2958</v>
      </c>
    </row>
    <row r="4624" spans="1:5" x14ac:dyDescent="0.25">
      <c r="A4624">
        <v>2261</v>
      </c>
      <c r="B4624" t="s">
        <v>1731</v>
      </c>
      <c r="C4624" t="s">
        <v>441</v>
      </c>
      <c r="D4624" t="str">
        <f t="shared" si="73"/>
        <v>FUNED3024</v>
      </c>
      <c r="E4624" t="s">
        <v>2933</v>
      </c>
    </row>
    <row r="4625" spans="1:5" x14ac:dyDescent="0.25">
      <c r="A4625">
        <v>2261</v>
      </c>
      <c r="B4625" t="s">
        <v>1731</v>
      </c>
      <c r="C4625" t="s">
        <v>2959</v>
      </c>
      <c r="D4625" t="str">
        <f t="shared" si="73"/>
        <v>FUNED3025</v>
      </c>
      <c r="E4625" t="s">
        <v>2933</v>
      </c>
    </row>
    <row r="4626" spans="1:5" x14ac:dyDescent="0.25">
      <c r="A4626">
        <v>2261</v>
      </c>
      <c r="B4626" t="s">
        <v>1731</v>
      </c>
      <c r="C4626" t="s">
        <v>2960</v>
      </c>
      <c r="D4626" t="str">
        <f t="shared" si="73"/>
        <v>FUNED3026</v>
      </c>
      <c r="E4626" t="s">
        <v>2958</v>
      </c>
    </row>
    <row r="4627" spans="1:5" x14ac:dyDescent="0.25">
      <c r="A4627">
        <v>2261</v>
      </c>
      <c r="B4627" t="s">
        <v>1731</v>
      </c>
      <c r="C4627" t="s">
        <v>2961</v>
      </c>
      <c r="D4627" t="str">
        <f t="shared" si="73"/>
        <v>FUNED3027</v>
      </c>
      <c r="E4627" t="s">
        <v>2933</v>
      </c>
    </row>
    <row r="4628" spans="1:5" x14ac:dyDescent="0.25">
      <c r="A4628">
        <v>2261</v>
      </c>
      <c r="B4628" t="s">
        <v>1731</v>
      </c>
      <c r="C4628" t="s">
        <v>461</v>
      </c>
      <c r="D4628" t="str">
        <f t="shared" si="73"/>
        <v>FUNED3028</v>
      </c>
      <c r="E4628" t="s">
        <v>2933</v>
      </c>
    </row>
    <row r="4629" spans="1:5" x14ac:dyDescent="0.25">
      <c r="A4629">
        <v>2261</v>
      </c>
      <c r="B4629" t="s">
        <v>1731</v>
      </c>
      <c r="C4629" t="s">
        <v>2984</v>
      </c>
      <c r="D4629" t="str">
        <f t="shared" si="73"/>
        <v>FUNED3029</v>
      </c>
      <c r="E4629" t="s">
        <v>2933</v>
      </c>
    </row>
    <row r="4630" spans="1:5" x14ac:dyDescent="0.25">
      <c r="A4630">
        <v>2261</v>
      </c>
      <c r="B4630" t="s">
        <v>1731</v>
      </c>
      <c r="C4630" t="s">
        <v>467</v>
      </c>
      <c r="D4630" t="str">
        <f t="shared" si="73"/>
        <v>FUNED3030</v>
      </c>
      <c r="E4630" t="s">
        <v>2933</v>
      </c>
    </row>
    <row r="4631" spans="1:5" x14ac:dyDescent="0.25">
      <c r="A4631">
        <v>2261</v>
      </c>
      <c r="B4631" t="s">
        <v>1731</v>
      </c>
      <c r="C4631" t="s">
        <v>470</v>
      </c>
      <c r="D4631" t="str">
        <f t="shared" si="73"/>
        <v>FUNED3031</v>
      </c>
      <c r="E4631" t="s">
        <v>2933</v>
      </c>
    </row>
    <row r="4632" spans="1:5" x14ac:dyDescent="0.25">
      <c r="A4632">
        <v>2261</v>
      </c>
      <c r="B4632" t="s">
        <v>1731</v>
      </c>
      <c r="C4632" t="s">
        <v>485</v>
      </c>
      <c r="D4632" t="str">
        <f t="shared" si="73"/>
        <v>FUNED3039</v>
      </c>
      <c r="E4632" t="s">
        <v>2933</v>
      </c>
    </row>
    <row r="4633" spans="1:5" x14ac:dyDescent="0.25">
      <c r="A4633">
        <v>2261</v>
      </c>
      <c r="B4633" t="s">
        <v>1731</v>
      </c>
      <c r="C4633" t="s">
        <v>487</v>
      </c>
      <c r="D4633" t="str">
        <f t="shared" si="73"/>
        <v>FUNED3040</v>
      </c>
      <c r="E4633" t="s">
        <v>2933</v>
      </c>
    </row>
    <row r="4634" spans="1:5" x14ac:dyDescent="0.25">
      <c r="A4634">
        <v>2261</v>
      </c>
      <c r="B4634" t="s">
        <v>1731</v>
      </c>
      <c r="C4634" t="s">
        <v>2993</v>
      </c>
      <c r="D4634" t="str">
        <f t="shared" si="73"/>
        <v>FUNED3041</v>
      </c>
      <c r="E4634" t="s">
        <v>2968</v>
      </c>
    </row>
    <row r="4635" spans="1:5" x14ac:dyDescent="0.25">
      <c r="A4635">
        <v>2261</v>
      </c>
      <c r="B4635" t="s">
        <v>1731</v>
      </c>
      <c r="C4635" t="s">
        <v>491</v>
      </c>
      <c r="D4635" t="str">
        <f t="shared" si="73"/>
        <v>FUNED3099</v>
      </c>
      <c r="E4635" t="s">
        <v>2933</v>
      </c>
    </row>
    <row r="4636" spans="1:5" x14ac:dyDescent="0.25">
      <c r="A4636">
        <v>2261</v>
      </c>
      <c r="B4636" t="s">
        <v>1731</v>
      </c>
      <c r="C4636" t="s">
        <v>294</v>
      </c>
      <c r="D4636" t="str">
        <f t="shared" si="73"/>
        <v>FUNED3104</v>
      </c>
      <c r="E4636" t="s">
        <v>2968</v>
      </c>
    </row>
    <row r="4637" spans="1:5" x14ac:dyDescent="0.25">
      <c r="A4637">
        <v>2261</v>
      </c>
      <c r="B4637" t="s">
        <v>1731</v>
      </c>
      <c r="C4637" t="s">
        <v>227</v>
      </c>
      <c r="D4637" t="str">
        <f t="shared" si="73"/>
        <v>FUNED3201</v>
      </c>
      <c r="E4637" t="s">
        <v>2968</v>
      </c>
    </row>
    <row r="4638" spans="1:5" x14ac:dyDescent="0.25">
      <c r="A4638">
        <v>2261</v>
      </c>
      <c r="B4638" t="s">
        <v>1731</v>
      </c>
      <c r="C4638" t="s">
        <v>54</v>
      </c>
      <c r="D4638" t="str">
        <f t="shared" si="73"/>
        <v>FUNED3301</v>
      </c>
      <c r="E4638" t="s">
        <v>44</v>
      </c>
    </row>
    <row r="4639" spans="1:5" x14ac:dyDescent="0.25">
      <c r="A4639">
        <v>2261</v>
      </c>
      <c r="B4639" t="s">
        <v>1731</v>
      </c>
      <c r="C4639" t="s">
        <v>2975</v>
      </c>
      <c r="D4639" t="str">
        <f t="shared" si="73"/>
        <v>FUNED3302</v>
      </c>
      <c r="E4639" t="s">
        <v>44</v>
      </c>
    </row>
    <row r="4640" spans="1:5" x14ac:dyDescent="0.25">
      <c r="A4640">
        <v>2261</v>
      </c>
      <c r="B4640" t="s">
        <v>1731</v>
      </c>
      <c r="C4640" t="s">
        <v>2977</v>
      </c>
      <c r="D4640" t="str">
        <f t="shared" si="73"/>
        <v>FUNED3304</v>
      </c>
      <c r="E4640" t="s">
        <v>44</v>
      </c>
    </row>
    <row r="4641" spans="1:5" x14ac:dyDescent="0.25">
      <c r="A4641">
        <v>2261</v>
      </c>
      <c r="B4641" t="s">
        <v>1731</v>
      </c>
      <c r="C4641" t="s">
        <v>309</v>
      </c>
      <c r="D4641" t="str">
        <f t="shared" si="73"/>
        <v>FUNED3305</v>
      </c>
      <c r="E4641" t="s">
        <v>44</v>
      </c>
    </row>
    <row r="4642" spans="1:5" x14ac:dyDescent="0.25">
      <c r="A4642">
        <v>2261</v>
      </c>
      <c r="B4642" t="s">
        <v>1731</v>
      </c>
      <c r="C4642" t="s">
        <v>228</v>
      </c>
      <c r="D4642" t="str">
        <f t="shared" si="73"/>
        <v>FUNED3401</v>
      </c>
      <c r="E4642" t="s">
        <v>3231</v>
      </c>
    </row>
    <row r="4643" spans="1:5" x14ac:dyDescent="0.25">
      <c r="A4643">
        <v>2261</v>
      </c>
      <c r="B4643" t="s">
        <v>1731</v>
      </c>
      <c r="C4643" t="s">
        <v>280</v>
      </c>
      <c r="D4643" t="str">
        <f t="shared" si="73"/>
        <v>FUNED3403</v>
      </c>
      <c r="E4643" t="s">
        <v>3081</v>
      </c>
    </row>
    <row r="4644" spans="1:5" x14ac:dyDescent="0.25">
      <c r="A4644">
        <v>2261</v>
      </c>
      <c r="B4644" t="s">
        <v>1731</v>
      </c>
      <c r="C4644" t="s">
        <v>296</v>
      </c>
      <c r="D4644" t="str">
        <f t="shared" si="73"/>
        <v>FUNED3404</v>
      </c>
      <c r="E4644" t="s">
        <v>3081</v>
      </c>
    </row>
    <row r="4645" spans="1:5" x14ac:dyDescent="0.25">
      <c r="A4645">
        <v>2261</v>
      </c>
      <c r="B4645" t="s">
        <v>1731</v>
      </c>
      <c r="C4645" t="s">
        <v>3201</v>
      </c>
      <c r="D4645" t="str">
        <f t="shared" si="73"/>
        <v>FUNED3502</v>
      </c>
      <c r="E4645" t="s">
        <v>1660</v>
      </c>
    </row>
    <row r="4646" spans="1:5" x14ac:dyDescent="0.25">
      <c r="A4646">
        <v>2261</v>
      </c>
      <c r="B4646" t="s">
        <v>1731</v>
      </c>
      <c r="C4646" t="s">
        <v>3012</v>
      </c>
      <c r="D4646" t="str">
        <f t="shared" si="73"/>
        <v>FUNED3601</v>
      </c>
      <c r="E4646" t="s">
        <v>65</v>
      </c>
    </row>
    <row r="4647" spans="1:5" x14ac:dyDescent="0.25">
      <c r="A4647">
        <v>2261</v>
      </c>
      <c r="B4647" t="s">
        <v>1731</v>
      </c>
      <c r="C4647" t="s">
        <v>261</v>
      </c>
      <c r="D4647" t="str">
        <f t="shared" si="73"/>
        <v>FUNED3602</v>
      </c>
      <c r="E4647" t="s">
        <v>2944</v>
      </c>
    </row>
    <row r="4648" spans="1:5" x14ac:dyDescent="0.25">
      <c r="A4648">
        <v>2261</v>
      </c>
      <c r="B4648" t="s">
        <v>1731</v>
      </c>
      <c r="C4648" t="s">
        <v>297</v>
      </c>
      <c r="D4648" t="str">
        <f t="shared" si="73"/>
        <v>FUNED3604</v>
      </c>
      <c r="E4648" t="s">
        <v>44</v>
      </c>
    </row>
    <row r="4649" spans="1:5" x14ac:dyDescent="0.25">
      <c r="A4649">
        <v>2261</v>
      </c>
      <c r="B4649" t="s">
        <v>1731</v>
      </c>
      <c r="C4649" t="s">
        <v>355</v>
      </c>
      <c r="D4649" t="str">
        <f t="shared" si="73"/>
        <v>FUNED3610</v>
      </c>
      <c r="E4649" t="s">
        <v>2968</v>
      </c>
    </row>
    <row r="4650" spans="1:5" x14ac:dyDescent="0.25">
      <c r="A4650">
        <v>2261</v>
      </c>
      <c r="B4650" t="s">
        <v>1731</v>
      </c>
      <c r="C4650" t="s">
        <v>2979</v>
      </c>
      <c r="D4650" t="str">
        <f t="shared" si="73"/>
        <v>FUNED3612</v>
      </c>
      <c r="E4650" t="s">
        <v>2968</v>
      </c>
    </row>
    <row r="4651" spans="1:5" x14ac:dyDescent="0.25">
      <c r="A4651">
        <v>2261</v>
      </c>
      <c r="B4651" t="s">
        <v>1731</v>
      </c>
      <c r="C4651" t="s">
        <v>383</v>
      </c>
      <c r="D4651" t="str">
        <f t="shared" si="73"/>
        <v>FUNED3614</v>
      </c>
      <c r="E4651" t="s">
        <v>2968</v>
      </c>
    </row>
    <row r="4652" spans="1:5" x14ac:dyDescent="0.25">
      <c r="A4652">
        <v>2261</v>
      </c>
      <c r="B4652" t="s">
        <v>1731</v>
      </c>
      <c r="C4652" t="s">
        <v>3023</v>
      </c>
      <c r="D4652" t="str">
        <f t="shared" si="73"/>
        <v>FUNED3616</v>
      </c>
      <c r="E4652" t="s">
        <v>2958</v>
      </c>
    </row>
    <row r="4653" spans="1:5" x14ac:dyDescent="0.25">
      <c r="A4653">
        <v>2261</v>
      </c>
      <c r="B4653" t="s">
        <v>1731</v>
      </c>
      <c r="C4653" t="s">
        <v>468</v>
      </c>
      <c r="D4653" t="str">
        <f t="shared" si="73"/>
        <v>FUNED3631</v>
      </c>
      <c r="E4653" t="s">
        <v>3291</v>
      </c>
    </row>
    <row r="4654" spans="1:5" x14ac:dyDescent="0.25">
      <c r="A4654">
        <v>2261</v>
      </c>
      <c r="B4654" t="s">
        <v>1731</v>
      </c>
      <c r="C4654" t="s">
        <v>471</v>
      </c>
      <c r="D4654" t="str">
        <f t="shared" si="73"/>
        <v>FUNED3699</v>
      </c>
      <c r="E4654" t="s">
        <v>2968</v>
      </c>
    </row>
    <row r="4655" spans="1:5" x14ac:dyDescent="0.25">
      <c r="A4655">
        <v>2261</v>
      </c>
      <c r="B4655" t="s">
        <v>1731</v>
      </c>
      <c r="C4655" t="s">
        <v>2980</v>
      </c>
      <c r="D4655" t="str">
        <f t="shared" si="73"/>
        <v>FUNED3701</v>
      </c>
      <c r="E4655" t="s">
        <v>2981</v>
      </c>
    </row>
    <row r="4656" spans="1:5" x14ac:dyDescent="0.25">
      <c r="A4656">
        <v>2261</v>
      </c>
      <c r="B4656" t="s">
        <v>1731</v>
      </c>
      <c r="C4656" t="s">
        <v>3050</v>
      </c>
      <c r="D4656" t="str">
        <f t="shared" si="73"/>
        <v>FUNED3702</v>
      </c>
      <c r="E4656" t="s">
        <v>2981</v>
      </c>
    </row>
    <row r="4657" spans="1:5" x14ac:dyDescent="0.25">
      <c r="A4657">
        <v>2261</v>
      </c>
      <c r="B4657" t="s">
        <v>1731</v>
      </c>
      <c r="C4657" t="s">
        <v>2983</v>
      </c>
      <c r="D4657" t="str">
        <f t="shared" si="73"/>
        <v>FUNED3703</v>
      </c>
      <c r="E4657" t="s">
        <v>117</v>
      </c>
    </row>
    <row r="4658" spans="1:5" x14ac:dyDescent="0.25">
      <c r="A4658">
        <v>2261</v>
      </c>
      <c r="B4658" t="s">
        <v>1731</v>
      </c>
      <c r="C4658" t="s">
        <v>2985</v>
      </c>
      <c r="D4658" t="str">
        <f t="shared" si="73"/>
        <v>FUNED3704</v>
      </c>
      <c r="E4658" t="s">
        <v>117</v>
      </c>
    </row>
    <row r="4659" spans="1:5" x14ac:dyDescent="0.25">
      <c r="A4659">
        <v>2261</v>
      </c>
      <c r="B4659" t="s">
        <v>1731</v>
      </c>
      <c r="C4659" t="s">
        <v>2986</v>
      </c>
      <c r="D4659" t="str">
        <f t="shared" si="73"/>
        <v>FUNED3705</v>
      </c>
      <c r="E4659" t="s">
        <v>117</v>
      </c>
    </row>
    <row r="4660" spans="1:5" x14ac:dyDescent="0.25">
      <c r="A4660">
        <v>2261</v>
      </c>
      <c r="B4660" t="s">
        <v>1731</v>
      </c>
      <c r="C4660" t="s">
        <v>2988</v>
      </c>
      <c r="D4660" t="str">
        <f t="shared" si="73"/>
        <v>FUNED3903</v>
      </c>
      <c r="E4660" t="s">
        <v>87</v>
      </c>
    </row>
    <row r="4661" spans="1:5" x14ac:dyDescent="0.25">
      <c r="A4661">
        <v>2261</v>
      </c>
      <c r="B4661" t="s">
        <v>1731</v>
      </c>
      <c r="C4661" t="s">
        <v>299</v>
      </c>
      <c r="D4661" t="str">
        <f t="shared" si="73"/>
        <v>FUNED3904</v>
      </c>
      <c r="E4661" t="s">
        <v>2968</v>
      </c>
    </row>
    <row r="4662" spans="1:5" x14ac:dyDescent="0.25">
      <c r="A4662">
        <v>2261</v>
      </c>
      <c r="B4662" t="s">
        <v>1731</v>
      </c>
      <c r="C4662" t="s">
        <v>326</v>
      </c>
      <c r="D4662" t="str">
        <f t="shared" si="73"/>
        <v>FUNED3906</v>
      </c>
      <c r="E4662" t="s">
        <v>2968</v>
      </c>
    </row>
    <row r="4663" spans="1:5" x14ac:dyDescent="0.25">
      <c r="A4663">
        <v>2261</v>
      </c>
      <c r="B4663" t="s">
        <v>1731</v>
      </c>
      <c r="C4663" t="s">
        <v>2989</v>
      </c>
      <c r="D4663" t="str">
        <f t="shared" si="73"/>
        <v>FUNED3908</v>
      </c>
      <c r="E4663" t="s">
        <v>2968</v>
      </c>
    </row>
    <row r="4664" spans="1:5" x14ac:dyDescent="0.25">
      <c r="A4664">
        <v>2261</v>
      </c>
      <c r="B4664" t="s">
        <v>1731</v>
      </c>
      <c r="C4664" t="s">
        <v>336</v>
      </c>
      <c r="D4664" t="str">
        <f t="shared" si="73"/>
        <v>FUNED3909</v>
      </c>
      <c r="E4664" t="s">
        <v>2968</v>
      </c>
    </row>
    <row r="4665" spans="1:5" x14ac:dyDescent="0.25">
      <c r="A4665">
        <v>2261</v>
      </c>
      <c r="B4665" t="s">
        <v>1731</v>
      </c>
      <c r="C4665" t="s">
        <v>346</v>
      </c>
      <c r="D4665" t="str">
        <f t="shared" si="73"/>
        <v>FUNED3910</v>
      </c>
      <c r="E4665" t="s">
        <v>2968</v>
      </c>
    </row>
    <row r="4666" spans="1:5" x14ac:dyDescent="0.25">
      <c r="A4666">
        <v>2261</v>
      </c>
      <c r="B4666" t="s">
        <v>1731</v>
      </c>
      <c r="C4666" t="s">
        <v>356</v>
      </c>
      <c r="D4666" t="str">
        <f t="shared" si="73"/>
        <v>FUNED3911</v>
      </c>
      <c r="E4666" t="s">
        <v>2968</v>
      </c>
    </row>
    <row r="4667" spans="1:5" x14ac:dyDescent="0.25">
      <c r="A4667">
        <v>2261</v>
      </c>
      <c r="B4667" t="s">
        <v>1731</v>
      </c>
      <c r="C4667" t="s">
        <v>2991</v>
      </c>
      <c r="D4667" t="str">
        <f t="shared" si="73"/>
        <v>FUNED3912</v>
      </c>
      <c r="E4667" t="s">
        <v>2992</v>
      </c>
    </row>
    <row r="4668" spans="1:5" x14ac:dyDescent="0.25">
      <c r="A4668">
        <v>2261</v>
      </c>
      <c r="B4668" t="s">
        <v>1731</v>
      </c>
      <c r="C4668" t="s">
        <v>2994</v>
      </c>
      <c r="D4668" t="str">
        <f t="shared" si="73"/>
        <v>FUNED3913</v>
      </c>
      <c r="E4668" t="s">
        <v>2992</v>
      </c>
    </row>
    <row r="4669" spans="1:5" x14ac:dyDescent="0.25">
      <c r="A4669">
        <v>2261</v>
      </c>
      <c r="B4669" t="s">
        <v>1731</v>
      </c>
      <c r="C4669" t="s">
        <v>384</v>
      </c>
      <c r="D4669" t="str">
        <f t="shared" si="73"/>
        <v>FUNED3915</v>
      </c>
      <c r="E4669" t="s">
        <v>2992</v>
      </c>
    </row>
    <row r="4670" spans="1:5" x14ac:dyDescent="0.25">
      <c r="A4670">
        <v>2261</v>
      </c>
      <c r="B4670" t="s">
        <v>1731</v>
      </c>
      <c r="C4670" t="s">
        <v>2996</v>
      </c>
      <c r="D4670" t="str">
        <f t="shared" si="73"/>
        <v>FUNED3917</v>
      </c>
      <c r="E4670" t="s">
        <v>2958</v>
      </c>
    </row>
    <row r="4671" spans="1:5" x14ac:dyDescent="0.25">
      <c r="A4671">
        <v>2261</v>
      </c>
      <c r="B4671" t="s">
        <v>1731</v>
      </c>
      <c r="C4671" t="s">
        <v>2998</v>
      </c>
      <c r="D4671" t="str">
        <f t="shared" si="73"/>
        <v>FUNED3918</v>
      </c>
      <c r="E4671" t="s">
        <v>2958</v>
      </c>
    </row>
    <row r="4672" spans="1:5" x14ac:dyDescent="0.25">
      <c r="A4672">
        <v>2261</v>
      </c>
      <c r="B4672" t="s">
        <v>1731</v>
      </c>
      <c r="C4672" t="s">
        <v>3000</v>
      </c>
      <c r="D4672" t="str">
        <f t="shared" si="73"/>
        <v>FUNED3919</v>
      </c>
      <c r="E4672" t="s">
        <v>3001</v>
      </c>
    </row>
    <row r="4673" spans="1:5" x14ac:dyDescent="0.25">
      <c r="A4673">
        <v>2261</v>
      </c>
      <c r="B4673" t="s">
        <v>1731</v>
      </c>
      <c r="C4673" t="s">
        <v>3002</v>
      </c>
      <c r="D4673" t="str">
        <f t="shared" si="73"/>
        <v>FUNED3921</v>
      </c>
      <c r="E4673" t="s">
        <v>3001</v>
      </c>
    </row>
    <row r="4674" spans="1:5" x14ac:dyDescent="0.25">
      <c r="A4674">
        <v>2261</v>
      </c>
      <c r="B4674" t="s">
        <v>1731</v>
      </c>
      <c r="C4674" t="s">
        <v>3003</v>
      </c>
      <c r="D4674" t="str">
        <f t="shared" si="73"/>
        <v>FUNED3922</v>
      </c>
      <c r="E4674" t="s">
        <v>2954</v>
      </c>
    </row>
    <row r="4675" spans="1:5" x14ac:dyDescent="0.25">
      <c r="A4675">
        <v>2261</v>
      </c>
      <c r="B4675" t="s">
        <v>1731</v>
      </c>
      <c r="C4675" t="s">
        <v>428</v>
      </c>
      <c r="D4675" t="str">
        <f t="shared" si="73"/>
        <v>FUNED3923</v>
      </c>
      <c r="E4675" t="s">
        <v>2968</v>
      </c>
    </row>
    <row r="4676" spans="1:5" x14ac:dyDescent="0.25">
      <c r="A4676">
        <v>2261</v>
      </c>
      <c r="B4676" t="s">
        <v>1731</v>
      </c>
      <c r="C4676" t="s">
        <v>566</v>
      </c>
      <c r="D4676" t="str">
        <f t="shared" si="73"/>
        <v>FUNED3924</v>
      </c>
      <c r="E4676" t="s">
        <v>3004</v>
      </c>
    </row>
    <row r="4677" spans="1:5" x14ac:dyDescent="0.25">
      <c r="A4677">
        <v>2261</v>
      </c>
      <c r="B4677" t="s">
        <v>1731</v>
      </c>
      <c r="C4677" t="s">
        <v>438</v>
      </c>
      <c r="D4677" t="str">
        <f t="shared" ref="D4677:D4740" si="74">CONCATENATE(B4677,LEFT(C4677,4))</f>
        <v>FUNED3925</v>
      </c>
      <c r="E4677" t="s">
        <v>3006</v>
      </c>
    </row>
    <row r="4678" spans="1:5" x14ac:dyDescent="0.25">
      <c r="A4678">
        <v>2261</v>
      </c>
      <c r="B4678" t="s">
        <v>1731</v>
      </c>
      <c r="C4678" t="s">
        <v>443</v>
      </c>
      <c r="D4678" t="str">
        <f t="shared" si="74"/>
        <v>FUNED3926</v>
      </c>
      <c r="E4678" t="s">
        <v>3006</v>
      </c>
    </row>
    <row r="4679" spans="1:5" x14ac:dyDescent="0.25">
      <c r="A4679">
        <v>2261</v>
      </c>
      <c r="B4679" t="s">
        <v>1731</v>
      </c>
      <c r="C4679" t="s">
        <v>3008</v>
      </c>
      <c r="D4679" t="str">
        <f t="shared" si="74"/>
        <v>FUNED3927</v>
      </c>
      <c r="E4679" t="s">
        <v>3009</v>
      </c>
    </row>
    <row r="4680" spans="1:5" x14ac:dyDescent="0.25">
      <c r="A4680">
        <v>2261</v>
      </c>
      <c r="B4680" t="s">
        <v>1731</v>
      </c>
      <c r="C4680" t="s">
        <v>458</v>
      </c>
      <c r="D4680" t="str">
        <f t="shared" si="74"/>
        <v>FUNED3930</v>
      </c>
      <c r="E4680" t="s">
        <v>3006</v>
      </c>
    </row>
    <row r="4681" spans="1:5" x14ac:dyDescent="0.25">
      <c r="A4681">
        <v>2261</v>
      </c>
      <c r="B4681" t="s">
        <v>1731</v>
      </c>
      <c r="C4681" t="s">
        <v>1481</v>
      </c>
      <c r="D4681" t="str">
        <f t="shared" si="74"/>
        <v>FUNED3931</v>
      </c>
      <c r="E4681" t="s">
        <v>2968</v>
      </c>
    </row>
    <row r="4682" spans="1:5" x14ac:dyDescent="0.25">
      <c r="A4682">
        <v>2261</v>
      </c>
      <c r="B4682" t="s">
        <v>1731</v>
      </c>
      <c r="C4682" t="s">
        <v>3017</v>
      </c>
      <c r="D4682" t="str">
        <f t="shared" si="74"/>
        <v>FUNED3936</v>
      </c>
      <c r="E4682" t="s">
        <v>94</v>
      </c>
    </row>
    <row r="4683" spans="1:5" x14ac:dyDescent="0.25">
      <c r="A4683">
        <v>2261</v>
      </c>
      <c r="B4683" t="s">
        <v>1731</v>
      </c>
      <c r="C4683" t="s">
        <v>3019</v>
      </c>
      <c r="D4683" t="str">
        <f t="shared" si="74"/>
        <v>FUNED3940</v>
      </c>
      <c r="E4683" t="s">
        <v>3009</v>
      </c>
    </row>
    <row r="4684" spans="1:5" x14ac:dyDescent="0.25">
      <c r="A4684">
        <v>2261</v>
      </c>
      <c r="B4684" t="s">
        <v>1731</v>
      </c>
      <c r="C4684" t="s">
        <v>480</v>
      </c>
      <c r="D4684" t="str">
        <f t="shared" si="74"/>
        <v>FUNED3941</v>
      </c>
      <c r="E4684" t="s">
        <v>2968</v>
      </c>
    </row>
    <row r="4685" spans="1:5" x14ac:dyDescent="0.25">
      <c r="A4685">
        <v>2261</v>
      </c>
      <c r="B4685" t="s">
        <v>1731</v>
      </c>
      <c r="C4685" t="s">
        <v>3020</v>
      </c>
      <c r="D4685" t="str">
        <f t="shared" si="74"/>
        <v>FUNED3943</v>
      </c>
      <c r="E4685" t="s">
        <v>2958</v>
      </c>
    </row>
    <row r="4686" spans="1:5" x14ac:dyDescent="0.25">
      <c r="A4686">
        <v>2261</v>
      </c>
      <c r="B4686" t="s">
        <v>1731</v>
      </c>
      <c r="C4686" t="s">
        <v>492</v>
      </c>
      <c r="D4686" t="str">
        <f t="shared" si="74"/>
        <v>FUNED3948</v>
      </c>
      <c r="E4686" t="s">
        <v>3004</v>
      </c>
    </row>
    <row r="4687" spans="1:5" x14ac:dyDescent="0.25">
      <c r="A4687">
        <v>2261</v>
      </c>
      <c r="B4687" t="s">
        <v>1731</v>
      </c>
      <c r="C4687" t="s">
        <v>498</v>
      </c>
      <c r="D4687" t="str">
        <f t="shared" si="74"/>
        <v>FUNED3955</v>
      </c>
      <c r="E4687" t="s">
        <v>2968</v>
      </c>
    </row>
    <row r="4688" spans="1:5" x14ac:dyDescent="0.25">
      <c r="A4688">
        <v>2261</v>
      </c>
      <c r="B4688" t="s">
        <v>1731</v>
      </c>
      <c r="C4688" t="s">
        <v>3025</v>
      </c>
      <c r="D4688" t="str">
        <f t="shared" si="74"/>
        <v>FUNED3959</v>
      </c>
      <c r="E4688" t="s">
        <v>2968</v>
      </c>
    </row>
    <row r="4689" spans="1:5" x14ac:dyDescent="0.25">
      <c r="A4689">
        <v>2261</v>
      </c>
      <c r="B4689" t="s">
        <v>1731</v>
      </c>
      <c r="C4689" t="s">
        <v>3027</v>
      </c>
      <c r="D4689" t="str">
        <f t="shared" si="74"/>
        <v>FUNED3961</v>
      </c>
      <c r="E4689" t="s">
        <v>2981</v>
      </c>
    </row>
    <row r="4690" spans="1:5" x14ac:dyDescent="0.25">
      <c r="A4690">
        <v>2261</v>
      </c>
      <c r="B4690" t="s">
        <v>1731</v>
      </c>
      <c r="C4690" t="s">
        <v>3103</v>
      </c>
      <c r="D4690" t="str">
        <f t="shared" si="74"/>
        <v>FUNED3962</v>
      </c>
      <c r="E4690" t="s">
        <v>3033</v>
      </c>
    </row>
    <row r="4691" spans="1:5" x14ac:dyDescent="0.25">
      <c r="A4691">
        <v>2261</v>
      </c>
      <c r="B4691" t="s">
        <v>1731</v>
      </c>
      <c r="C4691" t="s">
        <v>3104</v>
      </c>
      <c r="D4691" t="str">
        <f t="shared" si="74"/>
        <v>FUNED3964</v>
      </c>
      <c r="E4691" t="s">
        <v>2968</v>
      </c>
    </row>
    <row r="4692" spans="1:5" x14ac:dyDescent="0.25">
      <c r="A4692">
        <v>2261</v>
      </c>
      <c r="B4692" t="s">
        <v>1731</v>
      </c>
      <c r="C4692" t="s">
        <v>3105</v>
      </c>
      <c r="D4692" t="str">
        <f t="shared" si="74"/>
        <v>FUNED3965</v>
      </c>
      <c r="E4692" t="s">
        <v>2944</v>
      </c>
    </row>
    <row r="4693" spans="1:5" x14ac:dyDescent="0.25">
      <c r="A4693">
        <v>2261</v>
      </c>
      <c r="B4693" t="s">
        <v>1731</v>
      </c>
      <c r="C4693" t="s">
        <v>1154</v>
      </c>
      <c r="D4693" t="str">
        <f t="shared" si="74"/>
        <v>FUNED3969</v>
      </c>
      <c r="E4693" t="s">
        <v>2992</v>
      </c>
    </row>
    <row r="4694" spans="1:5" x14ac:dyDescent="0.25">
      <c r="A4694">
        <v>2261</v>
      </c>
      <c r="B4694" t="s">
        <v>1731</v>
      </c>
      <c r="C4694" t="s">
        <v>3031</v>
      </c>
      <c r="D4694" t="str">
        <f t="shared" si="74"/>
        <v>FUNED3970</v>
      </c>
      <c r="E4694" t="s">
        <v>3009</v>
      </c>
    </row>
    <row r="4695" spans="1:5" x14ac:dyDescent="0.25">
      <c r="A4695">
        <v>2261</v>
      </c>
      <c r="B4695" t="s">
        <v>1731</v>
      </c>
      <c r="C4695" t="s">
        <v>514</v>
      </c>
      <c r="D4695" t="str">
        <f t="shared" si="74"/>
        <v>FUNED3972</v>
      </c>
      <c r="E4695" t="s">
        <v>2992</v>
      </c>
    </row>
    <row r="4696" spans="1:5" x14ac:dyDescent="0.25">
      <c r="A4696">
        <v>2261</v>
      </c>
      <c r="B4696" t="s">
        <v>1731</v>
      </c>
      <c r="C4696" t="s">
        <v>521</v>
      </c>
      <c r="D4696" t="str">
        <f t="shared" si="74"/>
        <v>FUNED3981</v>
      </c>
      <c r="E4696" t="s">
        <v>2968</v>
      </c>
    </row>
    <row r="4697" spans="1:5" x14ac:dyDescent="0.25">
      <c r="A4697">
        <v>2261</v>
      </c>
      <c r="B4697" t="s">
        <v>1731</v>
      </c>
      <c r="C4697" t="s">
        <v>3036</v>
      </c>
      <c r="D4697" t="str">
        <f t="shared" si="74"/>
        <v>FUNED3987</v>
      </c>
      <c r="E4697" t="s">
        <v>2958</v>
      </c>
    </row>
    <row r="4698" spans="1:5" x14ac:dyDescent="0.25">
      <c r="A4698">
        <v>2261</v>
      </c>
      <c r="B4698" t="s">
        <v>1731</v>
      </c>
      <c r="C4698" t="s">
        <v>3227</v>
      </c>
      <c r="D4698" t="str">
        <f t="shared" si="74"/>
        <v>FUNED3998</v>
      </c>
      <c r="E4698" t="s">
        <v>3291</v>
      </c>
    </row>
    <row r="4699" spans="1:5" x14ac:dyDescent="0.25">
      <c r="A4699">
        <v>2261</v>
      </c>
      <c r="B4699" t="s">
        <v>1731</v>
      </c>
      <c r="C4699" t="s">
        <v>3040</v>
      </c>
      <c r="D4699" t="str">
        <f t="shared" si="74"/>
        <v>FUNED3999</v>
      </c>
      <c r="E4699" t="s">
        <v>2968</v>
      </c>
    </row>
    <row r="4700" spans="1:5" x14ac:dyDescent="0.25">
      <c r="A4700">
        <v>2261</v>
      </c>
      <c r="B4700" t="s">
        <v>1731</v>
      </c>
      <c r="C4700" t="s">
        <v>3041</v>
      </c>
      <c r="D4700" t="str">
        <f t="shared" si="74"/>
        <v>FUNED4002</v>
      </c>
      <c r="E4700" t="s">
        <v>3009</v>
      </c>
    </row>
    <row r="4701" spans="1:5" x14ac:dyDescent="0.25">
      <c r="A4701">
        <v>2261</v>
      </c>
      <c r="B4701" t="s">
        <v>1731</v>
      </c>
      <c r="C4701" t="s">
        <v>3043</v>
      </c>
      <c r="D4701" t="str">
        <f t="shared" si="74"/>
        <v>FUNED4003</v>
      </c>
      <c r="E4701" t="s">
        <v>94</v>
      </c>
    </row>
    <row r="4702" spans="1:5" x14ac:dyDescent="0.25">
      <c r="A4702">
        <v>2261</v>
      </c>
      <c r="B4702" t="s">
        <v>1731</v>
      </c>
      <c r="C4702" t="s">
        <v>3045</v>
      </c>
      <c r="D4702" t="str">
        <f t="shared" si="74"/>
        <v>FUNED4004</v>
      </c>
      <c r="E4702" t="s">
        <v>3009</v>
      </c>
    </row>
    <row r="4703" spans="1:5" x14ac:dyDescent="0.25">
      <c r="A4703">
        <v>2261</v>
      </c>
      <c r="B4703" t="s">
        <v>1731</v>
      </c>
      <c r="C4703" t="s">
        <v>3047</v>
      </c>
      <c r="D4703" t="str">
        <f t="shared" si="74"/>
        <v>FUNED4005</v>
      </c>
      <c r="E4703" t="s">
        <v>3009</v>
      </c>
    </row>
    <row r="4704" spans="1:5" x14ac:dyDescent="0.25">
      <c r="A4704">
        <v>2261</v>
      </c>
      <c r="B4704" t="s">
        <v>1731</v>
      </c>
      <c r="C4704" t="s">
        <v>813</v>
      </c>
      <c r="D4704" t="str">
        <f t="shared" si="74"/>
        <v>FUNED4006</v>
      </c>
      <c r="E4704" t="s">
        <v>3057</v>
      </c>
    </row>
    <row r="4705" spans="1:5" x14ac:dyDescent="0.25">
      <c r="A4705">
        <v>2261</v>
      </c>
      <c r="B4705" t="s">
        <v>1731</v>
      </c>
      <c r="C4705" t="s">
        <v>3128</v>
      </c>
      <c r="D4705" t="str">
        <f t="shared" si="74"/>
        <v>FUNED4301</v>
      </c>
      <c r="E4705" t="s">
        <v>3239</v>
      </c>
    </row>
    <row r="4706" spans="1:5" x14ac:dyDescent="0.25">
      <c r="A4706">
        <v>2261</v>
      </c>
      <c r="B4706" t="s">
        <v>1731</v>
      </c>
      <c r="C4706" t="s">
        <v>3340</v>
      </c>
      <c r="D4706" t="str">
        <f t="shared" si="74"/>
        <v>FUNED4601</v>
      </c>
      <c r="E4706" t="s">
        <v>2926</v>
      </c>
    </row>
    <row r="4707" spans="1:5" x14ac:dyDescent="0.25">
      <c r="A4707">
        <v>2261</v>
      </c>
      <c r="B4707" t="s">
        <v>1731</v>
      </c>
      <c r="C4707" t="s">
        <v>3048</v>
      </c>
      <c r="D4707" t="str">
        <f t="shared" si="74"/>
        <v>FUNED4701</v>
      </c>
      <c r="E4707" t="s">
        <v>3049</v>
      </c>
    </row>
    <row r="4708" spans="1:5" x14ac:dyDescent="0.25">
      <c r="A4708">
        <v>2261</v>
      </c>
      <c r="B4708" t="s">
        <v>1731</v>
      </c>
      <c r="C4708" t="s">
        <v>239</v>
      </c>
      <c r="D4708" t="str">
        <f t="shared" si="74"/>
        <v>FUNED4702</v>
      </c>
      <c r="E4708" t="s">
        <v>3049</v>
      </c>
    </row>
    <row r="4709" spans="1:5" x14ac:dyDescent="0.25">
      <c r="A4709">
        <v>2261</v>
      </c>
      <c r="B4709" t="s">
        <v>1731</v>
      </c>
      <c r="C4709" t="s">
        <v>265</v>
      </c>
      <c r="D4709" t="str">
        <f t="shared" si="74"/>
        <v>FUNED4703</v>
      </c>
      <c r="E4709" t="s">
        <v>3049</v>
      </c>
    </row>
    <row r="4710" spans="1:5" x14ac:dyDescent="0.25">
      <c r="A4710">
        <v>2261</v>
      </c>
      <c r="B4710" t="s">
        <v>1731</v>
      </c>
      <c r="C4710" t="s">
        <v>316</v>
      </c>
      <c r="D4710" t="str">
        <f t="shared" si="74"/>
        <v>FUNED4706</v>
      </c>
      <c r="E4710" t="s">
        <v>3049</v>
      </c>
    </row>
    <row r="4711" spans="1:5" x14ac:dyDescent="0.25">
      <c r="A4711">
        <v>2261</v>
      </c>
      <c r="B4711" t="s">
        <v>1731</v>
      </c>
      <c r="C4711" t="s">
        <v>364</v>
      </c>
      <c r="D4711" t="str">
        <f t="shared" si="74"/>
        <v>FUNED4799</v>
      </c>
      <c r="E4711" t="s">
        <v>3049</v>
      </c>
    </row>
    <row r="4712" spans="1:5" x14ac:dyDescent="0.25">
      <c r="A4712">
        <v>2261</v>
      </c>
      <c r="B4712" t="s">
        <v>1731</v>
      </c>
      <c r="C4712" t="s">
        <v>3240</v>
      </c>
      <c r="D4712" t="str">
        <f t="shared" si="74"/>
        <v>FUNED4904</v>
      </c>
      <c r="E4712" t="s">
        <v>2926</v>
      </c>
    </row>
    <row r="4713" spans="1:5" x14ac:dyDescent="0.25">
      <c r="A4713">
        <v>2261</v>
      </c>
      <c r="B4713" t="s">
        <v>1731</v>
      </c>
      <c r="C4713" t="s">
        <v>3205</v>
      </c>
      <c r="D4713" t="str">
        <f t="shared" si="74"/>
        <v>FUNED4905</v>
      </c>
      <c r="E4713" t="s">
        <v>65</v>
      </c>
    </row>
    <row r="4714" spans="1:5" x14ac:dyDescent="0.25">
      <c r="A4714">
        <v>2261</v>
      </c>
      <c r="B4714" t="s">
        <v>1731</v>
      </c>
      <c r="C4714" t="s">
        <v>3051</v>
      </c>
      <c r="D4714" t="str">
        <f t="shared" si="74"/>
        <v>FUNED5101</v>
      </c>
      <c r="E4714" t="s">
        <v>3052</v>
      </c>
    </row>
    <row r="4715" spans="1:5" x14ac:dyDescent="0.25">
      <c r="A4715">
        <v>2261</v>
      </c>
      <c r="B4715" t="s">
        <v>1731</v>
      </c>
      <c r="C4715" t="s">
        <v>3053</v>
      </c>
      <c r="D4715" t="str">
        <f t="shared" si="74"/>
        <v>FUNED5103</v>
      </c>
      <c r="E4715" t="s">
        <v>3052</v>
      </c>
    </row>
    <row r="4716" spans="1:5" x14ac:dyDescent="0.25">
      <c r="A4716">
        <v>2261</v>
      </c>
      <c r="B4716" t="s">
        <v>1731</v>
      </c>
      <c r="C4716" t="s">
        <v>3209</v>
      </c>
      <c r="D4716" t="str">
        <f t="shared" si="74"/>
        <v>FUNED5114</v>
      </c>
      <c r="E4716" t="s">
        <v>3052</v>
      </c>
    </row>
    <row r="4717" spans="1:5" x14ac:dyDescent="0.25">
      <c r="A4717">
        <v>2261</v>
      </c>
      <c r="B4717" t="s">
        <v>1731</v>
      </c>
      <c r="C4717" t="s">
        <v>3054</v>
      </c>
      <c r="D4717" t="str">
        <f t="shared" si="74"/>
        <v>FUNED5204</v>
      </c>
      <c r="E4717" t="s">
        <v>3055</v>
      </c>
    </row>
    <row r="4718" spans="1:5" x14ac:dyDescent="0.25">
      <c r="A4718">
        <v>2261</v>
      </c>
      <c r="B4718" t="s">
        <v>1731</v>
      </c>
      <c r="C4718" t="s">
        <v>329</v>
      </c>
      <c r="D4718" t="str">
        <f t="shared" si="74"/>
        <v>FUNED5206</v>
      </c>
      <c r="E4718" t="s">
        <v>3057</v>
      </c>
    </row>
    <row r="4719" spans="1:5" x14ac:dyDescent="0.25">
      <c r="A4719">
        <v>2261</v>
      </c>
      <c r="B4719" t="s">
        <v>1731</v>
      </c>
      <c r="C4719" t="s">
        <v>3058</v>
      </c>
      <c r="D4719" t="str">
        <f t="shared" si="74"/>
        <v>FUNED5207</v>
      </c>
      <c r="E4719" t="s">
        <v>3057</v>
      </c>
    </row>
    <row r="4720" spans="1:5" x14ac:dyDescent="0.25">
      <c r="A4720">
        <v>2261</v>
      </c>
      <c r="B4720" t="s">
        <v>1731</v>
      </c>
      <c r="C4720" t="s">
        <v>3060</v>
      </c>
      <c r="D4720" t="str">
        <f t="shared" si="74"/>
        <v>FUNED5208</v>
      </c>
      <c r="E4720" t="s">
        <v>3057</v>
      </c>
    </row>
    <row r="4721" spans="1:5" x14ac:dyDescent="0.25">
      <c r="A4721">
        <v>2261</v>
      </c>
      <c r="B4721" t="s">
        <v>1731</v>
      </c>
      <c r="C4721" t="s">
        <v>359</v>
      </c>
      <c r="D4721" t="str">
        <f t="shared" si="74"/>
        <v>FUNED5209</v>
      </c>
      <c r="E4721" t="s">
        <v>3055</v>
      </c>
    </row>
    <row r="4722" spans="1:5" x14ac:dyDescent="0.25">
      <c r="A4722">
        <v>2261</v>
      </c>
      <c r="B4722" t="s">
        <v>1731</v>
      </c>
      <c r="C4722" t="s">
        <v>3063</v>
      </c>
      <c r="D4722" t="str">
        <f t="shared" si="74"/>
        <v>FUNED5210</v>
      </c>
      <c r="E4722" t="s">
        <v>3055</v>
      </c>
    </row>
    <row r="4723" spans="1:5" x14ac:dyDescent="0.25">
      <c r="A4723">
        <v>2261</v>
      </c>
      <c r="B4723" t="s">
        <v>1731</v>
      </c>
      <c r="C4723" t="s">
        <v>3155</v>
      </c>
      <c r="D4723" t="str">
        <f t="shared" si="74"/>
        <v>FUNED5211</v>
      </c>
      <c r="E4723" t="s">
        <v>2944</v>
      </c>
    </row>
    <row r="4724" spans="1:5" x14ac:dyDescent="0.25">
      <c r="A4724">
        <v>2261</v>
      </c>
      <c r="B4724" t="s">
        <v>1731</v>
      </c>
      <c r="C4724" t="s">
        <v>3064</v>
      </c>
      <c r="D4724" t="str">
        <f t="shared" si="74"/>
        <v>FUNED5212</v>
      </c>
      <c r="E4724" t="s">
        <v>3055</v>
      </c>
    </row>
    <row r="4725" spans="1:5" x14ac:dyDescent="0.25">
      <c r="A4725">
        <v>2261</v>
      </c>
      <c r="B4725" t="s">
        <v>1731</v>
      </c>
      <c r="C4725" t="s">
        <v>385</v>
      </c>
      <c r="D4725" t="str">
        <f t="shared" si="74"/>
        <v>FUNED5213</v>
      </c>
      <c r="E4725" t="s">
        <v>3055</v>
      </c>
    </row>
    <row r="4726" spans="1:5" x14ac:dyDescent="0.25">
      <c r="A4726">
        <v>2261</v>
      </c>
      <c r="B4726" t="s">
        <v>1731</v>
      </c>
      <c r="C4726" t="s">
        <v>391</v>
      </c>
      <c r="D4726" t="str">
        <f t="shared" si="74"/>
        <v>FUNED5214</v>
      </c>
      <c r="E4726" t="s">
        <v>3055</v>
      </c>
    </row>
    <row r="4727" spans="1:5" x14ac:dyDescent="0.25">
      <c r="A4727">
        <v>2261</v>
      </c>
      <c r="B4727" t="s">
        <v>1731</v>
      </c>
      <c r="C4727" t="s">
        <v>403</v>
      </c>
      <c r="D4727" t="str">
        <f t="shared" si="74"/>
        <v>FUNED5216</v>
      </c>
      <c r="E4727" t="s">
        <v>3055</v>
      </c>
    </row>
    <row r="4728" spans="1:5" x14ac:dyDescent="0.25">
      <c r="A4728">
        <v>2261</v>
      </c>
      <c r="B4728" t="s">
        <v>1731</v>
      </c>
      <c r="C4728" t="s">
        <v>409</v>
      </c>
      <c r="D4728" t="str">
        <f t="shared" si="74"/>
        <v>FUNED5217</v>
      </c>
      <c r="E4728" t="s">
        <v>3055</v>
      </c>
    </row>
    <row r="4729" spans="1:5" x14ac:dyDescent="0.25">
      <c r="A4729">
        <v>2261</v>
      </c>
      <c r="B4729" t="s">
        <v>1731</v>
      </c>
      <c r="C4729" t="s">
        <v>3068</v>
      </c>
      <c r="D4729" t="str">
        <f t="shared" si="74"/>
        <v>FUNED5220</v>
      </c>
      <c r="E4729" t="s">
        <v>3057</v>
      </c>
    </row>
    <row r="4730" spans="1:5" x14ac:dyDescent="0.25">
      <c r="A4730">
        <v>2261</v>
      </c>
      <c r="B4730" t="s">
        <v>1731</v>
      </c>
      <c r="C4730" t="s">
        <v>429</v>
      </c>
      <c r="D4730" t="str">
        <f t="shared" si="74"/>
        <v>FUNED5221</v>
      </c>
      <c r="E4730" t="s">
        <v>3055</v>
      </c>
    </row>
    <row r="4731" spans="1:5" x14ac:dyDescent="0.25">
      <c r="A4731">
        <v>2261</v>
      </c>
      <c r="B4731" t="s">
        <v>1731</v>
      </c>
      <c r="C4731" t="s">
        <v>434</v>
      </c>
      <c r="D4731" t="str">
        <f t="shared" si="74"/>
        <v>FUNED5222</v>
      </c>
      <c r="E4731" t="s">
        <v>3055</v>
      </c>
    </row>
    <row r="4732" spans="1:5" x14ac:dyDescent="0.25">
      <c r="A4732">
        <v>2261</v>
      </c>
      <c r="B4732" t="s">
        <v>1731</v>
      </c>
      <c r="C4732" t="s">
        <v>449</v>
      </c>
      <c r="D4732" t="str">
        <f t="shared" si="74"/>
        <v>FUNED5225</v>
      </c>
      <c r="E4732" t="s">
        <v>3055</v>
      </c>
    </row>
    <row r="4733" spans="1:5" x14ac:dyDescent="0.25">
      <c r="A4733">
        <v>2261</v>
      </c>
      <c r="B4733" t="s">
        <v>1731</v>
      </c>
      <c r="C4733" t="s">
        <v>3070</v>
      </c>
      <c r="D4733" t="str">
        <f t="shared" si="74"/>
        <v>FUNED5226</v>
      </c>
      <c r="E4733" t="s">
        <v>3055</v>
      </c>
    </row>
    <row r="4734" spans="1:5" x14ac:dyDescent="0.25">
      <c r="A4734">
        <v>2261</v>
      </c>
      <c r="B4734" t="s">
        <v>1731</v>
      </c>
      <c r="C4734" t="s">
        <v>459</v>
      </c>
      <c r="D4734" t="str">
        <f t="shared" si="74"/>
        <v>FUNED5299</v>
      </c>
      <c r="E4734" t="s">
        <v>3055</v>
      </c>
    </row>
    <row r="4735" spans="1:5" x14ac:dyDescent="0.25">
      <c r="A4735">
        <v>2261</v>
      </c>
      <c r="B4735" t="s">
        <v>1731</v>
      </c>
      <c r="C4735" t="s">
        <v>3074</v>
      </c>
      <c r="D4735" t="str">
        <f t="shared" si="74"/>
        <v>FUNED9202</v>
      </c>
      <c r="E4735" t="s">
        <v>3075</v>
      </c>
    </row>
    <row r="4736" spans="1:5" x14ac:dyDescent="0.25">
      <c r="A4736">
        <v>2261</v>
      </c>
      <c r="B4736" t="s">
        <v>1731</v>
      </c>
      <c r="C4736" t="s">
        <v>331</v>
      </c>
      <c r="D4736" t="str">
        <f t="shared" si="74"/>
        <v>FUNED9306</v>
      </c>
      <c r="E4736" t="s">
        <v>3076</v>
      </c>
    </row>
    <row r="4737" spans="1:5" x14ac:dyDescent="0.25">
      <c r="A4737">
        <v>2261</v>
      </c>
      <c r="B4737" t="s">
        <v>1731</v>
      </c>
      <c r="C4737" t="s">
        <v>3079</v>
      </c>
      <c r="D4737" t="str">
        <f t="shared" si="74"/>
        <v>FUNED9399</v>
      </c>
      <c r="E4737" t="s">
        <v>2968</v>
      </c>
    </row>
    <row r="4738" spans="1:5" x14ac:dyDescent="0.25">
      <c r="A4738">
        <v>2261</v>
      </c>
      <c r="B4738" t="s">
        <v>1731</v>
      </c>
      <c r="C4738" t="s">
        <v>3298</v>
      </c>
      <c r="D4738" t="str">
        <f t="shared" si="74"/>
        <v>FUNED9701</v>
      </c>
      <c r="E4738" t="s">
        <v>2968</v>
      </c>
    </row>
    <row r="4739" spans="1:5" x14ac:dyDescent="0.25">
      <c r="A4739">
        <v>2271</v>
      </c>
      <c r="B4739" t="s">
        <v>1725</v>
      </c>
      <c r="C4739" t="s">
        <v>3229</v>
      </c>
      <c r="D4739" t="str">
        <f t="shared" si="74"/>
        <v>FHEMIG1307</v>
      </c>
      <c r="E4739" t="s">
        <v>3081</v>
      </c>
    </row>
    <row r="4740" spans="1:5" x14ac:dyDescent="0.25">
      <c r="A4740">
        <v>2271</v>
      </c>
      <c r="B4740" t="s">
        <v>1725</v>
      </c>
      <c r="C4740" t="s">
        <v>3222</v>
      </c>
      <c r="D4740" t="str">
        <f t="shared" si="74"/>
        <v>FHEMIG1313</v>
      </c>
      <c r="E4740" t="s">
        <v>2944</v>
      </c>
    </row>
    <row r="4741" spans="1:5" x14ac:dyDescent="0.25">
      <c r="A4741">
        <v>2271</v>
      </c>
      <c r="B4741" t="s">
        <v>1725</v>
      </c>
      <c r="C4741" t="s">
        <v>2942</v>
      </c>
      <c r="D4741" t="str">
        <f t="shared" ref="D4741:D4804" si="75">CONCATENATE(B4741,LEFT(C4741,4))</f>
        <v>FHEMIG1317</v>
      </c>
      <c r="E4741" t="s">
        <v>3081</v>
      </c>
    </row>
    <row r="4742" spans="1:5" x14ac:dyDescent="0.25">
      <c r="A4742">
        <v>2271</v>
      </c>
      <c r="B4742" t="s">
        <v>1725</v>
      </c>
      <c r="C4742" t="s">
        <v>3282</v>
      </c>
      <c r="D4742" t="str">
        <f t="shared" si="75"/>
        <v>FHEMIG1323</v>
      </c>
      <c r="E4742" t="s">
        <v>2944</v>
      </c>
    </row>
    <row r="4743" spans="1:5" x14ac:dyDescent="0.25">
      <c r="A4743">
        <v>2271</v>
      </c>
      <c r="B4743" t="s">
        <v>1725</v>
      </c>
      <c r="C4743" t="s">
        <v>399</v>
      </c>
      <c r="D4743" t="str">
        <f t="shared" si="75"/>
        <v>FHEMIG1325</v>
      </c>
      <c r="E4743" t="s">
        <v>3081</v>
      </c>
    </row>
    <row r="4744" spans="1:5" x14ac:dyDescent="0.25">
      <c r="A4744">
        <v>2271</v>
      </c>
      <c r="B4744" t="s">
        <v>1725</v>
      </c>
      <c r="C4744" t="s">
        <v>2928</v>
      </c>
      <c r="D4744" t="str">
        <f t="shared" si="75"/>
        <v>FHEMIG1401</v>
      </c>
      <c r="E4744" t="s">
        <v>44</v>
      </c>
    </row>
    <row r="4745" spans="1:5" x14ac:dyDescent="0.25">
      <c r="A4745">
        <v>2271</v>
      </c>
      <c r="B4745" t="s">
        <v>1725</v>
      </c>
      <c r="C4745" t="s">
        <v>2930</v>
      </c>
      <c r="D4745" t="str">
        <f t="shared" si="75"/>
        <v>FHEMIG1501</v>
      </c>
      <c r="E4745" t="s">
        <v>44</v>
      </c>
    </row>
    <row r="4746" spans="1:5" x14ac:dyDescent="0.25">
      <c r="A4746">
        <v>2271</v>
      </c>
      <c r="B4746" t="s">
        <v>1725</v>
      </c>
      <c r="C4746" t="s">
        <v>2932</v>
      </c>
      <c r="D4746" t="str">
        <f t="shared" si="75"/>
        <v>FHEMIG3001</v>
      </c>
      <c r="E4746" t="s">
        <v>2933</v>
      </c>
    </row>
    <row r="4747" spans="1:5" x14ac:dyDescent="0.25">
      <c r="A4747">
        <v>2271</v>
      </c>
      <c r="B4747" t="s">
        <v>1725</v>
      </c>
      <c r="C4747" t="s">
        <v>256</v>
      </c>
      <c r="D4747" t="str">
        <f t="shared" si="75"/>
        <v>FHEMIG3002</v>
      </c>
      <c r="E4747" t="s">
        <v>2933</v>
      </c>
    </row>
    <row r="4748" spans="1:5" x14ac:dyDescent="0.25">
      <c r="A4748">
        <v>2271</v>
      </c>
      <c r="B4748" t="s">
        <v>1725</v>
      </c>
      <c r="C4748" t="s">
        <v>979</v>
      </c>
      <c r="D4748" t="str">
        <f t="shared" si="75"/>
        <v>FHEMIG3003</v>
      </c>
      <c r="E4748" t="s">
        <v>2933</v>
      </c>
    </row>
    <row r="4749" spans="1:5" x14ac:dyDescent="0.25">
      <c r="A4749">
        <v>2271</v>
      </c>
      <c r="B4749" t="s">
        <v>1725</v>
      </c>
      <c r="C4749" t="s">
        <v>2937</v>
      </c>
      <c r="D4749" t="str">
        <f t="shared" si="75"/>
        <v>FHEMIG3004</v>
      </c>
      <c r="E4749" t="s">
        <v>2933</v>
      </c>
    </row>
    <row r="4750" spans="1:5" x14ac:dyDescent="0.25">
      <c r="A4750">
        <v>2271</v>
      </c>
      <c r="B4750" t="s">
        <v>1725</v>
      </c>
      <c r="C4750" t="s">
        <v>2939</v>
      </c>
      <c r="D4750" t="str">
        <f t="shared" si="75"/>
        <v>FHEMIG3005</v>
      </c>
      <c r="E4750" t="s">
        <v>2933</v>
      </c>
    </row>
    <row r="4751" spans="1:5" x14ac:dyDescent="0.25">
      <c r="A4751">
        <v>2271</v>
      </c>
      <c r="B4751" t="s">
        <v>1725</v>
      </c>
      <c r="C4751" t="s">
        <v>323</v>
      </c>
      <c r="D4751" t="str">
        <f t="shared" si="75"/>
        <v>FHEMIG3006</v>
      </c>
      <c r="E4751" t="s">
        <v>2933</v>
      </c>
    </row>
    <row r="4752" spans="1:5" x14ac:dyDescent="0.25">
      <c r="A4752">
        <v>2271</v>
      </c>
      <c r="B4752" t="s">
        <v>1725</v>
      </c>
      <c r="C4752" t="s">
        <v>333</v>
      </c>
      <c r="D4752" t="str">
        <f t="shared" si="75"/>
        <v>FHEMIG3007</v>
      </c>
      <c r="E4752" t="s">
        <v>2933</v>
      </c>
    </row>
    <row r="4753" spans="1:5" x14ac:dyDescent="0.25">
      <c r="A4753">
        <v>2271</v>
      </c>
      <c r="B4753" t="s">
        <v>1725</v>
      </c>
      <c r="C4753" t="s">
        <v>2941</v>
      </c>
      <c r="D4753" t="str">
        <f t="shared" si="75"/>
        <v>FHEMIG3008</v>
      </c>
      <c r="E4753" t="s">
        <v>2933</v>
      </c>
    </row>
    <row r="4754" spans="1:5" x14ac:dyDescent="0.25">
      <c r="A4754">
        <v>2271</v>
      </c>
      <c r="B4754" t="s">
        <v>1725</v>
      </c>
      <c r="C4754" t="s">
        <v>2943</v>
      </c>
      <c r="D4754" t="str">
        <f t="shared" si="75"/>
        <v>FHEMIG3010</v>
      </c>
      <c r="E4754" t="s">
        <v>2944</v>
      </c>
    </row>
    <row r="4755" spans="1:5" x14ac:dyDescent="0.25">
      <c r="A4755">
        <v>2271</v>
      </c>
      <c r="B4755" t="s">
        <v>1725</v>
      </c>
      <c r="C4755" t="s">
        <v>369</v>
      </c>
      <c r="D4755" t="str">
        <f t="shared" si="75"/>
        <v>FHEMIG3011</v>
      </c>
      <c r="E4755" t="s">
        <v>2933</v>
      </c>
    </row>
    <row r="4756" spans="1:5" x14ac:dyDescent="0.25">
      <c r="A4756">
        <v>2271</v>
      </c>
      <c r="B4756" t="s">
        <v>1725</v>
      </c>
      <c r="C4756" t="s">
        <v>138</v>
      </c>
      <c r="D4756" t="str">
        <f t="shared" si="75"/>
        <v>FHEMIG3012</v>
      </c>
      <c r="E4756" t="s">
        <v>2944</v>
      </c>
    </row>
    <row r="4757" spans="1:5" x14ac:dyDescent="0.25">
      <c r="A4757">
        <v>2271</v>
      </c>
      <c r="B4757" t="s">
        <v>1725</v>
      </c>
      <c r="C4757" t="s">
        <v>2946</v>
      </c>
      <c r="D4757" t="str">
        <f t="shared" si="75"/>
        <v>FHEMIG3013</v>
      </c>
      <c r="E4757" t="s">
        <v>2933</v>
      </c>
    </row>
    <row r="4758" spans="1:5" x14ac:dyDescent="0.25">
      <c r="A4758">
        <v>2271</v>
      </c>
      <c r="B4758" t="s">
        <v>1725</v>
      </c>
      <c r="C4758" t="s">
        <v>388</v>
      </c>
      <c r="D4758" t="str">
        <f t="shared" si="75"/>
        <v>FHEMIG3014</v>
      </c>
      <c r="E4758" t="s">
        <v>2933</v>
      </c>
    </row>
    <row r="4759" spans="1:5" x14ac:dyDescent="0.25">
      <c r="A4759">
        <v>2271</v>
      </c>
      <c r="B4759" t="s">
        <v>1725</v>
      </c>
      <c r="C4759" t="s">
        <v>2948</v>
      </c>
      <c r="D4759" t="str">
        <f t="shared" si="75"/>
        <v>FHEMIG3015</v>
      </c>
      <c r="E4759" t="s">
        <v>2933</v>
      </c>
    </row>
    <row r="4760" spans="1:5" x14ac:dyDescent="0.25">
      <c r="A4760">
        <v>2271</v>
      </c>
      <c r="B4760" t="s">
        <v>1725</v>
      </c>
      <c r="C4760" t="s">
        <v>2950</v>
      </c>
      <c r="D4760" t="str">
        <f t="shared" si="75"/>
        <v>FHEMIG3016</v>
      </c>
      <c r="E4760" t="s">
        <v>2933</v>
      </c>
    </row>
    <row r="4761" spans="1:5" x14ac:dyDescent="0.25">
      <c r="A4761">
        <v>2271</v>
      </c>
      <c r="B4761" t="s">
        <v>1725</v>
      </c>
      <c r="C4761" t="s">
        <v>406</v>
      </c>
      <c r="D4761" t="str">
        <f t="shared" si="75"/>
        <v>FHEMIG3017</v>
      </c>
      <c r="E4761" t="s">
        <v>2933</v>
      </c>
    </row>
    <row r="4762" spans="1:5" x14ac:dyDescent="0.25">
      <c r="A4762">
        <v>2271</v>
      </c>
      <c r="B4762" t="s">
        <v>1725</v>
      </c>
      <c r="C4762" t="s">
        <v>411</v>
      </c>
      <c r="D4762" t="str">
        <f t="shared" si="75"/>
        <v>FHEMIG3018</v>
      </c>
      <c r="E4762" t="s">
        <v>2933</v>
      </c>
    </row>
    <row r="4763" spans="1:5" x14ac:dyDescent="0.25">
      <c r="A4763">
        <v>2271</v>
      </c>
      <c r="B4763" t="s">
        <v>1725</v>
      </c>
      <c r="C4763" t="s">
        <v>2953</v>
      </c>
      <c r="D4763" t="str">
        <f t="shared" si="75"/>
        <v>FHEMIG3019</v>
      </c>
      <c r="E4763" t="s">
        <v>2954</v>
      </c>
    </row>
    <row r="4764" spans="1:5" x14ac:dyDescent="0.25">
      <c r="A4764">
        <v>2271</v>
      </c>
      <c r="B4764" t="s">
        <v>1725</v>
      </c>
      <c r="C4764" t="s">
        <v>2955</v>
      </c>
      <c r="D4764" t="str">
        <f t="shared" si="75"/>
        <v>FHEMIG3020</v>
      </c>
      <c r="E4764" t="s">
        <v>2933</v>
      </c>
    </row>
    <row r="4765" spans="1:5" x14ac:dyDescent="0.25">
      <c r="A4765">
        <v>2271</v>
      </c>
      <c r="B4765" t="s">
        <v>1725</v>
      </c>
      <c r="C4765" t="s">
        <v>2956</v>
      </c>
      <c r="D4765" t="str">
        <f t="shared" si="75"/>
        <v>FHEMIG3021</v>
      </c>
      <c r="E4765" t="s">
        <v>2933</v>
      </c>
    </row>
    <row r="4766" spans="1:5" x14ac:dyDescent="0.25">
      <c r="A4766">
        <v>2271</v>
      </c>
      <c r="B4766" t="s">
        <v>1725</v>
      </c>
      <c r="C4766" t="s">
        <v>431</v>
      </c>
      <c r="D4766" t="str">
        <f t="shared" si="75"/>
        <v>FHEMIG3022</v>
      </c>
      <c r="E4766" t="s">
        <v>2933</v>
      </c>
    </row>
    <row r="4767" spans="1:5" x14ac:dyDescent="0.25">
      <c r="A4767">
        <v>2271</v>
      </c>
      <c r="B4767" t="s">
        <v>1725</v>
      </c>
      <c r="C4767" t="s">
        <v>2957</v>
      </c>
      <c r="D4767" t="str">
        <f t="shared" si="75"/>
        <v>FHEMIG3023</v>
      </c>
      <c r="E4767" t="s">
        <v>2958</v>
      </c>
    </row>
    <row r="4768" spans="1:5" x14ac:dyDescent="0.25">
      <c r="A4768">
        <v>2271</v>
      </c>
      <c r="B4768" t="s">
        <v>1725</v>
      </c>
      <c r="C4768" t="s">
        <v>441</v>
      </c>
      <c r="D4768" t="str">
        <f t="shared" si="75"/>
        <v>FHEMIG3024</v>
      </c>
      <c r="E4768" t="s">
        <v>2933</v>
      </c>
    </row>
    <row r="4769" spans="1:5" x14ac:dyDescent="0.25">
      <c r="A4769">
        <v>2271</v>
      </c>
      <c r="B4769" t="s">
        <v>1725</v>
      </c>
      <c r="C4769" t="s">
        <v>2959</v>
      </c>
      <c r="D4769" t="str">
        <f t="shared" si="75"/>
        <v>FHEMIG3025</v>
      </c>
      <c r="E4769" t="s">
        <v>2933</v>
      </c>
    </row>
    <row r="4770" spans="1:5" x14ac:dyDescent="0.25">
      <c r="A4770">
        <v>2271</v>
      </c>
      <c r="B4770" t="s">
        <v>1725</v>
      </c>
      <c r="C4770" t="s">
        <v>2960</v>
      </c>
      <c r="D4770" t="str">
        <f t="shared" si="75"/>
        <v>FHEMIG3026</v>
      </c>
      <c r="E4770" t="s">
        <v>2958</v>
      </c>
    </row>
    <row r="4771" spans="1:5" x14ac:dyDescent="0.25">
      <c r="A4771">
        <v>2271</v>
      </c>
      <c r="B4771" t="s">
        <v>1725</v>
      </c>
      <c r="C4771" t="s">
        <v>2961</v>
      </c>
      <c r="D4771" t="str">
        <f t="shared" si="75"/>
        <v>FHEMIG3027</v>
      </c>
      <c r="E4771" t="s">
        <v>2933</v>
      </c>
    </row>
    <row r="4772" spans="1:5" x14ac:dyDescent="0.25">
      <c r="A4772">
        <v>2271</v>
      </c>
      <c r="B4772" t="s">
        <v>1725</v>
      </c>
      <c r="C4772" t="s">
        <v>2984</v>
      </c>
      <c r="D4772" t="str">
        <f t="shared" si="75"/>
        <v>FHEMIG3029</v>
      </c>
      <c r="E4772" t="s">
        <v>2933</v>
      </c>
    </row>
    <row r="4773" spans="1:5" x14ac:dyDescent="0.25">
      <c r="A4773">
        <v>2271</v>
      </c>
      <c r="B4773" t="s">
        <v>1725</v>
      </c>
      <c r="C4773" t="s">
        <v>467</v>
      </c>
      <c r="D4773" t="str">
        <f t="shared" si="75"/>
        <v>FHEMIG3030</v>
      </c>
      <c r="E4773" t="s">
        <v>2933</v>
      </c>
    </row>
    <row r="4774" spans="1:5" x14ac:dyDescent="0.25">
      <c r="A4774">
        <v>2271</v>
      </c>
      <c r="B4774" t="s">
        <v>1725</v>
      </c>
      <c r="C4774" t="s">
        <v>470</v>
      </c>
      <c r="D4774" t="str">
        <f t="shared" si="75"/>
        <v>FHEMIG3031</v>
      </c>
      <c r="E4774" t="s">
        <v>2933</v>
      </c>
    </row>
    <row r="4775" spans="1:5" x14ac:dyDescent="0.25">
      <c r="A4775">
        <v>2271</v>
      </c>
      <c r="B4775" t="s">
        <v>1725</v>
      </c>
      <c r="C4775" t="s">
        <v>2963</v>
      </c>
      <c r="D4775" t="str">
        <f t="shared" si="75"/>
        <v>FHEMIG3032</v>
      </c>
      <c r="E4775" t="s">
        <v>2933</v>
      </c>
    </row>
    <row r="4776" spans="1:5" x14ac:dyDescent="0.25">
      <c r="A4776">
        <v>2271</v>
      </c>
      <c r="B4776" t="s">
        <v>1725</v>
      </c>
      <c r="C4776" t="s">
        <v>477</v>
      </c>
      <c r="D4776" t="str">
        <f t="shared" si="75"/>
        <v>FHEMIG3034</v>
      </c>
      <c r="E4776" t="s">
        <v>2965</v>
      </c>
    </row>
    <row r="4777" spans="1:5" x14ac:dyDescent="0.25">
      <c r="A4777">
        <v>2271</v>
      </c>
      <c r="B4777" t="s">
        <v>1725</v>
      </c>
      <c r="C4777" t="s">
        <v>485</v>
      </c>
      <c r="D4777" t="str">
        <f t="shared" si="75"/>
        <v>FHEMIG3039</v>
      </c>
      <c r="E4777" t="s">
        <v>2933</v>
      </c>
    </row>
    <row r="4778" spans="1:5" x14ac:dyDescent="0.25">
      <c r="A4778">
        <v>2271</v>
      </c>
      <c r="B4778" t="s">
        <v>1725</v>
      </c>
      <c r="C4778" t="s">
        <v>487</v>
      </c>
      <c r="D4778" t="str">
        <f t="shared" si="75"/>
        <v>FHEMIG3040</v>
      </c>
      <c r="E4778" t="s">
        <v>2933</v>
      </c>
    </row>
    <row r="4779" spans="1:5" x14ac:dyDescent="0.25">
      <c r="A4779">
        <v>2271</v>
      </c>
      <c r="B4779" t="s">
        <v>1725</v>
      </c>
      <c r="C4779" t="s">
        <v>2993</v>
      </c>
      <c r="D4779" t="str">
        <f t="shared" si="75"/>
        <v>FHEMIG3041</v>
      </c>
      <c r="E4779" t="s">
        <v>2968</v>
      </c>
    </row>
    <row r="4780" spans="1:5" x14ac:dyDescent="0.25">
      <c r="A4780">
        <v>2271</v>
      </c>
      <c r="B4780" t="s">
        <v>1725</v>
      </c>
      <c r="C4780" t="s">
        <v>491</v>
      </c>
      <c r="D4780" t="str">
        <f t="shared" si="75"/>
        <v>FHEMIG3099</v>
      </c>
      <c r="E4780" t="s">
        <v>2933</v>
      </c>
    </row>
    <row r="4781" spans="1:5" x14ac:dyDescent="0.25">
      <c r="A4781">
        <v>2271</v>
      </c>
      <c r="B4781" t="s">
        <v>1725</v>
      </c>
      <c r="C4781" t="s">
        <v>2967</v>
      </c>
      <c r="D4781" t="str">
        <f t="shared" si="75"/>
        <v>FHEMIG3101</v>
      </c>
      <c r="E4781" t="s">
        <v>2968</v>
      </c>
    </row>
    <row r="4782" spans="1:5" x14ac:dyDescent="0.25">
      <c r="A4782">
        <v>2271</v>
      </c>
      <c r="B4782" t="s">
        <v>1725</v>
      </c>
      <c r="C4782" t="s">
        <v>294</v>
      </c>
      <c r="D4782" t="str">
        <f t="shared" si="75"/>
        <v>FHEMIG3104</v>
      </c>
      <c r="E4782" t="s">
        <v>2968</v>
      </c>
    </row>
    <row r="4783" spans="1:5" x14ac:dyDescent="0.25">
      <c r="A4783">
        <v>2271</v>
      </c>
      <c r="B4783" t="s">
        <v>1725</v>
      </c>
      <c r="C4783" t="s">
        <v>227</v>
      </c>
      <c r="D4783" t="str">
        <f t="shared" si="75"/>
        <v>FHEMIG3201</v>
      </c>
      <c r="E4783" t="s">
        <v>2968</v>
      </c>
    </row>
    <row r="4784" spans="1:5" x14ac:dyDescent="0.25">
      <c r="A4784">
        <v>2271</v>
      </c>
      <c r="B4784" t="s">
        <v>1725</v>
      </c>
      <c r="C4784" t="s">
        <v>54</v>
      </c>
      <c r="D4784" t="str">
        <f t="shared" si="75"/>
        <v>FHEMIG3301</v>
      </c>
      <c r="E4784" t="s">
        <v>44</v>
      </c>
    </row>
    <row r="4785" spans="1:5" x14ac:dyDescent="0.25">
      <c r="A4785">
        <v>2271</v>
      </c>
      <c r="B4785" t="s">
        <v>1725</v>
      </c>
      <c r="C4785" t="s">
        <v>2975</v>
      </c>
      <c r="D4785" t="str">
        <f t="shared" si="75"/>
        <v>FHEMIG3302</v>
      </c>
      <c r="E4785" t="s">
        <v>44</v>
      </c>
    </row>
    <row r="4786" spans="1:5" x14ac:dyDescent="0.25">
      <c r="A4786">
        <v>2271</v>
      </c>
      <c r="B4786" t="s">
        <v>1725</v>
      </c>
      <c r="C4786" t="s">
        <v>2977</v>
      </c>
      <c r="D4786" t="str">
        <f t="shared" si="75"/>
        <v>FHEMIG3304</v>
      </c>
      <c r="E4786" t="s">
        <v>44</v>
      </c>
    </row>
    <row r="4787" spans="1:5" x14ac:dyDescent="0.25">
      <c r="A4787">
        <v>2271</v>
      </c>
      <c r="B4787" t="s">
        <v>1725</v>
      </c>
      <c r="C4787" t="s">
        <v>309</v>
      </c>
      <c r="D4787" t="str">
        <f t="shared" si="75"/>
        <v>FHEMIG3305</v>
      </c>
      <c r="E4787" t="s">
        <v>2968</v>
      </c>
    </row>
    <row r="4788" spans="1:5" x14ac:dyDescent="0.25">
      <c r="A4788">
        <v>2271</v>
      </c>
      <c r="B4788" t="s">
        <v>1725</v>
      </c>
      <c r="C4788" t="s">
        <v>228</v>
      </c>
      <c r="D4788" t="str">
        <f t="shared" si="75"/>
        <v>FHEMIG3401</v>
      </c>
      <c r="E4788" t="s">
        <v>3231</v>
      </c>
    </row>
    <row r="4789" spans="1:5" x14ac:dyDescent="0.25">
      <c r="A4789">
        <v>2271</v>
      </c>
      <c r="B4789" t="s">
        <v>1725</v>
      </c>
      <c r="C4789" t="s">
        <v>280</v>
      </c>
      <c r="D4789" t="str">
        <f t="shared" si="75"/>
        <v>FHEMIG3403</v>
      </c>
      <c r="E4789" t="s">
        <v>3081</v>
      </c>
    </row>
    <row r="4790" spans="1:5" x14ac:dyDescent="0.25">
      <c r="A4790">
        <v>2271</v>
      </c>
      <c r="B4790" t="s">
        <v>1725</v>
      </c>
      <c r="C4790" t="s">
        <v>296</v>
      </c>
      <c r="D4790" t="str">
        <f t="shared" si="75"/>
        <v>FHEMIG3404</v>
      </c>
      <c r="E4790" t="s">
        <v>3081</v>
      </c>
    </row>
    <row r="4791" spans="1:5" x14ac:dyDescent="0.25">
      <c r="A4791">
        <v>2271</v>
      </c>
      <c r="B4791" t="s">
        <v>1725</v>
      </c>
      <c r="C4791" t="s">
        <v>3201</v>
      </c>
      <c r="D4791" t="str">
        <f t="shared" si="75"/>
        <v>FHEMIG3502</v>
      </c>
      <c r="E4791" t="s">
        <v>1660</v>
      </c>
    </row>
    <row r="4792" spans="1:5" x14ac:dyDescent="0.25">
      <c r="A4792">
        <v>2271</v>
      </c>
      <c r="B4792" t="s">
        <v>1725</v>
      </c>
      <c r="C4792" t="s">
        <v>261</v>
      </c>
      <c r="D4792" t="str">
        <f t="shared" si="75"/>
        <v>FHEMIG3602</v>
      </c>
      <c r="E4792" t="s">
        <v>2944</v>
      </c>
    </row>
    <row r="4793" spans="1:5" x14ac:dyDescent="0.25">
      <c r="A4793">
        <v>2271</v>
      </c>
      <c r="B4793" t="s">
        <v>1725</v>
      </c>
      <c r="C4793" t="s">
        <v>297</v>
      </c>
      <c r="D4793" t="str">
        <f t="shared" si="75"/>
        <v>FHEMIG3604</v>
      </c>
      <c r="E4793" t="s">
        <v>44</v>
      </c>
    </row>
    <row r="4794" spans="1:5" x14ac:dyDescent="0.25">
      <c r="A4794">
        <v>2271</v>
      </c>
      <c r="B4794" t="s">
        <v>1725</v>
      </c>
      <c r="C4794" t="s">
        <v>3234</v>
      </c>
      <c r="D4794" t="str">
        <f t="shared" si="75"/>
        <v>FHEMIG3605</v>
      </c>
      <c r="E4794" t="s">
        <v>2968</v>
      </c>
    </row>
    <row r="4795" spans="1:5" x14ac:dyDescent="0.25">
      <c r="A4795">
        <v>2271</v>
      </c>
      <c r="B4795" t="s">
        <v>1725</v>
      </c>
      <c r="C4795" t="s">
        <v>3018</v>
      </c>
      <c r="D4795" t="str">
        <f t="shared" si="75"/>
        <v>FHEMIG3608</v>
      </c>
      <c r="E4795" t="s">
        <v>2944</v>
      </c>
    </row>
    <row r="4796" spans="1:5" x14ac:dyDescent="0.25">
      <c r="A4796">
        <v>2271</v>
      </c>
      <c r="B4796" t="s">
        <v>1725</v>
      </c>
      <c r="C4796" t="s">
        <v>355</v>
      </c>
      <c r="D4796" t="str">
        <f t="shared" si="75"/>
        <v>FHEMIG3610</v>
      </c>
      <c r="E4796" t="s">
        <v>2968</v>
      </c>
    </row>
    <row r="4797" spans="1:5" x14ac:dyDescent="0.25">
      <c r="A4797">
        <v>2271</v>
      </c>
      <c r="B4797" t="s">
        <v>1725</v>
      </c>
      <c r="C4797" t="s">
        <v>2979</v>
      </c>
      <c r="D4797" t="str">
        <f t="shared" si="75"/>
        <v>FHEMIG3612</v>
      </c>
      <c r="E4797" t="s">
        <v>2968</v>
      </c>
    </row>
    <row r="4798" spans="1:5" x14ac:dyDescent="0.25">
      <c r="A4798">
        <v>2271</v>
      </c>
      <c r="B4798" t="s">
        <v>1725</v>
      </c>
      <c r="C4798" t="s">
        <v>401</v>
      </c>
      <c r="D4798" t="str">
        <f t="shared" si="75"/>
        <v>FHEMIG3617</v>
      </c>
      <c r="E4798" t="s">
        <v>2968</v>
      </c>
    </row>
    <row r="4799" spans="1:5" x14ac:dyDescent="0.25">
      <c r="A4799">
        <v>2271</v>
      </c>
      <c r="B4799" t="s">
        <v>1725</v>
      </c>
      <c r="C4799" t="s">
        <v>407</v>
      </c>
      <c r="D4799" t="str">
        <f t="shared" si="75"/>
        <v>FHEMIG3618</v>
      </c>
      <c r="E4799" t="s">
        <v>2954</v>
      </c>
    </row>
    <row r="4800" spans="1:5" x14ac:dyDescent="0.25">
      <c r="A4800">
        <v>2271</v>
      </c>
      <c r="B4800" t="s">
        <v>1725</v>
      </c>
      <c r="C4800" t="s">
        <v>468</v>
      </c>
      <c r="D4800" t="str">
        <f t="shared" si="75"/>
        <v>FHEMIG3631</v>
      </c>
      <c r="E4800" t="s">
        <v>3004</v>
      </c>
    </row>
    <row r="4801" spans="1:5" x14ac:dyDescent="0.25">
      <c r="A4801">
        <v>2271</v>
      </c>
      <c r="B4801" t="s">
        <v>1725</v>
      </c>
      <c r="C4801" t="s">
        <v>2980</v>
      </c>
      <c r="D4801" t="str">
        <f t="shared" si="75"/>
        <v>FHEMIG3701</v>
      </c>
      <c r="E4801" t="s">
        <v>2981</v>
      </c>
    </row>
    <row r="4802" spans="1:5" x14ac:dyDescent="0.25">
      <c r="A4802">
        <v>2271</v>
      </c>
      <c r="B4802" t="s">
        <v>1725</v>
      </c>
      <c r="C4802" t="s">
        <v>3050</v>
      </c>
      <c r="D4802" t="str">
        <f t="shared" si="75"/>
        <v>FHEMIG3702</v>
      </c>
      <c r="E4802" t="s">
        <v>2981</v>
      </c>
    </row>
    <row r="4803" spans="1:5" x14ac:dyDescent="0.25">
      <c r="A4803">
        <v>2271</v>
      </c>
      <c r="B4803" t="s">
        <v>1725</v>
      </c>
      <c r="C4803" t="s">
        <v>2983</v>
      </c>
      <c r="D4803" t="str">
        <f t="shared" si="75"/>
        <v>FHEMIG3703</v>
      </c>
      <c r="E4803" t="s">
        <v>117</v>
      </c>
    </row>
    <row r="4804" spans="1:5" x14ac:dyDescent="0.25">
      <c r="A4804">
        <v>2271</v>
      </c>
      <c r="B4804" t="s">
        <v>1725</v>
      </c>
      <c r="C4804" t="s">
        <v>2985</v>
      </c>
      <c r="D4804" t="str">
        <f t="shared" si="75"/>
        <v>FHEMIG3704</v>
      </c>
      <c r="E4804" t="s">
        <v>117</v>
      </c>
    </row>
    <row r="4805" spans="1:5" x14ac:dyDescent="0.25">
      <c r="A4805">
        <v>2271</v>
      </c>
      <c r="B4805" t="s">
        <v>1725</v>
      </c>
      <c r="C4805" t="s">
        <v>2986</v>
      </c>
      <c r="D4805" t="str">
        <f t="shared" ref="D4805:D4868" si="76">CONCATENATE(B4805,LEFT(C4805,4))</f>
        <v>FHEMIG3705</v>
      </c>
      <c r="E4805" t="s">
        <v>117</v>
      </c>
    </row>
    <row r="4806" spans="1:5" x14ac:dyDescent="0.25">
      <c r="A4806">
        <v>2271</v>
      </c>
      <c r="B4806" t="s">
        <v>1725</v>
      </c>
      <c r="C4806" t="s">
        <v>233</v>
      </c>
      <c r="D4806" t="str">
        <f t="shared" si="76"/>
        <v>FHEMIG3901</v>
      </c>
      <c r="E4806" t="s">
        <v>2926</v>
      </c>
    </row>
    <row r="4807" spans="1:5" x14ac:dyDescent="0.25">
      <c r="A4807">
        <v>2271</v>
      </c>
      <c r="B4807" t="s">
        <v>1725</v>
      </c>
      <c r="C4807" t="s">
        <v>3056</v>
      </c>
      <c r="D4807" t="str">
        <f t="shared" si="76"/>
        <v>FHEMIG3902</v>
      </c>
      <c r="E4807" t="s">
        <v>2926</v>
      </c>
    </row>
    <row r="4808" spans="1:5" x14ac:dyDescent="0.25">
      <c r="A4808">
        <v>2271</v>
      </c>
      <c r="B4808" t="s">
        <v>1725</v>
      </c>
      <c r="C4808" t="s">
        <v>2988</v>
      </c>
      <c r="D4808" t="str">
        <f t="shared" si="76"/>
        <v>FHEMIG3903</v>
      </c>
      <c r="E4808" t="s">
        <v>87</v>
      </c>
    </row>
    <row r="4809" spans="1:5" x14ac:dyDescent="0.25">
      <c r="A4809">
        <v>2271</v>
      </c>
      <c r="B4809" t="s">
        <v>1725</v>
      </c>
      <c r="C4809" t="s">
        <v>299</v>
      </c>
      <c r="D4809" t="str">
        <f t="shared" si="76"/>
        <v>FHEMIG3904</v>
      </c>
      <c r="E4809" t="s">
        <v>2968</v>
      </c>
    </row>
    <row r="4810" spans="1:5" x14ac:dyDescent="0.25">
      <c r="A4810">
        <v>2271</v>
      </c>
      <c r="B4810" t="s">
        <v>1725</v>
      </c>
      <c r="C4810" t="s">
        <v>326</v>
      </c>
      <c r="D4810" t="str">
        <f t="shared" si="76"/>
        <v>FHEMIG3906</v>
      </c>
      <c r="E4810" t="s">
        <v>2968</v>
      </c>
    </row>
    <row r="4811" spans="1:5" x14ac:dyDescent="0.25">
      <c r="A4811">
        <v>2271</v>
      </c>
      <c r="B4811" t="s">
        <v>1725</v>
      </c>
      <c r="C4811" t="s">
        <v>2989</v>
      </c>
      <c r="D4811" t="str">
        <f t="shared" si="76"/>
        <v>FHEMIG3908</v>
      </c>
      <c r="E4811" t="s">
        <v>2968</v>
      </c>
    </row>
    <row r="4812" spans="1:5" x14ac:dyDescent="0.25">
      <c r="A4812">
        <v>2271</v>
      </c>
      <c r="B4812" t="s">
        <v>1725</v>
      </c>
      <c r="C4812" t="s">
        <v>346</v>
      </c>
      <c r="D4812" t="str">
        <f t="shared" si="76"/>
        <v>FHEMIG3910</v>
      </c>
      <c r="E4812" t="s">
        <v>2968</v>
      </c>
    </row>
    <row r="4813" spans="1:5" x14ac:dyDescent="0.25">
      <c r="A4813">
        <v>2271</v>
      </c>
      <c r="B4813" t="s">
        <v>1725</v>
      </c>
      <c r="C4813" t="s">
        <v>356</v>
      </c>
      <c r="D4813" t="str">
        <f t="shared" si="76"/>
        <v>FHEMIG3911</v>
      </c>
      <c r="E4813" t="s">
        <v>2968</v>
      </c>
    </row>
    <row r="4814" spans="1:5" x14ac:dyDescent="0.25">
      <c r="A4814">
        <v>2271</v>
      </c>
      <c r="B4814" t="s">
        <v>1725</v>
      </c>
      <c r="C4814" t="s">
        <v>2991</v>
      </c>
      <c r="D4814" t="str">
        <f t="shared" si="76"/>
        <v>FHEMIG3912</v>
      </c>
      <c r="E4814" t="s">
        <v>2992</v>
      </c>
    </row>
    <row r="4815" spans="1:5" x14ac:dyDescent="0.25">
      <c r="A4815">
        <v>2271</v>
      </c>
      <c r="B4815" t="s">
        <v>1725</v>
      </c>
      <c r="C4815" t="s">
        <v>2994</v>
      </c>
      <c r="D4815" t="str">
        <f t="shared" si="76"/>
        <v>FHEMIG3913</v>
      </c>
      <c r="E4815" t="s">
        <v>2992</v>
      </c>
    </row>
    <row r="4816" spans="1:5" x14ac:dyDescent="0.25">
      <c r="A4816">
        <v>2271</v>
      </c>
      <c r="B4816" t="s">
        <v>1725</v>
      </c>
      <c r="C4816" t="s">
        <v>384</v>
      </c>
      <c r="D4816" t="str">
        <f t="shared" si="76"/>
        <v>FHEMIG3915</v>
      </c>
      <c r="E4816" t="s">
        <v>2992</v>
      </c>
    </row>
    <row r="4817" spans="1:5" x14ac:dyDescent="0.25">
      <c r="A4817">
        <v>2271</v>
      </c>
      <c r="B4817" t="s">
        <v>1725</v>
      </c>
      <c r="C4817" t="s">
        <v>2996</v>
      </c>
      <c r="D4817" t="str">
        <f t="shared" si="76"/>
        <v>FHEMIG3917</v>
      </c>
      <c r="E4817" t="s">
        <v>2958</v>
      </c>
    </row>
    <row r="4818" spans="1:5" x14ac:dyDescent="0.25">
      <c r="A4818">
        <v>2271</v>
      </c>
      <c r="B4818" t="s">
        <v>1725</v>
      </c>
      <c r="C4818" t="s">
        <v>2998</v>
      </c>
      <c r="D4818" t="str">
        <f t="shared" si="76"/>
        <v>FHEMIG3918</v>
      </c>
      <c r="E4818" t="s">
        <v>2958</v>
      </c>
    </row>
    <row r="4819" spans="1:5" x14ac:dyDescent="0.25">
      <c r="A4819">
        <v>2271</v>
      </c>
      <c r="B4819" t="s">
        <v>1725</v>
      </c>
      <c r="C4819" t="s">
        <v>3000</v>
      </c>
      <c r="D4819" t="str">
        <f t="shared" si="76"/>
        <v>FHEMIG3919</v>
      </c>
      <c r="E4819" t="s">
        <v>3001</v>
      </c>
    </row>
    <row r="4820" spans="1:5" x14ac:dyDescent="0.25">
      <c r="A4820">
        <v>2271</v>
      </c>
      <c r="B4820" t="s">
        <v>1725</v>
      </c>
      <c r="C4820" t="s">
        <v>3077</v>
      </c>
      <c r="D4820" t="str">
        <f t="shared" si="76"/>
        <v>FHEMIG3920</v>
      </c>
      <c r="E4820" t="s">
        <v>3107</v>
      </c>
    </row>
    <row r="4821" spans="1:5" x14ac:dyDescent="0.25">
      <c r="A4821">
        <v>2271</v>
      </c>
      <c r="B4821" t="s">
        <v>1725</v>
      </c>
      <c r="C4821" t="s">
        <v>3002</v>
      </c>
      <c r="D4821" t="str">
        <f t="shared" si="76"/>
        <v>FHEMIG3921</v>
      </c>
      <c r="E4821" t="s">
        <v>3001</v>
      </c>
    </row>
    <row r="4822" spans="1:5" x14ac:dyDescent="0.25">
      <c r="A4822">
        <v>2271</v>
      </c>
      <c r="B4822" t="s">
        <v>1725</v>
      </c>
      <c r="C4822" t="s">
        <v>3003</v>
      </c>
      <c r="D4822" t="str">
        <f t="shared" si="76"/>
        <v>FHEMIG3922</v>
      </c>
      <c r="E4822" t="s">
        <v>2954</v>
      </c>
    </row>
    <row r="4823" spans="1:5" x14ac:dyDescent="0.25">
      <c r="A4823">
        <v>2271</v>
      </c>
      <c r="B4823" t="s">
        <v>1725</v>
      </c>
      <c r="C4823" t="s">
        <v>566</v>
      </c>
      <c r="D4823" t="str">
        <f t="shared" si="76"/>
        <v>FHEMIG3924</v>
      </c>
      <c r="E4823" t="s">
        <v>3004</v>
      </c>
    </row>
    <row r="4824" spans="1:5" x14ac:dyDescent="0.25">
      <c r="A4824">
        <v>2271</v>
      </c>
      <c r="B4824" t="s">
        <v>1725</v>
      </c>
      <c r="C4824" t="s">
        <v>443</v>
      </c>
      <c r="D4824" t="str">
        <f t="shared" si="76"/>
        <v>FHEMIG3926</v>
      </c>
      <c r="E4824" t="s">
        <v>3006</v>
      </c>
    </row>
    <row r="4825" spans="1:5" x14ac:dyDescent="0.25">
      <c r="A4825">
        <v>2271</v>
      </c>
      <c r="B4825" t="s">
        <v>1725</v>
      </c>
      <c r="C4825" t="s">
        <v>3008</v>
      </c>
      <c r="D4825" t="str">
        <f t="shared" si="76"/>
        <v>FHEMIG3927</v>
      </c>
      <c r="E4825" t="s">
        <v>3009</v>
      </c>
    </row>
    <row r="4826" spans="1:5" x14ac:dyDescent="0.25">
      <c r="A4826">
        <v>2271</v>
      </c>
      <c r="B4826" t="s">
        <v>1725</v>
      </c>
      <c r="C4826" t="s">
        <v>3082</v>
      </c>
      <c r="D4826" t="str">
        <f t="shared" si="76"/>
        <v>FHEMIG3928</v>
      </c>
      <c r="E4826" t="s">
        <v>3291</v>
      </c>
    </row>
    <row r="4827" spans="1:5" x14ac:dyDescent="0.25">
      <c r="A4827">
        <v>2271</v>
      </c>
      <c r="B4827" t="s">
        <v>1725</v>
      </c>
      <c r="C4827" t="s">
        <v>3011</v>
      </c>
      <c r="D4827" t="str">
        <f t="shared" si="76"/>
        <v>FHEMIG3929</v>
      </c>
      <c r="E4827" t="s">
        <v>2944</v>
      </c>
    </row>
    <row r="4828" spans="1:5" x14ac:dyDescent="0.25">
      <c r="A4828">
        <v>2271</v>
      </c>
      <c r="B4828" t="s">
        <v>1725</v>
      </c>
      <c r="C4828" t="s">
        <v>458</v>
      </c>
      <c r="D4828" t="str">
        <f t="shared" si="76"/>
        <v>FHEMIG3930</v>
      </c>
      <c r="E4828" t="s">
        <v>3006</v>
      </c>
    </row>
    <row r="4829" spans="1:5" x14ac:dyDescent="0.25">
      <c r="A4829">
        <v>2271</v>
      </c>
      <c r="B4829" t="s">
        <v>1725</v>
      </c>
      <c r="C4829" t="s">
        <v>1481</v>
      </c>
      <c r="D4829" t="str">
        <f t="shared" si="76"/>
        <v>FHEMIG3931</v>
      </c>
      <c r="E4829" t="s">
        <v>2968</v>
      </c>
    </row>
    <row r="4830" spans="1:5" x14ac:dyDescent="0.25">
      <c r="A4830">
        <v>2271</v>
      </c>
      <c r="B4830" t="s">
        <v>1725</v>
      </c>
      <c r="C4830" t="s">
        <v>466</v>
      </c>
      <c r="D4830" t="str">
        <f t="shared" si="76"/>
        <v>FHEMIG3933</v>
      </c>
      <c r="E4830" t="s">
        <v>2968</v>
      </c>
    </row>
    <row r="4831" spans="1:5" x14ac:dyDescent="0.25">
      <c r="A4831">
        <v>2271</v>
      </c>
      <c r="B4831" t="s">
        <v>1725</v>
      </c>
      <c r="C4831" t="s">
        <v>3015</v>
      </c>
      <c r="D4831" t="str">
        <f t="shared" si="76"/>
        <v>FHEMIG3935</v>
      </c>
      <c r="E4831" t="s">
        <v>2965</v>
      </c>
    </row>
    <row r="4832" spans="1:5" x14ac:dyDescent="0.25">
      <c r="A4832">
        <v>2271</v>
      </c>
      <c r="B4832" t="s">
        <v>1725</v>
      </c>
      <c r="C4832" t="s">
        <v>3017</v>
      </c>
      <c r="D4832" t="str">
        <f t="shared" si="76"/>
        <v>FHEMIG3936</v>
      </c>
      <c r="E4832" t="s">
        <v>94</v>
      </c>
    </row>
    <row r="4833" spans="1:5" x14ac:dyDescent="0.25">
      <c r="A4833">
        <v>2271</v>
      </c>
      <c r="B4833" t="s">
        <v>1725</v>
      </c>
      <c r="C4833" t="s">
        <v>3088</v>
      </c>
      <c r="D4833" t="str">
        <f t="shared" si="76"/>
        <v>FHEMIG3937</v>
      </c>
      <c r="E4833" t="s">
        <v>3107</v>
      </c>
    </row>
    <row r="4834" spans="1:5" x14ac:dyDescent="0.25">
      <c r="A4834">
        <v>2271</v>
      </c>
      <c r="B4834" t="s">
        <v>1725</v>
      </c>
      <c r="C4834" t="s">
        <v>3089</v>
      </c>
      <c r="D4834" t="str">
        <f t="shared" si="76"/>
        <v>FHEMIG3939</v>
      </c>
      <c r="E4834" t="s">
        <v>2968</v>
      </c>
    </row>
    <row r="4835" spans="1:5" x14ac:dyDescent="0.25">
      <c r="A4835">
        <v>2271</v>
      </c>
      <c r="B4835" t="s">
        <v>1725</v>
      </c>
      <c r="C4835" t="s">
        <v>3019</v>
      </c>
      <c r="D4835" t="str">
        <f t="shared" si="76"/>
        <v>FHEMIG3940</v>
      </c>
      <c r="E4835" t="s">
        <v>3009</v>
      </c>
    </row>
    <row r="4836" spans="1:5" x14ac:dyDescent="0.25">
      <c r="A4836">
        <v>2271</v>
      </c>
      <c r="B4836" t="s">
        <v>1725</v>
      </c>
      <c r="C4836" t="s">
        <v>480</v>
      </c>
      <c r="D4836" t="str">
        <f t="shared" si="76"/>
        <v>FHEMIG3941</v>
      </c>
      <c r="E4836" t="s">
        <v>2968</v>
      </c>
    </row>
    <row r="4837" spans="1:5" x14ac:dyDescent="0.25">
      <c r="A4837">
        <v>2271</v>
      </c>
      <c r="B4837" t="s">
        <v>1725</v>
      </c>
      <c r="C4837" t="s">
        <v>482</v>
      </c>
      <c r="D4837" t="str">
        <f t="shared" si="76"/>
        <v>FHEMIG3942</v>
      </c>
      <c r="E4837" t="s">
        <v>2968</v>
      </c>
    </row>
    <row r="4838" spans="1:5" x14ac:dyDescent="0.25">
      <c r="A4838">
        <v>2271</v>
      </c>
      <c r="B4838" t="s">
        <v>1725</v>
      </c>
      <c r="C4838" t="s">
        <v>3020</v>
      </c>
      <c r="D4838" t="str">
        <f t="shared" si="76"/>
        <v>FHEMIG3943</v>
      </c>
      <c r="E4838" t="s">
        <v>2958</v>
      </c>
    </row>
    <row r="4839" spans="1:5" x14ac:dyDescent="0.25">
      <c r="A4839">
        <v>2271</v>
      </c>
      <c r="B4839" t="s">
        <v>1725</v>
      </c>
      <c r="C4839" t="s">
        <v>488</v>
      </c>
      <c r="D4839" t="str">
        <f t="shared" si="76"/>
        <v>FHEMIG3946</v>
      </c>
      <c r="E4839" t="s">
        <v>3235</v>
      </c>
    </row>
    <row r="4840" spans="1:5" x14ac:dyDescent="0.25">
      <c r="A4840">
        <v>2271</v>
      </c>
      <c r="B4840" t="s">
        <v>1725</v>
      </c>
      <c r="C4840" t="s">
        <v>492</v>
      </c>
      <c r="D4840" t="str">
        <f t="shared" si="76"/>
        <v>FHEMIG3948</v>
      </c>
      <c r="E4840" t="s">
        <v>3004</v>
      </c>
    </row>
    <row r="4841" spans="1:5" x14ac:dyDescent="0.25">
      <c r="A4841">
        <v>2271</v>
      </c>
      <c r="B4841" t="s">
        <v>1725</v>
      </c>
      <c r="C4841" t="s">
        <v>495</v>
      </c>
      <c r="D4841" t="str">
        <f t="shared" si="76"/>
        <v>FHEMIG3951</v>
      </c>
      <c r="E4841" t="s">
        <v>3052</v>
      </c>
    </row>
    <row r="4842" spans="1:5" x14ac:dyDescent="0.25">
      <c r="A4842">
        <v>2271</v>
      </c>
      <c r="B4842" t="s">
        <v>1725</v>
      </c>
      <c r="C4842" t="s">
        <v>3098</v>
      </c>
      <c r="D4842" t="str">
        <f t="shared" si="76"/>
        <v>FHEMIG3952</v>
      </c>
      <c r="E4842" t="s">
        <v>65</v>
      </c>
    </row>
    <row r="4843" spans="1:5" x14ac:dyDescent="0.25">
      <c r="A4843">
        <v>2271</v>
      </c>
      <c r="B4843" t="s">
        <v>1725</v>
      </c>
      <c r="C4843" t="s">
        <v>496</v>
      </c>
      <c r="D4843" t="str">
        <f t="shared" si="76"/>
        <v>FHEMIG3953</v>
      </c>
      <c r="E4843" t="s">
        <v>3004</v>
      </c>
    </row>
    <row r="4844" spans="1:5" x14ac:dyDescent="0.25">
      <c r="A4844">
        <v>2271</v>
      </c>
      <c r="B4844" t="s">
        <v>1725</v>
      </c>
      <c r="C4844" t="s">
        <v>498</v>
      </c>
      <c r="D4844" t="str">
        <f t="shared" si="76"/>
        <v>FHEMIG3955</v>
      </c>
      <c r="E4844" t="s">
        <v>2968</v>
      </c>
    </row>
    <row r="4845" spans="1:5" x14ac:dyDescent="0.25">
      <c r="A4845">
        <v>2271</v>
      </c>
      <c r="B4845" t="s">
        <v>1725</v>
      </c>
      <c r="C4845" t="s">
        <v>3025</v>
      </c>
      <c r="D4845" t="str">
        <f t="shared" si="76"/>
        <v>FHEMIG3959</v>
      </c>
      <c r="E4845" t="s">
        <v>2968</v>
      </c>
    </row>
    <row r="4846" spans="1:5" x14ac:dyDescent="0.25">
      <c r="A4846">
        <v>2271</v>
      </c>
      <c r="B4846" t="s">
        <v>1725</v>
      </c>
      <c r="C4846" t="s">
        <v>3027</v>
      </c>
      <c r="D4846" t="str">
        <f t="shared" si="76"/>
        <v>FHEMIG3961</v>
      </c>
      <c r="E4846" t="s">
        <v>2981</v>
      </c>
    </row>
    <row r="4847" spans="1:5" x14ac:dyDescent="0.25">
      <c r="A4847">
        <v>2271</v>
      </c>
      <c r="B4847" t="s">
        <v>1725</v>
      </c>
      <c r="C4847" t="s">
        <v>3103</v>
      </c>
      <c r="D4847" t="str">
        <f t="shared" si="76"/>
        <v>FHEMIG3962</v>
      </c>
      <c r="E4847" t="s">
        <v>3033</v>
      </c>
    </row>
    <row r="4848" spans="1:5" x14ac:dyDescent="0.25">
      <c r="A4848">
        <v>2271</v>
      </c>
      <c r="B4848" t="s">
        <v>1725</v>
      </c>
      <c r="C4848" t="s">
        <v>3104</v>
      </c>
      <c r="D4848" t="str">
        <f t="shared" si="76"/>
        <v>FHEMIG3964</v>
      </c>
      <c r="E4848" t="s">
        <v>2968</v>
      </c>
    </row>
    <row r="4849" spans="1:5" x14ac:dyDescent="0.25">
      <c r="A4849">
        <v>2271</v>
      </c>
      <c r="B4849" t="s">
        <v>1725</v>
      </c>
      <c r="C4849" t="s">
        <v>3105</v>
      </c>
      <c r="D4849" t="str">
        <f t="shared" si="76"/>
        <v>FHEMIG3965</v>
      </c>
      <c r="E4849" t="s">
        <v>2944</v>
      </c>
    </row>
    <row r="4850" spans="1:5" x14ac:dyDescent="0.25">
      <c r="A4850">
        <v>2271</v>
      </c>
      <c r="B4850" t="s">
        <v>1725</v>
      </c>
      <c r="C4850" t="s">
        <v>1154</v>
      </c>
      <c r="D4850" t="str">
        <f t="shared" si="76"/>
        <v>FHEMIG3969</v>
      </c>
      <c r="E4850" t="s">
        <v>2992</v>
      </c>
    </row>
    <row r="4851" spans="1:5" x14ac:dyDescent="0.25">
      <c r="A4851">
        <v>2271</v>
      </c>
      <c r="B4851" t="s">
        <v>1725</v>
      </c>
      <c r="C4851" t="s">
        <v>3031</v>
      </c>
      <c r="D4851" t="str">
        <f t="shared" si="76"/>
        <v>FHEMIG3970</v>
      </c>
      <c r="E4851" t="s">
        <v>3009</v>
      </c>
    </row>
    <row r="4852" spans="1:5" x14ac:dyDescent="0.25">
      <c r="A4852">
        <v>2271</v>
      </c>
      <c r="B4852" t="s">
        <v>1725</v>
      </c>
      <c r="C4852" t="s">
        <v>3111</v>
      </c>
      <c r="D4852" t="str">
        <f t="shared" si="76"/>
        <v>FHEMIG3973</v>
      </c>
      <c r="E4852" t="s">
        <v>2968</v>
      </c>
    </row>
    <row r="4853" spans="1:5" x14ac:dyDescent="0.25">
      <c r="A4853">
        <v>2271</v>
      </c>
      <c r="B4853" t="s">
        <v>1725</v>
      </c>
      <c r="C4853" t="s">
        <v>516</v>
      </c>
      <c r="D4853" t="str">
        <f t="shared" si="76"/>
        <v>FHEMIG3974</v>
      </c>
      <c r="E4853" t="s">
        <v>3131</v>
      </c>
    </row>
    <row r="4854" spans="1:5" x14ac:dyDescent="0.25">
      <c r="A4854">
        <v>2271</v>
      </c>
      <c r="B4854" t="s">
        <v>1725</v>
      </c>
      <c r="C4854" t="s">
        <v>3246</v>
      </c>
      <c r="D4854" t="str">
        <f t="shared" si="76"/>
        <v>FHEMIG3975</v>
      </c>
      <c r="E4854" t="s">
        <v>2968</v>
      </c>
    </row>
    <row r="4855" spans="1:5" x14ac:dyDescent="0.25">
      <c r="A4855">
        <v>2271</v>
      </c>
      <c r="B4855" t="s">
        <v>1725</v>
      </c>
      <c r="C4855" t="s">
        <v>3113</v>
      </c>
      <c r="D4855" t="str">
        <f t="shared" si="76"/>
        <v>FHEMIG3976</v>
      </c>
      <c r="E4855" t="s">
        <v>3291</v>
      </c>
    </row>
    <row r="4856" spans="1:5" x14ac:dyDescent="0.25">
      <c r="A4856">
        <v>2271</v>
      </c>
      <c r="B4856" t="s">
        <v>1725</v>
      </c>
      <c r="C4856" t="s">
        <v>520</v>
      </c>
      <c r="D4856" t="str">
        <f t="shared" si="76"/>
        <v>FHEMIG3978</v>
      </c>
      <c r="E4856" t="s">
        <v>2981</v>
      </c>
    </row>
    <row r="4857" spans="1:5" x14ac:dyDescent="0.25">
      <c r="A4857">
        <v>2271</v>
      </c>
      <c r="B4857" t="s">
        <v>1725</v>
      </c>
      <c r="C4857" t="s">
        <v>3216</v>
      </c>
      <c r="D4857" t="str">
        <f t="shared" si="76"/>
        <v>FHEMIG3980</v>
      </c>
      <c r="E4857" t="s">
        <v>3081</v>
      </c>
    </row>
    <row r="4858" spans="1:5" x14ac:dyDescent="0.25">
      <c r="A4858">
        <v>2271</v>
      </c>
      <c r="B4858" t="s">
        <v>1725</v>
      </c>
      <c r="C4858" t="s">
        <v>521</v>
      </c>
      <c r="D4858" t="str">
        <f t="shared" si="76"/>
        <v>FHEMIG3981</v>
      </c>
      <c r="E4858" t="s">
        <v>2968</v>
      </c>
    </row>
    <row r="4859" spans="1:5" x14ac:dyDescent="0.25">
      <c r="A4859">
        <v>2271</v>
      </c>
      <c r="B4859" t="s">
        <v>1725</v>
      </c>
      <c r="C4859" t="s">
        <v>3303</v>
      </c>
      <c r="D4859" t="str">
        <f t="shared" si="76"/>
        <v>FHEMIG3982</v>
      </c>
      <c r="E4859" t="s">
        <v>2968</v>
      </c>
    </row>
    <row r="4860" spans="1:5" x14ac:dyDescent="0.25">
      <c r="A4860">
        <v>2271</v>
      </c>
      <c r="B4860" t="s">
        <v>1725</v>
      </c>
      <c r="C4860" t="s">
        <v>526</v>
      </c>
      <c r="D4860" t="str">
        <f t="shared" si="76"/>
        <v>FHEMIG3986</v>
      </c>
      <c r="E4860" t="s">
        <v>2968</v>
      </c>
    </row>
    <row r="4861" spans="1:5" x14ac:dyDescent="0.25">
      <c r="A4861">
        <v>2271</v>
      </c>
      <c r="B4861" t="s">
        <v>1725</v>
      </c>
      <c r="C4861" t="s">
        <v>3036</v>
      </c>
      <c r="D4861" t="str">
        <f t="shared" si="76"/>
        <v>FHEMIG3987</v>
      </c>
      <c r="E4861" t="s">
        <v>2958</v>
      </c>
    </row>
    <row r="4862" spans="1:5" x14ac:dyDescent="0.25">
      <c r="A4862">
        <v>2271</v>
      </c>
      <c r="B4862" t="s">
        <v>1725</v>
      </c>
      <c r="C4862" t="s">
        <v>528</v>
      </c>
      <c r="D4862" t="str">
        <f t="shared" si="76"/>
        <v>FHEMIG3988</v>
      </c>
      <c r="E4862" t="s">
        <v>2968</v>
      </c>
    </row>
    <row r="4863" spans="1:5" x14ac:dyDescent="0.25">
      <c r="A4863">
        <v>2271</v>
      </c>
      <c r="B4863" t="s">
        <v>1725</v>
      </c>
      <c r="C4863" t="s">
        <v>3038</v>
      </c>
      <c r="D4863" t="str">
        <f t="shared" si="76"/>
        <v>FHEMIG3994</v>
      </c>
      <c r="E4863" t="s">
        <v>2965</v>
      </c>
    </row>
    <row r="4864" spans="1:5" x14ac:dyDescent="0.25">
      <c r="A4864">
        <v>2271</v>
      </c>
      <c r="B4864" t="s">
        <v>1725</v>
      </c>
      <c r="C4864" t="s">
        <v>3203</v>
      </c>
      <c r="D4864" t="str">
        <f t="shared" si="76"/>
        <v>FHEMIG3995</v>
      </c>
      <c r="E4864" t="s">
        <v>2968</v>
      </c>
    </row>
    <row r="4865" spans="1:5" x14ac:dyDescent="0.25">
      <c r="A4865">
        <v>2271</v>
      </c>
      <c r="B4865" t="s">
        <v>1725</v>
      </c>
      <c r="C4865" t="s">
        <v>3227</v>
      </c>
      <c r="D4865" t="str">
        <f t="shared" si="76"/>
        <v>FHEMIG3998</v>
      </c>
      <c r="E4865" t="s">
        <v>3291</v>
      </c>
    </row>
    <row r="4866" spans="1:5" x14ac:dyDescent="0.25">
      <c r="A4866">
        <v>2271</v>
      </c>
      <c r="B4866" t="s">
        <v>1725</v>
      </c>
      <c r="C4866" t="s">
        <v>3040</v>
      </c>
      <c r="D4866" t="str">
        <f t="shared" si="76"/>
        <v>FHEMIG3999</v>
      </c>
      <c r="E4866" t="s">
        <v>2968</v>
      </c>
    </row>
    <row r="4867" spans="1:5" x14ac:dyDescent="0.25">
      <c r="A4867">
        <v>2271</v>
      </c>
      <c r="B4867" t="s">
        <v>1725</v>
      </c>
      <c r="C4867" t="s">
        <v>3041</v>
      </c>
      <c r="D4867" t="str">
        <f t="shared" si="76"/>
        <v>FHEMIG4002</v>
      </c>
      <c r="E4867" t="s">
        <v>3009</v>
      </c>
    </row>
    <row r="4868" spans="1:5" x14ac:dyDescent="0.25">
      <c r="A4868">
        <v>2271</v>
      </c>
      <c r="B4868" t="s">
        <v>1725</v>
      </c>
      <c r="C4868" t="s">
        <v>3043</v>
      </c>
      <c r="D4868" t="str">
        <f t="shared" si="76"/>
        <v>FHEMIG4003</v>
      </c>
      <c r="E4868" t="s">
        <v>94</v>
      </c>
    </row>
    <row r="4869" spans="1:5" x14ac:dyDescent="0.25">
      <c r="A4869">
        <v>2271</v>
      </c>
      <c r="B4869" t="s">
        <v>1725</v>
      </c>
      <c r="C4869" t="s">
        <v>3045</v>
      </c>
      <c r="D4869" t="str">
        <f t="shared" ref="D4869:D4932" si="77">CONCATENATE(B4869,LEFT(C4869,4))</f>
        <v>FHEMIG4004</v>
      </c>
      <c r="E4869" t="s">
        <v>3009</v>
      </c>
    </row>
    <row r="4870" spans="1:5" x14ac:dyDescent="0.25">
      <c r="A4870">
        <v>2271</v>
      </c>
      <c r="B4870" t="s">
        <v>1725</v>
      </c>
      <c r="C4870" t="s">
        <v>3047</v>
      </c>
      <c r="D4870" t="str">
        <f t="shared" si="77"/>
        <v>FHEMIG4005</v>
      </c>
      <c r="E4870" t="s">
        <v>3009</v>
      </c>
    </row>
    <row r="4871" spans="1:5" x14ac:dyDescent="0.25">
      <c r="A4871">
        <v>2271</v>
      </c>
      <c r="B4871" t="s">
        <v>1725</v>
      </c>
      <c r="C4871" t="s">
        <v>813</v>
      </c>
      <c r="D4871" t="str">
        <f t="shared" si="77"/>
        <v>FHEMIG4006</v>
      </c>
      <c r="E4871" t="s">
        <v>3057</v>
      </c>
    </row>
    <row r="4872" spans="1:5" x14ac:dyDescent="0.25">
      <c r="A4872">
        <v>2271</v>
      </c>
      <c r="B4872" t="s">
        <v>1725</v>
      </c>
      <c r="C4872" t="s">
        <v>3123</v>
      </c>
      <c r="D4872" t="str">
        <f t="shared" si="77"/>
        <v>FHEMIG4101</v>
      </c>
      <c r="E4872" t="s">
        <v>2968</v>
      </c>
    </row>
    <row r="4873" spans="1:5" x14ac:dyDescent="0.25">
      <c r="A4873">
        <v>2271</v>
      </c>
      <c r="B4873" t="s">
        <v>1725</v>
      </c>
      <c r="C4873" t="s">
        <v>3127</v>
      </c>
      <c r="D4873" t="str">
        <f t="shared" si="77"/>
        <v>FHEMIG4201</v>
      </c>
      <c r="E4873" t="s">
        <v>3218</v>
      </c>
    </row>
    <row r="4874" spans="1:5" x14ac:dyDescent="0.25">
      <c r="A4874">
        <v>2271</v>
      </c>
      <c r="B4874" t="s">
        <v>1725</v>
      </c>
      <c r="C4874" t="s">
        <v>3048</v>
      </c>
      <c r="D4874" t="str">
        <f t="shared" si="77"/>
        <v>FHEMIG4701</v>
      </c>
      <c r="E4874" t="s">
        <v>3049</v>
      </c>
    </row>
    <row r="4875" spans="1:5" x14ac:dyDescent="0.25">
      <c r="A4875">
        <v>2271</v>
      </c>
      <c r="B4875" t="s">
        <v>1725</v>
      </c>
      <c r="C4875" t="s">
        <v>239</v>
      </c>
      <c r="D4875" t="str">
        <f t="shared" si="77"/>
        <v>FHEMIG4702</v>
      </c>
      <c r="E4875" t="s">
        <v>3049</v>
      </c>
    </row>
    <row r="4876" spans="1:5" x14ac:dyDescent="0.25">
      <c r="A4876">
        <v>2271</v>
      </c>
      <c r="B4876" t="s">
        <v>1725</v>
      </c>
      <c r="C4876" t="s">
        <v>265</v>
      </c>
      <c r="D4876" t="str">
        <f t="shared" si="77"/>
        <v>FHEMIG4703</v>
      </c>
      <c r="E4876" t="s">
        <v>3049</v>
      </c>
    </row>
    <row r="4877" spans="1:5" x14ac:dyDescent="0.25">
      <c r="A4877">
        <v>2271</v>
      </c>
      <c r="B4877" t="s">
        <v>1725</v>
      </c>
      <c r="C4877" t="s">
        <v>316</v>
      </c>
      <c r="D4877" t="str">
        <f t="shared" si="77"/>
        <v>FHEMIG4706</v>
      </c>
      <c r="E4877" t="s">
        <v>3049</v>
      </c>
    </row>
    <row r="4878" spans="1:5" x14ac:dyDescent="0.25">
      <c r="A4878">
        <v>2271</v>
      </c>
      <c r="B4878" t="s">
        <v>1725</v>
      </c>
      <c r="C4878" t="s">
        <v>328</v>
      </c>
      <c r="D4878" t="str">
        <f t="shared" si="77"/>
        <v>FHEMIG4707</v>
      </c>
      <c r="E4878" t="s">
        <v>3049</v>
      </c>
    </row>
    <row r="4879" spans="1:5" x14ac:dyDescent="0.25">
      <c r="A4879">
        <v>2271</v>
      </c>
      <c r="B4879" t="s">
        <v>1725</v>
      </c>
      <c r="C4879" t="s">
        <v>338</v>
      </c>
      <c r="D4879" t="str">
        <f t="shared" si="77"/>
        <v>FHEMIG4708</v>
      </c>
      <c r="E4879" t="s">
        <v>3049</v>
      </c>
    </row>
    <row r="4880" spans="1:5" x14ac:dyDescent="0.25">
      <c r="A4880">
        <v>2271</v>
      </c>
      <c r="B4880" t="s">
        <v>1725</v>
      </c>
      <c r="C4880" t="s">
        <v>348</v>
      </c>
      <c r="D4880" t="str">
        <f t="shared" si="77"/>
        <v>FHEMIG4709</v>
      </c>
      <c r="E4880" t="s">
        <v>3049</v>
      </c>
    </row>
    <row r="4881" spans="1:5" x14ac:dyDescent="0.25">
      <c r="A4881">
        <v>2271</v>
      </c>
      <c r="B4881" t="s">
        <v>1725</v>
      </c>
      <c r="C4881" t="s">
        <v>357</v>
      </c>
      <c r="D4881" t="str">
        <f t="shared" si="77"/>
        <v>FHEMIG4710</v>
      </c>
      <c r="E4881" t="s">
        <v>3049</v>
      </c>
    </row>
    <row r="4882" spans="1:5" x14ac:dyDescent="0.25">
      <c r="A4882">
        <v>2271</v>
      </c>
      <c r="B4882" t="s">
        <v>1725</v>
      </c>
      <c r="C4882" t="s">
        <v>364</v>
      </c>
      <c r="D4882" t="str">
        <f t="shared" si="77"/>
        <v>FHEMIG4799</v>
      </c>
      <c r="E4882" t="s">
        <v>3049</v>
      </c>
    </row>
    <row r="4883" spans="1:5" x14ac:dyDescent="0.25">
      <c r="A4883">
        <v>2271</v>
      </c>
      <c r="B4883" t="s">
        <v>1725</v>
      </c>
      <c r="C4883" t="s">
        <v>3141</v>
      </c>
      <c r="D4883" t="str">
        <f t="shared" si="77"/>
        <v>FHEMIG4903</v>
      </c>
      <c r="E4883" t="s">
        <v>2968</v>
      </c>
    </row>
    <row r="4884" spans="1:5" x14ac:dyDescent="0.25">
      <c r="A4884">
        <v>2271</v>
      </c>
      <c r="B4884" t="s">
        <v>1725</v>
      </c>
      <c r="C4884" t="s">
        <v>3240</v>
      </c>
      <c r="D4884" t="str">
        <f t="shared" si="77"/>
        <v>FHEMIG4904</v>
      </c>
      <c r="E4884" t="s">
        <v>2926</v>
      </c>
    </row>
    <row r="4885" spans="1:5" x14ac:dyDescent="0.25">
      <c r="A4885">
        <v>2271</v>
      </c>
      <c r="B4885" t="s">
        <v>1725</v>
      </c>
      <c r="C4885" t="s">
        <v>3051</v>
      </c>
      <c r="D4885" t="str">
        <f t="shared" si="77"/>
        <v>FHEMIG5101</v>
      </c>
      <c r="E4885" t="s">
        <v>3052</v>
      </c>
    </row>
    <row r="4886" spans="1:5" x14ac:dyDescent="0.25">
      <c r="A4886">
        <v>2271</v>
      </c>
      <c r="B4886" t="s">
        <v>1725</v>
      </c>
      <c r="C4886" t="s">
        <v>3053</v>
      </c>
      <c r="D4886" t="str">
        <f t="shared" si="77"/>
        <v>FHEMIG5103</v>
      </c>
      <c r="E4886" t="s">
        <v>3052</v>
      </c>
    </row>
    <row r="4887" spans="1:5" x14ac:dyDescent="0.25">
      <c r="A4887">
        <v>2271</v>
      </c>
      <c r="B4887" t="s">
        <v>1725</v>
      </c>
      <c r="C4887" t="s">
        <v>173</v>
      </c>
      <c r="D4887" t="str">
        <f t="shared" si="77"/>
        <v>FHEMIG5107</v>
      </c>
      <c r="E4887" t="s">
        <v>3052</v>
      </c>
    </row>
    <row r="4888" spans="1:5" x14ac:dyDescent="0.25">
      <c r="A4888">
        <v>2271</v>
      </c>
      <c r="B4888" t="s">
        <v>1725</v>
      </c>
      <c r="C4888" t="s">
        <v>349</v>
      </c>
      <c r="D4888" t="str">
        <f t="shared" si="77"/>
        <v>FHEMIG5110</v>
      </c>
      <c r="E4888" t="s">
        <v>3052</v>
      </c>
    </row>
    <row r="4889" spans="1:5" x14ac:dyDescent="0.25">
      <c r="A4889">
        <v>2271</v>
      </c>
      <c r="B4889" t="s">
        <v>1725</v>
      </c>
      <c r="C4889" t="s">
        <v>372</v>
      </c>
      <c r="D4889" t="str">
        <f t="shared" si="77"/>
        <v>FHEMIG5113</v>
      </c>
      <c r="E4889" t="s">
        <v>3052</v>
      </c>
    </row>
    <row r="4890" spans="1:5" x14ac:dyDescent="0.25">
      <c r="A4890">
        <v>2271</v>
      </c>
      <c r="B4890" t="s">
        <v>1725</v>
      </c>
      <c r="C4890" t="s">
        <v>3209</v>
      </c>
      <c r="D4890" t="str">
        <f t="shared" si="77"/>
        <v>FHEMIG5114</v>
      </c>
      <c r="E4890" t="s">
        <v>3052</v>
      </c>
    </row>
    <row r="4891" spans="1:5" x14ac:dyDescent="0.25">
      <c r="A4891">
        <v>2271</v>
      </c>
      <c r="B4891" t="s">
        <v>1725</v>
      </c>
      <c r="C4891" t="s">
        <v>288</v>
      </c>
      <c r="D4891" t="str">
        <f t="shared" si="77"/>
        <v>FHEMIG5203</v>
      </c>
      <c r="E4891" t="s">
        <v>3055</v>
      </c>
    </row>
    <row r="4892" spans="1:5" x14ac:dyDescent="0.25">
      <c r="A4892">
        <v>2271</v>
      </c>
      <c r="B4892" t="s">
        <v>1725</v>
      </c>
      <c r="C4892" t="s">
        <v>3054</v>
      </c>
      <c r="D4892" t="str">
        <f t="shared" si="77"/>
        <v>FHEMIG5204</v>
      </c>
      <c r="E4892" t="s">
        <v>3055</v>
      </c>
    </row>
    <row r="4893" spans="1:5" x14ac:dyDescent="0.25">
      <c r="A4893">
        <v>2271</v>
      </c>
      <c r="B4893" t="s">
        <v>1725</v>
      </c>
      <c r="C4893" t="s">
        <v>329</v>
      </c>
      <c r="D4893" t="str">
        <f t="shared" si="77"/>
        <v>FHEMIG5206</v>
      </c>
      <c r="E4893" t="s">
        <v>3057</v>
      </c>
    </row>
    <row r="4894" spans="1:5" x14ac:dyDescent="0.25">
      <c r="A4894">
        <v>2271</v>
      </c>
      <c r="B4894" t="s">
        <v>1725</v>
      </c>
      <c r="C4894" t="s">
        <v>3058</v>
      </c>
      <c r="D4894" t="str">
        <f t="shared" si="77"/>
        <v>FHEMIG5207</v>
      </c>
      <c r="E4894" t="s">
        <v>3057</v>
      </c>
    </row>
    <row r="4895" spans="1:5" x14ac:dyDescent="0.25">
      <c r="A4895">
        <v>2271</v>
      </c>
      <c r="B4895" t="s">
        <v>1725</v>
      </c>
      <c r="C4895" t="s">
        <v>3060</v>
      </c>
      <c r="D4895" t="str">
        <f t="shared" si="77"/>
        <v>FHEMIG5208</v>
      </c>
      <c r="E4895" t="s">
        <v>3057</v>
      </c>
    </row>
    <row r="4896" spans="1:5" x14ac:dyDescent="0.25">
      <c r="A4896">
        <v>2271</v>
      </c>
      <c r="B4896" t="s">
        <v>1725</v>
      </c>
      <c r="C4896" t="s">
        <v>359</v>
      </c>
      <c r="D4896" t="str">
        <f t="shared" si="77"/>
        <v>FHEMIG5209</v>
      </c>
      <c r="E4896" t="s">
        <v>3055</v>
      </c>
    </row>
    <row r="4897" spans="1:5" x14ac:dyDescent="0.25">
      <c r="A4897">
        <v>2271</v>
      </c>
      <c r="B4897" t="s">
        <v>1725</v>
      </c>
      <c r="C4897" t="s">
        <v>3063</v>
      </c>
      <c r="D4897" t="str">
        <f t="shared" si="77"/>
        <v>FHEMIG5210</v>
      </c>
      <c r="E4897" t="s">
        <v>3055</v>
      </c>
    </row>
    <row r="4898" spans="1:5" x14ac:dyDescent="0.25">
      <c r="A4898">
        <v>2271</v>
      </c>
      <c r="B4898" t="s">
        <v>1725</v>
      </c>
      <c r="C4898" t="s">
        <v>3155</v>
      </c>
      <c r="D4898" t="str">
        <f t="shared" si="77"/>
        <v>FHEMIG5211</v>
      </c>
      <c r="E4898" t="s">
        <v>2944</v>
      </c>
    </row>
    <row r="4899" spans="1:5" x14ac:dyDescent="0.25">
      <c r="A4899">
        <v>2271</v>
      </c>
      <c r="B4899" t="s">
        <v>1725</v>
      </c>
      <c r="C4899" t="s">
        <v>3064</v>
      </c>
      <c r="D4899" t="str">
        <f t="shared" si="77"/>
        <v>FHEMIG5212</v>
      </c>
      <c r="E4899" t="s">
        <v>3055</v>
      </c>
    </row>
    <row r="4900" spans="1:5" x14ac:dyDescent="0.25">
      <c r="A4900">
        <v>2271</v>
      </c>
      <c r="B4900" t="s">
        <v>1725</v>
      </c>
      <c r="C4900" t="s">
        <v>385</v>
      </c>
      <c r="D4900" t="str">
        <f t="shared" si="77"/>
        <v>FHEMIG5213</v>
      </c>
      <c r="E4900" t="s">
        <v>3055</v>
      </c>
    </row>
    <row r="4901" spans="1:5" x14ac:dyDescent="0.25">
      <c r="A4901">
        <v>2271</v>
      </c>
      <c r="B4901" t="s">
        <v>1725</v>
      </c>
      <c r="C4901" t="s">
        <v>391</v>
      </c>
      <c r="D4901" t="str">
        <f t="shared" si="77"/>
        <v>FHEMIG5214</v>
      </c>
      <c r="E4901" t="s">
        <v>3055</v>
      </c>
    </row>
    <row r="4902" spans="1:5" x14ac:dyDescent="0.25">
      <c r="A4902">
        <v>2271</v>
      </c>
      <c r="B4902" t="s">
        <v>1725</v>
      </c>
      <c r="C4902" t="s">
        <v>397</v>
      </c>
      <c r="D4902" t="str">
        <f t="shared" si="77"/>
        <v>FHEMIG5215</v>
      </c>
      <c r="E4902" t="s">
        <v>3055</v>
      </c>
    </row>
    <row r="4903" spans="1:5" x14ac:dyDescent="0.25">
      <c r="A4903">
        <v>2271</v>
      </c>
      <c r="B4903" t="s">
        <v>1725</v>
      </c>
      <c r="C4903" t="s">
        <v>403</v>
      </c>
      <c r="D4903" t="str">
        <f t="shared" si="77"/>
        <v>FHEMIG5216</v>
      </c>
      <c r="E4903" t="s">
        <v>3067</v>
      </c>
    </row>
    <row r="4904" spans="1:5" x14ac:dyDescent="0.25">
      <c r="A4904">
        <v>2271</v>
      </c>
      <c r="B4904" t="s">
        <v>1725</v>
      </c>
      <c r="C4904" t="s">
        <v>409</v>
      </c>
      <c r="D4904" t="str">
        <f t="shared" si="77"/>
        <v>FHEMIG5217</v>
      </c>
      <c r="E4904" t="s">
        <v>3067</v>
      </c>
    </row>
    <row r="4905" spans="1:5" x14ac:dyDescent="0.25">
      <c r="A4905">
        <v>2271</v>
      </c>
      <c r="B4905" t="s">
        <v>1725</v>
      </c>
      <c r="C4905" t="s">
        <v>419</v>
      </c>
      <c r="D4905" t="str">
        <f t="shared" si="77"/>
        <v>FHEMIG5219</v>
      </c>
      <c r="E4905" t="s">
        <v>3055</v>
      </c>
    </row>
    <row r="4906" spans="1:5" x14ac:dyDescent="0.25">
      <c r="A4906">
        <v>2271</v>
      </c>
      <c r="B4906" t="s">
        <v>1725</v>
      </c>
      <c r="C4906" t="s">
        <v>3068</v>
      </c>
      <c r="D4906" t="str">
        <f t="shared" si="77"/>
        <v>FHEMIG5220</v>
      </c>
      <c r="E4906" t="s">
        <v>3057</v>
      </c>
    </row>
    <row r="4907" spans="1:5" x14ac:dyDescent="0.25">
      <c r="A4907">
        <v>2271</v>
      </c>
      <c r="B4907" t="s">
        <v>1725</v>
      </c>
      <c r="C4907" t="s">
        <v>429</v>
      </c>
      <c r="D4907" t="str">
        <f t="shared" si="77"/>
        <v>FHEMIG5221</v>
      </c>
      <c r="E4907" t="s">
        <v>3055</v>
      </c>
    </row>
    <row r="4908" spans="1:5" x14ac:dyDescent="0.25">
      <c r="A4908">
        <v>2271</v>
      </c>
      <c r="B4908" t="s">
        <v>1725</v>
      </c>
      <c r="C4908" t="s">
        <v>449</v>
      </c>
      <c r="D4908" t="str">
        <f t="shared" si="77"/>
        <v>FHEMIG5225</v>
      </c>
      <c r="E4908" t="s">
        <v>3055</v>
      </c>
    </row>
    <row r="4909" spans="1:5" x14ac:dyDescent="0.25">
      <c r="A4909">
        <v>2271</v>
      </c>
      <c r="B4909" t="s">
        <v>1725</v>
      </c>
      <c r="C4909" t="s">
        <v>3070</v>
      </c>
      <c r="D4909" t="str">
        <f t="shared" si="77"/>
        <v>FHEMIG5226</v>
      </c>
      <c r="E4909" t="s">
        <v>3055</v>
      </c>
    </row>
    <row r="4910" spans="1:5" x14ac:dyDescent="0.25">
      <c r="A4910">
        <v>2271</v>
      </c>
      <c r="B4910" t="s">
        <v>1725</v>
      </c>
      <c r="C4910" t="s">
        <v>3072</v>
      </c>
      <c r="D4910" t="str">
        <f t="shared" si="77"/>
        <v>FHEMIG5227</v>
      </c>
      <c r="E4910" t="s">
        <v>3055</v>
      </c>
    </row>
    <row r="4911" spans="1:5" x14ac:dyDescent="0.25">
      <c r="A4911">
        <v>2271</v>
      </c>
      <c r="B4911" t="s">
        <v>1725</v>
      </c>
      <c r="C4911" t="s">
        <v>459</v>
      </c>
      <c r="D4911" t="str">
        <f t="shared" si="77"/>
        <v>FHEMIG5299</v>
      </c>
      <c r="E4911" t="s">
        <v>3055</v>
      </c>
    </row>
    <row r="4912" spans="1:5" x14ac:dyDescent="0.25">
      <c r="A4912">
        <v>2271</v>
      </c>
      <c r="B4912" t="s">
        <v>1725</v>
      </c>
      <c r="C4912" t="s">
        <v>3164</v>
      </c>
      <c r="D4912" t="str">
        <f t="shared" si="77"/>
        <v>FHEMIG5905</v>
      </c>
      <c r="E4912" t="s">
        <v>2968</v>
      </c>
    </row>
    <row r="4913" spans="1:5" x14ac:dyDescent="0.25">
      <c r="A4913">
        <v>2271</v>
      </c>
      <c r="B4913" t="s">
        <v>1725</v>
      </c>
      <c r="C4913" t="s">
        <v>3211</v>
      </c>
      <c r="D4913" t="str">
        <f t="shared" si="77"/>
        <v>FHEMIG9108</v>
      </c>
      <c r="E4913" t="s">
        <v>3212</v>
      </c>
    </row>
    <row r="4914" spans="1:5" x14ac:dyDescent="0.25">
      <c r="A4914">
        <v>2271</v>
      </c>
      <c r="B4914" t="s">
        <v>1725</v>
      </c>
      <c r="C4914" t="s">
        <v>3074</v>
      </c>
      <c r="D4914" t="str">
        <f t="shared" si="77"/>
        <v>FHEMIG9202</v>
      </c>
      <c r="E4914" t="s">
        <v>3075</v>
      </c>
    </row>
    <row r="4915" spans="1:5" x14ac:dyDescent="0.25">
      <c r="A4915">
        <v>2271</v>
      </c>
      <c r="B4915" t="s">
        <v>1725</v>
      </c>
      <c r="C4915" t="s">
        <v>331</v>
      </c>
      <c r="D4915" t="str">
        <f t="shared" si="77"/>
        <v>FHEMIG9306</v>
      </c>
      <c r="E4915" t="s">
        <v>3076</v>
      </c>
    </row>
    <row r="4916" spans="1:5" x14ac:dyDescent="0.25">
      <c r="A4916">
        <v>2271</v>
      </c>
      <c r="B4916" t="s">
        <v>1725</v>
      </c>
      <c r="C4916" t="s">
        <v>367</v>
      </c>
      <c r="D4916" t="str">
        <f t="shared" si="77"/>
        <v>FHEMIG9310</v>
      </c>
      <c r="E4916" t="s">
        <v>2968</v>
      </c>
    </row>
    <row r="4917" spans="1:5" x14ac:dyDescent="0.25">
      <c r="A4917">
        <v>2271</v>
      </c>
      <c r="B4917" t="s">
        <v>1725</v>
      </c>
      <c r="C4917" t="s">
        <v>380</v>
      </c>
      <c r="D4917" t="str">
        <f t="shared" si="77"/>
        <v>FHEMIG9312</v>
      </c>
      <c r="E4917" t="s">
        <v>2968</v>
      </c>
    </row>
    <row r="4918" spans="1:5" x14ac:dyDescent="0.25">
      <c r="A4918">
        <v>2271</v>
      </c>
      <c r="B4918" t="s">
        <v>1725</v>
      </c>
      <c r="C4918" t="s">
        <v>440</v>
      </c>
      <c r="D4918" t="str">
        <f t="shared" si="77"/>
        <v>FHEMIG9326</v>
      </c>
      <c r="E4918" t="s">
        <v>2968</v>
      </c>
    </row>
    <row r="4919" spans="1:5" x14ac:dyDescent="0.25">
      <c r="A4919">
        <v>2271</v>
      </c>
      <c r="B4919" t="s">
        <v>1725</v>
      </c>
      <c r="C4919" t="s">
        <v>445</v>
      </c>
      <c r="D4919" t="str">
        <f t="shared" si="77"/>
        <v>FHEMIG9327</v>
      </c>
      <c r="E4919" t="s">
        <v>2968</v>
      </c>
    </row>
    <row r="4920" spans="1:5" x14ac:dyDescent="0.25">
      <c r="A4920">
        <v>2271</v>
      </c>
      <c r="B4920" t="s">
        <v>1725</v>
      </c>
      <c r="C4920" t="s">
        <v>3079</v>
      </c>
      <c r="D4920" t="str">
        <f t="shared" si="77"/>
        <v>FHEMIG9399</v>
      </c>
      <c r="E4920" t="s">
        <v>2968</v>
      </c>
    </row>
    <row r="4921" spans="1:5" x14ac:dyDescent="0.25">
      <c r="A4921">
        <v>2271</v>
      </c>
      <c r="B4921" t="s">
        <v>1725</v>
      </c>
      <c r="C4921" t="s">
        <v>3298</v>
      </c>
      <c r="D4921" t="str">
        <f t="shared" si="77"/>
        <v>FHEMIG9701</v>
      </c>
      <c r="E4921" t="s">
        <v>2968</v>
      </c>
    </row>
    <row r="4922" spans="1:5" x14ac:dyDescent="0.25">
      <c r="A4922">
        <v>2281</v>
      </c>
      <c r="B4922" t="s">
        <v>1763</v>
      </c>
      <c r="C4922" t="s">
        <v>3229</v>
      </c>
      <c r="D4922" t="str">
        <f t="shared" si="77"/>
        <v>UTRAMIG1307</v>
      </c>
      <c r="E4922" t="s">
        <v>3081</v>
      </c>
    </row>
    <row r="4923" spans="1:5" x14ac:dyDescent="0.25">
      <c r="A4923">
        <v>2281</v>
      </c>
      <c r="B4923" t="s">
        <v>1763</v>
      </c>
      <c r="C4923" t="s">
        <v>332</v>
      </c>
      <c r="D4923" t="str">
        <f t="shared" si="77"/>
        <v>UTRAMIG1314</v>
      </c>
      <c r="E4923" t="s">
        <v>3081</v>
      </c>
    </row>
    <row r="4924" spans="1:5" x14ac:dyDescent="0.25">
      <c r="A4924">
        <v>2281</v>
      </c>
      <c r="B4924" t="s">
        <v>1763</v>
      </c>
      <c r="C4924" t="s">
        <v>2942</v>
      </c>
      <c r="D4924" t="str">
        <f t="shared" si="77"/>
        <v>UTRAMIG1317</v>
      </c>
      <c r="E4924" t="s">
        <v>3081</v>
      </c>
    </row>
    <row r="4925" spans="1:5" x14ac:dyDescent="0.25">
      <c r="A4925">
        <v>2281</v>
      </c>
      <c r="B4925" t="s">
        <v>1763</v>
      </c>
      <c r="C4925" t="s">
        <v>399</v>
      </c>
      <c r="D4925" t="str">
        <f t="shared" si="77"/>
        <v>UTRAMIG1325</v>
      </c>
      <c r="E4925" t="s">
        <v>3081</v>
      </c>
    </row>
    <row r="4926" spans="1:5" x14ac:dyDescent="0.25">
      <c r="A4926">
        <v>2281</v>
      </c>
      <c r="B4926" t="s">
        <v>1763</v>
      </c>
      <c r="C4926" t="s">
        <v>2928</v>
      </c>
      <c r="D4926" t="str">
        <f t="shared" si="77"/>
        <v>UTRAMIG1401</v>
      </c>
      <c r="E4926" t="s">
        <v>44</v>
      </c>
    </row>
    <row r="4927" spans="1:5" x14ac:dyDescent="0.25">
      <c r="A4927">
        <v>2281</v>
      </c>
      <c r="B4927" t="s">
        <v>1763</v>
      </c>
      <c r="C4927" t="s">
        <v>222</v>
      </c>
      <c r="D4927" t="str">
        <f t="shared" si="77"/>
        <v>UTRAMIG1801</v>
      </c>
      <c r="E4927" t="s">
        <v>3230</v>
      </c>
    </row>
    <row r="4928" spans="1:5" x14ac:dyDescent="0.25">
      <c r="A4928">
        <v>2281</v>
      </c>
      <c r="B4928" t="s">
        <v>1763</v>
      </c>
      <c r="C4928" t="s">
        <v>2932</v>
      </c>
      <c r="D4928" t="str">
        <f t="shared" si="77"/>
        <v>UTRAMIG3001</v>
      </c>
      <c r="E4928" t="s">
        <v>2933</v>
      </c>
    </row>
    <row r="4929" spans="1:5" x14ac:dyDescent="0.25">
      <c r="A4929">
        <v>2281</v>
      </c>
      <c r="B4929" t="s">
        <v>1763</v>
      </c>
      <c r="C4929" t="s">
        <v>979</v>
      </c>
      <c r="D4929" t="str">
        <f t="shared" si="77"/>
        <v>UTRAMIG3003</v>
      </c>
      <c r="E4929" t="s">
        <v>2933</v>
      </c>
    </row>
    <row r="4930" spans="1:5" x14ac:dyDescent="0.25">
      <c r="A4930">
        <v>2281</v>
      </c>
      <c r="B4930" t="s">
        <v>1763</v>
      </c>
      <c r="C4930" t="s">
        <v>2937</v>
      </c>
      <c r="D4930" t="str">
        <f t="shared" si="77"/>
        <v>UTRAMIG3004</v>
      </c>
      <c r="E4930" t="s">
        <v>2933</v>
      </c>
    </row>
    <row r="4931" spans="1:5" x14ac:dyDescent="0.25">
      <c r="A4931">
        <v>2281</v>
      </c>
      <c r="B4931" t="s">
        <v>1763</v>
      </c>
      <c r="C4931" t="s">
        <v>2939</v>
      </c>
      <c r="D4931" t="str">
        <f t="shared" si="77"/>
        <v>UTRAMIG3005</v>
      </c>
      <c r="E4931" t="s">
        <v>2933</v>
      </c>
    </row>
    <row r="4932" spans="1:5" x14ac:dyDescent="0.25">
      <c r="A4932">
        <v>2281</v>
      </c>
      <c r="B4932" t="s">
        <v>1763</v>
      </c>
      <c r="C4932" t="s">
        <v>333</v>
      </c>
      <c r="D4932" t="str">
        <f t="shared" si="77"/>
        <v>UTRAMIG3007</v>
      </c>
      <c r="E4932" t="s">
        <v>2933</v>
      </c>
    </row>
    <row r="4933" spans="1:5" x14ac:dyDescent="0.25">
      <c r="A4933">
        <v>2281</v>
      </c>
      <c r="B4933" t="s">
        <v>1763</v>
      </c>
      <c r="C4933" t="s">
        <v>2941</v>
      </c>
      <c r="D4933" t="str">
        <f t="shared" ref="D4933:D4996" si="78">CONCATENATE(B4933,LEFT(C4933,4))</f>
        <v>UTRAMIG3008</v>
      </c>
      <c r="E4933" t="s">
        <v>2933</v>
      </c>
    </row>
    <row r="4934" spans="1:5" x14ac:dyDescent="0.25">
      <c r="A4934">
        <v>2281</v>
      </c>
      <c r="B4934" t="s">
        <v>1763</v>
      </c>
      <c r="C4934" t="s">
        <v>2943</v>
      </c>
      <c r="D4934" t="str">
        <f t="shared" si="78"/>
        <v>UTRAMIG3010</v>
      </c>
      <c r="E4934" t="s">
        <v>2944</v>
      </c>
    </row>
    <row r="4935" spans="1:5" x14ac:dyDescent="0.25">
      <c r="A4935">
        <v>2281</v>
      </c>
      <c r="B4935" t="s">
        <v>1763</v>
      </c>
      <c r="C4935" t="s">
        <v>369</v>
      </c>
      <c r="D4935" t="str">
        <f t="shared" si="78"/>
        <v>UTRAMIG3011</v>
      </c>
      <c r="E4935" t="s">
        <v>2933</v>
      </c>
    </row>
    <row r="4936" spans="1:5" x14ac:dyDescent="0.25">
      <c r="A4936">
        <v>2281</v>
      </c>
      <c r="B4936" t="s">
        <v>1763</v>
      </c>
      <c r="C4936" t="s">
        <v>138</v>
      </c>
      <c r="D4936" t="str">
        <f t="shared" si="78"/>
        <v>UTRAMIG3012</v>
      </c>
      <c r="E4936" t="s">
        <v>2944</v>
      </c>
    </row>
    <row r="4937" spans="1:5" x14ac:dyDescent="0.25">
      <c r="A4937">
        <v>2281</v>
      </c>
      <c r="B4937" t="s">
        <v>1763</v>
      </c>
      <c r="C4937" t="s">
        <v>2946</v>
      </c>
      <c r="D4937" t="str">
        <f t="shared" si="78"/>
        <v>UTRAMIG3013</v>
      </c>
      <c r="E4937" t="s">
        <v>2933</v>
      </c>
    </row>
    <row r="4938" spans="1:5" x14ac:dyDescent="0.25">
      <c r="A4938">
        <v>2281</v>
      </c>
      <c r="B4938" t="s">
        <v>1763</v>
      </c>
      <c r="C4938" t="s">
        <v>2948</v>
      </c>
      <c r="D4938" t="str">
        <f t="shared" si="78"/>
        <v>UTRAMIG3015</v>
      </c>
      <c r="E4938" t="s">
        <v>2933</v>
      </c>
    </row>
    <row r="4939" spans="1:5" x14ac:dyDescent="0.25">
      <c r="A4939">
        <v>2281</v>
      </c>
      <c r="B4939" t="s">
        <v>1763</v>
      </c>
      <c r="C4939" t="s">
        <v>2950</v>
      </c>
      <c r="D4939" t="str">
        <f t="shared" si="78"/>
        <v>UTRAMIG3016</v>
      </c>
      <c r="E4939" t="s">
        <v>2933</v>
      </c>
    </row>
    <row r="4940" spans="1:5" x14ac:dyDescent="0.25">
      <c r="A4940">
        <v>2281</v>
      </c>
      <c r="B4940" t="s">
        <v>1763</v>
      </c>
      <c r="C4940" t="s">
        <v>406</v>
      </c>
      <c r="D4940" t="str">
        <f t="shared" si="78"/>
        <v>UTRAMIG3017</v>
      </c>
      <c r="E4940" t="s">
        <v>2933</v>
      </c>
    </row>
    <row r="4941" spans="1:5" x14ac:dyDescent="0.25">
      <c r="A4941">
        <v>2281</v>
      </c>
      <c r="B4941" t="s">
        <v>1763</v>
      </c>
      <c r="C4941" t="s">
        <v>411</v>
      </c>
      <c r="D4941" t="str">
        <f t="shared" si="78"/>
        <v>UTRAMIG3018</v>
      </c>
      <c r="E4941" t="s">
        <v>2933</v>
      </c>
    </row>
    <row r="4942" spans="1:5" x14ac:dyDescent="0.25">
      <c r="A4942">
        <v>2281</v>
      </c>
      <c r="B4942" t="s">
        <v>1763</v>
      </c>
      <c r="C4942" t="s">
        <v>2953</v>
      </c>
      <c r="D4942" t="str">
        <f t="shared" si="78"/>
        <v>UTRAMIG3019</v>
      </c>
      <c r="E4942" t="s">
        <v>2954</v>
      </c>
    </row>
    <row r="4943" spans="1:5" x14ac:dyDescent="0.25">
      <c r="A4943">
        <v>2281</v>
      </c>
      <c r="B4943" t="s">
        <v>1763</v>
      </c>
      <c r="C4943" t="s">
        <v>2955</v>
      </c>
      <c r="D4943" t="str">
        <f t="shared" si="78"/>
        <v>UTRAMIG3020</v>
      </c>
      <c r="E4943" t="s">
        <v>2933</v>
      </c>
    </row>
    <row r="4944" spans="1:5" x14ac:dyDescent="0.25">
      <c r="A4944">
        <v>2281</v>
      </c>
      <c r="B4944" t="s">
        <v>1763</v>
      </c>
      <c r="C4944" t="s">
        <v>2956</v>
      </c>
      <c r="D4944" t="str">
        <f t="shared" si="78"/>
        <v>UTRAMIG3021</v>
      </c>
      <c r="E4944" t="s">
        <v>2933</v>
      </c>
    </row>
    <row r="4945" spans="1:5" x14ac:dyDescent="0.25">
      <c r="A4945">
        <v>2281</v>
      </c>
      <c r="B4945" t="s">
        <v>1763</v>
      </c>
      <c r="C4945" t="s">
        <v>431</v>
      </c>
      <c r="D4945" t="str">
        <f t="shared" si="78"/>
        <v>UTRAMIG3022</v>
      </c>
      <c r="E4945" t="s">
        <v>2933</v>
      </c>
    </row>
    <row r="4946" spans="1:5" x14ac:dyDescent="0.25">
      <c r="A4946">
        <v>2281</v>
      </c>
      <c r="B4946" t="s">
        <v>1763</v>
      </c>
      <c r="C4946" t="s">
        <v>2957</v>
      </c>
      <c r="D4946" t="str">
        <f t="shared" si="78"/>
        <v>UTRAMIG3023</v>
      </c>
      <c r="E4946" t="s">
        <v>2958</v>
      </c>
    </row>
    <row r="4947" spans="1:5" x14ac:dyDescent="0.25">
      <c r="A4947">
        <v>2281</v>
      </c>
      <c r="B4947" t="s">
        <v>1763</v>
      </c>
      <c r="C4947" t="s">
        <v>441</v>
      </c>
      <c r="D4947" t="str">
        <f t="shared" si="78"/>
        <v>UTRAMIG3024</v>
      </c>
      <c r="E4947" t="s">
        <v>2933</v>
      </c>
    </row>
    <row r="4948" spans="1:5" x14ac:dyDescent="0.25">
      <c r="A4948">
        <v>2281</v>
      </c>
      <c r="B4948" t="s">
        <v>1763</v>
      </c>
      <c r="C4948" t="s">
        <v>2959</v>
      </c>
      <c r="D4948" t="str">
        <f t="shared" si="78"/>
        <v>UTRAMIG3025</v>
      </c>
      <c r="E4948" t="s">
        <v>2933</v>
      </c>
    </row>
    <row r="4949" spans="1:5" x14ac:dyDescent="0.25">
      <c r="A4949">
        <v>2281</v>
      </c>
      <c r="B4949" t="s">
        <v>1763</v>
      </c>
      <c r="C4949" t="s">
        <v>2960</v>
      </c>
      <c r="D4949" t="str">
        <f t="shared" si="78"/>
        <v>UTRAMIG3026</v>
      </c>
      <c r="E4949" t="s">
        <v>2958</v>
      </c>
    </row>
    <row r="4950" spans="1:5" x14ac:dyDescent="0.25">
      <c r="A4950">
        <v>2281</v>
      </c>
      <c r="B4950" t="s">
        <v>1763</v>
      </c>
      <c r="C4950" t="s">
        <v>2961</v>
      </c>
      <c r="D4950" t="str">
        <f t="shared" si="78"/>
        <v>UTRAMIG3027</v>
      </c>
      <c r="E4950" t="s">
        <v>2933</v>
      </c>
    </row>
    <row r="4951" spans="1:5" x14ac:dyDescent="0.25">
      <c r="A4951">
        <v>2281</v>
      </c>
      <c r="B4951" t="s">
        <v>1763</v>
      </c>
      <c r="C4951" t="s">
        <v>3242</v>
      </c>
      <c r="D4951" t="str">
        <f t="shared" si="78"/>
        <v>UTRAMIG3036</v>
      </c>
      <c r="E4951" t="s">
        <v>2933</v>
      </c>
    </row>
    <row r="4952" spans="1:5" x14ac:dyDescent="0.25">
      <c r="A4952">
        <v>2281</v>
      </c>
      <c r="B4952" t="s">
        <v>1763</v>
      </c>
      <c r="C4952" t="s">
        <v>491</v>
      </c>
      <c r="D4952" t="str">
        <f t="shared" si="78"/>
        <v>UTRAMIG3099</v>
      </c>
      <c r="E4952" t="s">
        <v>2933</v>
      </c>
    </row>
    <row r="4953" spans="1:5" x14ac:dyDescent="0.25">
      <c r="A4953">
        <v>2281</v>
      </c>
      <c r="B4953" t="s">
        <v>1763</v>
      </c>
      <c r="C4953" t="s">
        <v>2975</v>
      </c>
      <c r="D4953" t="str">
        <f t="shared" si="78"/>
        <v>UTRAMIG3302</v>
      </c>
      <c r="E4953" t="s">
        <v>44</v>
      </c>
    </row>
    <row r="4954" spans="1:5" x14ac:dyDescent="0.25">
      <c r="A4954">
        <v>2281</v>
      </c>
      <c r="B4954" t="s">
        <v>1763</v>
      </c>
      <c r="C4954" t="s">
        <v>2977</v>
      </c>
      <c r="D4954" t="str">
        <f t="shared" si="78"/>
        <v>UTRAMIG3304</v>
      </c>
      <c r="E4954" t="s">
        <v>44</v>
      </c>
    </row>
    <row r="4955" spans="1:5" x14ac:dyDescent="0.25">
      <c r="A4955">
        <v>2281</v>
      </c>
      <c r="B4955" t="s">
        <v>1763</v>
      </c>
      <c r="C4955" t="s">
        <v>309</v>
      </c>
      <c r="D4955" t="str">
        <f t="shared" si="78"/>
        <v>UTRAMIG3305</v>
      </c>
      <c r="E4955" t="s">
        <v>44</v>
      </c>
    </row>
    <row r="4956" spans="1:5" x14ac:dyDescent="0.25">
      <c r="A4956">
        <v>2281</v>
      </c>
      <c r="B4956" t="s">
        <v>1763</v>
      </c>
      <c r="C4956" t="s">
        <v>228</v>
      </c>
      <c r="D4956" t="str">
        <f t="shared" si="78"/>
        <v>UTRAMIG3401</v>
      </c>
      <c r="E4956" t="s">
        <v>3231</v>
      </c>
    </row>
    <row r="4957" spans="1:5" x14ac:dyDescent="0.25">
      <c r="A4957">
        <v>2281</v>
      </c>
      <c r="B4957" t="s">
        <v>1763</v>
      </c>
      <c r="C4957" t="s">
        <v>280</v>
      </c>
      <c r="D4957" t="str">
        <f t="shared" si="78"/>
        <v>UTRAMIG3403</v>
      </c>
      <c r="E4957" t="s">
        <v>3081</v>
      </c>
    </row>
    <row r="4958" spans="1:5" x14ac:dyDescent="0.25">
      <c r="A4958">
        <v>2281</v>
      </c>
      <c r="B4958" t="s">
        <v>1763</v>
      </c>
      <c r="C4958" t="s">
        <v>296</v>
      </c>
      <c r="D4958" t="str">
        <f t="shared" si="78"/>
        <v>UTRAMIG3404</v>
      </c>
      <c r="E4958" t="s">
        <v>3081</v>
      </c>
    </row>
    <row r="4959" spans="1:5" x14ac:dyDescent="0.25">
      <c r="A4959">
        <v>2281</v>
      </c>
      <c r="B4959" t="s">
        <v>1763</v>
      </c>
      <c r="C4959" t="s">
        <v>3201</v>
      </c>
      <c r="D4959" t="str">
        <f t="shared" si="78"/>
        <v>UTRAMIG3502</v>
      </c>
      <c r="E4959" t="s">
        <v>2968</v>
      </c>
    </row>
    <row r="4960" spans="1:5" x14ac:dyDescent="0.25">
      <c r="A4960">
        <v>2281</v>
      </c>
      <c r="B4960" t="s">
        <v>1763</v>
      </c>
      <c r="C4960" t="s">
        <v>3012</v>
      </c>
      <c r="D4960" t="str">
        <f t="shared" si="78"/>
        <v>UTRAMIG3601</v>
      </c>
      <c r="E4960" t="s">
        <v>65</v>
      </c>
    </row>
    <row r="4961" spans="1:5" x14ac:dyDescent="0.25">
      <c r="A4961">
        <v>2281</v>
      </c>
      <c r="B4961" t="s">
        <v>1763</v>
      </c>
      <c r="C4961" t="s">
        <v>3234</v>
      </c>
      <c r="D4961" t="str">
        <f t="shared" si="78"/>
        <v>UTRAMIG3605</v>
      </c>
      <c r="E4961" t="s">
        <v>2968</v>
      </c>
    </row>
    <row r="4962" spans="1:5" x14ac:dyDescent="0.25">
      <c r="A4962">
        <v>2281</v>
      </c>
      <c r="B4962" t="s">
        <v>1763</v>
      </c>
      <c r="C4962" t="s">
        <v>355</v>
      </c>
      <c r="D4962" t="str">
        <f t="shared" si="78"/>
        <v>UTRAMIG3610</v>
      </c>
      <c r="E4962" t="s">
        <v>2968</v>
      </c>
    </row>
    <row r="4963" spans="1:5" x14ac:dyDescent="0.25">
      <c r="A4963">
        <v>2281</v>
      </c>
      <c r="B4963" t="s">
        <v>1763</v>
      </c>
      <c r="C4963" t="s">
        <v>2979</v>
      </c>
      <c r="D4963" t="str">
        <f t="shared" si="78"/>
        <v>UTRAMIG3612</v>
      </c>
      <c r="E4963" t="s">
        <v>2968</v>
      </c>
    </row>
    <row r="4964" spans="1:5" x14ac:dyDescent="0.25">
      <c r="A4964">
        <v>2281</v>
      </c>
      <c r="B4964" t="s">
        <v>1763</v>
      </c>
      <c r="C4964" t="s">
        <v>471</v>
      </c>
      <c r="D4964" t="str">
        <f t="shared" si="78"/>
        <v>UTRAMIG3699</v>
      </c>
      <c r="E4964" t="s">
        <v>2968</v>
      </c>
    </row>
    <row r="4965" spans="1:5" x14ac:dyDescent="0.25">
      <c r="A4965">
        <v>2281</v>
      </c>
      <c r="B4965" t="s">
        <v>1763</v>
      </c>
      <c r="C4965" t="s">
        <v>2983</v>
      </c>
      <c r="D4965" t="str">
        <f t="shared" si="78"/>
        <v>UTRAMIG3703</v>
      </c>
      <c r="E4965" t="s">
        <v>117</v>
      </c>
    </row>
    <row r="4966" spans="1:5" x14ac:dyDescent="0.25">
      <c r="A4966">
        <v>2281</v>
      </c>
      <c r="B4966" t="s">
        <v>1763</v>
      </c>
      <c r="C4966" t="s">
        <v>2985</v>
      </c>
      <c r="D4966" t="str">
        <f t="shared" si="78"/>
        <v>UTRAMIG3704</v>
      </c>
      <c r="E4966" t="s">
        <v>117</v>
      </c>
    </row>
    <row r="4967" spans="1:5" x14ac:dyDescent="0.25">
      <c r="A4967">
        <v>2281</v>
      </c>
      <c r="B4967" t="s">
        <v>1763</v>
      </c>
      <c r="C4967" t="s">
        <v>2986</v>
      </c>
      <c r="D4967" t="str">
        <f t="shared" si="78"/>
        <v>UTRAMIG3705</v>
      </c>
      <c r="E4967" t="s">
        <v>117</v>
      </c>
    </row>
    <row r="4968" spans="1:5" x14ac:dyDescent="0.25">
      <c r="A4968">
        <v>2281</v>
      </c>
      <c r="B4968" t="s">
        <v>1763</v>
      </c>
      <c r="C4968" t="s">
        <v>233</v>
      </c>
      <c r="D4968" t="str">
        <f t="shared" si="78"/>
        <v>UTRAMIG3901</v>
      </c>
      <c r="E4968" t="s">
        <v>2926</v>
      </c>
    </row>
    <row r="4969" spans="1:5" x14ac:dyDescent="0.25">
      <c r="A4969">
        <v>2281</v>
      </c>
      <c r="B4969" t="s">
        <v>1763</v>
      </c>
      <c r="C4969" t="s">
        <v>3056</v>
      </c>
      <c r="D4969" t="str">
        <f t="shared" si="78"/>
        <v>UTRAMIG3902</v>
      </c>
      <c r="E4969" t="s">
        <v>2926</v>
      </c>
    </row>
    <row r="4970" spans="1:5" x14ac:dyDescent="0.25">
      <c r="A4970">
        <v>2281</v>
      </c>
      <c r="B4970" t="s">
        <v>1763</v>
      </c>
      <c r="C4970" t="s">
        <v>326</v>
      </c>
      <c r="D4970" t="str">
        <f t="shared" si="78"/>
        <v>UTRAMIG3906</v>
      </c>
      <c r="E4970" t="s">
        <v>2968</v>
      </c>
    </row>
    <row r="4971" spans="1:5" x14ac:dyDescent="0.25">
      <c r="A4971">
        <v>2281</v>
      </c>
      <c r="B4971" t="s">
        <v>1763</v>
      </c>
      <c r="C4971" t="s">
        <v>346</v>
      </c>
      <c r="D4971" t="str">
        <f t="shared" si="78"/>
        <v>UTRAMIG3910</v>
      </c>
      <c r="E4971" t="s">
        <v>2968</v>
      </c>
    </row>
    <row r="4972" spans="1:5" x14ac:dyDescent="0.25">
      <c r="A4972">
        <v>2281</v>
      </c>
      <c r="B4972" t="s">
        <v>1763</v>
      </c>
      <c r="C4972" t="s">
        <v>2991</v>
      </c>
      <c r="D4972" t="str">
        <f t="shared" si="78"/>
        <v>UTRAMIG3912</v>
      </c>
      <c r="E4972" t="s">
        <v>2992</v>
      </c>
    </row>
    <row r="4973" spans="1:5" x14ac:dyDescent="0.25">
      <c r="A4973">
        <v>2281</v>
      </c>
      <c r="B4973" t="s">
        <v>1763</v>
      </c>
      <c r="C4973" t="s">
        <v>2994</v>
      </c>
      <c r="D4973" t="str">
        <f t="shared" si="78"/>
        <v>UTRAMIG3913</v>
      </c>
      <c r="E4973" t="s">
        <v>2992</v>
      </c>
    </row>
    <row r="4974" spans="1:5" x14ac:dyDescent="0.25">
      <c r="A4974">
        <v>2281</v>
      </c>
      <c r="B4974" t="s">
        <v>1763</v>
      </c>
      <c r="C4974" t="s">
        <v>384</v>
      </c>
      <c r="D4974" t="str">
        <f t="shared" si="78"/>
        <v>UTRAMIG3915</v>
      </c>
      <c r="E4974" t="s">
        <v>2992</v>
      </c>
    </row>
    <row r="4975" spans="1:5" x14ac:dyDescent="0.25">
      <c r="A4975">
        <v>2281</v>
      </c>
      <c r="B4975" t="s">
        <v>1763</v>
      </c>
      <c r="C4975" t="s">
        <v>2998</v>
      </c>
      <c r="D4975" t="str">
        <f t="shared" si="78"/>
        <v>UTRAMIG3918</v>
      </c>
      <c r="E4975" t="s">
        <v>2958</v>
      </c>
    </row>
    <row r="4976" spans="1:5" x14ac:dyDescent="0.25">
      <c r="A4976">
        <v>2281</v>
      </c>
      <c r="B4976" t="s">
        <v>1763</v>
      </c>
      <c r="C4976" t="s">
        <v>3000</v>
      </c>
      <c r="D4976" t="str">
        <f t="shared" si="78"/>
        <v>UTRAMIG3919</v>
      </c>
      <c r="E4976" t="s">
        <v>3001</v>
      </c>
    </row>
    <row r="4977" spans="1:5" x14ac:dyDescent="0.25">
      <c r="A4977">
        <v>2281</v>
      </c>
      <c r="B4977" t="s">
        <v>1763</v>
      </c>
      <c r="C4977" t="s">
        <v>3077</v>
      </c>
      <c r="D4977" t="str">
        <f t="shared" si="78"/>
        <v>UTRAMIG3920</v>
      </c>
      <c r="E4977" t="s">
        <v>3107</v>
      </c>
    </row>
    <row r="4978" spans="1:5" x14ac:dyDescent="0.25">
      <c r="A4978">
        <v>2281</v>
      </c>
      <c r="B4978" t="s">
        <v>1763</v>
      </c>
      <c r="C4978" t="s">
        <v>3002</v>
      </c>
      <c r="D4978" t="str">
        <f t="shared" si="78"/>
        <v>UTRAMIG3921</v>
      </c>
      <c r="E4978" t="s">
        <v>3001</v>
      </c>
    </row>
    <row r="4979" spans="1:5" x14ac:dyDescent="0.25">
      <c r="A4979">
        <v>2281</v>
      </c>
      <c r="B4979" t="s">
        <v>1763</v>
      </c>
      <c r="C4979" t="s">
        <v>3003</v>
      </c>
      <c r="D4979" t="str">
        <f t="shared" si="78"/>
        <v>UTRAMIG3922</v>
      </c>
      <c r="E4979" t="s">
        <v>2954</v>
      </c>
    </row>
    <row r="4980" spans="1:5" x14ac:dyDescent="0.25">
      <c r="A4980">
        <v>2281</v>
      </c>
      <c r="B4980" t="s">
        <v>1763</v>
      </c>
      <c r="C4980" t="s">
        <v>438</v>
      </c>
      <c r="D4980" t="str">
        <f t="shared" si="78"/>
        <v>UTRAMIG3925</v>
      </c>
      <c r="E4980" t="s">
        <v>3006</v>
      </c>
    </row>
    <row r="4981" spans="1:5" x14ac:dyDescent="0.25">
      <c r="A4981">
        <v>2281</v>
      </c>
      <c r="B4981" t="s">
        <v>1763</v>
      </c>
      <c r="C4981" t="s">
        <v>443</v>
      </c>
      <c r="D4981" t="str">
        <f t="shared" si="78"/>
        <v>UTRAMIG3926</v>
      </c>
      <c r="E4981" t="s">
        <v>3006</v>
      </c>
    </row>
    <row r="4982" spans="1:5" x14ac:dyDescent="0.25">
      <c r="A4982">
        <v>2281</v>
      </c>
      <c r="B4982" t="s">
        <v>1763</v>
      </c>
      <c r="C4982" t="s">
        <v>3008</v>
      </c>
      <c r="D4982" t="str">
        <f t="shared" si="78"/>
        <v>UTRAMIG3927</v>
      </c>
      <c r="E4982" t="s">
        <v>3009</v>
      </c>
    </row>
    <row r="4983" spans="1:5" x14ac:dyDescent="0.25">
      <c r="A4983">
        <v>2281</v>
      </c>
      <c r="B4983" t="s">
        <v>1763</v>
      </c>
      <c r="C4983" t="s">
        <v>1481</v>
      </c>
      <c r="D4983" t="str">
        <f t="shared" si="78"/>
        <v>UTRAMIG3931</v>
      </c>
      <c r="E4983" t="s">
        <v>3341</v>
      </c>
    </row>
    <row r="4984" spans="1:5" x14ac:dyDescent="0.25">
      <c r="A4984">
        <v>2281</v>
      </c>
      <c r="B4984" t="s">
        <v>1763</v>
      </c>
      <c r="C4984" t="s">
        <v>3017</v>
      </c>
      <c r="D4984" t="str">
        <f t="shared" si="78"/>
        <v>UTRAMIG3936</v>
      </c>
      <c r="E4984" t="s">
        <v>94</v>
      </c>
    </row>
    <row r="4985" spans="1:5" x14ac:dyDescent="0.25">
      <c r="A4985">
        <v>2281</v>
      </c>
      <c r="B4985" t="s">
        <v>1763</v>
      </c>
      <c r="C4985" t="s">
        <v>3019</v>
      </c>
      <c r="D4985" t="str">
        <f t="shared" si="78"/>
        <v>UTRAMIG3940</v>
      </c>
      <c r="E4985" t="s">
        <v>3009</v>
      </c>
    </row>
    <row r="4986" spans="1:5" x14ac:dyDescent="0.25">
      <c r="A4986">
        <v>2281</v>
      </c>
      <c r="B4986" t="s">
        <v>1763</v>
      </c>
      <c r="C4986" t="s">
        <v>3020</v>
      </c>
      <c r="D4986" t="str">
        <f t="shared" si="78"/>
        <v>UTRAMIG3943</v>
      </c>
      <c r="E4986" t="s">
        <v>2958</v>
      </c>
    </row>
    <row r="4987" spans="1:5" x14ac:dyDescent="0.25">
      <c r="A4987">
        <v>2281</v>
      </c>
      <c r="B4987" t="s">
        <v>1763</v>
      </c>
      <c r="C4987" t="s">
        <v>3025</v>
      </c>
      <c r="D4987" t="str">
        <f t="shared" si="78"/>
        <v>UTRAMIG3959</v>
      </c>
      <c r="E4987" t="s">
        <v>2968</v>
      </c>
    </row>
    <row r="4988" spans="1:5" x14ac:dyDescent="0.25">
      <c r="A4988">
        <v>2281</v>
      </c>
      <c r="B4988" t="s">
        <v>1763</v>
      </c>
      <c r="C4988" t="s">
        <v>3027</v>
      </c>
      <c r="D4988" t="str">
        <f t="shared" si="78"/>
        <v>UTRAMIG3961</v>
      </c>
      <c r="E4988" t="s">
        <v>2981</v>
      </c>
    </row>
    <row r="4989" spans="1:5" x14ac:dyDescent="0.25">
      <c r="A4989">
        <v>2281</v>
      </c>
      <c r="B4989" t="s">
        <v>1763</v>
      </c>
      <c r="C4989" t="s">
        <v>1154</v>
      </c>
      <c r="D4989" t="str">
        <f t="shared" si="78"/>
        <v>UTRAMIG3969</v>
      </c>
      <c r="E4989" t="s">
        <v>2992</v>
      </c>
    </row>
    <row r="4990" spans="1:5" x14ac:dyDescent="0.25">
      <c r="A4990">
        <v>2281</v>
      </c>
      <c r="B4990" t="s">
        <v>1763</v>
      </c>
      <c r="C4990" t="s">
        <v>3031</v>
      </c>
      <c r="D4990" t="str">
        <f t="shared" si="78"/>
        <v>UTRAMIG3970</v>
      </c>
      <c r="E4990" t="s">
        <v>3009</v>
      </c>
    </row>
    <row r="4991" spans="1:5" x14ac:dyDescent="0.25">
      <c r="A4991">
        <v>2281</v>
      </c>
      <c r="B4991" t="s">
        <v>1763</v>
      </c>
      <c r="C4991" t="s">
        <v>513</v>
      </c>
      <c r="D4991" t="str">
        <f t="shared" si="78"/>
        <v>UTRAMIG3971</v>
      </c>
      <c r="E4991" t="s">
        <v>3033</v>
      </c>
    </row>
    <row r="4992" spans="1:5" x14ac:dyDescent="0.25">
      <c r="A4992">
        <v>2281</v>
      </c>
      <c r="B4992" t="s">
        <v>1763</v>
      </c>
      <c r="C4992" t="s">
        <v>3036</v>
      </c>
      <c r="D4992" t="str">
        <f t="shared" si="78"/>
        <v>UTRAMIG3987</v>
      </c>
      <c r="E4992" t="s">
        <v>2958</v>
      </c>
    </row>
    <row r="4993" spans="1:5" x14ac:dyDescent="0.25">
      <c r="A4993">
        <v>2281</v>
      </c>
      <c r="B4993" t="s">
        <v>1763</v>
      </c>
      <c r="C4993" t="s">
        <v>3040</v>
      </c>
      <c r="D4993" t="str">
        <f t="shared" si="78"/>
        <v>UTRAMIG3999</v>
      </c>
      <c r="E4993" t="s">
        <v>2968</v>
      </c>
    </row>
    <row r="4994" spans="1:5" x14ac:dyDescent="0.25">
      <c r="A4994">
        <v>2281</v>
      </c>
      <c r="B4994" t="s">
        <v>1763</v>
      </c>
      <c r="C4994" t="s">
        <v>3041</v>
      </c>
      <c r="D4994" t="str">
        <f t="shared" si="78"/>
        <v>UTRAMIG4002</v>
      </c>
      <c r="E4994" t="s">
        <v>3009</v>
      </c>
    </row>
    <row r="4995" spans="1:5" x14ac:dyDescent="0.25">
      <c r="A4995">
        <v>2281</v>
      </c>
      <c r="B4995" t="s">
        <v>1763</v>
      </c>
      <c r="C4995" t="s">
        <v>3043</v>
      </c>
      <c r="D4995" t="str">
        <f t="shared" si="78"/>
        <v>UTRAMIG4003</v>
      </c>
      <c r="E4995" t="s">
        <v>94</v>
      </c>
    </row>
    <row r="4996" spans="1:5" x14ac:dyDescent="0.25">
      <c r="A4996">
        <v>2281</v>
      </c>
      <c r="B4996" t="s">
        <v>1763</v>
      </c>
      <c r="C4996" t="s">
        <v>3045</v>
      </c>
      <c r="D4996" t="str">
        <f t="shared" si="78"/>
        <v>UTRAMIG4004</v>
      </c>
      <c r="E4996" t="s">
        <v>3009</v>
      </c>
    </row>
    <row r="4997" spans="1:5" x14ac:dyDescent="0.25">
      <c r="A4997">
        <v>2281</v>
      </c>
      <c r="B4997" t="s">
        <v>1763</v>
      </c>
      <c r="C4997" t="s">
        <v>3047</v>
      </c>
      <c r="D4997" t="str">
        <f t="shared" ref="D4997:D5060" si="79">CONCATENATE(B4997,LEFT(C4997,4))</f>
        <v>UTRAMIG4005</v>
      </c>
      <c r="E4997" t="s">
        <v>3009</v>
      </c>
    </row>
    <row r="4998" spans="1:5" x14ac:dyDescent="0.25">
      <c r="A4998">
        <v>2281</v>
      </c>
      <c r="B4998" t="s">
        <v>1763</v>
      </c>
      <c r="C4998" t="s">
        <v>813</v>
      </c>
      <c r="D4998" t="str">
        <f t="shared" si="79"/>
        <v>UTRAMIG4006</v>
      </c>
      <c r="E4998" t="s">
        <v>3057</v>
      </c>
    </row>
    <row r="4999" spans="1:5" x14ac:dyDescent="0.25">
      <c r="A4999">
        <v>2281</v>
      </c>
      <c r="B4999" t="s">
        <v>1763</v>
      </c>
      <c r="C4999" t="s">
        <v>3048</v>
      </c>
      <c r="D4999" t="str">
        <f t="shared" si="79"/>
        <v>UTRAMIG4701</v>
      </c>
      <c r="E4999" t="s">
        <v>3049</v>
      </c>
    </row>
    <row r="5000" spans="1:5" x14ac:dyDescent="0.25">
      <c r="A5000">
        <v>2281</v>
      </c>
      <c r="B5000" t="s">
        <v>1763</v>
      </c>
      <c r="C5000" t="s">
        <v>265</v>
      </c>
      <c r="D5000" t="str">
        <f t="shared" si="79"/>
        <v>UTRAMIG4703</v>
      </c>
      <c r="E5000" t="s">
        <v>3049</v>
      </c>
    </row>
    <row r="5001" spans="1:5" x14ac:dyDescent="0.25">
      <c r="A5001">
        <v>2281</v>
      </c>
      <c r="B5001" t="s">
        <v>1763</v>
      </c>
      <c r="C5001" t="s">
        <v>316</v>
      </c>
      <c r="D5001" t="str">
        <f t="shared" si="79"/>
        <v>UTRAMIG4706</v>
      </c>
      <c r="E5001" t="s">
        <v>3049</v>
      </c>
    </row>
    <row r="5002" spans="1:5" x14ac:dyDescent="0.25">
      <c r="A5002">
        <v>2281</v>
      </c>
      <c r="B5002" t="s">
        <v>1763</v>
      </c>
      <c r="C5002" t="s">
        <v>328</v>
      </c>
      <c r="D5002" t="str">
        <f t="shared" si="79"/>
        <v>UTRAMIG4707</v>
      </c>
      <c r="E5002" t="s">
        <v>3049</v>
      </c>
    </row>
    <row r="5003" spans="1:5" x14ac:dyDescent="0.25">
      <c r="A5003">
        <v>2281</v>
      </c>
      <c r="B5003" t="s">
        <v>1763</v>
      </c>
      <c r="C5003" t="s">
        <v>240</v>
      </c>
      <c r="D5003" t="str">
        <f t="shared" si="79"/>
        <v>UTRAMIG4801</v>
      </c>
      <c r="E5003" t="s">
        <v>2968</v>
      </c>
    </row>
    <row r="5004" spans="1:5" x14ac:dyDescent="0.25">
      <c r="A5004">
        <v>2281</v>
      </c>
      <c r="B5004" t="s">
        <v>1763</v>
      </c>
      <c r="C5004" t="s">
        <v>286</v>
      </c>
      <c r="D5004" t="str">
        <f t="shared" si="79"/>
        <v>UTRAMIG4803</v>
      </c>
      <c r="E5004" t="s">
        <v>3342</v>
      </c>
    </row>
    <row r="5005" spans="1:5" x14ac:dyDescent="0.25">
      <c r="A5005">
        <v>2281</v>
      </c>
      <c r="B5005" t="s">
        <v>1763</v>
      </c>
      <c r="C5005" t="s">
        <v>3205</v>
      </c>
      <c r="D5005" t="str">
        <f t="shared" si="79"/>
        <v>UTRAMIG4905</v>
      </c>
      <c r="E5005" t="s">
        <v>65</v>
      </c>
    </row>
    <row r="5006" spans="1:5" x14ac:dyDescent="0.25">
      <c r="A5006">
        <v>2281</v>
      </c>
      <c r="B5006" t="s">
        <v>1763</v>
      </c>
      <c r="C5006" t="s">
        <v>3051</v>
      </c>
      <c r="D5006" t="str">
        <f t="shared" si="79"/>
        <v>UTRAMIG5101</v>
      </c>
      <c r="E5006" t="s">
        <v>3052</v>
      </c>
    </row>
    <row r="5007" spans="1:5" x14ac:dyDescent="0.25">
      <c r="A5007">
        <v>2281</v>
      </c>
      <c r="B5007" t="s">
        <v>1763</v>
      </c>
      <c r="C5007" t="s">
        <v>3054</v>
      </c>
      <c r="D5007" t="str">
        <f t="shared" si="79"/>
        <v>UTRAMIG5204</v>
      </c>
      <c r="E5007" t="s">
        <v>3055</v>
      </c>
    </row>
    <row r="5008" spans="1:5" x14ac:dyDescent="0.25">
      <c r="A5008">
        <v>2281</v>
      </c>
      <c r="B5008" t="s">
        <v>1763</v>
      </c>
      <c r="C5008" t="s">
        <v>3058</v>
      </c>
      <c r="D5008" t="str">
        <f t="shared" si="79"/>
        <v>UTRAMIG5207</v>
      </c>
      <c r="E5008" t="s">
        <v>3057</v>
      </c>
    </row>
    <row r="5009" spans="1:5" x14ac:dyDescent="0.25">
      <c r="A5009">
        <v>2281</v>
      </c>
      <c r="B5009" t="s">
        <v>1763</v>
      </c>
      <c r="C5009" t="s">
        <v>3060</v>
      </c>
      <c r="D5009" t="str">
        <f t="shared" si="79"/>
        <v>UTRAMIG5208</v>
      </c>
      <c r="E5009" t="s">
        <v>3057</v>
      </c>
    </row>
    <row r="5010" spans="1:5" x14ac:dyDescent="0.25">
      <c r="A5010">
        <v>2281</v>
      </c>
      <c r="B5010" t="s">
        <v>1763</v>
      </c>
      <c r="C5010" t="s">
        <v>359</v>
      </c>
      <c r="D5010" t="str">
        <f t="shared" si="79"/>
        <v>UTRAMIG5209</v>
      </c>
      <c r="E5010" t="s">
        <v>3055</v>
      </c>
    </row>
    <row r="5011" spans="1:5" x14ac:dyDescent="0.25">
      <c r="A5011">
        <v>2281</v>
      </c>
      <c r="B5011" t="s">
        <v>1763</v>
      </c>
      <c r="C5011" t="s">
        <v>3063</v>
      </c>
      <c r="D5011" t="str">
        <f t="shared" si="79"/>
        <v>UTRAMIG5210</v>
      </c>
      <c r="E5011" t="s">
        <v>3055</v>
      </c>
    </row>
    <row r="5012" spans="1:5" x14ac:dyDescent="0.25">
      <c r="A5012">
        <v>2281</v>
      </c>
      <c r="B5012" t="s">
        <v>1763</v>
      </c>
      <c r="C5012" t="s">
        <v>3064</v>
      </c>
      <c r="D5012" t="str">
        <f t="shared" si="79"/>
        <v>UTRAMIG5212</v>
      </c>
      <c r="E5012" t="s">
        <v>3055</v>
      </c>
    </row>
    <row r="5013" spans="1:5" x14ac:dyDescent="0.25">
      <c r="A5013">
        <v>2281</v>
      </c>
      <c r="B5013" t="s">
        <v>1763</v>
      </c>
      <c r="C5013" t="s">
        <v>391</v>
      </c>
      <c r="D5013" t="str">
        <f t="shared" si="79"/>
        <v>UTRAMIG5214</v>
      </c>
      <c r="E5013" t="s">
        <v>3055</v>
      </c>
    </row>
    <row r="5014" spans="1:5" x14ac:dyDescent="0.25">
      <c r="A5014">
        <v>2281</v>
      </c>
      <c r="B5014" t="s">
        <v>1763</v>
      </c>
      <c r="C5014" t="s">
        <v>3068</v>
      </c>
      <c r="D5014" t="str">
        <f t="shared" si="79"/>
        <v>UTRAMIG5220</v>
      </c>
      <c r="E5014" t="s">
        <v>3057</v>
      </c>
    </row>
    <row r="5015" spans="1:5" x14ac:dyDescent="0.25">
      <c r="A5015">
        <v>2281</v>
      </c>
      <c r="B5015" t="s">
        <v>1763</v>
      </c>
      <c r="C5015" t="s">
        <v>429</v>
      </c>
      <c r="D5015" t="str">
        <f t="shared" si="79"/>
        <v>UTRAMIG5221</v>
      </c>
      <c r="E5015" t="s">
        <v>3055</v>
      </c>
    </row>
    <row r="5016" spans="1:5" x14ac:dyDescent="0.25">
      <c r="A5016">
        <v>2281</v>
      </c>
      <c r="B5016" t="s">
        <v>1763</v>
      </c>
      <c r="C5016" t="s">
        <v>449</v>
      </c>
      <c r="D5016" t="str">
        <f t="shared" si="79"/>
        <v>UTRAMIG5225</v>
      </c>
      <c r="E5016" t="s">
        <v>3055</v>
      </c>
    </row>
    <row r="5017" spans="1:5" x14ac:dyDescent="0.25">
      <c r="A5017">
        <v>2281</v>
      </c>
      <c r="B5017" t="s">
        <v>1763</v>
      </c>
      <c r="C5017" t="s">
        <v>3074</v>
      </c>
      <c r="D5017" t="str">
        <f t="shared" si="79"/>
        <v>UTRAMIG9202</v>
      </c>
      <c r="E5017" t="s">
        <v>3075</v>
      </c>
    </row>
    <row r="5018" spans="1:5" x14ac:dyDescent="0.25">
      <c r="A5018">
        <v>2281</v>
      </c>
      <c r="B5018" t="s">
        <v>1763</v>
      </c>
      <c r="C5018" t="s">
        <v>3079</v>
      </c>
      <c r="D5018" t="str">
        <f t="shared" si="79"/>
        <v>UTRAMIG9399</v>
      </c>
      <c r="E5018" t="s">
        <v>2968</v>
      </c>
    </row>
    <row r="5019" spans="1:5" x14ac:dyDescent="0.25">
      <c r="A5019">
        <v>2281</v>
      </c>
      <c r="B5019" t="s">
        <v>1763</v>
      </c>
      <c r="C5019" t="s">
        <v>2996</v>
      </c>
      <c r="D5019" t="str">
        <f t="shared" si="79"/>
        <v>UTRAMIG3917</v>
      </c>
      <c r="E5019" t="s">
        <v>2958</v>
      </c>
    </row>
    <row r="5020" spans="1:5" x14ac:dyDescent="0.25">
      <c r="A5020">
        <v>2301</v>
      </c>
      <c r="B5020" t="s">
        <v>168</v>
      </c>
      <c r="C5020" t="s">
        <v>399</v>
      </c>
      <c r="D5020" t="str">
        <f t="shared" si="79"/>
        <v>DER1325</v>
      </c>
      <c r="E5020" t="s">
        <v>3081</v>
      </c>
    </row>
    <row r="5021" spans="1:5" x14ac:dyDescent="0.25">
      <c r="A5021">
        <v>2301</v>
      </c>
      <c r="B5021" t="s">
        <v>168</v>
      </c>
      <c r="C5021" t="s">
        <v>2928</v>
      </c>
      <c r="D5021" t="str">
        <f t="shared" si="79"/>
        <v>DER1401</v>
      </c>
      <c r="E5021" t="s">
        <v>44</v>
      </c>
    </row>
    <row r="5022" spans="1:5" x14ac:dyDescent="0.25">
      <c r="A5022">
        <v>2301</v>
      </c>
      <c r="B5022" t="s">
        <v>168</v>
      </c>
      <c r="C5022" t="s">
        <v>2932</v>
      </c>
      <c r="D5022" t="str">
        <f t="shared" si="79"/>
        <v>DER3001</v>
      </c>
      <c r="E5022" t="s">
        <v>2933</v>
      </c>
    </row>
    <row r="5023" spans="1:5" x14ac:dyDescent="0.25">
      <c r="A5023">
        <v>2301</v>
      </c>
      <c r="B5023" t="s">
        <v>168</v>
      </c>
      <c r="C5023" t="s">
        <v>979</v>
      </c>
      <c r="D5023" t="str">
        <f t="shared" si="79"/>
        <v>DER3003</v>
      </c>
      <c r="E5023" t="s">
        <v>2933</v>
      </c>
    </row>
    <row r="5024" spans="1:5" x14ac:dyDescent="0.25">
      <c r="A5024">
        <v>2301</v>
      </c>
      <c r="B5024" t="s">
        <v>168</v>
      </c>
      <c r="C5024" t="s">
        <v>2939</v>
      </c>
      <c r="D5024" t="str">
        <f t="shared" si="79"/>
        <v>DER3005</v>
      </c>
      <c r="E5024" t="s">
        <v>2933</v>
      </c>
    </row>
    <row r="5025" spans="1:5" x14ac:dyDescent="0.25">
      <c r="A5025">
        <v>2301</v>
      </c>
      <c r="B5025" t="s">
        <v>168</v>
      </c>
      <c r="C5025" t="s">
        <v>2941</v>
      </c>
      <c r="D5025" t="str">
        <f t="shared" si="79"/>
        <v>DER3008</v>
      </c>
      <c r="E5025" t="s">
        <v>2933</v>
      </c>
    </row>
    <row r="5026" spans="1:5" x14ac:dyDescent="0.25">
      <c r="A5026">
        <v>2301</v>
      </c>
      <c r="B5026" t="s">
        <v>168</v>
      </c>
      <c r="C5026" t="s">
        <v>2943</v>
      </c>
      <c r="D5026" t="str">
        <f t="shared" si="79"/>
        <v>DER3010</v>
      </c>
      <c r="E5026" t="s">
        <v>2944</v>
      </c>
    </row>
    <row r="5027" spans="1:5" x14ac:dyDescent="0.25">
      <c r="A5027">
        <v>2301</v>
      </c>
      <c r="B5027" t="s">
        <v>168</v>
      </c>
      <c r="C5027" t="s">
        <v>138</v>
      </c>
      <c r="D5027" t="str">
        <f t="shared" si="79"/>
        <v>DER3012</v>
      </c>
      <c r="E5027" t="s">
        <v>2944</v>
      </c>
    </row>
    <row r="5028" spans="1:5" x14ac:dyDescent="0.25">
      <c r="A5028">
        <v>2301</v>
      </c>
      <c r="B5028" t="s">
        <v>168</v>
      </c>
      <c r="C5028" t="s">
        <v>2946</v>
      </c>
      <c r="D5028" t="str">
        <f t="shared" si="79"/>
        <v>DER3013</v>
      </c>
      <c r="E5028" t="s">
        <v>2933</v>
      </c>
    </row>
    <row r="5029" spans="1:5" x14ac:dyDescent="0.25">
      <c r="A5029">
        <v>2301</v>
      </c>
      <c r="B5029" t="s">
        <v>168</v>
      </c>
      <c r="C5029" t="s">
        <v>2948</v>
      </c>
      <c r="D5029" t="str">
        <f t="shared" si="79"/>
        <v>DER3015</v>
      </c>
      <c r="E5029" t="s">
        <v>2933</v>
      </c>
    </row>
    <row r="5030" spans="1:5" x14ac:dyDescent="0.25">
      <c r="A5030">
        <v>2301</v>
      </c>
      <c r="B5030" t="s">
        <v>168</v>
      </c>
      <c r="C5030" t="s">
        <v>2950</v>
      </c>
      <c r="D5030" t="str">
        <f t="shared" si="79"/>
        <v>DER3016</v>
      </c>
      <c r="E5030" t="s">
        <v>2933</v>
      </c>
    </row>
    <row r="5031" spans="1:5" x14ac:dyDescent="0.25">
      <c r="A5031">
        <v>2301</v>
      </c>
      <c r="B5031" t="s">
        <v>168</v>
      </c>
      <c r="C5031" t="s">
        <v>406</v>
      </c>
      <c r="D5031" t="str">
        <f t="shared" si="79"/>
        <v>DER3017</v>
      </c>
      <c r="E5031" t="s">
        <v>2933</v>
      </c>
    </row>
    <row r="5032" spans="1:5" x14ac:dyDescent="0.25">
      <c r="A5032">
        <v>2301</v>
      </c>
      <c r="B5032" t="s">
        <v>168</v>
      </c>
      <c r="C5032" t="s">
        <v>2953</v>
      </c>
      <c r="D5032" t="str">
        <f t="shared" si="79"/>
        <v>DER3019</v>
      </c>
      <c r="E5032" t="s">
        <v>2954</v>
      </c>
    </row>
    <row r="5033" spans="1:5" x14ac:dyDescent="0.25">
      <c r="A5033">
        <v>2301</v>
      </c>
      <c r="B5033" t="s">
        <v>168</v>
      </c>
      <c r="C5033" t="s">
        <v>2955</v>
      </c>
      <c r="D5033" t="str">
        <f t="shared" si="79"/>
        <v>DER3020</v>
      </c>
      <c r="E5033" t="s">
        <v>2933</v>
      </c>
    </row>
    <row r="5034" spans="1:5" x14ac:dyDescent="0.25">
      <c r="A5034">
        <v>2301</v>
      </c>
      <c r="B5034" t="s">
        <v>168</v>
      </c>
      <c r="C5034" t="s">
        <v>2956</v>
      </c>
      <c r="D5034" t="str">
        <f t="shared" si="79"/>
        <v>DER3021</v>
      </c>
      <c r="E5034" t="s">
        <v>2933</v>
      </c>
    </row>
    <row r="5035" spans="1:5" x14ac:dyDescent="0.25">
      <c r="A5035">
        <v>2301</v>
      </c>
      <c r="B5035" t="s">
        <v>168</v>
      </c>
      <c r="C5035" t="s">
        <v>431</v>
      </c>
      <c r="D5035" t="str">
        <f t="shared" si="79"/>
        <v>DER3022</v>
      </c>
      <c r="E5035" t="s">
        <v>2933</v>
      </c>
    </row>
    <row r="5036" spans="1:5" x14ac:dyDescent="0.25">
      <c r="A5036">
        <v>2301</v>
      </c>
      <c r="B5036" t="s">
        <v>168</v>
      </c>
      <c r="C5036" t="s">
        <v>2957</v>
      </c>
      <c r="D5036" t="str">
        <f t="shared" si="79"/>
        <v>DER3023</v>
      </c>
      <c r="E5036" t="s">
        <v>2958</v>
      </c>
    </row>
    <row r="5037" spans="1:5" x14ac:dyDescent="0.25">
      <c r="A5037">
        <v>2301</v>
      </c>
      <c r="B5037" t="s">
        <v>168</v>
      </c>
      <c r="C5037" t="s">
        <v>441</v>
      </c>
      <c r="D5037" t="str">
        <f t="shared" si="79"/>
        <v>DER3024</v>
      </c>
      <c r="E5037" t="s">
        <v>2933</v>
      </c>
    </row>
    <row r="5038" spans="1:5" x14ac:dyDescent="0.25">
      <c r="A5038">
        <v>2301</v>
      </c>
      <c r="B5038" t="s">
        <v>168</v>
      </c>
      <c r="C5038" t="s">
        <v>2959</v>
      </c>
      <c r="D5038" t="str">
        <f t="shared" si="79"/>
        <v>DER3025</v>
      </c>
      <c r="E5038" t="s">
        <v>2933</v>
      </c>
    </row>
    <row r="5039" spans="1:5" x14ac:dyDescent="0.25">
      <c r="A5039">
        <v>2301</v>
      </c>
      <c r="B5039" t="s">
        <v>168</v>
      </c>
      <c r="C5039" t="s">
        <v>2960</v>
      </c>
      <c r="D5039" t="str">
        <f t="shared" si="79"/>
        <v>DER3026</v>
      </c>
      <c r="E5039" t="s">
        <v>2958</v>
      </c>
    </row>
    <row r="5040" spans="1:5" x14ac:dyDescent="0.25">
      <c r="A5040">
        <v>2301</v>
      </c>
      <c r="B5040" t="s">
        <v>168</v>
      </c>
      <c r="C5040" t="s">
        <v>2961</v>
      </c>
      <c r="D5040" t="str">
        <f t="shared" si="79"/>
        <v>DER3027</v>
      </c>
      <c r="E5040" t="s">
        <v>2933</v>
      </c>
    </row>
    <row r="5041" spans="1:5" x14ac:dyDescent="0.25">
      <c r="A5041">
        <v>2301</v>
      </c>
      <c r="B5041" t="s">
        <v>168</v>
      </c>
      <c r="C5041" t="s">
        <v>2984</v>
      </c>
      <c r="D5041" t="str">
        <f t="shared" si="79"/>
        <v>DER3029</v>
      </c>
      <c r="E5041" t="s">
        <v>2933</v>
      </c>
    </row>
    <row r="5042" spans="1:5" x14ac:dyDescent="0.25">
      <c r="A5042">
        <v>2301</v>
      </c>
      <c r="B5042" t="s">
        <v>168</v>
      </c>
      <c r="C5042" t="s">
        <v>467</v>
      </c>
      <c r="D5042" t="str">
        <f t="shared" si="79"/>
        <v>DER3030</v>
      </c>
      <c r="E5042" t="s">
        <v>2933</v>
      </c>
    </row>
    <row r="5043" spans="1:5" x14ac:dyDescent="0.25">
      <c r="A5043">
        <v>2301</v>
      </c>
      <c r="B5043" t="s">
        <v>168</v>
      </c>
      <c r="C5043" t="s">
        <v>470</v>
      </c>
      <c r="D5043" t="str">
        <f t="shared" si="79"/>
        <v>DER3031</v>
      </c>
      <c r="E5043" t="s">
        <v>2933</v>
      </c>
    </row>
    <row r="5044" spans="1:5" x14ac:dyDescent="0.25">
      <c r="A5044">
        <v>2301</v>
      </c>
      <c r="B5044" t="s">
        <v>168</v>
      </c>
      <c r="C5044" t="s">
        <v>2963</v>
      </c>
      <c r="D5044" t="str">
        <f t="shared" si="79"/>
        <v>DER3032</v>
      </c>
      <c r="E5044" t="s">
        <v>2933</v>
      </c>
    </row>
    <row r="5045" spans="1:5" x14ac:dyDescent="0.25">
      <c r="A5045">
        <v>2301</v>
      </c>
      <c r="B5045" t="s">
        <v>168</v>
      </c>
      <c r="C5045" t="s">
        <v>2993</v>
      </c>
      <c r="D5045" t="str">
        <f t="shared" si="79"/>
        <v>DER3041</v>
      </c>
      <c r="E5045" t="s">
        <v>2933</v>
      </c>
    </row>
    <row r="5046" spans="1:5" x14ac:dyDescent="0.25">
      <c r="A5046">
        <v>2301</v>
      </c>
      <c r="B5046" t="s">
        <v>168</v>
      </c>
      <c r="C5046" t="s">
        <v>54</v>
      </c>
      <c r="D5046" t="str">
        <f t="shared" si="79"/>
        <v>DER3301</v>
      </c>
      <c r="E5046" t="s">
        <v>44</v>
      </c>
    </row>
    <row r="5047" spans="1:5" x14ac:dyDescent="0.25">
      <c r="A5047">
        <v>2301</v>
      </c>
      <c r="B5047" t="s">
        <v>168</v>
      </c>
      <c r="C5047" t="s">
        <v>2975</v>
      </c>
      <c r="D5047" t="str">
        <f t="shared" si="79"/>
        <v>DER3302</v>
      </c>
      <c r="E5047" t="s">
        <v>44</v>
      </c>
    </row>
    <row r="5048" spans="1:5" x14ac:dyDescent="0.25">
      <c r="A5048">
        <v>2301</v>
      </c>
      <c r="B5048" t="s">
        <v>168</v>
      </c>
      <c r="C5048" t="s">
        <v>2977</v>
      </c>
      <c r="D5048" t="str">
        <f t="shared" si="79"/>
        <v>DER3304</v>
      </c>
      <c r="E5048" t="s">
        <v>44</v>
      </c>
    </row>
    <row r="5049" spans="1:5" x14ac:dyDescent="0.25">
      <c r="A5049">
        <v>2301</v>
      </c>
      <c r="B5049" t="s">
        <v>168</v>
      </c>
      <c r="C5049" t="s">
        <v>309</v>
      </c>
      <c r="D5049" t="str">
        <f t="shared" si="79"/>
        <v>DER3305</v>
      </c>
      <c r="E5049" t="s">
        <v>44</v>
      </c>
    </row>
    <row r="5050" spans="1:5" x14ac:dyDescent="0.25">
      <c r="A5050">
        <v>2301</v>
      </c>
      <c r="B5050" t="s">
        <v>168</v>
      </c>
      <c r="C5050" t="s">
        <v>3201</v>
      </c>
      <c r="D5050" t="str">
        <f t="shared" si="79"/>
        <v>DER3502</v>
      </c>
      <c r="E5050" t="s">
        <v>1660</v>
      </c>
    </row>
    <row r="5051" spans="1:5" x14ac:dyDescent="0.25">
      <c r="A5051">
        <v>2301</v>
      </c>
      <c r="B5051" t="s">
        <v>168</v>
      </c>
      <c r="C5051" t="s">
        <v>297</v>
      </c>
      <c r="D5051" t="str">
        <f t="shared" si="79"/>
        <v>DER3604</v>
      </c>
      <c r="E5051" t="s">
        <v>44</v>
      </c>
    </row>
    <row r="5052" spans="1:5" x14ac:dyDescent="0.25">
      <c r="A5052">
        <v>2301</v>
      </c>
      <c r="B5052" t="s">
        <v>168</v>
      </c>
      <c r="C5052" t="s">
        <v>355</v>
      </c>
      <c r="D5052" t="str">
        <f t="shared" si="79"/>
        <v>DER3610</v>
      </c>
      <c r="E5052" t="s">
        <v>2968</v>
      </c>
    </row>
    <row r="5053" spans="1:5" x14ac:dyDescent="0.25">
      <c r="A5053">
        <v>2301</v>
      </c>
      <c r="B5053" t="s">
        <v>168</v>
      </c>
      <c r="C5053" t="s">
        <v>2979</v>
      </c>
      <c r="D5053" t="str">
        <f t="shared" si="79"/>
        <v>DER3612</v>
      </c>
      <c r="E5053" t="s">
        <v>2968</v>
      </c>
    </row>
    <row r="5054" spans="1:5" x14ac:dyDescent="0.25">
      <c r="A5054">
        <v>2301</v>
      </c>
      <c r="B5054" t="s">
        <v>168</v>
      </c>
      <c r="C5054" t="s">
        <v>417</v>
      </c>
      <c r="D5054" t="str">
        <f t="shared" si="79"/>
        <v>DER3620</v>
      </c>
      <c r="E5054" t="s">
        <v>2968</v>
      </c>
    </row>
    <row r="5055" spans="1:5" x14ac:dyDescent="0.25">
      <c r="A5055">
        <v>2301</v>
      </c>
      <c r="B5055" t="s">
        <v>168</v>
      </c>
      <c r="C5055" t="s">
        <v>457</v>
      </c>
      <c r="D5055" t="str">
        <f t="shared" si="79"/>
        <v>DER3628</v>
      </c>
      <c r="E5055" t="s">
        <v>2968</v>
      </c>
    </row>
    <row r="5056" spans="1:5" x14ac:dyDescent="0.25">
      <c r="A5056">
        <v>2301</v>
      </c>
      <c r="B5056" t="s">
        <v>168</v>
      </c>
      <c r="C5056" t="s">
        <v>2980</v>
      </c>
      <c r="D5056" t="str">
        <f t="shared" si="79"/>
        <v>DER3701</v>
      </c>
      <c r="E5056" t="s">
        <v>103</v>
      </c>
    </row>
    <row r="5057" spans="1:5" x14ac:dyDescent="0.25">
      <c r="A5057">
        <v>2301</v>
      </c>
      <c r="B5057" t="s">
        <v>168</v>
      </c>
      <c r="C5057" t="s">
        <v>3050</v>
      </c>
      <c r="D5057" t="str">
        <f t="shared" si="79"/>
        <v>DER3702</v>
      </c>
      <c r="E5057" t="s">
        <v>2981</v>
      </c>
    </row>
    <row r="5058" spans="1:5" x14ac:dyDescent="0.25">
      <c r="A5058">
        <v>2301</v>
      </c>
      <c r="B5058" t="s">
        <v>168</v>
      </c>
      <c r="C5058" t="s">
        <v>2983</v>
      </c>
      <c r="D5058" t="str">
        <f t="shared" si="79"/>
        <v>DER3703</v>
      </c>
      <c r="E5058" t="s">
        <v>117</v>
      </c>
    </row>
    <row r="5059" spans="1:5" x14ac:dyDescent="0.25">
      <c r="A5059">
        <v>2301</v>
      </c>
      <c r="B5059" t="s">
        <v>168</v>
      </c>
      <c r="C5059" t="s">
        <v>2985</v>
      </c>
      <c r="D5059" t="str">
        <f t="shared" si="79"/>
        <v>DER3704</v>
      </c>
      <c r="E5059" t="s">
        <v>117</v>
      </c>
    </row>
    <row r="5060" spans="1:5" x14ac:dyDescent="0.25">
      <c r="A5060">
        <v>2301</v>
      </c>
      <c r="B5060" t="s">
        <v>168</v>
      </c>
      <c r="C5060" t="s">
        <v>2986</v>
      </c>
      <c r="D5060" t="str">
        <f t="shared" si="79"/>
        <v>DER3705</v>
      </c>
      <c r="E5060" t="s">
        <v>117</v>
      </c>
    </row>
    <row r="5061" spans="1:5" x14ac:dyDescent="0.25">
      <c r="A5061">
        <v>2301</v>
      </c>
      <c r="B5061" t="s">
        <v>168</v>
      </c>
      <c r="C5061" t="s">
        <v>2988</v>
      </c>
      <c r="D5061" t="str">
        <f t="shared" ref="D5061:D5124" si="80">CONCATENATE(B5061,LEFT(C5061,4))</f>
        <v>DER3903</v>
      </c>
      <c r="E5061" t="s">
        <v>2968</v>
      </c>
    </row>
    <row r="5062" spans="1:5" x14ac:dyDescent="0.25">
      <c r="A5062">
        <v>2301</v>
      </c>
      <c r="B5062" t="s">
        <v>168</v>
      </c>
      <c r="C5062" t="s">
        <v>299</v>
      </c>
      <c r="D5062" t="str">
        <f t="shared" si="80"/>
        <v>DER3904</v>
      </c>
      <c r="E5062" t="s">
        <v>2968</v>
      </c>
    </row>
    <row r="5063" spans="1:5" x14ac:dyDescent="0.25">
      <c r="A5063">
        <v>2301</v>
      </c>
      <c r="B5063" t="s">
        <v>168</v>
      </c>
      <c r="C5063" t="s">
        <v>326</v>
      </c>
      <c r="D5063" t="str">
        <f t="shared" si="80"/>
        <v>DER3906</v>
      </c>
      <c r="E5063" t="s">
        <v>3343</v>
      </c>
    </row>
    <row r="5064" spans="1:5" x14ac:dyDescent="0.25">
      <c r="A5064">
        <v>2301</v>
      </c>
      <c r="B5064" t="s">
        <v>168</v>
      </c>
      <c r="C5064" t="s">
        <v>2989</v>
      </c>
      <c r="D5064" t="str">
        <f t="shared" si="80"/>
        <v>DER3908</v>
      </c>
      <c r="E5064" t="s">
        <v>2968</v>
      </c>
    </row>
    <row r="5065" spans="1:5" x14ac:dyDescent="0.25">
      <c r="A5065">
        <v>2301</v>
      </c>
      <c r="B5065" t="s">
        <v>168</v>
      </c>
      <c r="C5065" t="s">
        <v>346</v>
      </c>
      <c r="D5065" t="str">
        <f t="shared" si="80"/>
        <v>DER3910</v>
      </c>
      <c r="E5065" t="s">
        <v>2968</v>
      </c>
    </row>
    <row r="5066" spans="1:5" x14ac:dyDescent="0.25">
      <c r="A5066">
        <v>2301</v>
      </c>
      <c r="B5066" t="s">
        <v>168</v>
      </c>
      <c r="C5066" t="s">
        <v>356</v>
      </c>
      <c r="D5066" t="str">
        <f t="shared" si="80"/>
        <v>DER3911</v>
      </c>
      <c r="E5066" t="s">
        <v>2968</v>
      </c>
    </row>
    <row r="5067" spans="1:5" x14ac:dyDescent="0.25">
      <c r="A5067">
        <v>2301</v>
      </c>
      <c r="B5067" t="s">
        <v>168</v>
      </c>
      <c r="C5067" t="s">
        <v>2991</v>
      </c>
      <c r="D5067" t="str">
        <f t="shared" si="80"/>
        <v>DER3912</v>
      </c>
      <c r="E5067" t="s">
        <v>2992</v>
      </c>
    </row>
    <row r="5068" spans="1:5" x14ac:dyDescent="0.25">
      <c r="A5068">
        <v>2301</v>
      </c>
      <c r="B5068" t="s">
        <v>168</v>
      </c>
      <c r="C5068" t="s">
        <v>2994</v>
      </c>
      <c r="D5068" t="str">
        <f t="shared" si="80"/>
        <v>DER3913</v>
      </c>
      <c r="E5068" t="s">
        <v>2992</v>
      </c>
    </row>
    <row r="5069" spans="1:5" x14ac:dyDescent="0.25">
      <c r="A5069">
        <v>2301</v>
      </c>
      <c r="B5069" t="s">
        <v>168</v>
      </c>
      <c r="C5069" t="s">
        <v>384</v>
      </c>
      <c r="D5069" t="str">
        <f t="shared" si="80"/>
        <v>DER3915</v>
      </c>
      <c r="E5069" t="s">
        <v>2992</v>
      </c>
    </row>
    <row r="5070" spans="1:5" x14ac:dyDescent="0.25">
      <c r="A5070">
        <v>2301</v>
      </c>
      <c r="B5070" t="s">
        <v>168</v>
      </c>
      <c r="C5070" t="s">
        <v>2996</v>
      </c>
      <c r="D5070" t="str">
        <f t="shared" si="80"/>
        <v>DER3917</v>
      </c>
      <c r="E5070" t="s">
        <v>2958</v>
      </c>
    </row>
    <row r="5071" spans="1:5" x14ac:dyDescent="0.25">
      <c r="A5071">
        <v>2301</v>
      </c>
      <c r="B5071" t="s">
        <v>168</v>
      </c>
      <c r="C5071" t="s">
        <v>2998</v>
      </c>
      <c r="D5071" t="str">
        <f t="shared" si="80"/>
        <v>DER3918</v>
      </c>
      <c r="E5071" t="s">
        <v>2958</v>
      </c>
    </row>
    <row r="5072" spans="1:5" x14ac:dyDescent="0.25">
      <c r="A5072">
        <v>2301</v>
      </c>
      <c r="B5072" t="s">
        <v>168</v>
      </c>
      <c r="C5072" t="s">
        <v>3000</v>
      </c>
      <c r="D5072" t="str">
        <f t="shared" si="80"/>
        <v>DER3919</v>
      </c>
      <c r="E5072" t="s">
        <v>3001</v>
      </c>
    </row>
    <row r="5073" spans="1:5" x14ac:dyDescent="0.25">
      <c r="A5073">
        <v>2301</v>
      </c>
      <c r="B5073" t="s">
        <v>168</v>
      </c>
      <c r="C5073" t="s">
        <v>3002</v>
      </c>
      <c r="D5073" t="str">
        <f t="shared" si="80"/>
        <v>DER3921</v>
      </c>
      <c r="E5073" t="s">
        <v>3001</v>
      </c>
    </row>
    <row r="5074" spans="1:5" x14ac:dyDescent="0.25">
      <c r="A5074">
        <v>2301</v>
      </c>
      <c r="B5074" t="s">
        <v>168</v>
      </c>
      <c r="C5074" t="s">
        <v>3003</v>
      </c>
      <c r="D5074" t="str">
        <f t="shared" si="80"/>
        <v>DER3922</v>
      </c>
      <c r="E5074" t="s">
        <v>2954</v>
      </c>
    </row>
    <row r="5075" spans="1:5" x14ac:dyDescent="0.25">
      <c r="A5075">
        <v>2301</v>
      </c>
      <c r="B5075" t="s">
        <v>168</v>
      </c>
      <c r="C5075" t="s">
        <v>566</v>
      </c>
      <c r="D5075" t="str">
        <f t="shared" si="80"/>
        <v>DER3924</v>
      </c>
      <c r="E5075" t="s">
        <v>3004</v>
      </c>
    </row>
    <row r="5076" spans="1:5" x14ac:dyDescent="0.25">
      <c r="A5076">
        <v>2301</v>
      </c>
      <c r="B5076" t="s">
        <v>168</v>
      </c>
      <c r="C5076" t="s">
        <v>438</v>
      </c>
      <c r="D5076" t="str">
        <f t="shared" si="80"/>
        <v>DER3925</v>
      </c>
      <c r="E5076" t="s">
        <v>3006</v>
      </c>
    </row>
    <row r="5077" spans="1:5" x14ac:dyDescent="0.25">
      <c r="A5077">
        <v>2301</v>
      </c>
      <c r="B5077" t="s">
        <v>168</v>
      </c>
      <c r="C5077" t="s">
        <v>443</v>
      </c>
      <c r="D5077" t="str">
        <f t="shared" si="80"/>
        <v>DER3926</v>
      </c>
      <c r="E5077" t="s">
        <v>3006</v>
      </c>
    </row>
    <row r="5078" spans="1:5" x14ac:dyDescent="0.25">
      <c r="A5078">
        <v>2301</v>
      </c>
      <c r="B5078" t="s">
        <v>168</v>
      </c>
      <c r="C5078" t="s">
        <v>3008</v>
      </c>
      <c r="D5078" t="str">
        <f t="shared" si="80"/>
        <v>DER3927</v>
      </c>
      <c r="E5078" t="s">
        <v>3009</v>
      </c>
    </row>
    <row r="5079" spans="1:5" x14ac:dyDescent="0.25">
      <c r="A5079">
        <v>2301</v>
      </c>
      <c r="B5079" t="s">
        <v>168</v>
      </c>
      <c r="C5079" t="s">
        <v>3011</v>
      </c>
      <c r="D5079" t="str">
        <f t="shared" si="80"/>
        <v>DER3929</v>
      </c>
      <c r="E5079" t="s">
        <v>2944</v>
      </c>
    </row>
    <row r="5080" spans="1:5" x14ac:dyDescent="0.25">
      <c r="A5080">
        <v>2301</v>
      </c>
      <c r="B5080" t="s">
        <v>168</v>
      </c>
      <c r="C5080" t="s">
        <v>458</v>
      </c>
      <c r="D5080" t="str">
        <f t="shared" si="80"/>
        <v>DER3930</v>
      </c>
      <c r="E5080" t="s">
        <v>3006</v>
      </c>
    </row>
    <row r="5081" spans="1:5" x14ac:dyDescent="0.25">
      <c r="A5081">
        <v>2301</v>
      </c>
      <c r="B5081" t="s">
        <v>168</v>
      </c>
      <c r="C5081" t="s">
        <v>1481</v>
      </c>
      <c r="D5081" t="str">
        <f t="shared" si="80"/>
        <v>DER3931</v>
      </c>
      <c r="E5081" t="s">
        <v>2968</v>
      </c>
    </row>
    <row r="5082" spans="1:5" x14ac:dyDescent="0.25">
      <c r="A5082">
        <v>2301</v>
      </c>
      <c r="B5082" t="s">
        <v>168</v>
      </c>
      <c r="C5082" t="s">
        <v>3017</v>
      </c>
      <c r="D5082" t="str">
        <f t="shared" si="80"/>
        <v>DER3936</v>
      </c>
      <c r="E5082" t="s">
        <v>94</v>
      </c>
    </row>
    <row r="5083" spans="1:5" x14ac:dyDescent="0.25">
      <c r="A5083">
        <v>2301</v>
      </c>
      <c r="B5083" t="s">
        <v>168</v>
      </c>
      <c r="C5083" t="s">
        <v>3089</v>
      </c>
      <c r="D5083" t="str">
        <f t="shared" si="80"/>
        <v>DER3939</v>
      </c>
      <c r="E5083" t="s">
        <v>2968</v>
      </c>
    </row>
    <row r="5084" spans="1:5" x14ac:dyDescent="0.25">
      <c r="A5084">
        <v>2301</v>
      </c>
      <c r="B5084" t="s">
        <v>168</v>
      </c>
      <c r="C5084" t="s">
        <v>3019</v>
      </c>
      <c r="D5084" t="str">
        <f t="shared" si="80"/>
        <v>DER3940</v>
      </c>
      <c r="E5084" t="s">
        <v>3009</v>
      </c>
    </row>
    <row r="5085" spans="1:5" x14ac:dyDescent="0.25">
      <c r="A5085">
        <v>2301</v>
      </c>
      <c r="B5085" t="s">
        <v>168</v>
      </c>
      <c r="C5085" t="s">
        <v>480</v>
      </c>
      <c r="D5085" t="str">
        <f t="shared" si="80"/>
        <v>DER3941</v>
      </c>
      <c r="E5085" t="s">
        <v>2968</v>
      </c>
    </row>
    <row r="5086" spans="1:5" x14ac:dyDescent="0.25">
      <c r="A5086">
        <v>2301</v>
      </c>
      <c r="B5086" t="s">
        <v>168</v>
      </c>
      <c r="C5086" t="s">
        <v>3020</v>
      </c>
      <c r="D5086" t="str">
        <f t="shared" si="80"/>
        <v>DER3943</v>
      </c>
      <c r="E5086" t="s">
        <v>2958</v>
      </c>
    </row>
    <row r="5087" spans="1:5" x14ac:dyDescent="0.25">
      <c r="A5087">
        <v>2301</v>
      </c>
      <c r="B5087" t="s">
        <v>168</v>
      </c>
      <c r="C5087" t="s">
        <v>495</v>
      </c>
      <c r="D5087" t="str">
        <f t="shared" si="80"/>
        <v>DER3951</v>
      </c>
      <c r="E5087" t="s">
        <v>3052</v>
      </c>
    </row>
    <row r="5088" spans="1:5" x14ac:dyDescent="0.25">
      <c r="A5088">
        <v>2301</v>
      </c>
      <c r="B5088" t="s">
        <v>168</v>
      </c>
      <c r="C5088" t="s">
        <v>3098</v>
      </c>
      <c r="D5088" t="str">
        <f t="shared" si="80"/>
        <v>DER3952</v>
      </c>
      <c r="E5088" t="s">
        <v>65</v>
      </c>
    </row>
    <row r="5089" spans="1:5" x14ac:dyDescent="0.25">
      <c r="A5089">
        <v>2301</v>
      </c>
      <c r="B5089" t="s">
        <v>168</v>
      </c>
      <c r="C5089" t="s">
        <v>498</v>
      </c>
      <c r="D5089" t="str">
        <f t="shared" si="80"/>
        <v>DER3955</v>
      </c>
      <c r="E5089" t="s">
        <v>2968</v>
      </c>
    </row>
    <row r="5090" spans="1:5" x14ac:dyDescent="0.25">
      <c r="A5090">
        <v>2301</v>
      </c>
      <c r="B5090" t="s">
        <v>168</v>
      </c>
      <c r="C5090" t="s">
        <v>499</v>
      </c>
      <c r="D5090" t="str">
        <f t="shared" si="80"/>
        <v>DER3956</v>
      </c>
      <c r="E5090" t="s">
        <v>2968</v>
      </c>
    </row>
    <row r="5091" spans="1:5" x14ac:dyDescent="0.25">
      <c r="A5091">
        <v>2301</v>
      </c>
      <c r="B5091" t="s">
        <v>168</v>
      </c>
      <c r="C5091" t="s">
        <v>3025</v>
      </c>
      <c r="D5091" t="str">
        <f t="shared" si="80"/>
        <v>DER3959</v>
      </c>
      <c r="E5091" t="s">
        <v>2968</v>
      </c>
    </row>
    <row r="5092" spans="1:5" x14ac:dyDescent="0.25">
      <c r="A5092">
        <v>2301</v>
      </c>
      <c r="B5092" t="s">
        <v>168</v>
      </c>
      <c r="C5092" t="s">
        <v>3102</v>
      </c>
      <c r="D5092" t="str">
        <f t="shared" si="80"/>
        <v>DER3960</v>
      </c>
      <c r="E5092" t="s">
        <v>103</v>
      </c>
    </row>
    <row r="5093" spans="1:5" x14ac:dyDescent="0.25">
      <c r="A5093">
        <v>2301</v>
      </c>
      <c r="B5093" t="s">
        <v>168</v>
      </c>
      <c r="C5093" t="s">
        <v>3027</v>
      </c>
      <c r="D5093" t="str">
        <f t="shared" si="80"/>
        <v>DER3961</v>
      </c>
      <c r="E5093" t="s">
        <v>2981</v>
      </c>
    </row>
    <row r="5094" spans="1:5" x14ac:dyDescent="0.25">
      <c r="A5094">
        <v>2301</v>
      </c>
      <c r="B5094" t="s">
        <v>168</v>
      </c>
      <c r="C5094" t="s">
        <v>3103</v>
      </c>
      <c r="D5094" t="str">
        <f t="shared" si="80"/>
        <v>DER3962</v>
      </c>
      <c r="E5094" t="s">
        <v>3033</v>
      </c>
    </row>
    <row r="5095" spans="1:5" x14ac:dyDescent="0.25">
      <c r="A5095">
        <v>2301</v>
      </c>
      <c r="B5095" t="s">
        <v>168</v>
      </c>
      <c r="C5095" t="s">
        <v>3104</v>
      </c>
      <c r="D5095" t="str">
        <f t="shared" si="80"/>
        <v>DER3964</v>
      </c>
      <c r="E5095" t="s">
        <v>3331</v>
      </c>
    </row>
    <row r="5096" spans="1:5" x14ac:dyDescent="0.25">
      <c r="A5096">
        <v>2301</v>
      </c>
      <c r="B5096" t="s">
        <v>168</v>
      </c>
      <c r="C5096" t="s">
        <v>1154</v>
      </c>
      <c r="D5096" t="str">
        <f t="shared" si="80"/>
        <v>DER3969</v>
      </c>
      <c r="E5096" t="s">
        <v>2992</v>
      </c>
    </row>
    <row r="5097" spans="1:5" x14ac:dyDescent="0.25">
      <c r="A5097">
        <v>2301</v>
      </c>
      <c r="B5097" t="s">
        <v>168</v>
      </c>
      <c r="C5097" t="s">
        <v>3031</v>
      </c>
      <c r="D5097" t="str">
        <f t="shared" si="80"/>
        <v>DER3970</v>
      </c>
      <c r="E5097" t="s">
        <v>3009</v>
      </c>
    </row>
    <row r="5098" spans="1:5" x14ac:dyDescent="0.25">
      <c r="A5098">
        <v>2301</v>
      </c>
      <c r="B5098" t="s">
        <v>168</v>
      </c>
      <c r="C5098" t="s">
        <v>513</v>
      </c>
      <c r="D5098" t="str">
        <f t="shared" si="80"/>
        <v>DER3971</v>
      </c>
      <c r="E5098" t="s">
        <v>3033</v>
      </c>
    </row>
    <row r="5099" spans="1:5" x14ac:dyDescent="0.25">
      <c r="A5099">
        <v>2301</v>
      </c>
      <c r="B5099" t="s">
        <v>168</v>
      </c>
      <c r="C5099" t="s">
        <v>514</v>
      </c>
      <c r="D5099" t="str">
        <f t="shared" si="80"/>
        <v>DER3972</v>
      </c>
      <c r="E5099" t="s">
        <v>2992</v>
      </c>
    </row>
    <row r="5100" spans="1:5" x14ac:dyDescent="0.25">
      <c r="A5100">
        <v>2301</v>
      </c>
      <c r="B5100" t="s">
        <v>168</v>
      </c>
      <c r="C5100" t="s">
        <v>3111</v>
      </c>
      <c r="D5100" t="str">
        <f t="shared" si="80"/>
        <v>DER3973</v>
      </c>
      <c r="E5100" t="s">
        <v>3215</v>
      </c>
    </row>
    <row r="5101" spans="1:5" x14ac:dyDescent="0.25">
      <c r="A5101">
        <v>2301</v>
      </c>
      <c r="B5101" t="s">
        <v>168</v>
      </c>
      <c r="C5101" t="s">
        <v>3246</v>
      </c>
      <c r="D5101" t="str">
        <f t="shared" si="80"/>
        <v>DER3975</v>
      </c>
      <c r="E5101" t="s">
        <v>2968</v>
      </c>
    </row>
    <row r="5102" spans="1:5" x14ac:dyDescent="0.25">
      <c r="A5102">
        <v>2301</v>
      </c>
      <c r="B5102" t="s">
        <v>168</v>
      </c>
      <c r="C5102" t="s">
        <v>520</v>
      </c>
      <c r="D5102" t="str">
        <f t="shared" si="80"/>
        <v>DER3978</v>
      </c>
      <c r="E5102" t="s">
        <v>2981</v>
      </c>
    </row>
    <row r="5103" spans="1:5" x14ac:dyDescent="0.25">
      <c r="A5103">
        <v>2301</v>
      </c>
      <c r="B5103" t="s">
        <v>168</v>
      </c>
      <c r="C5103" t="s">
        <v>3216</v>
      </c>
      <c r="D5103" t="str">
        <f t="shared" si="80"/>
        <v>DER3980</v>
      </c>
      <c r="E5103" t="s">
        <v>3081</v>
      </c>
    </row>
    <row r="5104" spans="1:5" x14ac:dyDescent="0.25">
      <c r="A5104">
        <v>2301</v>
      </c>
      <c r="B5104" t="s">
        <v>168</v>
      </c>
      <c r="C5104" t="s">
        <v>521</v>
      </c>
      <c r="D5104" t="str">
        <f t="shared" si="80"/>
        <v>DER3981</v>
      </c>
      <c r="E5104" t="s">
        <v>3248</v>
      </c>
    </row>
    <row r="5105" spans="1:5" x14ac:dyDescent="0.25">
      <c r="A5105">
        <v>2301</v>
      </c>
      <c r="B5105" t="s">
        <v>168</v>
      </c>
      <c r="C5105" t="s">
        <v>525</v>
      </c>
      <c r="D5105" t="str">
        <f t="shared" si="80"/>
        <v>DER3985</v>
      </c>
      <c r="E5105" t="s">
        <v>2968</v>
      </c>
    </row>
    <row r="5106" spans="1:5" x14ac:dyDescent="0.25">
      <c r="A5106">
        <v>2301</v>
      </c>
      <c r="B5106" t="s">
        <v>168</v>
      </c>
      <c r="C5106" t="s">
        <v>3036</v>
      </c>
      <c r="D5106" t="str">
        <f t="shared" si="80"/>
        <v>DER3987</v>
      </c>
      <c r="E5106" t="s">
        <v>2958</v>
      </c>
    </row>
    <row r="5107" spans="1:5" x14ac:dyDescent="0.25">
      <c r="A5107">
        <v>2301</v>
      </c>
      <c r="B5107" t="s">
        <v>168</v>
      </c>
      <c r="C5107" t="s">
        <v>528</v>
      </c>
      <c r="D5107" t="str">
        <f t="shared" si="80"/>
        <v>DER3988</v>
      </c>
      <c r="E5107" t="s">
        <v>2968</v>
      </c>
    </row>
    <row r="5108" spans="1:5" x14ac:dyDescent="0.25">
      <c r="A5108">
        <v>2301</v>
      </c>
      <c r="B5108" t="s">
        <v>168</v>
      </c>
      <c r="C5108" t="s">
        <v>3040</v>
      </c>
      <c r="D5108" t="str">
        <f t="shared" si="80"/>
        <v>DER3999</v>
      </c>
      <c r="E5108" t="s">
        <v>2968</v>
      </c>
    </row>
    <row r="5109" spans="1:5" x14ac:dyDescent="0.25">
      <c r="A5109">
        <v>2301</v>
      </c>
      <c r="B5109" t="s">
        <v>168</v>
      </c>
      <c r="C5109" t="s">
        <v>3041</v>
      </c>
      <c r="D5109" t="str">
        <f t="shared" si="80"/>
        <v>DER4002</v>
      </c>
      <c r="E5109" t="s">
        <v>3009</v>
      </c>
    </row>
    <row r="5110" spans="1:5" x14ac:dyDescent="0.25">
      <c r="A5110">
        <v>2301</v>
      </c>
      <c r="B5110" t="s">
        <v>168</v>
      </c>
      <c r="C5110" t="s">
        <v>3043</v>
      </c>
      <c r="D5110" t="str">
        <f t="shared" si="80"/>
        <v>DER4003</v>
      </c>
      <c r="E5110" t="s">
        <v>94</v>
      </c>
    </row>
    <row r="5111" spans="1:5" x14ac:dyDescent="0.25">
      <c r="A5111">
        <v>2301</v>
      </c>
      <c r="B5111" t="s">
        <v>168</v>
      </c>
      <c r="C5111" t="s">
        <v>3045</v>
      </c>
      <c r="D5111" t="str">
        <f t="shared" si="80"/>
        <v>DER4004</v>
      </c>
      <c r="E5111" t="s">
        <v>3009</v>
      </c>
    </row>
    <row r="5112" spans="1:5" x14ac:dyDescent="0.25">
      <c r="A5112">
        <v>2301</v>
      </c>
      <c r="B5112" t="s">
        <v>168</v>
      </c>
      <c r="C5112" t="s">
        <v>3047</v>
      </c>
      <c r="D5112" t="str">
        <f t="shared" si="80"/>
        <v>DER4005</v>
      </c>
      <c r="E5112" t="s">
        <v>3009</v>
      </c>
    </row>
    <row r="5113" spans="1:5" x14ac:dyDescent="0.25">
      <c r="A5113">
        <v>2301</v>
      </c>
      <c r="B5113" t="s">
        <v>168</v>
      </c>
      <c r="C5113" t="s">
        <v>813</v>
      </c>
      <c r="D5113" t="str">
        <f t="shared" si="80"/>
        <v>DER4006</v>
      </c>
      <c r="E5113" t="s">
        <v>3057</v>
      </c>
    </row>
    <row r="5114" spans="1:5" x14ac:dyDescent="0.25">
      <c r="A5114">
        <v>2301</v>
      </c>
      <c r="B5114" t="s">
        <v>168</v>
      </c>
      <c r="C5114" t="s">
        <v>3138</v>
      </c>
      <c r="D5114" t="str">
        <f t="shared" si="80"/>
        <v>DER4007</v>
      </c>
      <c r="E5114" t="s">
        <v>94</v>
      </c>
    </row>
    <row r="5115" spans="1:5" x14ac:dyDescent="0.25">
      <c r="A5115">
        <v>2301</v>
      </c>
      <c r="B5115" t="s">
        <v>168</v>
      </c>
      <c r="C5115" t="s">
        <v>3048</v>
      </c>
      <c r="D5115" t="str">
        <f t="shared" si="80"/>
        <v>DER4701</v>
      </c>
      <c r="E5115" t="s">
        <v>3049</v>
      </c>
    </row>
    <row r="5116" spans="1:5" x14ac:dyDescent="0.25">
      <c r="A5116">
        <v>2301</v>
      </c>
      <c r="B5116" t="s">
        <v>168</v>
      </c>
      <c r="C5116" t="s">
        <v>239</v>
      </c>
      <c r="D5116" t="str">
        <f t="shared" si="80"/>
        <v>DER4702</v>
      </c>
      <c r="E5116" t="s">
        <v>3049</v>
      </c>
    </row>
    <row r="5117" spans="1:5" x14ac:dyDescent="0.25">
      <c r="A5117">
        <v>2301</v>
      </c>
      <c r="B5117" t="s">
        <v>168</v>
      </c>
      <c r="C5117" t="s">
        <v>265</v>
      </c>
      <c r="D5117" t="str">
        <f t="shared" si="80"/>
        <v>DER4703</v>
      </c>
      <c r="E5117" t="s">
        <v>3049</v>
      </c>
    </row>
    <row r="5118" spans="1:5" x14ac:dyDescent="0.25">
      <c r="A5118">
        <v>2301</v>
      </c>
      <c r="B5118" t="s">
        <v>168</v>
      </c>
      <c r="C5118" t="s">
        <v>316</v>
      </c>
      <c r="D5118" t="str">
        <f t="shared" si="80"/>
        <v>DER4706</v>
      </c>
      <c r="E5118" t="s">
        <v>3049</v>
      </c>
    </row>
    <row r="5119" spans="1:5" x14ac:dyDescent="0.25">
      <c r="A5119">
        <v>2301</v>
      </c>
      <c r="B5119" t="s">
        <v>168</v>
      </c>
      <c r="C5119" t="s">
        <v>328</v>
      </c>
      <c r="D5119" t="str">
        <f t="shared" si="80"/>
        <v>DER4707</v>
      </c>
      <c r="E5119" t="s">
        <v>3049</v>
      </c>
    </row>
    <row r="5120" spans="1:5" x14ac:dyDescent="0.25">
      <c r="A5120">
        <v>2301</v>
      </c>
      <c r="B5120" t="s">
        <v>168</v>
      </c>
      <c r="C5120" t="s">
        <v>338</v>
      </c>
      <c r="D5120" t="str">
        <f t="shared" si="80"/>
        <v>DER4708</v>
      </c>
      <c r="E5120" t="s">
        <v>3049</v>
      </c>
    </row>
    <row r="5121" spans="1:5" x14ac:dyDescent="0.25">
      <c r="A5121">
        <v>2301</v>
      </c>
      <c r="B5121" t="s">
        <v>168</v>
      </c>
      <c r="C5121" t="s">
        <v>348</v>
      </c>
      <c r="D5121" t="str">
        <f t="shared" si="80"/>
        <v>DER4709</v>
      </c>
      <c r="E5121" t="s">
        <v>3049</v>
      </c>
    </row>
    <row r="5122" spans="1:5" x14ac:dyDescent="0.25">
      <c r="A5122">
        <v>2301</v>
      </c>
      <c r="B5122" t="s">
        <v>168</v>
      </c>
      <c r="C5122" t="s">
        <v>357</v>
      </c>
      <c r="D5122" t="str">
        <f t="shared" si="80"/>
        <v>DER4710</v>
      </c>
      <c r="E5122" t="s">
        <v>3049</v>
      </c>
    </row>
    <row r="5123" spans="1:5" x14ac:dyDescent="0.25">
      <c r="A5123">
        <v>2301</v>
      </c>
      <c r="B5123" t="s">
        <v>168</v>
      </c>
      <c r="C5123" t="s">
        <v>364</v>
      </c>
      <c r="D5123" t="str">
        <f t="shared" si="80"/>
        <v>DER4799</v>
      </c>
      <c r="E5123" t="s">
        <v>3049</v>
      </c>
    </row>
    <row r="5124" spans="1:5" x14ac:dyDescent="0.25">
      <c r="A5124">
        <v>2301</v>
      </c>
      <c r="B5124" t="s">
        <v>168</v>
      </c>
      <c r="C5124" t="s">
        <v>3051</v>
      </c>
      <c r="D5124" t="str">
        <f t="shared" si="80"/>
        <v>DER5101</v>
      </c>
      <c r="E5124" t="s">
        <v>3052</v>
      </c>
    </row>
    <row r="5125" spans="1:5" x14ac:dyDescent="0.25">
      <c r="A5125">
        <v>2301</v>
      </c>
      <c r="B5125" t="s">
        <v>168</v>
      </c>
      <c r="C5125" t="s">
        <v>3053</v>
      </c>
      <c r="D5125" t="str">
        <f t="shared" ref="D5125:D5188" si="81">CONCATENATE(B5125,LEFT(C5125,4))</f>
        <v>DER5103</v>
      </c>
      <c r="E5125" t="s">
        <v>3052</v>
      </c>
    </row>
    <row r="5126" spans="1:5" x14ac:dyDescent="0.25">
      <c r="A5126">
        <v>2301</v>
      </c>
      <c r="B5126" t="s">
        <v>168</v>
      </c>
      <c r="C5126" t="s">
        <v>317</v>
      </c>
      <c r="D5126" t="str">
        <f t="shared" si="81"/>
        <v>DER5106</v>
      </c>
      <c r="E5126" t="s">
        <v>3052</v>
      </c>
    </row>
    <row r="5127" spans="1:5" x14ac:dyDescent="0.25">
      <c r="A5127">
        <v>2301</v>
      </c>
      <c r="B5127" t="s">
        <v>168</v>
      </c>
      <c r="C5127" t="s">
        <v>173</v>
      </c>
      <c r="D5127" t="str">
        <f t="shared" si="81"/>
        <v>DER5107</v>
      </c>
      <c r="E5127" t="s">
        <v>3052</v>
      </c>
    </row>
    <row r="5128" spans="1:5" x14ac:dyDescent="0.25">
      <c r="A5128">
        <v>2301</v>
      </c>
      <c r="B5128" t="s">
        <v>168</v>
      </c>
      <c r="C5128" t="s">
        <v>349</v>
      </c>
      <c r="D5128" t="str">
        <f t="shared" si="81"/>
        <v>DER5110</v>
      </c>
      <c r="E5128" t="s">
        <v>3052</v>
      </c>
    </row>
    <row r="5129" spans="1:5" x14ac:dyDescent="0.25">
      <c r="A5129">
        <v>2301</v>
      </c>
      <c r="B5129" t="s">
        <v>168</v>
      </c>
      <c r="C5129" t="s">
        <v>3147</v>
      </c>
      <c r="D5129" t="str">
        <f t="shared" si="81"/>
        <v>DER5112</v>
      </c>
      <c r="E5129" t="s">
        <v>3052</v>
      </c>
    </row>
    <row r="5130" spans="1:5" x14ac:dyDescent="0.25">
      <c r="A5130">
        <v>2301</v>
      </c>
      <c r="B5130" t="s">
        <v>168</v>
      </c>
      <c r="C5130" t="s">
        <v>3054</v>
      </c>
      <c r="D5130" t="str">
        <f t="shared" si="81"/>
        <v>DER5204</v>
      </c>
      <c r="E5130" t="s">
        <v>3344</v>
      </c>
    </row>
    <row r="5131" spans="1:5" x14ac:dyDescent="0.25">
      <c r="A5131">
        <v>2301</v>
      </c>
      <c r="B5131" t="s">
        <v>168</v>
      </c>
      <c r="C5131" t="s">
        <v>329</v>
      </c>
      <c r="D5131" t="str">
        <f t="shared" si="81"/>
        <v>DER5206</v>
      </c>
      <c r="E5131" t="s">
        <v>3057</v>
      </c>
    </row>
    <row r="5132" spans="1:5" x14ac:dyDescent="0.25">
      <c r="A5132">
        <v>2301</v>
      </c>
      <c r="B5132" t="s">
        <v>168</v>
      </c>
      <c r="C5132" t="s">
        <v>3058</v>
      </c>
      <c r="D5132" t="str">
        <f t="shared" si="81"/>
        <v>DER5207</v>
      </c>
      <c r="E5132" t="s">
        <v>3057</v>
      </c>
    </row>
    <row r="5133" spans="1:5" x14ac:dyDescent="0.25">
      <c r="A5133">
        <v>2301</v>
      </c>
      <c r="B5133" t="s">
        <v>168</v>
      </c>
      <c r="C5133" t="s">
        <v>3060</v>
      </c>
      <c r="D5133" t="str">
        <f t="shared" si="81"/>
        <v>DER5208</v>
      </c>
      <c r="E5133" t="s">
        <v>3057</v>
      </c>
    </row>
    <row r="5134" spans="1:5" x14ac:dyDescent="0.25">
      <c r="A5134">
        <v>2301</v>
      </c>
      <c r="B5134" t="s">
        <v>168</v>
      </c>
      <c r="C5134" t="s">
        <v>3063</v>
      </c>
      <c r="D5134" t="str">
        <f t="shared" si="81"/>
        <v>DER5210</v>
      </c>
      <c r="E5134" t="s">
        <v>3344</v>
      </c>
    </row>
    <row r="5135" spans="1:5" x14ac:dyDescent="0.25">
      <c r="A5135">
        <v>2301</v>
      </c>
      <c r="B5135" t="s">
        <v>168</v>
      </c>
      <c r="C5135" t="s">
        <v>3064</v>
      </c>
      <c r="D5135" t="str">
        <f t="shared" si="81"/>
        <v>DER5212</v>
      </c>
      <c r="E5135" t="s">
        <v>3344</v>
      </c>
    </row>
    <row r="5136" spans="1:5" x14ac:dyDescent="0.25">
      <c r="A5136">
        <v>2301</v>
      </c>
      <c r="B5136" t="s">
        <v>168</v>
      </c>
      <c r="C5136" t="s">
        <v>391</v>
      </c>
      <c r="D5136" t="str">
        <f t="shared" si="81"/>
        <v>DER5214</v>
      </c>
      <c r="E5136" t="s">
        <v>3344</v>
      </c>
    </row>
    <row r="5137" spans="1:5" x14ac:dyDescent="0.25">
      <c r="A5137">
        <v>2301</v>
      </c>
      <c r="B5137" t="s">
        <v>168</v>
      </c>
      <c r="C5137" t="s">
        <v>409</v>
      </c>
      <c r="D5137" t="str">
        <f t="shared" si="81"/>
        <v>DER5217</v>
      </c>
      <c r="E5137" t="s">
        <v>3067</v>
      </c>
    </row>
    <row r="5138" spans="1:5" x14ac:dyDescent="0.25">
      <c r="A5138">
        <v>2301</v>
      </c>
      <c r="B5138" t="s">
        <v>168</v>
      </c>
      <c r="C5138" t="s">
        <v>3068</v>
      </c>
      <c r="D5138" t="str">
        <f t="shared" si="81"/>
        <v>DER5220</v>
      </c>
      <c r="E5138" t="s">
        <v>3057</v>
      </c>
    </row>
    <row r="5139" spans="1:5" x14ac:dyDescent="0.25">
      <c r="A5139">
        <v>2301</v>
      </c>
      <c r="B5139" t="s">
        <v>168</v>
      </c>
      <c r="C5139" t="s">
        <v>449</v>
      </c>
      <c r="D5139" t="str">
        <f t="shared" si="81"/>
        <v>DER5225</v>
      </c>
      <c r="E5139" t="s">
        <v>3344</v>
      </c>
    </row>
    <row r="5140" spans="1:5" x14ac:dyDescent="0.25">
      <c r="A5140">
        <v>2301</v>
      </c>
      <c r="B5140" t="s">
        <v>168</v>
      </c>
      <c r="C5140" t="s">
        <v>3150</v>
      </c>
      <c r="D5140" t="str">
        <f t="shared" si="81"/>
        <v>DER5230</v>
      </c>
      <c r="E5140" t="s">
        <v>3344</v>
      </c>
    </row>
    <row r="5141" spans="1:5" x14ac:dyDescent="0.25">
      <c r="A5141">
        <v>2301</v>
      </c>
      <c r="B5141" t="s">
        <v>168</v>
      </c>
      <c r="C5141" t="s">
        <v>341</v>
      </c>
      <c r="D5141" t="str">
        <f t="shared" si="81"/>
        <v>DER6107</v>
      </c>
      <c r="E5141" t="s">
        <v>3219</v>
      </c>
    </row>
    <row r="5142" spans="1:5" x14ac:dyDescent="0.25">
      <c r="A5142">
        <v>2301</v>
      </c>
      <c r="B5142" t="s">
        <v>168</v>
      </c>
      <c r="C5142" t="s">
        <v>3285</v>
      </c>
      <c r="D5142" t="str">
        <f t="shared" si="81"/>
        <v>DER9113</v>
      </c>
      <c r="E5142" t="s">
        <v>3212</v>
      </c>
    </row>
    <row r="5143" spans="1:5" x14ac:dyDescent="0.25">
      <c r="A5143">
        <v>2301</v>
      </c>
      <c r="B5143" t="s">
        <v>168</v>
      </c>
      <c r="C5143" t="s">
        <v>3074</v>
      </c>
      <c r="D5143" t="str">
        <f t="shared" si="81"/>
        <v>DER9202</v>
      </c>
      <c r="E5143" t="s">
        <v>3075</v>
      </c>
    </row>
    <row r="5144" spans="1:5" x14ac:dyDescent="0.25">
      <c r="A5144">
        <v>2301</v>
      </c>
      <c r="B5144" t="s">
        <v>168</v>
      </c>
      <c r="C5144" t="s">
        <v>250</v>
      </c>
      <c r="D5144" t="str">
        <f t="shared" si="81"/>
        <v>DER9301</v>
      </c>
      <c r="E5144" t="s">
        <v>2968</v>
      </c>
    </row>
    <row r="5145" spans="1:5" x14ac:dyDescent="0.25">
      <c r="A5145">
        <v>2301</v>
      </c>
      <c r="B5145" t="s">
        <v>168</v>
      </c>
      <c r="C5145" t="s">
        <v>320</v>
      </c>
      <c r="D5145" t="str">
        <f t="shared" si="81"/>
        <v>DER9305</v>
      </c>
      <c r="E5145" t="s">
        <v>2968</v>
      </c>
    </row>
    <row r="5146" spans="1:5" x14ac:dyDescent="0.25">
      <c r="A5146">
        <v>2301</v>
      </c>
      <c r="B5146" t="s">
        <v>168</v>
      </c>
      <c r="C5146" t="s">
        <v>331</v>
      </c>
      <c r="D5146" t="str">
        <f t="shared" si="81"/>
        <v>DER9306</v>
      </c>
      <c r="E5146" t="s">
        <v>3076</v>
      </c>
    </row>
    <row r="5147" spans="1:5" x14ac:dyDescent="0.25">
      <c r="A5147">
        <v>2301</v>
      </c>
      <c r="B5147" t="s">
        <v>168</v>
      </c>
      <c r="C5147" t="s">
        <v>440</v>
      </c>
      <c r="D5147" t="str">
        <f t="shared" si="81"/>
        <v>DER9326</v>
      </c>
      <c r="E5147" t="s">
        <v>2968</v>
      </c>
    </row>
    <row r="5148" spans="1:5" x14ac:dyDescent="0.25">
      <c r="A5148">
        <v>2301</v>
      </c>
      <c r="B5148" t="s">
        <v>168</v>
      </c>
      <c r="C5148" t="s">
        <v>3345</v>
      </c>
      <c r="D5148" t="str">
        <f t="shared" si="81"/>
        <v>DER9330</v>
      </c>
      <c r="E5148" t="s">
        <v>2968</v>
      </c>
    </row>
    <row r="5149" spans="1:5" x14ac:dyDescent="0.25">
      <c r="A5149">
        <v>2301</v>
      </c>
      <c r="B5149" t="s">
        <v>168</v>
      </c>
      <c r="C5149" t="s">
        <v>3079</v>
      </c>
      <c r="D5149" t="str">
        <f t="shared" si="81"/>
        <v>DER9399</v>
      </c>
      <c r="E5149" t="s">
        <v>3152</v>
      </c>
    </row>
    <row r="5150" spans="1:5" x14ac:dyDescent="0.25">
      <c r="A5150">
        <v>2301</v>
      </c>
      <c r="B5150" t="s">
        <v>168</v>
      </c>
      <c r="C5150" t="s">
        <v>3195</v>
      </c>
      <c r="D5150" t="str">
        <f t="shared" si="81"/>
        <v>DER9323</v>
      </c>
      <c r="E5150" t="s">
        <v>2968</v>
      </c>
    </row>
    <row r="5151" spans="1:5" x14ac:dyDescent="0.25">
      <c r="A5151">
        <v>2301</v>
      </c>
      <c r="B5151" t="s">
        <v>168</v>
      </c>
      <c r="C5151" t="s">
        <v>492</v>
      </c>
      <c r="D5151" t="str">
        <f t="shared" si="81"/>
        <v>DER3948</v>
      </c>
      <c r="E5151" t="s">
        <v>3004</v>
      </c>
    </row>
    <row r="5152" spans="1:5" x14ac:dyDescent="0.25">
      <c r="A5152">
        <v>2301</v>
      </c>
      <c r="B5152" t="s">
        <v>168</v>
      </c>
      <c r="C5152" t="s">
        <v>3012</v>
      </c>
      <c r="D5152" t="str">
        <f t="shared" si="81"/>
        <v>DER3601</v>
      </c>
      <c r="E5152" t="s">
        <v>65</v>
      </c>
    </row>
    <row r="5153" spans="1:5" x14ac:dyDescent="0.25">
      <c r="A5153">
        <v>2301</v>
      </c>
      <c r="B5153" t="s">
        <v>168</v>
      </c>
      <c r="C5153" t="s">
        <v>243</v>
      </c>
      <c r="D5153" t="str">
        <f t="shared" si="81"/>
        <v>DER6101</v>
      </c>
      <c r="E5153" t="s">
        <v>3219</v>
      </c>
    </row>
    <row r="5154" spans="1:5" x14ac:dyDescent="0.25">
      <c r="A5154">
        <v>2301</v>
      </c>
      <c r="B5154" t="s">
        <v>168</v>
      </c>
      <c r="C5154" t="s">
        <v>3070</v>
      </c>
      <c r="D5154" t="str">
        <f t="shared" si="81"/>
        <v>DER5226</v>
      </c>
      <c r="E5154" t="s">
        <v>3344</v>
      </c>
    </row>
    <row r="5155" spans="1:5" x14ac:dyDescent="0.25">
      <c r="A5155">
        <v>2301</v>
      </c>
      <c r="B5155" t="s">
        <v>168</v>
      </c>
      <c r="C5155" t="s">
        <v>3072</v>
      </c>
      <c r="D5155" t="str">
        <f t="shared" si="81"/>
        <v>DER5227</v>
      </c>
      <c r="E5155" t="s">
        <v>3344</v>
      </c>
    </row>
    <row r="5156" spans="1:5" x14ac:dyDescent="0.25">
      <c r="A5156">
        <v>2301</v>
      </c>
      <c r="B5156" t="s">
        <v>168</v>
      </c>
      <c r="C5156" t="s">
        <v>482</v>
      </c>
      <c r="D5156" t="str">
        <f t="shared" si="81"/>
        <v>DER3942</v>
      </c>
      <c r="E5156" t="s">
        <v>2968</v>
      </c>
    </row>
    <row r="5157" spans="1:5" x14ac:dyDescent="0.25">
      <c r="A5157">
        <v>2311</v>
      </c>
      <c r="B5157" t="s">
        <v>1762</v>
      </c>
      <c r="C5157" t="s">
        <v>3332</v>
      </c>
      <c r="D5157" t="str">
        <f t="shared" si="81"/>
        <v>UNIMONTES0702</v>
      </c>
      <c r="E5157" t="s">
        <v>3006</v>
      </c>
    </row>
    <row r="5158" spans="1:5" x14ac:dyDescent="0.25">
      <c r="A5158">
        <v>2311</v>
      </c>
      <c r="B5158" t="s">
        <v>1762</v>
      </c>
      <c r="C5158" t="s">
        <v>2925</v>
      </c>
      <c r="D5158" t="str">
        <f t="shared" si="81"/>
        <v>UNIMONTES0810</v>
      </c>
      <c r="E5158" t="s">
        <v>2926</v>
      </c>
    </row>
    <row r="5159" spans="1:5" x14ac:dyDescent="0.25">
      <c r="A5159">
        <v>2311</v>
      </c>
      <c r="B5159" t="s">
        <v>1762</v>
      </c>
      <c r="C5159" t="s">
        <v>3229</v>
      </c>
      <c r="D5159" t="str">
        <f t="shared" si="81"/>
        <v>UNIMONTES1307</v>
      </c>
      <c r="E5159" t="s">
        <v>3081</v>
      </c>
    </row>
    <row r="5160" spans="1:5" x14ac:dyDescent="0.25">
      <c r="A5160">
        <v>2311</v>
      </c>
      <c r="B5160" t="s">
        <v>1762</v>
      </c>
      <c r="C5160" t="s">
        <v>2928</v>
      </c>
      <c r="D5160" t="str">
        <f t="shared" si="81"/>
        <v>UNIMONTES1401</v>
      </c>
      <c r="E5160" t="s">
        <v>44</v>
      </c>
    </row>
    <row r="5161" spans="1:5" x14ac:dyDescent="0.25">
      <c r="A5161">
        <v>2311</v>
      </c>
      <c r="B5161" t="s">
        <v>1762</v>
      </c>
      <c r="C5161" t="s">
        <v>222</v>
      </c>
      <c r="D5161" t="str">
        <f t="shared" si="81"/>
        <v>UNIMONTES1801</v>
      </c>
      <c r="E5161" t="s">
        <v>3230</v>
      </c>
    </row>
    <row r="5162" spans="1:5" x14ac:dyDescent="0.25">
      <c r="A5162">
        <v>2311</v>
      </c>
      <c r="B5162" t="s">
        <v>1762</v>
      </c>
      <c r="C5162" t="s">
        <v>2951</v>
      </c>
      <c r="D5162" t="str">
        <f t="shared" si="81"/>
        <v>UNIMONTES2001</v>
      </c>
      <c r="E5162" t="s">
        <v>2926</v>
      </c>
    </row>
    <row r="5163" spans="1:5" x14ac:dyDescent="0.25">
      <c r="A5163">
        <v>2311</v>
      </c>
      <c r="B5163" t="s">
        <v>1762</v>
      </c>
      <c r="C5163" t="s">
        <v>2932</v>
      </c>
      <c r="D5163" t="str">
        <f t="shared" si="81"/>
        <v>UNIMONTES3001</v>
      </c>
      <c r="E5163" t="s">
        <v>2933</v>
      </c>
    </row>
    <row r="5164" spans="1:5" x14ac:dyDescent="0.25">
      <c r="A5164">
        <v>2311</v>
      </c>
      <c r="B5164" t="s">
        <v>1762</v>
      </c>
      <c r="C5164" t="s">
        <v>256</v>
      </c>
      <c r="D5164" t="str">
        <f t="shared" si="81"/>
        <v>UNIMONTES3002</v>
      </c>
      <c r="E5164" t="s">
        <v>2933</v>
      </c>
    </row>
    <row r="5165" spans="1:5" x14ac:dyDescent="0.25">
      <c r="A5165">
        <v>2311</v>
      </c>
      <c r="B5165" t="s">
        <v>1762</v>
      </c>
      <c r="C5165" t="s">
        <v>979</v>
      </c>
      <c r="D5165" t="str">
        <f t="shared" si="81"/>
        <v>UNIMONTES3003</v>
      </c>
      <c r="E5165" t="s">
        <v>2933</v>
      </c>
    </row>
    <row r="5166" spans="1:5" x14ac:dyDescent="0.25">
      <c r="A5166">
        <v>2311</v>
      </c>
      <c r="B5166" t="s">
        <v>1762</v>
      </c>
      <c r="C5166" t="s">
        <v>2937</v>
      </c>
      <c r="D5166" t="str">
        <f t="shared" si="81"/>
        <v>UNIMONTES3004</v>
      </c>
      <c r="E5166" t="s">
        <v>2933</v>
      </c>
    </row>
    <row r="5167" spans="1:5" x14ac:dyDescent="0.25">
      <c r="A5167">
        <v>2311</v>
      </c>
      <c r="B5167" t="s">
        <v>1762</v>
      </c>
      <c r="C5167" t="s">
        <v>2939</v>
      </c>
      <c r="D5167" t="str">
        <f t="shared" si="81"/>
        <v>UNIMONTES3005</v>
      </c>
      <c r="E5167" t="s">
        <v>2933</v>
      </c>
    </row>
    <row r="5168" spans="1:5" x14ac:dyDescent="0.25">
      <c r="A5168">
        <v>2311</v>
      </c>
      <c r="B5168" t="s">
        <v>1762</v>
      </c>
      <c r="C5168" t="s">
        <v>323</v>
      </c>
      <c r="D5168" t="str">
        <f t="shared" si="81"/>
        <v>UNIMONTES3006</v>
      </c>
      <c r="E5168" t="s">
        <v>2933</v>
      </c>
    </row>
    <row r="5169" spans="1:5" x14ac:dyDescent="0.25">
      <c r="A5169">
        <v>2311</v>
      </c>
      <c r="B5169" t="s">
        <v>1762</v>
      </c>
      <c r="C5169" t="s">
        <v>333</v>
      </c>
      <c r="D5169" t="str">
        <f t="shared" si="81"/>
        <v>UNIMONTES3007</v>
      </c>
      <c r="E5169" t="s">
        <v>2933</v>
      </c>
    </row>
    <row r="5170" spans="1:5" x14ac:dyDescent="0.25">
      <c r="A5170">
        <v>2311</v>
      </c>
      <c r="B5170" t="s">
        <v>1762</v>
      </c>
      <c r="C5170" t="s">
        <v>2941</v>
      </c>
      <c r="D5170" t="str">
        <f t="shared" si="81"/>
        <v>UNIMONTES3008</v>
      </c>
      <c r="E5170" t="s">
        <v>2933</v>
      </c>
    </row>
    <row r="5171" spans="1:5" x14ac:dyDescent="0.25">
      <c r="A5171">
        <v>2311</v>
      </c>
      <c r="B5171" t="s">
        <v>1762</v>
      </c>
      <c r="C5171" t="s">
        <v>354</v>
      </c>
      <c r="D5171" t="str">
        <f t="shared" si="81"/>
        <v>UNIMONTES3009</v>
      </c>
      <c r="E5171" t="s">
        <v>2933</v>
      </c>
    </row>
    <row r="5172" spans="1:5" x14ac:dyDescent="0.25">
      <c r="A5172">
        <v>2311</v>
      </c>
      <c r="B5172" t="s">
        <v>1762</v>
      </c>
      <c r="C5172" t="s">
        <v>2943</v>
      </c>
      <c r="D5172" t="str">
        <f t="shared" si="81"/>
        <v>UNIMONTES3010</v>
      </c>
      <c r="E5172" t="s">
        <v>2944</v>
      </c>
    </row>
    <row r="5173" spans="1:5" x14ac:dyDescent="0.25">
      <c r="A5173">
        <v>2311</v>
      </c>
      <c r="B5173" t="s">
        <v>1762</v>
      </c>
      <c r="C5173" t="s">
        <v>369</v>
      </c>
      <c r="D5173" t="str">
        <f t="shared" si="81"/>
        <v>UNIMONTES3011</v>
      </c>
      <c r="E5173" t="s">
        <v>2933</v>
      </c>
    </row>
    <row r="5174" spans="1:5" x14ac:dyDescent="0.25">
      <c r="A5174">
        <v>2311</v>
      </c>
      <c r="B5174" t="s">
        <v>1762</v>
      </c>
      <c r="C5174" t="s">
        <v>138</v>
      </c>
      <c r="D5174" t="str">
        <f t="shared" si="81"/>
        <v>UNIMONTES3012</v>
      </c>
      <c r="E5174" t="s">
        <v>2944</v>
      </c>
    </row>
    <row r="5175" spans="1:5" x14ac:dyDescent="0.25">
      <c r="A5175">
        <v>2311</v>
      </c>
      <c r="B5175" t="s">
        <v>1762</v>
      </c>
      <c r="C5175" t="s">
        <v>2946</v>
      </c>
      <c r="D5175" t="str">
        <f t="shared" si="81"/>
        <v>UNIMONTES3013</v>
      </c>
      <c r="E5175" t="s">
        <v>2933</v>
      </c>
    </row>
    <row r="5176" spans="1:5" x14ac:dyDescent="0.25">
      <c r="A5176">
        <v>2311</v>
      </c>
      <c r="B5176" t="s">
        <v>1762</v>
      </c>
      <c r="C5176" t="s">
        <v>388</v>
      </c>
      <c r="D5176" t="str">
        <f t="shared" si="81"/>
        <v>UNIMONTES3014</v>
      </c>
      <c r="E5176" t="s">
        <v>2933</v>
      </c>
    </row>
    <row r="5177" spans="1:5" x14ac:dyDescent="0.25">
      <c r="A5177">
        <v>2311</v>
      </c>
      <c r="B5177" t="s">
        <v>1762</v>
      </c>
      <c r="C5177" t="s">
        <v>2948</v>
      </c>
      <c r="D5177" t="str">
        <f t="shared" si="81"/>
        <v>UNIMONTES3015</v>
      </c>
      <c r="E5177" t="s">
        <v>2933</v>
      </c>
    </row>
    <row r="5178" spans="1:5" x14ac:dyDescent="0.25">
      <c r="A5178">
        <v>2311</v>
      </c>
      <c r="B5178" t="s">
        <v>1762</v>
      </c>
      <c r="C5178" t="s">
        <v>2950</v>
      </c>
      <c r="D5178" t="str">
        <f t="shared" si="81"/>
        <v>UNIMONTES3016</v>
      </c>
      <c r="E5178" t="s">
        <v>2933</v>
      </c>
    </row>
    <row r="5179" spans="1:5" x14ac:dyDescent="0.25">
      <c r="A5179">
        <v>2311</v>
      </c>
      <c r="B5179" t="s">
        <v>1762</v>
      </c>
      <c r="C5179" t="s">
        <v>406</v>
      </c>
      <c r="D5179" t="str">
        <f t="shared" si="81"/>
        <v>UNIMONTES3017</v>
      </c>
      <c r="E5179" t="s">
        <v>2933</v>
      </c>
    </row>
    <row r="5180" spans="1:5" x14ac:dyDescent="0.25">
      <c r="A5180">
        <v>2311</v>
      </c>
      <c r="B5180" t="s">
        <v>1762</v>
      </c>
      <c r="C5180" t="s">
        <v>2953</v>
      </c>
      <c r="D5180" t="str">
        <f t="shared" si="81"/>
        <v>UNIMONTES3019</v>
      </c>
      <c r="E5180" t="s">
        <v>2954</v>
      </c>
    </row>
    <row r="5181" spans="1:5" x14ac:dyDescent="0.25">
      <c r="A5181">
        <v>2311</v>
      </c>
      <c r="B5181" t="s">
        <v>1762</v>
      </c>
      <c r="C5181" t="s">
        <v>2955</v>
      </c>
      <c r="D5181" t="str">
        <f t="shared" si="81"/>
        <v>UNIMONTES3020</v>
      </c>
      <c r="E5181" t="s">
        <v>2933</v>
      </c>
    </row>
    <row r="5182" spans="1:5" x14ac:dyDescent="0.25">
      <c r="A5182">
        <v>2311</v>
      </c>
      <c r="B5182" t="s">
        <v>1762</v>
      </c>
      <c r="C5182" t="s">
        <v>2956</v>
      </c>
      <c r="D5182" t="str">
        <f t="shared" si="81"/>
        <v>UNIMONTES3021</v>
      </c>
      <c r="E5182" t="s">
        <v>2933</v>
      </c>
    </row>
    <row r="5183" spans="1:5" x14ac:dyDescent="0.25">
      <c r="A5183">
        <v>2311</v>
      </c>
      <c r="B5183" t="s">
        <v>1762</v>
      </c>
      <c r="C5183" t="s">
        <v>431</v>
      </c>
      <c r="D5183" t="str">
        <f t="shared" si="81"/>
        <v>UNIMONTES3022</v>
      </c>
      <c r="E5183" t="s">
        <v>2933</v>
      </c>
    </row>
    <row r="5184" spans="1:5" x14ac:dyDescent="0.25">
      <c r="A5184">
        <v>2311</v>
      </c>
      <c r="B5184" t="s">
        <v>1762</v>
      </c>
      <c r="C5184" t="s">
        <v>2957</v>
      </c>
      <c r="D5184" t="str">
        <f t="shared" si="81"/>
        <v>UNIMONTES3023</v>
      </c>
      <c r="E5184" t="s">
        <v>2958</v>
      </c>
    </row>
    <row r="5185" spans="1:5" x14ac:dyDescent="0.25">
      <c r="A5185">
        <v>2311</v>
      </c>
      <c r="B5185" t="s">
        <v>1762</v>
      </c>
      <c r="C5185" t="s">
        <v>441</v>
      </c>
      <c r="D5185" t="str">
        <f t="shared" si="81"/>
        <v>UNIMONTES3024</v>
      </c>
      <c r="E5185" t="s">
        <v>2933</v>
      </c>
    </row>
    <row r="5186" spans="1:5" x14ac:dyDescent="0.25">
      <c r="A5186">
        <v>2311</v>
      </c>
      <c r="B5186" t="s">
        <v>1762</v>
      </c>
      <c r="C5186" t="s">
        <v>2959</v>
      </c>
      <c r="D5186" t="str">
        <f t="shared" si="81"/>
        <v>UNIMONTES3025</v>
      </c>
      <c r="E5186" t="s">
        <v>2933</v>
      </c>
    </row>
    <row r="5187" spans="1:5" x14ac:dyDescent="0.25">
      <c r="A5187">
        <v>2311</v>
      </c>
      <c r="B5187" t="s">
        <v>1762</v>
      </c>
      <c r="C5187" t="s">
        <v>2960</v>
      </c>
      <c r="D5187" t="str">
        <f t="shared" si="81"/>
        <v>UNIMONTES3026</v>
      </c>
      <c r="E5187" t="s">
        <v>2958</v>
      </c>
    </row>
    <row r="5188" spans="1:5" x14ac:dyDescent="0.25">
      <c r="A5188">
        <v>2311</v>
      </c>
      <c r="B5188" t="s">
        <v>1762</v>
      </c>
      <c r="C5188" t="s">
        <v>2961</v>
      </c>
      <c r="D5188" t="str">
        <f t="shared" si="81"/>
        <v>UNIMONTES3027</v>
      </c>
      <c r="E5188" t="s">
        <v>2933</v>
      </c>
    </row>
    <row r="5189" spans="1:5" x14ac:dyDescent="0.25">
      <c r="A5189">
        <v>2311</v>
      </c>
      <c r="B5189" t="s">
        <v>1762</v>
      </c>
      <c r="C5189" t="s">
        <v>2984</v>
      </c>
      <c r="D5189" t="str">
        <f t="shared" ref="D5189:D5252" si="82">CONCATENATE(B5189,LEFT(C5189,4))</f>
        <v>UNIMONTES3029</v>
      </c>
      <c r="E5189" t="s">
        <v>2933</v>
      </c>
    </row>
    <row r="5190" spans="1:5" x14ac:dyDescent="0.25">
      <c r="A5190">
        <v>2311</v>
      </c>
      <c r="B5190" t="s">
        <v>1762</v>
      </c>
      <c r="C5190" t="s">
        <v>467</v>
      </c>
      <c r="D5190" t="str">
        <f t="shared" si="82"/>
        <v>UNIMONTES3030</v>
      </c>
      <c r="E5190" t="s">
        <v>2933</v>
      </c>
    </row>
    <row r="5191" spans="1:5" x14ac:dyDescent="0.25">
      <c r="A5191">
        <v>2311</v>
      </c>
      <c r="B5191" t="s">
        <v>1762</v>
      </c>
      <c r="C5191" t="s">
        <v>2963</v>
      </c>
      <c r="D5191" t="str">
        <f t="shared" si="82"/>
        <v>UNIMONTES3032</v>
      </c>
      <c r="E5191" t="s">
        <v>2933</v>
      </c>
    </row>
    <row r="5192" spans="1:5" x14ac:dyDescent="0.25">
      <c r="A5192">
        <v>2311</v>
      </c>
      <c r="B5192" t="s">
        <v>1762</v>
      </c>
      <c r="C5192" t="s">
        <v>3242</v>
      </c>
      <c r="D5192" t="str">
        <f t="shared" si="82"/>
        <v>UNIMONTES3036</v>
      </c>
      <c r="E5192" t="s">
        <v>2933</v>
      </c>
    </row>
    <row r="5193" spans="1:5" x14ac:dyDescent="0.25">
      <c r="A5193">
        <v>2311</v>
      </c>
      <c r="B5193" t="s">
        <v>1762</v>
      </c>
      <c r="C5193" t="s">
        <v>487</v>
      </c>
      <c r="D5193" t="str">
        <f t="shared" si="82"/>
        <v>UNIMONTES3040</v>
      </c>
      <c r="E5193" t="s">
        <v>2933</v>
      </c>
    </row>
    <row r="5194" spans="1:5" x14ac:dyDescent="0.25">
      <c r="A5194">
        <v>2311</v>
      </c>
      <c r="B5194" t="s">
        <v>1762</v>
      </c>
      <c r="C5194" t="s">
        <v>2993</v>
      </c>
      <c r="D5194" t="str">
        <f t="shared" si="82"/>
        <v>UNIMONTES3041</v>
      </c>
      <c r="E5194" t="s">
        <v>2968</v>
      </c>
    </row>
    <row r="5195" spans="1:5" x14ac:dyDescent="0.25">
      <c r="A5195">
        <v>2311</v>
      </c>
      <c r="B5195" t="s">
        <v>1762</v>
      </c>
      <c r="C5195" t="s">
        <v>491</v>
      </c>
      <c r="D5195" t="str">
        <f t="shared" si="82"/>
        <v>UNIMONTES3099</v>
      </c>
      <c r="E5195" t="s">
        <v>2933</v>
      </c>
    </row>
    <row r="5196" spans="1:5" x14ac:dyDescent="0.25">
      <c r="A5196">
        <v>2311</v>
      </c>
      <c r="B5196" t="s">
        <v>1762</v>
      </c>
      <c r="C5196" t="s">
        <v>2971</v>
      </c>
      <c r="D5196" t="str">
        <f t="shared" si="82"/>
        <v>UNIMONTES3202</v>
      </c>
      <c r="E5196" t="s">
        <v>2968</v>
      </c>
    </row>
    <row r="5197" spans="1:5" x14ac:dyDescent="0.25">
      <c r="A5197">
        <v>2311</v>
      </c>
      <c r="B5197" t="s">
        <v>1762</v>
      </c>
      <c r="C5197" t="s">
        <v>54</v>
      </c>
      <c r="D5197" t="str">
        <f t="shared" si="82"/>
        <v>UNIMONTES3301</v>
      </c>
      <c r="E5197" t="s">
        <v>44</v>
      </c>
    </row>
    <row r="5198" spans="1:5" x14ac:dyDescent="0.25">
      <c r="A5198">
        <v>2311</v>
      </c>
      <c r="B5198" t="s">
        <v>1762</v>
      </c>
      <c r="C5198" t="s">
        <v>2975</v>
      </c>
      <c r="D5198" t="str">
        <f t="shared" si="82"/>
        <v>UNIMONTES3302</v>
      </c>
      <c r="E5198" t="s">
        <v>44</v>
      </c>
    </row>
    <row r="5199" spans="1:5" x14ac:dyDescent="0.25">
      <c r="A5199">
        <v>2311</v>
      </c>
      <c r="B5199" t="s">
        <v>1762</v>
      </c>
      <c r="C5199" t="s">
        <v>2977</v>
      </c>
      <c r="D5199" t="str">
        <f t="shared" si="82"/>
        <v>UNIMONTES3304</v>
      </c>
      <c r="E5199" t="s">
        <v>44</v>
      </c>
    </row>
    <row r="5200" spans="1:5" x14ac:dyDescent="0.25">
      <c r="A5200">
        <v>2311</v>
      </c>
      <c r="B5200" t="s">
        <v>1762</v>
      </c>
      <c r="C5200" t="s">
        <v>309</v>
      </c>
      <c r="D5200" t="str">
        <f t="shared" si="82"/>
        <v>UNIMONTES3305</v>
      </c>
      <c r="E5200" t="s">
        <v>2968</v>
      </c>
    </row>
    <row r="5201" spans="1:5" x14ac:dyDescent="0.25">
      <c r="A5201">
        <v>2311</v>
      </c>
      <c r="B5201" t="s">
        <v>1762</v>
      </c>
      <c r="C5201" t="s">
        <v>228</v>
      </c>
      <c r="D5201" t="str">
        <f t="shared" si="82"/>
        <v>UNIMONTES3401</v>
      </c>
      <c r="E5201" t="s">
        <v>3231</v>
      </c>
    </row>
    <row r="5202" spans="1:5" x14ac:dyDescent="0.25">
      <c r="A5202">
        <v>2311</v>
      </c>
      <c r="B5202" t="s">
        <v>1762</v>
      </c>
      <c r="C5202" t="s">
        <v>280</v>
      </c>
      <c r="D5202" t="str">
        <f t="shared" si="82"/>
        <v>UNIMONTES3403</v>
      </c>
      <c r="E5202" t="s">
        <v>3081</v>
      </c>
    </row>
    <row r="5203" spans="1:5" x14ac:dyDescent="0.25">
      <c r="A5203">
        <v>2311</v>
      </c>
      <c r="B5203" t="s">
        <v>1762</v>
      </c>
      <c r="C5203" t="s">
        <v>296</v>
      </c>
      <c r="D5203" t="str">
        <f t="shared" si="82"/>
        <v>UNIMONTES3404</v>
      </c>
      <c r="E5203" t="s">
        <v>3081</v>
      </c>
    </row>
    <row r="5204" spans="1:5" x14ac:dyDescent="0.25">
      <c r="A5204">
        <v>2311</v>
      </c>
      <c r="B5204" t="s">
        <v>1762</v>
      </c>
      <c r="C5204" t="s">
        <v>3201</v>
      </c>
      <c r="D5204" t="str">
        <f t="shared" si="82"/>
        <v>UNIMONTES3502</v>
      </c>
      <c r="E5204" t="s">
        <v>2968</v>
      </c>
    </row>
    <row r="5205" spans="1:5" x14ac:dyDescent="0.25">
      <c r="A5205">
        <v>2311</v>
      </c>
      <c r="B5205" t="s">
        <v>1762</v>
      </c>
      <c r="C5205" t="s">
        <v>3012</v>
      </c>
      <c r="D5205" t="str">
        <f t="shared" si="82"/>
        <v>UNIMONTES3601</v>
      </c>
      <c r="E5205" t="s">
        <v>65</v>
      </c>
    </row>
    <row r="5206" spans="1:5" x14ac:dyDescent="0.25">
      <c r="A5206">
        <v>2311</v>
      </c>
      <c r="B5206" t="s">
        <v>1762</v>
      </c>
      <c r="C5206" t="s">
        <v>282</v>
      </c>
      <c r="D5206" t="str">
        <f t="shared" si="82"/>
        <v>UNIMONTES3603</v>
      </c>
      <c r="E5206" t="s">
        <v>2968</v>
      </c>
    </row>
    <row r="5207" spans="1:5" x14ac:dyDescent="0.25">
      <c r="A5207">
        <v>2311</v>
      </c>
      <c r="B5207" t="s">
        <v>1762</v>
      </c>
      <c r="C5207" t="s">
        <v>297</v>
      </c>
      <c r="D5207" t="str">
        <f t="shared" si="82"/>
        <v>UNIMONTES3604</v>
      </c>
      <c r="E5207" t="s">
        <v>44</v>
      </c>
    </row>
    <row r="5208" spans="1:5" x14ac:dyDescent="0.25">
      <c r="A5208">
        <v>2311</v>
      </c>
      <c r="B5208" t="s">
        <v>1762</v>
      </c>
      <c r="C5208" t="s">
        <v>3018</v>
      </c>
      <c r="D5208" t="str">
        <f t="shared" si="82"/>
        <v>UNIMONTES3608</v>
      </c>
      <c r="E5208" t="s">
        <v>2944</v>
      </c>
    </row>
    <row r="5209" spans="1:5" x14ac:dyDescent="0.25">
      <c r="A5209">
        <v>2311</v>
      </c>
      <c r="B5209" t="s">
        <v>1762</v>
      </c>
      <c r="C5209" t="s">
        <v>3021</v>
      </c>
      <c r="D5209" t="str">
        <f t="shared" si="82"/>
        <v>UNIMONTES3611</v>
      </c>
      <c r="E5209" t="s">
        <v>3107</v>
      </c>
    </row>
    <row r="5210" spans="1:5" x14ac:dyDescent="0.25">
      <c r="A5210">
        <v>2311</v>
      </c>
      <c r="B5210" t="s">
        <v>1762</v>
      </c>
      <c r="C5210" t="s">
        <v>2979</v>
      </c>
      <c r="D5210" t="str">
        <f t="shared" si="82"/>
        <v>UNIMONTES3612</v>
      </c>
      <c r="E5210" t="s">
        <v>2968</v>
      </c>
    </row>
    <row r="5211" spans="1:5" x14ac:dyDescent="0.25">
      <c r="A5211">
        <v>2311</v>
      </c>
      <c r="B5211" t="s">
        <v>1762</v>
      </c>
      <c r="C5211" t="s">
        <v>383</v>
      </c>
      <c r="D5211" t="str">
        <f t="shared" si="82"/>
        <v>UNIMONTES3614</v>
      </c>
      <c r="E5211" t="s">
        <v>2968</v>
      </c>
    </row>
    <row r="5212" spans="1:5" x14ac:dyDescent="0.25">
      <c r="A5212">
        <v>2311</v>
      </c>
      <c r="B5212" t="s">
        <v>1762</v>
      </c>
      <c r="C5212" t="s">
        <v>471</v>
      </c>
      <c r="D5212" t="str">
        <f t="shared" si="82"/>
        <v>UNIMONTES3699</v>
      </c>
      <c r="E5212" t="s">
        <v>2968</v>
      </c>
    </row>
    <row r="5213" spans="1:5" x14ac:dyDescent="0.25">
      <c r="A5213">
        <v>2311</v>
      </c>
      <c r="B5213" t="s">
        <v>1762</v>
      </c>
      <c r="C5213" t="s">
        <v>3050</v>
      </c>
      <c r="D5213" t="str">
        <f t="shared" si="82"/>
        <v>UNIMONTES3702</v>
      </c>
      <c r="E5213" t="s">
        <v>2981</v>
      </c>
    </row>
    <row r="5214" spans="1:5" x14ac:dyDescent="0.25">
      <c r="A5214">
        <v>2311</v>
      </c>
      <c r="B5214" t="s">
        <v>1762</v>
      </c>
      <c r="C5214" t="s">
        <v>2983</v>
      </c>
      <c r="D5214" t="str">
        <f t="shared" si="82"/>
        <v>UNIMONTES3703</v>
      </c>
      <c r="E5214" t="s">
        <v>117</v>
      </c>
    </row>
    <row r="5215" spans="1:5" x14ac:dyDescent="0.25">
      <c r="A5215">
        <v>2311</v>
      </c>
      <c r="B5215" t="s">
        <v>1762</v>
      </c>
      <c r="C5215" t="s">
        <v>2985</v>
      </c>
      <c r="D5215" t="str">
        <f t="shared" si="82"/>
        <v>UNIMONTES3704</v>
      </c>
      <c r="E5215" t="s">
        <v>117</v>
      </c>
    </row>
    <row r="5216" spans="1:5" x14ac:dyDescent="0.25">
      <c r="A5216">
        <v>2311</v>
      </c>
      <c r="B5216" t="s">
        <v>1762</v>
      </c>
      <c r="C5216" t="s">
        <v>2986</v>
      </c>
      <c r="D5216" t="str">
        <f t="shared" si="82"/>
        <v>UNIMONTES3705</v>
      </c>
      <c r="E5216" t="s">
        <v>117</v>
      </c>
    </row>
    <row r="5217" spans="1:5" x14ac:dyDescent="0.25">
      <c r="A5217">
        <v>2311</v>
      </c>
      <c r="B5217" t="s">
        <v>1762</v>
      </c>
      <c r="C5217" t="s">
        <v>233</v>
      </c>
      <c r="D5217" t="str">
        <f t="shared" si="82"/>
        <v>UNIMONTES3901</v>
      </c>
      <c r="E5217" t="s">
        <v>2926</v>
      </c>
    </row>
    <row r="5218" spans="1:5" x14ac:dyDescent="0.25">
      <c r="A5218">
        <v>2311</v>
      </c>
      <c r="B5218" t="s">
        <v>1762</v>
      </c>
      <c r="C5218" t="s">
        <v>2988</v>
      </c>
      <c r="D5218" t="str">
        <f t="shared" si="82"/>
        <v>UNIMONTES3903</v>
      </c>
      <c r="E5218" t="s">
        <v>87</v>
      </c>
    </row>
    <row r="5219" spans="1:5" x14ac:dyDescent="0.25">
      <c r="A5219">
        <v>2311</v>
      </c>
      <c r="B5219" t="s">
        <v>1762</v>
      </c>
      <c r="C5219" t="s">
        <v>299</v>
      </c>
      <c r="D5219" t="str">
        <f t="shared" si="82"/>
        <v>UNIMONTES3904</v>
      </c>
      <c r="E5219" t="s">
        <v>2968</v>
      </c>
    </row>
    <row r="5220" spans="1:5" x14ac:dyDescent="0.25">
      <c r="A5220">
        <v>2311</v>
      </c>
      <c r="B5220" t="s">
        <v>1762</v>
      </c>
      <c r="C5220" t="s">
        <v>326</v>
      </c>
      <c r="D5220" t="str">
        <f t="shared" si="82"/>
        <v>UNIMONTES3906</v>
      </c>
      <c r="E5220" t="s">
        <v>2968</v>
      </c>
    </row>
    <row r="5221" spans="1:5" x14ac:dyDescent="0.25">
      <c r="A5221">
        <v>2311</v>
      </c>
      <c r="B5221" t="s">
        <v>1762</v>
      </c>
      <c r="C5221" t="s">
        <v>2989</v>
      </c>
      <c r="D5221" t="str">
        <f t="shared" si="82"/>
        <v>UNIMONTES3908</v>
      </c>
      <c r="E5221" t="s">
        <v>2968</v>
      </c>
    </row>
    <row r="5222" spans="1:5" x14ac:dyDescent="0.25">
      <c r="A5222">
        <v>2311</v>
      </c>
      <c r="B5222" t="s">
        <v>1762</v>
      </c>
      <c r="C5222" t="s">
        <v>346</v>
      </c>
      <c r="D5222" t="str">
        <f t="shared" si="82"/>
        <v>UNIMONTES3910</v>
      </c>
      <c r="E5222" t="s">
        <v>2968</v>
      </c>
    </row>
    <row r="5223" spans="1:5" x14ac:dyDescent="0.25">
      <c r="A5223">
        <v>2311</v>
      </c>
      <c r="B5223" t="s">
        <v>1762</v>
      </c>
      <c r="C5223" t="s">
        <v>356</v>
      </c>
      <c r="D5223" t="str">
        <f t="shared" si="82"/>
        <v>UNIMONTES3911</v>
      </c>
      <c r="E5223" t="s">
        <v>2968</v>
      </c>
    </row>
    <row r="5224" spans="1:5" x14ac:dyDescent="0.25">
      <c r="A5224">
        <v>2311</v>
      </c>
      <c r="B5224" t="s">
        <v>1762</v>
      </c>
      <c r="C5224" t="s">
        <v>2991</v>
      </c>
      <c r="D5224" t="str">
        <f t="shared" si="82"/>
        <v>UNIMONTES3912</v>
      </c>
      <c r="E5224" t="s">
        <v>2992</v>
      </c>
    </row>
    <row r="5225" spans="1:5" x14ac:dyDescent="0.25">
      <c r="A5225">
        <v>2311</v>
      </c>
      <c r="B5225" t="s">
        <v>1762</v>
      </c>
      <c r="C5225" t="s">
        <v>2994</v>
      </c>
      <c r="D5225" t="str">
        <f t="shared" si="82"/>
        <v>UNIMONTES3913</v>
      </c>
      <c r="E5225" t="s">
        <v>2992</v>
      </c>
    </row>
    <row r="5226" spans="1:5" x14ac:dyDescent="0.25">
      <c r="A5226">
        <v>2311</v>
      </c>
      <c r="B5226" t="s">
        <v>1762</v>
      </c>
      <c r="C5226" t="s">
        <v>384</v>
      </c>
      <c r="D5226" t="str">
        <f t="shared" si="82"/>
        <v>UNIMONTES3915</v>
      </c>
      <c r="E5226" t="s">
        <v>2992</v>
      </c>
    </row>
    <row r="5227" spans="1:5" x14ac:dyDescent="0.25">
      <c r="A5227">
        <v>2311</v>
      </c>
      <c r="B5227" t="s">
        <v>1762</v>
      </c>
      <c r="C5227" t="s">
        <v>2996</v>
      </c>
      <c r="D5227" t="str">
        <f t="shared" si="82"/>
        <v>UNIMONTES3917</v>
      </c>
      <c r="E5227" t="s">
        <v>2958</v>
      </c>
    </row>
    <row r="5228" spans="1:5" x14ac:dyDescent="0.25">
      <c r="A5228">
        <v>2311</v>
      </c>
      <c r="B5228" t="s">
        <v>1762</v>
      </c>
      <c r="C5228" t="s">
        <v>2998</v>
      </c>
      <c r="D5228" t="str">
        <f t="shared" si="82"/>
        <v>UNIMONTES3918</v>
      </c>
      <c r="E5228" t="s">
        <v>2958</v>
      </c>
    </row>
    <row r="5229" spans="1:5" x14ac:dyDescent="0.25">
      <c r="A5229">
        <v>2311</v>
      </c>
      <c r="B5229" t="s">
        <v>1762</v>
      </c>
      <c r="C5229" t="s">
        <v>3000</v>
      </c>
      <c r="D5229" t="str">
        <f t="shared" si="82"/>
        <v>UNIMONTES3919</v>
      </c>
      <c r="E5229" t="s">
        <v>3001</v>
      </c>
    </row>
    <row r="5230" spans="1:5" x14ac:dyDescent="0.25">
      <c r="A5230">
        <v>2311</v>
      </c>
      <c r="B5230" t="s">
        <v>1762</v>
      </c>
      <c r="C5230" t="s">
        <v>3077</v>
      </c>
      <c r="D5230" t="str">
        <f t="shared" si="82"/>
        <v>UNIMONTES3920</v>
      </c>
      <c r="E5230" t="s">
        <v>3107</v>
      </c>
    </row>
    <row r="5231" spans="1:5" x14ac:dyDescent="0.25">
      <c r="A5231">
        <v>2311</v>
      </c>
      <c r="B5231" t="s">
        <v>1762</v>
      </c>
      <c r="C5231" t="s">
        <v>3002</v>
      </c>
      <c r="D5231" t="str">
        <f t="shared" si="82"/>
        <v>UNIMONTES3921</v>
      </c>
      <c r="E5231" t="s">
        <v>3001</v>
      </c>
    </row>
    <row r="5232" spans="1:5" x14ac:dyDescent="0.25">
      <c r="A5232">
        <v>2311</v>
      </c>
      <c r="B5232" t="s">
        <v>1762</v>
      </c>
      <c r="C5232" t="s">
        <v>3003</v>
      </c>
      <c r="D5232" t="str">
        <f t="shared" si="82"/>
        <v>UNIMONTES3922</v>
      </c>
      <c r="E5232" t="s">
        <v>2954</v>
      </c>
    </row>
    <row r="5233" spans="1:5" x14ac:dyDescent="0.25">
      <c r="A5233">
        <v>2311</v>
      </c>
      <c r="B5233" t="s">
        <v>1762</v>
      </c>
      <c r="C5233" t="s">
        <v>428</v>
      </c>
      <c r="D5233" t="str">
        <f t="shared" si="82"/>
        <v>UNIMONTES3923</v>
      </c>
      <c r="E5233" t="s">
        <v>2968</v>
      </c>
    </row>
    <row r="5234" spans="1:5" x14ac:dyDescent="0.25">
      <c r="A5234">
        <v>2311</v>
      </c>
      <c r="B5234" t="s">
        <v>1762</v>
      </c>
      <c r="C5234" t="s">
        <v>566</v>
      </c>
      <c r="D5234" t="str">
        <f t="shared" si="82"/>
        <v>UNIMONTES3924</v>
      </c>
      <c r="E5234" t="s">
        <v>3004</v>
      </c>
    </row>
    <row r="5235" spans="1:5" x14ac:dyDescent="0.25">
      <c r="A5235">
        <v>2311</v>
      </c>
      <c r="B5235" t="s">
        <v>1762</v>
      </c>
      <c r="C5235" t="s">
        <v>438</v>
      </c>
      <c r="D5235" t="str">
        <f t="shared" si="82"/>
        <v>UNIMONTES3925</v>
      </c>
      <c r="E5235" t="s">
        <v>3006</v>
      </c>
    </row>
    <row r="5236" spans="1:5" x14ac:dyDescent="0.25">
      <c r="A5236">
        <v>2311</v>
      </c>
      <c r="B5236" t="s">
        <v>1762</v>
      </c>
      <c r="C5236" t="s">
        <v>443</v>
      </c>
      <c r="D5236" t="str">
        <f t="shared" si="82"/>
        <v>UNIMONTES3926</v>
      </c>
      <c r="E5236" t="s">
        <v>3006</v>
      </c>
    </row>
    <row r="5237" spans="1:5" x14ac:dyDescent="0.25">
      <c r="A5237">
        <v>2311</v>
      </c>
      <c r="B5237" t="s">
        <v>1762</v>
      </c>
      <c r="C5237" t="s">
        <v>3008</v>
      </c>
      <c r="D5237" t="str">
        <f t="shared" si="82"/>
        <v>UNIMONTES3927</v>
      </c>
      <c r="E5237" t="s">
        <v>3009</v>
      </c>
    </row>
    <row r="5238" spans="1:5" x14ac:dyDescent="0.25">
      <c r="A5238">
        <v>2311</v>
      </c>
      <c r="B5238" t="s">
        <v>1762</v>
      </c>
      <c r="C5238" t="s">
        <v>458</v>
      </c>
      <c r="D5238" t="str">
        <f t="shared" si="82"/>
        <v>UNIMONTES3930</v>
      </c>
      <c r="E5238" t="s">
        <v>3006</v>
      </c>
    </row>
    <row r="5239" spans="1:5" x14ac:dyDescent="0.25">
      <c r="A5239">
        <v>2311</v>
      </c>
      <c r="B5239" t="s">
        <v>1762</v>
      </c>
      <c r="C5239" t="s">
        <v>1481</v>
      </c>
      <c r="D5239" t="str">
        <f t="shared" si="82"/>
        <v>UNIMONTES3931</v>
      </c>
      <c r="E5239" t="s">
        <v>2968</v>
      </c>
    </row>
    <row r="5240" spans="1:5" x14ac:dyDescent="0.25">
      <c r="A5240">
        <v>2311</v>
      </c>
      <c r="B5240" t="s">
        <v>1762</v>
      </c>
      <c r="C5240" t="s">
        <v>3017</v>
      </c>
      <c r="D5240" t="str">
        <f t="shared" si="82"/>
        <v>UNIMONTES3936</v>
      </c>
      <c r="E5240" t="s">
        <v>94</v>
      </c>
    </row>
    <row r="5241" spans="1:5" x14ac:dyDescent="0.25">
      <c r="A5241">
        <v>2311</v>
      </c>
      <c r="B5241" t="s">
        <v>1762</v>
      </c>
      <c r="C5241" t="s">
        <v>3088</v>
      </c>
      <c r="D5241" t="str">
        <f t="shared" si="82"/>
        <v>UNIMONTES3937</v>
      </c>
      <c r="E5241" t="s">
        <v>3107</v>
      </c>
    </row>
    <row r="5242" spans="1:5" x14ac:dyDescent="0.25">
      <c r="A5242">
        <v>2311</v>
      </c>
      <c r="B5242" t="s">
        <v>1762</v>
      </c>
      <c r="C5242" t="s">
        <v>3202</v>
      </c>
      <c r="D5242" t="str">
        <f t="shared" si="82"/>
        <v>UNIMONTES3938</v>
      </c>
      <c r="E5242" t="s">
        <v>2968</v>
      </c>
    </row>
    <row r="5243" spans="1:5" x14ac:dyDescent="0.25">
      <c r="A5243">
        <v>2311</v>
      </c>
      <c r="B5243" t="s">
        <v>1762</v>
      </c>
      <c r="C5243" t="s">
        <v>3089</v>
      </c>
      <c r="D5243" t="str">
        <f t="shared" si="82"/>
        <v>UNIMONTES3939</v>
      </c>
      <c r="E5243" t="s">
        <v>2968</v>
      </c>
    </row>
    <row r="5244" spans="1:5" x14ac:dyDescent="0.25">
      <c r="A5244">
        <v>2311</v>
      </c>
      <c r="B5244" t="s">
        <v>1762</v>
      </c>
      <c r="C5244" t="s">
        <v>3019</v>
      </c>
      <c r="D5244" t="str">
        <f t="shared" si="82"/>
        <v>UNIMONTES3940</v>
      </c>
      <c r="E5244" t="s">
        <v>3009</v>
      </c>
    </row>
    <row r="5245" spans="1:5" x14ac:dyDescent="0.25">
      <c r="A5245">
        <v>2311</v>
      </c>
      <c r="B5245" t="s">
        <v>1762</v>
      </c>
      <c r="C5245" t="s">
        <v>480</v>
      </c>
      <c r="D5245" t="str">
        <f t="shared" si="82"/>
        <v>UNIMONTES3941</v>
      </c>
      <c r="E5245" t="s">
        <v>2968</v>
      </c>
    </row>
    <row r="5246" spans="1:5" x14ac:dyDescent="0.25">
      <c r="A5246">
        <v>2311</v>
      </c>
      <c r="B5246" t="s">
        <v>1762</v>
      </c>
      <c r="C5246" t="s">
        <v>3020</v>
      </c>
      <c r="D5246" t="str">
        <f t="shared" si="82"/>
        <v>UNIMONTES3943</v>
      </c>
      <c r="E5246" t="s">
        <v>2958</v>
      </c>
    </row>
    <row r="5247" spans="1:5" x14ac:dyDescent="0.25">
      <c r="A5247">
        <v>2311</v>
      </c>
      <c r="B5247" t="s">
        <v>1762</v>
      </c>
      <c r="C5247" t="s">
        <v>492</v>
      </c>
      <c r="D5247" t="str">
        <f t="shared" si="82"/>
        <v>UNIMONTES3948</v>
      </c>
      <c r="E5247" t="s">
        <v>3004</v>
      </c>
    </row>
    <row r="5248" spans="1:5" x14ac:dyDescent="0.25">
      <c r="A5248">
        <v>2311</v>
      </c>
      <c r="B5248" t="s">
        <v>1762</v>
      </c>
      <c r="C5248" t="s">
        <v>496</v>
      </c>
      <c r="D5248" t="str">
        <f t="shared" si="82"/>
        <v>UNIMONTES3953</v>
      </c>
      <c r="E5248" t="s">
        <v>3004</v>
      </c>
    </row>
    <row r="5249" spans="1:5" x14ac:dyDescent="0.25">
      <c r="A5249">
        <v>2311</v>
      </c>
      <c r="B5249" t="s">
        <v>1762</v>
      </c>
      <c r="C5249" t="s">
        <v>498</v>
      </c>
      <c r="D5249" t="str">
        <f t="shared" si="82"/>
        <v>UNIMONTES3955</v>
      </c>
      <c r="E5249" t="s">
        <v>2968</v>
      </c>
    </row>
    <row r="5250" spans="1:5" x14ac:dyDescent="0.25">
      <c r="A5250">
        <v>2311</v>
      </c>
      <c r="B5250" t="s">
        <v>1762</v>
      </c>
      <c r="C5250" t="s">
        <v>3025</v>
      </c>
      <c r="D5250" t="str">
        <f t="shared" si="82"/>
        <v>UNIMONTES3959</v>
      </c>
      <c r="E5250" t="s">
        <v>2968</v>
      </c>
    </row>
    <row r="5251" spans="1:5" x14ac:dyDescent="0.25">
      <c r="A5251">
        <v>2311</v>
      </c>
      <c r="B5251" t="s">
        <v>1762</v>
      </c>
      <c r="C5251" t="s">
        <v>3027</v>
      </c>
      <c r="D5251" t="str">
        <f t="shared" si="82"/>
        <v>UNIMONTES3961</v>
      </c>
      <c r="E5251" t="s">
        <v>2981</v>
      </c>
    </row>
    <row r="5252" spans="1:5" x14ac:dyDescent="0.25">
      <c r="A5252">
        <v>2311</v>
      </c>
      <c r="B5252" t="s">
        <v>1762</v>
      </c>
      <c r="C5252" t="s">
        <v>3103</v>
      </c>
      <c r="D5252" t="str">
        <f t="shared" si="82"/>
        <v>UNIMONTES3962</v>
      </c>
      <c r="E5252" t="s">
        <v>3033</v>
      </c>
    </row>
    <row r="5253" spans="1:5" x14ac:dyDescent="0.25">
      <c r="A5253">
        <v>2311</v>
      </c>
      <c r="B5253" t="s">
        <v>1762</v>
      </c>
      <c r="C5253" t="s">
        <v>3104</v>
      </c>
      <c r="D5253" t="str">
        <f t="shared" ref="D5253:D5316" si="83">CONCATENATE(B5253,LEFT(C5253,4))</f>
        <v>UNIMONTES3964</v>
      </c>
      <c r="E5253" t="s">
        <v>2968</v>
      </c>
    </row>
    <row r="5254" spans="1:5" x14ac:dyDescent="0.25">
      <c r="A5254">
        <v>2311</v>
      </c>
      <c r="B5254" t="s">
        <v>1762</v>
      </c>
      <c r="C5254" t="s">
        <v>3105</v>
      </c>
      <c r="D5254" t="str">
        <f t="shared" si="83"/>
        <v>UNIMONTES3965</v>
      </c>
      <c r="E5254" t="s">
        <v>2944</v>
      </c>
    </row>
    <row r="5255" spans="1:5" x14ac:dyDescent="0.25">
      <c r="A5255">
        <v>2311</v>
      </c>
      <c r="B5255" t="s">
        <v>1762</v>
      </c>
      <c r="C5255" t="s">
        <v>1154</v>
      </c>
      <c r="D5255" t="str">
        <f t="shared" si="83"/>
        <v>UNIMONTES3969</v>
      </c>
      <c r="E5255" t="s">
        <v>2992</v>
      </c>
    </row>
    <row r="5256" spans="1:5" x14ac:dyDescent="0.25">
      <c r="A5256">
        <v>2311</v>
      </c>
      <c r="B5256" t="s">
        <v>1762</v>
      </c>
      <c r="C5256" t="s">
        <v>3031</v>
      </c>
      <c r="D5256" t="str">
        <f t="shared" si="83"/>
        <v>UNIMONTES3970</v>
      </c>
      <c r="E5256" t="s">
        <v>3009</v>
      </c>
    </row>
    <row r="5257" spans="1:5" x14ac:dyDescent="0.25">
      <c r="A5257">
        <v>2311</v>
      </c>
      <c r="B5257" t="s">
        <v>1762</v>
      </c>
      <c r="C5257" t="s">
        <v>513</v>
      </c>
      <c r="D5257" t="str">
        <f t="shared" si="83"/>
        <v>UNIMONTES3971</v>
      </c>
      <c r="E5257" t="s">
        <v>3033</v>
      </c>
    </row>
    <row r="5258" spans="1:5" x14ac:dyDescent="0.25">
      <c r="A5258">
        <v>2311</v>
      </c>
      <c r="B5258" t="s">
        <v>1762</v>
      </c>
      <c r="C5258" t="s">
        <v>516</v>
      </c>
      <c r="D5258" t="str">
        <f t="shared" si="83"/>
        <v>UNIMONTES3974</v>
      </c>
      <c r="E5258" t="s">
        <v>3131</v>
      </c>
    </row>
    <row r="5259" spans="1:5" x14ac:dyDescent="0.25">
      <c r="A5259">
        <v>2311</v>
      </c>
      <c r="B5259" t="s">
        <v>1762</v>
      </c>
      <c r="C5259" t="s">
        <v>521</v>
      </c>
      <c r="D5259" t="str">
        <f t="shared" si="83"/>
        <v>UNIMONTES3981</v>
      </c>
      <c r="E5259" t="s">
        <v>2968</v>
      </c>
    </row>
    <row r="5260" spans="1:5" x14ac:dyDescent="0.25">
      <c r="A5260">
        <v>2311</v>
      </c>
      <c r="B5260" t="s">
        <v>1762</v>
      </c>
      <c r="C5260" t="s">
        <v>3036</v>
      </c>
      <c r="D5260" t="str">
        <f t="shared" si="83"/>
        <v>UNIMONTES3987</v>
      </c>
      <c r="E5260" t="s">
        <v>2958</v>
      </c>
    </row>
    <row r="5261" spans="1:5" x14ac:dyDescent="0.25">
      <c r="A5261">
        <v>2311</v>
      </c>
      <c r="B5261" t="s">
        <v>1762</v>
      </c>
      <c r="C5261" t="s">
        <v>3227</v>
      </c>
      <c r="D5261" t="str">
        <f t="shared" si="83"/>
        <v>UNIMONTES3998</v>
      </c>
      <c r="E5261" t="s">
        <v>2944</v>
      </c>
    </row>
    <row r="5262" spans="1:5" x14ac:dyDescent="0.25">
      <c r="A5262">
        <v>2311</v>
      </c>
      <c r="B5262" t="s">
        <v>1762</v>
      </c>
      <c r="C5262" t="s">
        <v>3040</v>
      </c>
      <c r="D5262" t="str">
        <f t="shared" si="83"/>
        <v>UNIMONTES3999</v>
      </c>
      <c r="E5262" t="s">
        <v>2968</v>
      </c>
    </row>
    <row r="5263" spans="1:5" x14ac:dyDescent="0.25">
      <c r="A5263">
        <v>2311</v>
      </c>
      <c r="B5263" t="s">
        <v>1762</v>
      </c>
      <c r="C5263" t="s">
        <v>3041</v>
      </c>
      <c r="D5263" t="str">
        <f t="shared" si="83"/>
        <v>UNIMONTES4002</v>
      </c>
      <c r="E5263" t="s">
        <v>3009</v>
      </c>
    </row>
    <row r="5264" spans="1:5" x14ac:dyDescent="0.25">
      <c r="A5264">
        <v>2311</v>
      </c>
      <c r="B5264" t="s">
        <v>1762</v>
      </c>
      <c r="C5264" t="s">
        <v>3043</v>
      </c>
      <c r="D5264" t="str">
        <f t="shared" si="83"/>
        <v>UNIMONTES4003</v>
      </c>
      <c r="E5264" t="s">
        <v>94</v>
      </c>
    </row>
    <row r="5265" spans="1:5" x14ac:dyDescent="0.25">
      <c r="A5265">
        <v>2311</v>
      </c>
      <c r="B5265" t="s">
        <v>1762</v>
      </c>
      <c r="C5265" t="s">
        <v>3045</v>
      </c>
      <c r="D5265" t="str">
        <f t="shared" si="83"/>
        <v>UNIMONTES4004</v>
      </c>
      <c r="E5265" t="s">
        <v>3009</v>
      </c>
    </row>
    <row r="5266" spans="1:5" x14ac:dyDescent="0.25">
      <c r="A5266">
        <v>2311</v>
      </c>
      <c r="B5266" t="s">
        <v>1762</v>
      </c>
      <c r="C5266" t="s">
        <v>3047</v>
      </c>
      <c r="D5266" t="str">
        <f t="shared" si="83"/>
        <v>UNIMONTES4005</v>
      </c>
      <c r="E5266" t="s">
        <v>3009</v>
      </c>
    </row>
    <row r="5267" spans="1:5" x14ac:dyDescent="0.25">
      <c r="A5267">
        <v>2311</v>
      </c>
      <c r="B5267" t="s">
        <v>1762</v>
      </c>
      <c r="C5267" t="s">
        <v>813</v>
      </c>
      <c r="D5267" t="str">
        <f t="shared" si="83"/>
        <v>UNIMONTES4006</v>
      </c>
      <c r="E5267" t="s">
        <v>3057</v>
      </c>
    </row>
    <row r="5268" spans="1:5" x14ac:dyDescent="0.25">
      <c r="A5268">
        <v>2311</v>
      </c>
      <c r="B5268" t="s">
        <v>1762</v>
      </c>
      <c r="C5268" t="s">
        <v>3127</v>
      </c>
      <c r="D5268" t="str">
        <f t="shared" si="83"/>
        <v>UNIMONTES4201</v>
      </c>
      <c r="E5268" t="s">
        <v>3218</v>
      </c>
    </row>
    <row r="5269" spans="1:5" x14ac:dyDescent="0.25">
      <c r="A5269">
        <v>2311</v>
      </c>
      <c r="B5269" t="s">
        <v>1762</v>
      </c>
      <c r="C5269" t="s">
        <v>3048</v>
      </c>
      <c r="D5269" t="str">
        <f t="shared" si="83"/>
        <v>UNIMONTES4701</v>
      </c>
      <c r="E5269" t="s">
        <v>3049</v>
      </c>
    </row>
    <row r="5270" spans="1:5" x14ac:dyDescent="0.25">
      <c r="A5270">
        <v>2311</v>
      </c>
      <c r="B5270" t="s">
        <v>1762</v>
      </c>
      <c r="C5270" t="s">
        <v>316</v>
      </c>
      <c r="D5270" t="str">
        <f t="shared" si="83"/>
        <v>UNIMONTES4706</v>
      </c>
      <c r="E5270" t="s">
        <v>3049</v>
      </c>
    </row>
    <row r="5271" spans="1:5" x14ac:dyDescent="0.25">
      <c r="A5271">
        <v>2311</v>
      </c>
      <c r="B5271" t="s">
        <v>1762</v>
      </c>
      <c r="C5271" t="s">
        <v>328</v>
      </c>
      <c r="D5271" t="str">
        <f t="shared" si="83"/>
        <v>UNIMONTES4707</v>
      </c>
      <c r="E5271" t="s">
        <v>3049</v>
      </c>
    </row>
    <row r="5272" spans="1:5" x14ac:dyDescent="0.25">
      <c r="A5272">
        <v>2311</v>
      </c>
      <c r="B5272" t="s">
        <v>1762</v>
      </c>
      <c r="C5272" t="s">
        <v>364</v>
      </c>
      <c r="D5272" t="str">
        <f t="shared" si="83"/>
        <v>UNIMONTES4799</v>
      </c>
      <c r="E5272" t="s">
        <v>3049</v>
      </c>
    </row>
    <row r="5273" spans="1:5" x14ac:dyDescent="0.25">
      <c r="A5273">
        <v>2311</v>
      </c>
      <c r="B5273" t="s">
        <v>1762</v>
      </c>
      <c r="C5273" t="s">
        <v>240</v>
      </c>
      <c r="D5273" t="str">
        <f t="shared" si="83"/>
        <v>UNIMONTES4801</v>
      </c>
      <c r="E5273" t="s">
        <v>2968</v>
      </c>
    </row>
    <row r="5274" spans="1:5" x14ac:dyDescent="0.25">
      <c r="A5274">
        <v>2311</v>
      </c>
      <c r="B5274" t="s">
        <v>1762</v>
      </c>
      <c r="C5274" t="s">
        <v>286</v>
      </c>
      <c r="D5274" t="str">
        <f t="shared" si="83"/>
        <v>UNIMONTES4803</v>
      </c>
      <c r="E5274" t="s">
        <v>3004</v>
      </c>
    </row>
    <row r="5275" spans="1:5" x14ac:dyDescent="0.25">
      <c r="A5275">
        <v>2311</v>
      </c>
      <c r="B5275" t="s">
        <v>1762</v>
      </c>
      <c r="C5275" t="s">
        <v>3205</v>
      </c>
      <c r="D5275" t="str">
        <f t="shared" si="83"/>
        <v>UNIMONTES4905</v>
      </c>
      <c r="E5275" t="s">
        <v>65</v>
      </c>
    </row>
    <row r="5276" spans="1:5" x14ac:dyDescent="0.25">
      <c r="A5276">
        <v>2311</v>
      </c>
      <c r="B5276" t="s">
        <v>1762</v>
      </c>
      <c r="C5276" t="s">
        <v>3051</v>
      </c>
      <c r="D5276" t="str">
        <f t="shared" si="83"/>
        <v>UNIMONTES5101</v>
      </c>
      <c r="E5276" t="s">
        <v>3052</v>
      </c>
    </row>
    <row r="5277" spans="1:5" x14ac:dyDescent="0.25">
      <c r="A5277">
        <v>2311</v>
      </c>
      <c r="B5277" t="s">
        <v>1762</v>
      </c>
      <c r="C5277" t="s">
        <v>3053</v>
      </c>
      <c r="D5277" t="str">
        <f t="shared" si="83"/>
        <v>UNIMONTES5103</v>
      </c>
      <c r="E5277" t="s">
        <v>3052</v>
      </c>
    </row>
    <row r="5278" spans="1:5" x14ac:dyDescent="0.25">
      <c r="A5278">
        <v>2311</v>
      </c>
      <c r="B5278" t="s">
        <v>1762</v>
      </c>
      <c r="C5278" t="s">
        <v>173</v>
      </c>
      <c r="D5278" t="str">
        <f t="shared" si="83"/>
        <v>UNIMONTES5107</v>
      </c>
      <c r="E5278" t="s">
        <v>3052</v>
      </c>
    </row>
    <row r="5279" spans="1:5" x14ac:dyDescent="0.25">
      <c r="A5279">
        <v>2311</v>
      </c>
      <c r="B5279" t="s">
        <v>1762</v>
      </c>
      <c r="C5279" t="s">
        <v>372</v>
      </c>
      <c r="D5279" t="str">
        <f t="shared" si="83"/>
        <v>UNIMONTES5113</v>
      </c>
      <c r="E5279" t="s">
        <v>3052</v>
      </c>
    </row>
    <row r="5280" spans="1:5" x14ac:dyDescent="0.25">
      <c r="A5280">
        <v>2311</v>
      </c>
      <c r="B5280" t="s">
        <v>1762</v>
      </c>
      <c r="C5280" t="s">
        <v>242</v>
      </c>
      <c r="D5280" t="str">
        <f t="shared" si="83"/>
        <v>UNIMONTES5201</v>
      </c>
      <c r="E5280" t="s">
        <v>2965</v>
      </c>
    </row>
    <row r="5281" spans="1:5" x14ac:dyDescent="0.25">
      <c r="A5281">
        <v>2311</v>
      </c>
      <c r="B5281" t="s">
        <v>1762</v>
      </c>
      <c r="C5281" t="s">
        <v>3054</v>
      </c>
      <c r="D5281" t="str">
        <f t="shared" si="83"/>
        <v>UNIMONTES5204</v>
      </c>
      <c r="E5281" t="s">
        <v>3055</v>
      </c>
    </row>
    <row r="5282" spans="1:5" x14ac:dyDescent="0.25">
      <c r="A5282">
        <v>2311</v>
      </c>
      <c r="B5282" t="s">
        <v>1762</v>
      </c>
      <c r="C5282" t="s">
        <v>329</v>
      </c>
      <c r="D5282" t="str">
        <f t="shared" si="83"/>
        <v>UNIMONTES5206</v>
      </c>
      <c r="E5282" t="s">
        <v>3057</v>
      </c>
    </row>
    <row r="5283" spans="1:5" x14ac:dyDescent="0.25">
      <c r="A5283">
        <v>2311</v>
      </c>
      <c r="B5283" t="s">
        <v>1762</v>
      </c>
      <c r="C5283" t="s">
        <v>3058</v>
      </c>
      <c r="D5283" t="str">
        <f t="shared" si="83"/>
        <v>UNIMONTES5207</v>
      </c>
      <c r="E5283" t="s">
        <v>3057</v>
      </c>
    </row>
    <row r="5284" spans="1:5" x14ac:dyDescent="0.25">
      <c r="A5284">
        <v>2311</v>
      </c>
      <c r="B5284" t="s">
        <v>1762</v>
      </c>
      <c r="C5284" t="s">
        <v>3060</v>
      </c>
      <c r="D5284" t="str">
        <f t="shared" si="83"/>
        <v>UNIMONTES5208</v>
      </c>
      <c r="E5284" t="s">
        <v>3057</v>
      </c>
    </row>
    <row r="5285" spans="1:5" x14ac:dyDescent="0.25">
      <c r="A5285">
        <v>2311</v>
      </c>
      <c r="B5285" t="s">
        <v>1762</v>
      </c>
      <c r="C5285" t="s">
        <v>359</v>
      </c>
      <c r="D5285" t="str">
        <f t="shared" si="83"/>
        <v>UNIMONTES5209</v>
      </c>
      <c r="E5285" t="s">
        <v>3055</v>
      </c>
    </row>
    <row r="5286" spans="1:5" x14ac:dyDescent="0.25">
      <c r="A5286">
        <v>2311</v>
      </c>
      <c r="B5286" t="s">
        <v>1762</v>
      </c>
      <c r="C5286" t="s">
        <v>3063</v>
      </c>
      <c r="D5286" t="str">
        <f t="shared" si="83"/>
        <v>UNIMONTES5210</v>
      </c>
      <c r="E5286" t="s">
        <v>3055</v>
      </c>
    </row>
    <row r="5287" spans="1:5" x14ac:dyDescent="0.25">
      <c r="A5287">
        <v>2311</v>
      </c>
      <c r="B5287" t="s">
        <v>1762</v>
      </c>
      <c r="C5287" t="s">
        <v>3155</v>
      </c>
      <c r="D5287" t="str">
        <f t="shared" si="83"/>
        <v>UNIMONTES5211</v>
      </c>
      <c r="E5287" t="s">
        <v>2944</v>
      </c>
    </row>
    <row r="5288" spans="1:5" x14ac:dyDescent="0.25">
      <c r="A5288">
        <v>2311</v>
      </c>
      <c r="B5288" t="s">
        <v>1762</v>
      </c>
      <c r="C5288" t="s">
        <v>3064</v>
      </c>
      <c r="D5288" t="str">
        <f t="shared" si="83"/>
        <v>UNIMONTES5212</v>
      </c>
      <c r="E5288" t="s">
        <v>3055</v>
      </c>
    </row>
    <row r="5289" spans="1:5" x14ac:dyDescent="0.25">
      <c r="A5289">
        <v>2311</v>
      </c>
      <c r="B5289" t="s">
        <v>1762</v>
      </c>
      <c r="C5289" t="s">
        <v>385</v>
      </c>
      <c r="D5289" t="str">
        <f t="shared" si="83"/>
        <v>UNIMONTES5213</v>
      </c>
      <c r="E5289" t="s">
        <v>3055</v>
      </c>
    </row>
    <row r="5290" spans="1:5" x14ac:dyDescent="0.25">
      <c r="A5290">
        <v>2311</v>
      </c>
      <c r="B5290" t="s">
        <v>1762</v>
      </c>
      <c r="C5290" t="s">
        <v>391</v>
      </c>
      <c r="D5290" t="str">
        <f t="shared" si="83"/>
        <v>UNIMONTES5214</v>
      </c>
      <c r="E5290" t="s">
        <v>3055</v>
      </c>
    </row>
    <row r="5291" spans="1:5" x14ac:dyDescent="0.25">
      <c r="A5291">
        <v>2311</v>
      </c>
      <c r="B5291" t="s">
        <v>1762</v>
      </c>
      <c r="C5291" t="s">
        <v>403</v>
      </c>
      <c r="D5291" t="str">
        <f t="shared" si="83"/>
        <v>UNIMONTES5216</v>
      </c>
      <c r="E5291" t="s">
        <v>3067</v>
      </c>
    </row>
    <row r="5292" spans="1:5" x14ac:dyDescent="0.25">
      <c r="A5292">
        <v>2311</v>
      </c>
      <c r="B5292" t="s">
        <v>1762</v>
      </c>
      <c r="C5292" t="s">
        <v>409</v>
      </c>
      <c r="D5292" t="str">
        <f t="shared" si="83"/>
        <v>UNIMONTES5217</v>
      </c>
      <c r="E5292" t="s">
        <v>3067</v>
      </c>
    </row>
    <row r="5293" spans="1:5" x14ac:dyDescent="0.25">
      <c r="A5293">
        <v>2311</v>
      </c>
      <c r="B5293" t="s">
        <v>1762</v>
      </c>
      <c r="C5293" t="s">
        <v>419</v>
      </c>
      <c r="D5293" t="str">
        <f t="shared" si="83"/>
        <v>UNIMONTES5219</v>
      </c>
      <c r="E5293" t="s">
        <v>3055</v>
      </c>
    </row>
    <row r="5294" spans="1:5" x14ac:dyDescent="0.25">
      <c r="A5294">
        <v>2311</v>
      </c>
      <c r="B5294" t="s">
        <v>1762</v>
      </c>
      <c r="C5294" t="s">
        <v>3068</v>
      </c>
      <c r="D5294" t="str">
        <f t="shared" si="83"/>
        <v>UNIMONTES5220</v>
      </c>
      <c r="E5294" t="s">
        <v>3057</v>
      </c>
    </row>
    <row r="5295" spans="1:5" x14ac:dyDescent="0.25">
      <c r="A5295">
        <v>2311</v>
      </c>
      <c r="B5295" t="s">
        <v>1762</v>
      </c>
      <c r="C5295" t="s">
        <v>429</v>
      </c>
      <c r="D5295" t="str">
        <f t="shared" si="83"/>
        <v>UNIMONTES5221</v>
      </c>
      <c r="E5295" t="s">
        <v>3055</v>
      </c>
    </row>
    <row r="5296" spans="1:5" x14ac:dyDescent="0.25">
      <c r="A5296">
        <v>2311</v>
      </c>
      <c r="B5296" t="s">
        <v>1762</v>
      </c>
      <c r="C5296" t="s">
        <v>3346</v>
      </c>
      <c r="D5296" t="str">
        <f t="shared" si="83"/>
        <v>UNIMONTES5223</v>
      </c>
      <c r="E5296" t="s">
        <v>2933</v>
      </c>
    </row>
    <row r="5297" spans="1:5" x14ac:dyDescent="0.25">
      <c r="A5297">
        <v>2311</v>
      </c>
      <c r="B5297" t="s">
        <v>1762</v>
      </c>
      <c r="C5297" t="s">
        <v>449</v>
      </c>
      <c r="D5297" t="str">
        <f t="shared" si="83"/>
        <v>UNIMONTES5225</v>
      </c>
      <c r="E5297" t="s">
        <v>3055</v>
      </c>
    </row>
    <row r="5298" spans="1:5" x14ac:dyDescent="0.25">
      <c r="A5298">
        <v>2311</v>
      </c>
      <c r="B5298" t="s">
        <v>1762</v>
      </c>
      <c r="C5298" t="s">
        <v>3070</v>
      </c>
      <c r="D5298" t="str">
        <f t="shared" si="83"/>
        <v>UNIMONTES5226</v>
      </c>
      <c r="E5298" t="s">
        <v>3055</v>
      </c>
    </row>
    <row r="5299" spans="1:5" x14ac:dyDescent="0.25">
      <c r="A5299">
        <v>2311</v>
      </c>
      <c r="B5299" t="s">
        <v>1762</v>
      </c>
      <c r="C5299" t="s">
        <v>3072</v>
      </c>
      <c r="D5299" t="str">
        <f t="shared" si="83"/>
        <v>UNIMONTES5227</v>
      </c>
      <c r="E5299" t="s">
        <v>3055</v>
      </c>
    </row>
    <row r="5300" spans="1:5" x14ac:dyDescent="0.25">
      <c r="A5300">
        <v>2311</v>
      </c>
      <c r="B5300" t="s">
        <v>1762</v>
      </c>
      <c r="C5300" t="s">
        <v>459</v>
      </c>
      <c r="D5300" t="str">
        <f t="shared" si="83"/>
        <v>UNIMONTES5299</v>
      </c>
      <c r="E5300" t="s">
        <v>3055</v>
      </c>
    </row>
    <row r="5301" spans="1:5" x14ac:dyDescent="0.25">
      <c r="A5301">
        <v>2311</v>
      </c>
      <c r="B5301" t="s">
        <v>1762</v>
      </c>
      <c r="C5301" t="s">
        <v>3074</v>
      </c>
      <c r="D5301" t="str">
        <f t="shared" si="83"/>
        <v>UNIMONTES9202</v>
      </c>
      <c r="E5301" t="s">
        <v>3075</v>
      </c>
    </row>
    <row r="5302" spans="1:5" x14ac:dyDescent="0.25">
      <c r="A5302">
        <v>2311</v>
      </c>
      <c r="B5302" t="s">
        <v>1762</v>
      </c>
      <c r="C5302" t="s">
        <v>331</v>
      </c>
      <c r="D5302" t="str">
        <f t="shared" si="83"/>
        <v>UNIMONTES9306</v>
      </c>
      <c r="E5302" t="s">
        <v>3076</v>
      </c>
    </row>
    <row r="5303" spans="1:5" x14ac:dyDescent="0.25">
      <c r="A5303">
        <v>2311</v>
      </c>
      <c r="B5303" t="s">
        <v>1762</v>
      </c>
      <c r="C5303" t="s">
        <v>367</v>
      </c>
      <c r="D5303" t="str">
        <f t="shared" si="83"/>
        <v>UNIMONTES9310</v>
      </c>
      <c r="E5303" t="s">
        <v>2968</v>
      </c>
    </row>
    <row r="5304" spans="1:5" x14ac:dyDescent="0.25">
      <c r="A5304">
        <v>2311</v>
      </c>
      <c r="B5304" t="s">
        <v>1762</v>
      </c>
      <c r="C5304" t="s">
        <v>3079</v>
      </c>
      <c r="D5304" t="str">
        <f t="shared" si="83"/>
        <v>UNIMONTES9399</v>
      </c>
      <c r="E5304" t="s">
        <v>2968</v>
      </c>
    </row>
    <row r="5305" spans="1:5" x14ac:dyDescent="0.25">
      <c r="A5305">
        <v>2321</v>
      </c>
      <c r="B5305" t="s">
        <v>1734</v>
      </c>
      <c r="C5305" t="s">
        <v>3339</v>
      </c>
      <c r="D5305" t="str">
        <f t="shared" si="83"/>
        <v>HEMOMINAS0803</v>
      </c>
      <c r="E5305" t="s">
        <v>2926</v>
      </c>
    </row>
    <row r="5306" spans="1:5" x14ac:dyDescent="0.25">
      <c r="A5306">
        <v>2321</v>
      </c>
      <c r="B5306" t="s">
        <v>1734</v>
      </c>
      <c r="C5306" t="s">
        <v>3229</v>
      </c>
      <c r="D5306" t="str">
        <f t="shared" si="83"/>
        <v>HEMOMINAS1307</v>
      </c>
      <c r="E5306" t="s">
        <v>3081</v>
      </c>
    </row>
    <row r="5307" spans="1:5" x14ac:dyDescent="0.25">
      <c r="A5307">
        <v>2321</v>
      </c>
      <c r="B5307" t="s">
        <v>1734</v>
      </c>
      <c r="C5307" t="s">
        <v>3222</v>
      </c>
      <c r="D5307" t="str">
        <f t="shared" si="83"/>
        <v>HEMOMINAS1313</v>
      </c>
      <c r="E5307" t="s">
        <v>2944</v>
      </c>
    </row>
    <row r="5308" spans="1:5" x14ac:dyDescent="0.25">
      <c r="A5308">
        <v>2321</v>
      </c>
      <c r="B5308" t="s">
        <v>1734</v>
      </c>
      <c r="C5308" t="s">
        <v>332</v>
      </c>
      <c r="D5308" t="str">
        <f t="shared" si="83"/>
        <v>HEMOMINAS1314</v>
      </c>
      <c r="E5308" t="s">
        <v>3081</v>
      </c>
    </row>
    <row r="5309" spans="1:5" x14ac:dyDescent="0.25">
      <c r="A5309">
        <v>2321</v>
      </c>
      <c r="B5309" t="s">
        <v>1734</v>
      </c>
      <c r="C5309" t="s">
        <v>2928</v>
      </c>
      <c r="D5309" t="str">
        <f t="shared" si="83"/>
        <v>HEMOMINAS1401</v>
      </c>
      <c r="E5309" t="s">
        <v>44</v>
      </c>
    </row>
    <row r="5310" spans="1:5" x14ac:dyDescent="0.25">
      <c r="A5310">
        <v>2321</v>
      </c>
      <c r="B5310" t="s">
        <v>1734</v>
      </c>
      <c r="C5310" t="s">
        <v>2932</v>
      </c>
      <c r="D5310" t="str">
        <f t="shared" si="83"/>
        <v>HEMOMINAS3001</v>
      </c>
      <c r="E5310" t="s">
        <v>2933</v>
      </c>
    </row>
    <row r="5311" spans="1:5" x14ac:dyDescent="0.25">
      <c r="A5311">
        <v>2321</v>
      </c>
      <c r="B5311" t="s">
        <v>1734</v>
      </c>
      <c r="C5311" t="s">
        <v>256</v>
      </c>
      <c r="D5311" t="str">
        <f t="shared" si="83"/>
        <v>HEMOMINAS3002</v>
      </c>
      <c r="E5311" t="s">
        <v>2933</v>
      </c>
    </row>
    <row r="5312" spans="1:5" x14ac:dyDescent="0.25">
      <c r="A5312">
        <v>2321</v>
      </c>
      <c r="B5312" t="s">
        <v>1734</v>
      </c>
      <c r="C5312" t="s">
        <v>979</v>
      </c>
      <c r="D5312" t="str">
        <f t="shared" si="83"/>
        <v>HEMOMINAS3003</v>
      </c>
      <c r="E5312" t="s">
        <v>2933</v>
      </c>
    </row>
    <row r="5313" spans="1:5" x14ac:dyDescent="0.25">
      <c r="A5313">
        <v>2321</v>
      </c>
      <c r="B5313" t="s">
        <v>1734</v>
      </c>
      <c r="C5313" t="s">
        <v>2937</v>
      </c>
      <c r="D5313" t="str">
        <f t="shared" si="83"/>
        <v>HEMOMINAS3004</v>
      </c>
      <c r="E5313" t="s">
        <v>2933</v>
      </c>
    </row>
    <row r="5314" spans="1:5" x14ac:dyDescent="0.25">
      <c r="A5314">
        <v>2321</v>
      </c>
      <c r="B5314" t="s">
        <v>1734</v>
      </c>
      <c r="C5314" t="s">
        <v>2939</v>
      </c>
      <c r="D5314" t="str">
        <f t="shared" si="83"/>
        <v>HEMOMINAS3005</v>
      </c>
      <c r="E5314" t="s">
        <v>2933</v>
      </c>
    </row>
    <row r="5315" spans="1:5" x14ac:dyDescent="0.25">
      <c r="A5315">
        <v>2321</v>
      </c>
      <c r="B5315" t="s">
        <v>1734</v>
      </c>
      <c r="C5315" t="s">
        <v>2941</v>
      </c>
      <c r="D5315" t="str">
        <f t="shared" si="83"/>
        <v>HEMOMINAS3008</v>
      </c>
      <c r="E5315" t="s">
        <v>2933</v>
      </c>
    </row>
    <row r="5316" spans="1:5" x14ac:dyDescent="0.25">
      <c r="A5316">
        <v>2321</v>
      </c>
      <c r="B5316" t="s">
        <v>1734</v>
      </c>
      <c r="C5316" t="s">
        <v>2943</v>
      </c>
      <c r="D5316" t="str">
        <f t="shared" si="83"/>
        <v>HEMOMINAS3010</v>
      </c>
      <c r="E5316" t="s">
        <v>2944</v>
      </c>
    </row>
    <row r="5317" spans="1:5" x14ac:dyDescent="0.25">
      <c r="A5317">
        <v>2321</v>
      </c>
      <c r="B5317" t="s">
        <v>1734</v>
      </c>
      <c r="C5317" t="s">
        <v>369</v>
      </c>
      <c r="D5317" t="str">
        <f t="shared" ref="D5317:D5380" si="84">CONCATENATE(B5317,LEFT(C5317,4))</f>
        <v>HEMOMINAS3011</v>
      </c>
      <c r="E5317" t="s">
        <v>2933</v>
      </c>
    </row>
    <row r="5318" spans="1:5" x14ac:dyDescent="0.25">
      <c r="A5318">
        <v>2321</v>
      </c>
      <c r="B5318" t="s">
        <v>1734</v>
      </c>
      <c r="C5318" t="s">
        <v>138</v>
      </c>
      <c r="D5318" t="str">
        <f t="shared" si="84"/>
        <v>HEMOMINAS3012</v>
      </c>
      <c r="E5318" t="s">
        <v>2944</v>
      </c>
    </row>
    <row r="5319" spans="1:5" x14ac:dyDescent="0.25">
      <c r="A5319">
        <v>2321</v>
      </c>
      <c r="B5319" t="s">
        <v>1734</v>
      </c>
      <c r="C5319" t="s">
        <v>2946</v>
      </c>
      <c r="D5319" t="str">
        <f t="shared" si="84"/>
        <v>HEMOMINAS3013</v>
      </c>
      <c r="E5319" t="s">
        <v>2933</v>
      </c>
    </row>
    <row r="5320" spans="1:5" x14ac:dyDescent="0.25">
      <c r="A5320">
        <v>2321</v>
      </c>
      <c r="B5320" t="s">
        <v>1734</v>
      </c>
      <c r="C5320" t="s">
        <v>2948</v>
      </c>
      <c r="D5320" t="str">
        <f t="shared" si="84"/>
        <v>HEMOMINAS3015</v>
      </c>
      <c r="E5320" t="s">
        <v>2933</v>
      </c>
    </row>
    <row r="5321" spans="1:5" x14ac:dyDescent="0.25">
      <c r="A5321">
        <v>2321</v>
      </c>
      <c r="B5321" t="s">
        <v>1734</v>
      </c>
      <c r="C5321" t="s">
        <v>2950</v>
      </c>
      <c r="D5321" t="str">
        <f t="shared" si="84"/>
        <v>HEMOMINAS3016</v>
      </c>
      <c r="E5321" t="s">
        <v>2933</v>
      </c>
    </row>
    <row r="5322" spans="1:5" x14ac:dyDescent="0.25">
      <c r="A5322">
        <v>2321</v>
      </c>
      <c r="B5322" t="s">
        <v>1734</v>
      </c>
      <c r="C5322" t="s">
        <v>406</v>
      </c>
      <c r="D5322" t="str">
        <f t="shared" si="84"/>
        <v>HEMOMINAS3017</v>
      </c>
      <c r="E5322" t="s">
        <v>2933</v>
      </c>
    </row>
    <row r="5323" spans="1:5" x14ac:dyDescent="0.25">
      <c r="A5323">
        <v>2321</v>
      </c>
      <c r="B5323" t="s">
        <v>1734</v>
      </c>
      <c r="C5323" t="s">
        <v>2953</v>
      </c>
      <c r="D5323" t="str">
        <f t="shared" si="84"/>
        <v>HEMOMINAS3019</v>
      </c>
      <c r="E5323" t="s">
        <v>2954</v>
      </c>
    </row>
    <row r="5324" spans="1:5" x14ac:dyDescent="0.25">
      <c r="A5324">
        <v>2321</v>
      </c>
      <c r="B5324" t="s">
        <v>1734</v>
      </c>
      <c r="C5324" t="s">
        <v>2955</v>
      </c>
      <c r="D5324" t="str">
        <f t="shared" si="84"/>
        <v>HEMOMINAS3020</v>
      </c>
      <c r="E5324" t="s">
        <v>2933</v>
      </c>
    </row>
    <row r="5325" spans="1:5" x14ac:dyDescent="0.25">
      <c r="A5325">
        <v>2321</v>
      </c>
      <c r="B5325" t="s">
        <v>1734</v>
      </c>
      <c r="C5325" t="s">
        <v>2956</v>
      </c>
      <c r="D5325" t="str">
        <f t="shared" si="84"/>
        <v>HEMOMINAS3021</v>
      </c>
      <c r="E5325" t="s">
        <v>2933</v>
      </c>
    </row>
    <row r="5326" spans="1:5" x14ac:dyDescent="0.25">
      <c r="A5326">
        <v>2321</v>
      </c>
      <c r="B5326" t="s">
        <v>1734</v>
      </c>
      <c r="C5326" t="s">
        <v>431</v>
      </c>
      <c r="D5326" t="str">
        <f t="shared" si="84"/>
        <v>HEMOMINAS3022</v>
      </c>
      <c r="E5326" t="s">
        <v>2933</v>
      </c>
    </row>
    <row r="5327" spans="1:5" x14ac:dyDescent="0.25">
      <c r="A5327">
        <v>2321</v>
      </c>
      <c r="B5327" t="s">
        <v>1734</v>
      </c>
      <c r="C5327" t="s">
        <v>441</v>
      </c>
      <c r="D5327" t="str">
        <f t="shared" si="84"/>
        <v>HEMOMINAS3024</v>
      </c>
      <c r="E5327" t="s">
        <v>2933</v>
      </c>
    </row>
    <row r="5328" spans="1:5" x14ac:dyDescent="0.25">
      <c r="A5328">
        <v>2321</v>
      </c>
      <c r="B5328" t="s">
        <v>1734</v>
      </c>
      <c r="C5328" t="s">
        <v>2959</v>
      </c>
      <c r="D5328" t="str">
        <f t="shared" si="84"/>
        <v>HEMOMINAS3025</v>
      </c>
      <c r="E5328" t="s">
        <v>2933</v>
      </c>
    </row>
    <row r="5329" spans="1:5" x14ac:dyDescent="0.25">
      <c r="A5329">
        <v>2321</v>
      </c>
      <c r="B5329" t="s">
        <v>1734</v>
      </c>
      <c r="C5329" t="s">
        <v>2960</v>
      </c>
      <c r="D5329" t="str">
        <f t="shared" si="84"/>
        <v>HEMOMINAS3026</v>
      </c>
      <c r="E5329" t="s">
        <v>2958</v>
      </c>
    </row>
    <row r="5330" spans="1:5" x14ac:dyDescent="0.25">
      <c r="A5330">
        <v>2321</v>
      </c>
      <c r="B5330" t="s">
        <v>1734</v>
      </c>
      <c r="C5330" t="s">
        <v>2961</v>
      </c>
      <c r="D5330" t="str">
        <f t="shared" si="84"/>
        <v>HEMOMINAS3027</v>
      </c>
      <c r="E5330" t="s">
        <v>2933</v>
      </c>
    </row>
    <row r="5331" spans="1:5" x14ac:dyDescent="0.25">
      <c r="A5331">
        <v>2321</v>
      </c>
      <c r="B5331" t="s">
        <v>1734</v>
      </c>
      <c r="C5331" t="s">
        <v>467</v>
      </c>
      <c r="D5331" t="str">
        <f t="shared" si="84"/>
        <v>HEMOMINAS3030</v>
      </c>
      <c r="E5331" t="s">
        <v>2933</v>
      </c>
    </row>
    <row r="5332" spans="1:5" x14ac:dyDescent="0.25">
      <c r="A5332">
        <v>2321</v>
      </c>
      <c r="B5332" t="s">
        <v>1734</v>
      </c>
      <c r="C5332" t="s">
        <v>470</v>
      </c>
      <c r="D5332" t="str">
        <f t="shared" si="84"/>
        <v>HEMOMINAS3031</v>
      </c>
      <c r="E5332" t="s">
        <v>2933</v>
      </c>
    </row>
    <row r="5333" spans="1:5" x14ac:dyDescent="0.25">
      <c r="A5333">
        <v>2321</v>
      </c>
      <c r="B5333" t="s">
        <v>1734</v>
      </c>
      <c r="C5333" t="s">
        <v>487</v>
      </c>
      <c r="D5333" t="str">
        <f t="shared" si="84"/>
        <v>HEMOMINAS3040</v>
      </c>
      <c r="E5333" t="s">
        <v>2933</v>
      </c>
    </row>
    <row r="5334" spans="1:5" x14ac:dyDescent="0.25">
      <c r="A5334">
        <v>2321</v>
      </c>
      <c r="B5334" t="s">
        <v>1734</v>
      </c>
      <c r="C5334" t="s">
        <v>2993</v>
      </c>
      <c r="D5334" t="str">
        <f t="shared" si="84"/>
        <v>HEMOMINAS3041</v>
      </c>
      <c r="E5334" t="s">
        <v>2968</v>
      </c>
    </row>
    <row r="5335" spans="1:5" x14ac:dyDescent="0.25">
      <c r="A5335">
        <v>2321</v>
      </c>
      <c r="B5335" t="s">
        <v>1734</v>
      </c>
      <c r="C5335" t="s">
        <v>491</v>
      </c>
      <c r="D5335" t="str">
        <f t="shared" si="84"/>
        <v>HEMOMINAS3099</v>
      </c>
      <c r="E5335" t="s">
        <v>2933</v>
      </c>
    </row>
    <row r="5336" spans="1:5" x14ac:dyDescent="0.25">
      <c r="A5336">
        <v>2321</v>
      </c>
      <c r="B5336" t="s">
        <v>1734</v>
      </c>
      <c r="C5336" t="s">
        <v>227</v>
      </c>
      <c r="D5336" t="str">
        <f t="shared" si="84"/>
        <v>HEMOMINAS3201</v>
      </c>
      <c r="E5336" t="s">
        <v>2968</v>
      </c>
    </row>
    <row r="5337" spans="1:5" x14ac:dyDescent="0.25">
      <c r="A5337">
        <v>2321</v>
      </c>
      <c r="B5337" t="s">
        <v>1734</v>
      </c>
      <c r="C5337" t="s">
        <v>54</v>
      </c>
      <c r="D5337" t="str">
        <f t="shared" si="84"/>
        <v>HEMOMINAS3301</v>
      </c>
      <c r="E5337" t="s">
        <v>44</v>
      </c>
    </row>
    <row r="5338" spans="1:5" x14ac:dyDescent="0.25">
      <c r="A5338">
        <v>2321</v>
      </c>
      <c r="B5338" t="s">
        <v>1734</v>
      </c>
      <c r="C5338" t="s">
        <v>2975</v>
      </c>
      <c r="D5338" t="str">
        <f t="shared" si="84"/>
        <v>HEMOMINAS3302</v>
      </c>
      <c r="E5338" t="s">
        <v>44</v>
      </c>
    </row>
    <row r="5339" spans="1:5" x14ac:dyDescent="0.25">
      <c r="A5339">
        <v>2321</v>
      </c>
      <c r="B5339" t="s">
        <v>1734</v>
      </c>
      <c r="C5339" t="s">
        <v>2977</v>
      </c>
      <c r="D5339" t="str">
        <f t="shared" si="84"/>
        <v>HEMOMINAS3304</v>
      </c>
      <c r="E5339" t="s">
        <v>44</v>
      </c>
    </row>
    <row r="5340" spans="1:5" x14ac:dyDescent="0.25">
      <c r="A5340">
        <v>2321</v>
      </c>
      <c r="B5340" t="s">
        <v>1734</v>
      </c>
      <c r="C5340" t="s">
        <v>309</v>
      </c>
      <c r="D5340" t="str">
        <f t="shared" si="84"/>
        <v>HEMOMINAS3305</v>
      </c>
      <c r="E5340" t="s">
        <v>44</v>
      </c>
    </row>
    <row r="5341" spans="1:5" x14ac:dyDescent="0.25">
      <c r="A5341">
        <v>2321</v>
      </c>
      <c r="B5341" t="s">
        <v>1734</v>
      </c>
      <c r="C5341" t="s">
        <v>228</v>
      </c>
      <c r="D5341" t="str">
        <f t="shared" si="84"/>
        <v>HEMOMINAS3401</v>
      </c>
      <c r="E5341" t="s">
        <v>3231</v>
      </c>
    </row>
    <row r="5342" spans="1:5" x14ac:dyDescent="0.25">
      <c r="A5342">
        <v>2321</v>
      </c>
      <c r="B5342" t="s">
        <v>1734</v>
      </c>
      <c r="C5342" t="s">
        <v>280</v>
      </c>
      <c r="D5342" t="str">
        <f t="shared" si="84"/>
        <v>HEMOMINAS3403</v>
      </c>
      <c r="E5342" t="s">
        <v>3081</v>
      </c>
    </row>
    <row r="5343" spans="1:5" x14ac:dyDescent="0.25">
      <c r="A5343">
        <v>2321</v>
      </c>
      <c r="B5343" t="s">
        <v>1734</v>
      </c>
      <c r="C5343" t="s">
        <v>296</v>
      </c>
      <c r="D5343" t="str">
        <f t="shared" si="84"/>
        <v>HEMOMINAS3404</v>
      </c>
      <c r="E5343" t="s">
        <v>3081</v>
      </c>
    </row>
    <row r="5344" spans="1:5" x14ac:dyDescent="0.25">
      <c r="A5344">
        <v>2321</v>
      </c>
      <c r="B5344" t="s">
        <v>1734</v>
      </c>
      <c r="C5344" t="s">
        <v>3201</v>
      </c>
      <c r="D5344" t="str">
        <f t="shared" si="84"/>
        <v>HEMOMINAS3502</v>
      </c>
      <c r="E5344" t="s">
        <v>1660</v>
      </c>
    </row>
    <row r="5345" spans="1:5" x14ac:dyDescent="0.25">
      <c r="A5345">
        <v>2321</v>
      </c>
      <c r="B5345" t="s">
        <v>1734</v>
      </c>
      <c r="C5345" t="s">
        <v>3012</v>
      </c>
      <c r="D5345" t="str">
        <f t="shared" si="84"/>
        <v>HEMOMINAS3601</v>
      </c>
      <c r="E5345" t="s">
        <v>65</v>
      </c>
    </row>
    <row r="5346" spans="1:5" x14ac:dyDescent="0.25">
      <c r="A5346">
        <v>2321</v>
      </c>
      <c r="B5346" t="s">
        <v>1734</v>
      </c>
      <c r="C5346" t="s">
        <v>297</v>
      </c>
      <c r="D5346" t="str">
        <f t="shared" si="84"/>
        <v>HEMOMINAS3604</v>
      </c>
      <c r="E5346" t="s">
        <v>44</v>
      </c>
    </row>
    <row r="5347" spans="1:5" x14ac:dyDescent="0.25">
      <c r="A5347">
        <v>2321</v>
      </c>
      <c r="B5347" t="s">
        <v>1734</v>
      </c>
      <c r="C5347" t="s">
        <v>355</v>
      </c>
      <c r="D5347" t="str">
        <f t="shared" si="84"/>
        <v>HEMOMINAS3610</v>
      </c>
      <c r="E5347" t="s">
        <v>2968</v>
      </c>
    </row>
    <row r="5348" spans="1:5" x14ac:dyDescent="0.25">
      <c r="A5348">
        <v>2321</v>
      </c>
      <c r="B5348" t="s">
        <v>1734</v>
      </c>
      <c r="C5348" t="s">
        <v>2979</v>
      </c>
      <c r="D5348" t="str">
        <f t="shared" si="84"/>
        <v>HEMOMINAS3612</v>
      </c>
      <c r="E5348" t="s">
        <v>2968</v>
      </c>
    </row>
    <row r="5349" spans="1:5" x14ac:dyDescent="0.25">
      <c r="A5349">
        <v>2321</v>
      </c>
      <c r="B5349" t="s">
        <v>1734</v>
      </c>
      <c r="C5349" t="s">
        <v>3023</v>
      </c>
      <c r="D5349" t="str">
        <f t="shared" si="84"/>
        <v>HEMOMINAS3616</v>
      </c>
      <c r="E5349" t="s">
        <v>2958</v>
      </c>
    </row>
    <row r="5350" spans="1:5" x14ac:dyDescent="0.25">
      <c r="A5350">
        <v>2321</v>
      </c>
      <c r="B5350" t="s">
        <v>1734</v>
      </c>
      <c r="C5350" t="s">
        <v>447</v>
      </c>
      <c r="D5350" t="str">
        <f t="shared" si="84"/>
        <v>HEMOMINAS3626</v>
      </c>
      <c r="E5350" t="s">
        <v>2968</v>
      </c>
    </row>
    <row r="5351" spans="1:5" x14ac:dyDescent="0.25">
      <c r="A5351">
        <v>2321</v>
      </c>
      <c r="B5351" t="s">
        <v>1734</v>
      </c>
      <c r="C5351" t="s">
        <v>3050</v>
      </c>
      <c r="D5351" t="str">
        <f t="shared" si="84"/>
        <v>HEMOMINAS3702</v>
      </c>
      <c r="E5351" t="s">
        <v>2981</v>
      </c>
    </row>
    <row r="5352" spans="1:5" x14ac:dyDescent="0.25">
      <c r="A5352">
        <v>2321</v>
      </c>
      <c r="B5352" t="s">
        <v>1734</v>
      </c>
      <c r="C5352" t="s">
        <v>2983</v>
      </c>
      <c r="D5352" t="str">
        <f t="shared" si="84"/>
        <v>HEMOMINAS3703</v>
      </c>
      <c r="E5352" t="s">
        <v>117</v>
      </c>
    </row>
    <row r="5353" spans="1:5" x14ac:dyDescent="0.25">
      <c r="A5353">
        <v>2321</v>
      </c>
      <c r="B5353" t="s">
        <v>1734</v>
      </c>
      <c r="C5353" t="s">
        <v>2985</v>
      </c>
      <c r="D5353" t="str">
        <f t="shared" si="84"/>
        <v>HEMOMINAS3704</v>
      </c>
      <c r="E5353" t="s">
        <v>117</v>
      </c>
    </row>
    <row r="5354" spans="1:5" x14ac:dyDescent="0.25">
      <c r="A5354">
        <v>2321</v>
      </c>
      <c r="B5354" t="s">
        <v>1734</v>
      </c>
      <c r="C5354" t="s">
        <v>2986</v>
      </c>
      <c r="D5354" t="str">
        <f t="shared" si="84"/>
        <v>HEMOMINAS3705</v>
      </c>
      <c r="E5354" t="s">
        <v>117</v>
      </c>
    </row>
    <row r="5355" spans="1:5" x14ac:dyDescent="0.25">
      <c r="A5355">
        <v>2321</v>
      </c>
      <c r="B5355" t="s">
        <v>1734</v>
      </c>
      <c r="C5355" t="s">
        <v>2988</v>
      </c>
      <c r="D5355" t="str">
        <f t="shared" si="84"/>
        <v>HEMOMINAS3903</v>
      </c>
      <c r="E5355" t="s">
        <v>2968</v>
      </c>
    </row>
    <row r="5356" spans="1:5" x14ac:dyDescent="0.25">
      <c r="A5356">
        <v>2321</v>
      </c>
      <c r="B5356" t="s">
        <v>1734</v>
      </c>
      <c r="C5356" t="s">
        <v>299</v>
      </c>
      <c r="D5356" t="str">
        <f t="shared" si="84"/>
        <v>HEMOMINAS3904</v>
      </c>
      <c r="E5356" t="s">
        <v>2968</v>
      </c>
    </row>
    <row r="5357" spans="1:5" x14ac:dyDescent="0.25">
      <c r="A5357">
        <v>2321</v>
      </c>
      <c r="B5357" t="s">
        <v>1734</v>
      </c>
      <c r="C5357" t="s">
        <v>326</v>
      </c>
      <c r="D5357" t="str">
        <f t="shared" si="84"/>
        <v>HEMOMINAS3906</v>
      </c>
      <c r="E5357" t="s">
        <v>2968</v>
      </c>
    </row>
    <row r="5358" spans="1:5" x14ac:dyDescent="0.25">
      <c r="A5358">
        <v>2321</v>
      </c>
      <c r="B5358" t="s">
        <v>1734</v>
      </c>
      <c r="C5358" t="s">
        <v>2989</v>
      </c>
      <c r="D5358" t="str">
        <f t="shared" si="84"/>
        <v>HEMOMINAS3908</v>
      </c>
      <c r="E5358" t="s">
        <v>2968</v>
      </c>
    </row>
    <row r="5359" spans="1:5" x14ac:dyDescent="0.25">
      <c r="A5359">
        <v>2321</v>
      </c>
      <c r="B5359" t="s">
        <v>1734</v>
      </c>
      <c r="C5359" t="s">
        <v>336</v>
      </c>
      <c r="D5359" t="str">
        <f t="shared" si="84"/>
        <v>HEMOMINAS3909</v>
      </c>
      <c r="E5359" t="s">
        <v>2968</v>
      </c>
    </row>
    <row r="5360" spans="1:5" x14ac:dyDescent="0.25">
      <c r="A5360">
        <v>2321</v>
      </c>
      <c r="B5360" t="s">
        <v>1734</v>
      </c>
      <c r="C5360" t="s">
        <v>346</v>
      </c>
      <c r="D5360" t="str">
        <f t="shared" si="84"/>
        <v>HEMOMINAS3910</v>
      </c>
      <c r="E5360" t="s">
        <v>2968</v>
      </c>
    </row>
    <row r="5361" spans="1:5" x14ac:dyDescent="0.25">
      <c r="A5361">
        <v>2321</v>
      </c>
      <c r="B5361" t="s">
        <v>1734</v>
      </c>
      <c r="C5361" t="s">
        <v>356</v>
      </c>
      <c r="D5361" t="str">
        <f t="shared" si="84"/>
        <v>HEMOMINAS3911</v>
      </c>
      <c r="E5361" t="s">
        <v>2968</v>
      </c>
    </row>
    <row r="5362" spans="1:5" x14ac:dyDescent="0.25">
      <c r="A5362">
        <v>2321</v>
      </c>
      <c r="B5362" t="s">
        <v>1734</v>
      </c>
      <c r="C5362" t="s">
        <v>2991</v>
      </c>
      <c r="D5362" t="str">
        <f t="shared" si="84"/>
        <v>HEMOMINAS3912</v>
      </c>
      <c r="E5362" t="s">
        <v>2992</v>
      </c>
    </row>
    <row r="5363" spans="1:5" x14ac:dyDescent="0.25">
      <c r="A5363">
        <v>2321</v>
      </c>
      <c r="B5363" t="s">
        <v>1734</v>
      </c>
      <c r="C5363" t="s">
        <v>2994</v>
      </c>
      <c r="D5363" t="str">
        <f t="shared" si="84"/>
        <v>HEMOMINAS3913</v>
      </c>
      <c r="E5363" t="s">
        <v>2992</v>
      </c>
    </row>
    <row r="5364" spans="1:5" x14ac:dyDescent="0.25">
      <c r="A5364">
        <v>2321</v>
      </c>
      <c r="B5364" t="s">
        <v>1734</v>
      </c>
      <c r="C5364" t="s">
        <v>384</v>
      </c>
      <c r="D5364" t="str">
        <f t="shared" si="84"/>
        <v>HEMOMINAS3915</v>
      </c>
      <c r="E5364" t="s">
        <v>2992</v>
      </c>
    </row>
    <row r="5365" spans="1:5" x14ac:dyDescent="0.25">
      <c r="A5365">
        <v>2321</v>
      </c>
      <c r="B5365" t="s">
        <v>1734</v>
      </c>
      <c r="C5365" t="s">
        <v>2996</v>
      </c>
      <c r="D5365" t="str">
        <f t="shared" si="84"/>
        <v>HEMOMINAS3917</v>
      </c>
      <c r="E5365" t="s">
        <v>2958</v>
      </c>
    </row>
    <row r="5366" spans="1:5" x14ac:dyDescent="0.25">
      <c r="A5366">
        <v>2321</v>
      </c>
      <c r="B5366" t="s">
        <v>1734</v>
      </c>
      <c r="C5366" t="s">
        <v>2998</v>
      </c>
      <c r="D5366" t="str">
        <f t="shared" si="84"/>
        <v>HEMOMINAS3918</v>
      </c>
      <c r="E5366" t="s">
        <v>2958</v>
      </c>
    </row>
    <row r="5367" spans="1:5" x14ac:dyDescent="0.25">
      <c r="A5367">
        <v>2321</v>
      </c>
      <c r="B5367" t="s">
        <v>1734</v>
      </c>
      <c r="C5367" t="s">
        <v>3000</v>
      </c>
      <c r="D5367" t="str">
        <f t="shared" si="84"/>
        <v>HEMOMINAS3919</v>
      </c>
      <c r="E5367" t="s">
        <v>3001</v>
      </c>
    </row>
    <row r="5368" spans="1:5" x14ac:dyDescent="0.25">
      <c r="A5368">
        <v>2321</v>
      </c>
      <c r="B5368" t="s">
        <v>1734</v>
      </c>
      <c r="C5368" t="s">
        <v>3077</v>
      </c>
      <c r="D5368" t="str">
        <f t="shared" si="84"/>
        <v>HEMOMINAS3920</v>
      </c>
      <c r="E5368" t="s">
        <v>3107</v>
      </c>
    </row>
    <row r="5369" spans="1:5" x14ac:dyDescent="0.25">
      <c r="A5369">
        <v>2321</v>
      </c>
      <c r="B5369" t="s">
        <v>1734</v>
      </c>
      <c r="C5369" t="s">
        <v>3002</v>
      </c>
      <c r="D5369" t="str">
        <f t="shared" si="84"/>
        <v>HEMOMINAS3921</v>
      </c>
      <c r="E5369" t="s">
        <v>3001</v>
      </c>
    </row>
    <row r="5370" spans="1:5" x14ac:dyDescent="0.25">
      <c r="A5370">
        <v>2321</v>
      </c>
      <c r="B5370" t="s">
        <v>1734</v>
      </c>
      <c r="C5370" t="s">
        <v>3003</v>
      </c>
      <c r="D5370" t="str">
        <f t="shared" si="84"/>
        <v>HEMOMINAS3922</v>
      </c>
      <c r="E5370" t="s">
        <v>2954</v>
      </c>
    </row>
    <row r="5371" spans="1:5" x14ac:dyDescent="0.25">
      <c r="A5371">
        <v>2321</v>
      </c>
      <c r="B5371" t="s">
        <v>1734</v>
      </c>
      <c r="C5371" t="s">
        <v>566</v>
      </c>
      <c r="D5371" t="str">
        <f t="shared" si="84"/>
        <v>HEMOMINAS3924</v>
      </c>
      <c r="E5371" t="s">
        <v>3004</v>
      </c>
    </row>
    <row r="5372" spans="1:5" x14ac:dyDescent="0.25">
      <c r="A5372">
        <v>2321</v>
      </c>
      <c r="B5372" t="s">
        <v>1734</v>
      </c>
      <c r="C5372" t="s">
        <v>438</v>
      </c>
      <c r="D5372" t="str">
        <f t="shared" si="84"/>
        <v>HEMOMINAS3925</v>
      </c>
      <c r="E5372" t="s">
        <v>3006</v>
      </c>
    </row>
    <row r="5373" spans="1:5" x14ac:dyDescent="0.25">
      <c r="A5373">
        <v>2321</v>
      </c>
      <c r="B5373" t="s">
        <v>1734</v>
      </c>
      <c r="C5373" t="s">
        <v>443</v>
      </c>
      <c r="D5373" t="str">
        <f t="shared" si="84"/>
        <v>HEMOMINAS3926</v>
      </c>
      <c r="E5373" t="s">
        <v>3006</v>
      </c>
    </row>
    <row r="5374" spans="1:5" x14ac:dyDescent="0.25">
      <c r="A5374">
        <v>2321</v>
      </c>
      <c r="B5374" t="s">
        <v>1734</v>
      </c>
      <c r="C5374" t="s">
        <v>3008</v>
      </c>
      <c r="D5374" t="str">
        <f t="shared" si="84"/>
        <v>HEMOMINAS3927</v>
      </c>
      <c r="E5374" t="s">
        <v>3009</v>
      </c>
    </row>
    <row r="5375" spans="1:5" x14ac:dyDescent="0.25">
      <c r="A5375">
        <v>2321</v>
      </c>
      <c r="B5375" t="s">
        <v>1734</v>
      </c>
      <c r="C5375" t="s">
        <v>458</v>
      </c>
      <c r="D5375" t="str">
        <f t="shared" si="84"/>
        <v>HEMOMINAS3930</v>
      </c>
      <c r="E5375" t="s">
        <v>3006</v>
      </c>
    </row>
    <row r="5376" spans="1:5" x14ac:dyDescent="0.25">
      <c r="A5376">
        <v>2321</v>
      </c>
      <c r="B5376" t="s">
        <v>1734</v>
      </c>
      <c r="C5376" t="s">
        <v>1481</v>
      </c>
      <c r="D5376" t="str">
        <f t="shared" si="84"/>
        <v>HEMOMINAS3931</v>
      </c>
      <c r="E5376" t="s">
        <v>2968</v>
      </c>
    </row>
    <row r="5377" spans="1:5" x14ac:dyDescent="0.25">
      <c r="A5377">
        <v>2321</v>
      </c>
      <c r="B5377" t="s">
        <v>1734</v>
      </c>
      <c r="C5377" t="s">
        <v>3017</v>
      </c>
      <c r="D5377" t="str">
        <f t="shared" si="84"/>
        <v>HEMOMINAS3936</v>
      </c>
      <c r="E5377" t="s">
        <v>94</v>
      </c>
    </row>
    <row r="5378" spans="1:5" x14ac:dyDescent="0.25">
      <c r="A5378">
        <v>2321</v>
      </c>
      <c r="B5378" t="s">
        <v>1734</v>
      </c>
      <c r="C5378" t="s">
        <v>3088</v>
      </c>
      <c r="D5378" t="str">
        <f t="shared" si="84"/>
        <v>HEMOMINAS3937</v>
      </c>
      <c r="E5378" t="s">
        <v>3107</v>
      </c>
    </row>
    <row r="5379" spans="1:5" x14ac:dyDescent="0.25">
      <c r="A5379">
        <v>2321</v>
      </c>
      <c r="B5379" t="s">
        <v>1734</v>
      </c>
      <c r="C5379" t="s">
        <v>3089</v>
      </c>
      <c r="D5379" t="str">
        <f t="shared" si="84"/>
        <v>HEMOMINAS3939</v>
      </c>
      <c r="E5379" t="s">
        <v>2968</v>
      </c>
    </row>
    <row r="5380" spans="1:5" x14ac:dyDescent="0.25">
      <c r="A5380">
        <v>2321</v>
      </c>
      <c r="B5380" t="s">
        <v>1734</v>
      </c>
      <c r="C5380" t="s">
        <v>3019</v>
      </c>
      <c r="D5380" t="str">
        <f t="shared" si="84"/>
        <v>HEMOMINAS3940</v>
      </c>
      <c r="E5380" t="s">
        <v>3009</v>
      </c>
    </row>
    <row r="5381" spans="1:5" x14ac:dyDescent="0.25">
      <c r="A5381">
        <v>2321</v>
      </c>
      <c r="B5381" t="s">
        <v>1734</v>
      </c>
      <c r="C5381" t="s">
        <v>480</v>
      </c>
      <c r="D5381" t="str">
        <f t="shared" ref="D5381:D5444" si="85">CONCATENATE(B5381,LEFT(C5381,4))</f>
        <v>HEMOMINAS3941</v>
      </c>
      <c r="E5381" t="s">
        <v>2968</v>
      </c>
    </row>
    <row r="5382" spans="1:5" x14ac:dyDescent="0.25">
      <c r="A5382">
        <v>2321</v>
      </c>
      <c r="B5382" t="s">
        <v>1734</v>
      </c>
      <c r="C5382" t="s">
        <v>3020</v>
      </c>
      <c r="D5382" t="str">
        <f t="shared" si="85"/>
        <v>HEMOMINAS3943</v>
      </c>
      <c r="E5382" t="s">
        <v>2958</v>
      </c>
    </row>
    <row r="5383" spans="1:5" x14ac:dyDescent="0.25">
      <c r="A5383">
        <v>2321</v>
      </c>
      <c r="B5383" t="s">
        <v>1734</v>
      </c>
      <c r="C5383" t="s">
        <v>490</v>
      </c>
      <c r="D5383" t="str">
        <f t="shared" si="85"/>
        <v>HEMOMINAS3947</v>
      </c>
      <c r="E5383" t="s">
        <v>2968</v>
      </c>
    </row>
    <row r="5384" spans="1:5" x14ac:dyDescent="0.25">
      <c r="A5384">
        <v>2321</v>
      </c>
      <c r="B5384" t="s">
        <v>1734</v>
      </c>
      <c r="C5384" t="s">
        <v>492</v>
      </c>
      <c r="D5384" t="str">
        <f t="shared" si="85"/>
        <v>HEMOMINAS3948</v>
      </c>
      <c r="E5384" t="s">
        <v>3004</v>
      </c>
    </row>
    <row r="5385" spans="1:5" x14ac:dyDescent="0.25">
      <c r="A5385">
        <v>2321</v>
      </c>
      <c r="B5385" t="s">
        <v>1734</v>
      </c>
      <c r="C5385" t="s">
        <v>3098</v>
      </c>
      <c r="D5385" t="str">
        <f t="shared" si="85"/>
        <v>HEMOMINAS3952</v>
      </c>
      <c r="E5385" t="s">
        <v>65</v>
      </c>
    </row>
    <row r="5386" spans="1:5" x14ac:dyDescent="0.25">
      <c r="A5386">
        <v>2321</v>
      </c>
      <c r="B5386" t="s">
        <v>1734</v>
      </c>
      <c r="C5386" t="s">
        <v>496</v>
      </c>
      <c r="D5386" t="str">
        <f t="shared" si="85"/>
        <v>HEMOMINAS3953</v>
      </c>
      <c r="E5386" t="s">
        <v>3004</v>
      </c>
    </row>
    <row r="5387" spans="1:5" x14ac:dyDescent="0.25">
      <c r="A5387">
        <v>2321</v>
      </c>
      <c r="B5387" t="s">
        <v>1734</v>
      </c>
      <c r="C5387" t="s">
        <v>498</v>
      </c>
      <c r="D5387" t="str">
        <f t="shared" si="85"/>
        <v>HEMOMINAS3955</v>
      </c>
      <c r="E5387" t="s">
        <v>2968</v>
      </c>
    </row>
    <row r="5388" spans="1:5" x14ac:dyDescent="0.25">
      <c r="A5388">
        <v>2321</v>
      </c>
      <c r="B5388" t="s">
        <v>1734</v>
      </c>
      <c r="C5388" t="s">
        <v>499</v>
      </c>
      <c r="D5388" t="str">
        <f t="shared" si="85"/>
        <v>HEMOMINAS3956</v>
      </c>
      <c r="E5388" t="s">
        <v>2968</v>
      </c>
    </row>
    <row r="5389" spans="1:5" x14ac:dyDescent="0.25">
      <c r="A5389">
        <v>2321</v>
      </c>
      <c r="B5389" t="s">
        <v>1734</v>
      </c>
      <c r="C5389" t="s">
        <v>3025</v>
      </c>
      <c r="D5389" t="str">
        <f t="shared" si="85"/>
        <v>HEMOMINAS3959</v>
      </c>
      <c r="E5389" t="s">
        <v>2968</v>
      </c>
    </row>
    <row r="5390" spans="1:5" x14ac:dyDescent="0.25">
      <c r="A5390">
        <v>2321</v>
      </c>
      <c r="B5390" t="s">
        <v>1734</v>
      </c>
      <c r="C5390" t="s">
        <v>3102</v>
      </c>
      <c r="D5390" t="str">
        <f t="shared" si="85"/>
        <v>HEMOMINAS3960</v>
      </c>
      <c r="E5390" t="s">
        <v>103</v>
      </c>
    </row>
    <row r="5391" spans="1:5" x14ac:dyDescent="0.25">
      <c r="A5391">
        <v>2321</v>
      </c>
      <c r="B5391" t="s">
        <v>1734</v>
      </c>
      <c r="C5391" t="s">
        <v>3027</v>
      </c>
      <c r="D5391" t="str">
        <f t="shared" si="85"/>
        <v>HEMOMINAS3961</v>
      </c>
      <c r="E5391" t="s">
        <v>2981</v>
      </c>
    </row>
    <row r="5392" spans="1:5" x14ac:dyDescent="0.25">
      <c r="A5392">
        <v>2321</v>
      </c>
      <c r="B5392" t="s">
        <v>1734</v>
      </c>
      <c r="C5392" t="s">
        <v>3104</v>
      </c>
      <c r="D5392" t="str">
        <f t="shared" si="85"/>
        <v>HEMOMINAS3964</v>
      </c>
      <c r="E5392" t="s">
        <v>2968</v>
      </c>
    </row>
    <row r="5393" spans="1:5" x14ac:dyDescent="0.25">
      <c r="A5393">
        <v>2321</v>
      </c>
      <c r="B5393" t="s">
        <v>1734</v>
      </c>
      <c r="C5393" t="s">
        <v>1154</v>
      </c>
      <c r="D5393" t="str">
        <f t="shared" si="85"/>
        <v>HEMOMINAS3969</v>
      </c>
      <c r="E5393" t="s">
        <v>2992</v>
      </c>
    </row>
    <row r="5394" spans="1:5" x14ac:dyDescent="0.25">
      <c r="A5394">
        <v>2321</v>
      </c>
      <c r="B5394" t="s">
        <v>1734</v>
      </c>
      <c r="C5394" t="s">
        <v>3031</v>
      </c>
      <c r="D5394" t="str">
        <f t="shared" si="85"/>
        <v>HEMOMINAS3970</v>
      </c>
      <c r="E5394" t="s">
        <v>3009</v>
      </c>
    </row>
    <row r="5395" spans="1:5" x14ac:dyDescent="0.25">
      <c r="A5395">
        <v>2321</v>
      </c>
      <c r="B5395" t="s">
        <v>1734</v>
      </c>
      <c r="C5395" t="s">
        <v>513</v>
      </c>
      <c r="D5395" t="str">
        <f t="shared" si="85"/>
        <v>HEMOMINAS3971</v>
      </c>
      <c r="E5395" t="s">
        <v>3033</v>
      </c>
    </row>
    <row r="5396" spans="1:5" x14ac:dyDescent="0.25">
      <c r="A5396">
        <v>2321</v>
      </c>
      <c r="B5396" t="s">
        <v>1734</v>
      </c>
      <c r="C5396" t="s">
        <v>514</v>
      </c>
      <c r="D5396" t="str">
        <f t="shared" si="85"/>
        <v>HEMOMINAS3972</v>
      </c>
      <c r="E5396" t="s">
        <v>2992</v>
      </c>
    </row>
    <row r="5397" spans="1:5" x14ac:dyDescent="0.25">
      <c r="A5397">
        <v>2321</v>
      </c>
      <c r="B5397" t="s">
        <v>1734</v>
      </c>
      <c r="C5397" t="s">
        <v>520</v>
      </c>
      <c r="D5397" t="str">
        <f t="shared" si="85"/>
        <v>HEMOMINAS3978</v>
      </c>
      <c r="E5397" t="s">
        <v>2981</v>
      </c>
    </row>
    <row r="5398" spans="1:5" x14ac:dyDescent="0.25">
      <c r="A5398">
        <v>2321</v>
      </c>
      <c r="B5398" t="s">
        <v>1734</v>
      </c>
      <c r="C5398" t="s">
        <v>521</v>
      </c>
      <c r="D5398" t="str">
        <f t="shared" si="85"/>
        <v>HEMOMINAS3981</v>
      </c>
      <c r="E5398" t="s">
        <v>2968</v>
      </c>
    </row>
    <row r="5399" spans="1:5" x14ac:dyDescent="0.25">
      <c r="A5399">
        <v>2321</v>
      </c>
      <c r="B5399" t="s">
        <v>1734</v>
      </c>
      <c r="C5399" t="s">
        <v>3036</v>
      </c>
      <c r="D5399" t="str">
        <f t="shared" si="85"/>
        <v>HEMOMINAS3987</v>
      </c>
      <c r="E5399" t="s">
        <v>2958</v>
      </c>
    </row>
    <row r="5400" spans="1:5" x14ac:dyDescent="0.25">
      <c r="A5400">
        <v>2321</v>
      </c>
      <c r="B5400" t="s">
        <v>1734</v>
      </c>
      <c r="C5400" t="s">
        <v>528</v>
      </c>
      <c r="D5400" t="str">
        <f t="shared" si="85"/>
        <v>HEMOMINAS3988</v>
      </c>
      <c r="E5400" t="s">
        <v>2968</v>
      </c>
    </row>
    <row r="5401" spans="1:5" x14ac:dyDescent="0.25">
      <c r="A5401">
        <v>2321</v>
      </c>
      <c r="B5401" t="s">
        <v>1734</v>
      </c>
      <c r="C5401" t="s">
        <v>537</v>
      </c>
      <c r="D5401" t="str">
        <f t="shared" si="85"/>
        <v>HEMOMINAS3997</v>
      </c>
      <c r="E5401" t="s">
        <v>2968</v>
      </c>
    </row>
    <row r="5402" spans="1:5" x14ac:dyDescent="0.25">
      <c r="A5402">
        <v>2321</v>
      </c>
      <c r="B5402" t="s">
        <v>1734</v>
      </c>
      <c r="C5402" t="s">
        <v>3227</v>
      </c>
      <c r="D5402" t="str">
        <f t="shared" si="85"/>
        <v>HEMOMINAS3998</v>
      </c>
      <c r="E5402" t="s">
        <v>2944</v>
      </c>
    </row>
    <row r="5403" spans="1:5" x14ac:dyDescent="0.25">
      <c r="A5403">
        <v>2321</v>
      </c>
      <c r="B5403" t="s">
        <v>1734</v>
      </c>
      <c r="C5403" t="s">
        <v>3040</v>
      </c>
      <c r="D5403" t="str">
        <f t="shared" si="85"/>
        <v>HEMOMINAS3999</v>
      </c>
      <c r="E5403" t="s">
        <v>2968</v>
      </c>
    </row>
    <row r="5404" spans="1:5" x14ac:dyDescent="0.25">
      <c r="A5404">
        <v>2321</v>
      </c>
      <c r="B5404" t="s">
        <v>1734</v>
      </c>
      <c r="C5404" t="s">
        <v>3041</v>
      </c>
      <c r="D5404" t="str">
        <f t="shared" si="85"/>
        <v>HEMOMINAS4002</v>
      </c>
      <c r="E5404" t="s">
        <v>3009</v>
      </c>
    </row>
    <row r="5405" spans="1:5" x14ac:dyDescent="0.25">
      <c r="A5405">
        <v>2321</v>
      </c>
      <c r="B5405" t="s">
        <v>1734</v>
      </c>
      <c r="C5405" t="s">
        <v>3043</v>
      </c>
      <c r="D5405" t="str">
        <f t="shared" si="85"/>
        <v>HEMOMINAS4003</v>
      </c>
      <c r="E5405" t="s">
        <v>94</v>
      </c>
    </row>
    <row r="5406" spans="1:5" x14ac:dyDescent="0.25">
      <c r="A5406">
        <v>2321</v>
      </c>
      <c r="B5406" t="s">
        <v>1734</v>
      </c>
      <c r="C5406" t="s">
        <v>3045</v>
      </c>
      <c r="D5406" t="str">
        <f t="shared" si="85"/>
        <v>HEMOMINAS4004</v>
      </c>
      <c r="E5406" t="s">
        <v>3009</v>
      </c>
    </row>
    <row r="5407" spans="1:5" x14ac:dyDescent="0.25">
      <c r="A5407">
        <v>2321</v>
      </c>
      <c r="B5407" t="s">
        <v>1734</v>
      </c>
      <c r="C5407" t="s">
        <v>3047</v>
      </c>
      <c r="D5407" t="str">
        <f t="shared" si="85"/>
        <v>HEMOMINAS4005</v>
      </c>
      <c r="E5407" t="s">
        <v>3009</v>
      </c>
    </row>
    <row r="5408" spans="1:5" x14ac:dyDescent="0.25">
      <c r="A5408">
        <v>2321</v>
      </c>
      <c r="B5408" t="s">
        <v>1734</v>
      </c>
      <c r="C5408" t="s">
        <v>813</v>
      </c>
      <c r="D5408" t="str">
        <f t="shared" si="85"/>
        <v>HEMOMINAS4006</v>
      </c>
      <c r="E5408" t="s">
        <v>3057</v>
      </c>
    </row>
    <row r="5409" spans="1:5" x14ac:dyDescent="0.25">
      <c r="A5409">
        <v>2321</v>
      </c>
      <c r="B5409" t="s">
        <v>1734</v>
      </c>
      <c r="C5409" t="s">
        <v>3138</v>
      </c>
      <c r="D5409" t="str">
        <f t="shared" si="85"/>
        <v>HEMOMINAS4007</v>
      </c>
      <c r="E5409" t="s">
        <v>94</v>
      </c>
    </row>
    <row r="5410" spans="1:5" x14ac:dyDescent="0.25">
      <c r="A5410">
        <v>2321</v>
      </c>
      <c r="B5410" t="s">
        <v>1734</v>
      </c>
      <c r="C5410" t="s">
        <v>3048</v>
      </c>
      <c r="D5410" t="str">
        <f t="shared" si="85"/>
        <v>HEMOMINAS4701</v>
      </c>
      <c r="E5410" t="s">
        <v>3049</v>
      </c>
    </row>
    <row r="5411" spans="1:5" x14ac:dyDescent="0.25">
      <c r="A5411">
        <v>2321</v>
      </c>
      <c r="B5411" t="s">
        <v>1734</v>
      </c>
      <c r="C5411" t="s">
        <v>265</v>
      </c>
      <c r="D5411" t="str">
        <f t="shared" si="85"/>
        <v>HEMOMINAS4703</v>
      </c>
      <c r="E5411" t="s">
        <v>3049</v>
      </c>
    </row>
    <row r="5412" spans="1:5" x14ac:dyDescent="0.25">
      <c r="A5412">
        <v>2321</v>
      </c>
      <c r="B5412" t="s">
        <v>1734</v>
      </c>
      <c r="C5412" t="s">
        <v>316</v>
      </c>
      <c r="D5412" t="str">
        <f t="shared" si="85"/>
        <v>HEMOMINAS4706</v>
      </c>
      <c r="E5412" t="s">
        <v>3049</v>
      </c>
    </row>
    <row r="5413" spans="1:5" x14ac:dyDescent="0.25">
      <c r="A5413">
        <v>2321</v>
      </c>
      <c r="B5413" t="s">
        <v>1734</v>
      </c>
      <c r="C5413" t="s">
        <v>328</v>
      </c>
      <c r="D5413" t="str">
        <f t="shared" si="85"/>
        <v>HEMOMINAS4707</v>
      </c>
      <c r="E5413" t="s">
        <v>3049</v>
      </c>
    </row>
    <row r="5414" spans="1:5" x14ac:dyDescent="0.25">
      <c r="A5414">
        <v>2321</v>
      </c>
      <c r="B5414" t="s">
        <v>1734</v>
      </c>
      <c r="C5414" t="s">
        <v>338</v>
      </c>
      <c r="D5414" t="str">
        <f t="shared" si="85"/>
        <v>HEMOMINAS4708</v>
      </c>
      <c r="E5414" t="s">
        <v>3049</v>
      </c>
    </row>
    <row r="5415" spans="1:5" x14ac:dyDescent="0.25">
      <c r="A5415">
        <v>2321</v>
      </c>
      <c r="B5415" t="s">
        <v>1734</v>
      </c>
      <c r="C5415" t="s">
        <v>348</v>
      </c>
      <c r="D5415" t="str">
        <f t="shared" si="85"/>
        <v>HEMOMINAS4709</v>
      </c>
      <c r="E5415" t="s">
        <v>3049</v>
      </c>
    </row>
    <row r="5416" spans="1:5" x14ac:dyDescent="0.25">
      <c r="A5416">
        <v>2321</v>
      </c>
      <c r="B5416" t="s">
        <v>1734</v>
      </c>
      <c r="C5416" t="s">
        <v>364</v>
      </c>
      <c r="D5416" t="str">
        <f t="shared" si="85"/>
        <v>HEMOMINAS4799</v>
      </c>
      <c r="E5416" t="s">
        <v>3049</v>
      </c>
    </row>
    <row r="5417" spans="1:5" x14ac:dyDescent="0.25">
      <c r="A5417">
        <v>2321</v>
      </c>
      <c r="B5417" t="s">
        <v>1734</v>
      </c>
      <c r="C5417" t="s">
        <v>3240</v>
      </c>
      <c r="D5417" t="str">
        <f t="shared" si="85"/>
        <v>HEMOMINAS4904</v>
      </c>
      <c r="E5417" t="s">
        <v>2926</v>
      </c>
    </row>
    <row r="5418" spans="1:5" x14ac:dyDescent="0.25">
      <c r="A5418">
        <v>2321</v>
      </c>
      <c r="B5418" t="s">
        <v>1734</v>
      </c>
      <c r="C5418" t="s">
        <v>3205</v>
      </c>
      <c r="D5418" t="str">
        <f t="shared" si="85"/>
        <v>HEMOMINAS4905</v>
      </c>
      <c r="E5418" t="s">
        <v>65</v>
      </c>
    </row>
    <row r="5419" spans="1:5" x14ac:dyDescent="0.25">
      <c r="A5419">
        <v>2321</v>
      </c>
      <c r="B5419" t="s">
        <v>1734</v>
      </c>
      <c r="C5419" t="s">
        <v>3051</v>
      </c>
      <c r="D5419" t="str">
        <f t="shared" si="85"/>
        <v>HEMOMINAS5101</v>
      </c>
      <c r="E5419" t="s">
        <v>3052</v>
      </c>
    </row>
    <row r="5420" spans="1:5" x14ac:dyDescent="0.25">
      <c r="A5420">
        <v>2321</v>
      </c>
      <c r="B5420" t="s">
        <v>1734</v>
      </c>
      <c r="C5420" t="s">
        <v>3053</v>
      </c>
      <c r="D5420" t="str">
        <f t="shared" si="85"/>
        <v>HEMOMINAS5103</v>
      </c>
      <c r="E5420" t="s">
        <v>3052</v>
      </c>
    </row>
    <row r="5421" spans="1:5" x14ac:dyDescent="0.25">
      <c r="A5421">
        <v>2321</v>
      </c>
      <c r="B5421" t="s">
        <v>1734</v>
      </c>
      <c r="C5421" t="s">
        <v>3054</v>
      </c>
      <c r="D5421" t="str">
        <f t="shared" si="85"/>
        <v>HEMOMINAS5204</v>
      </c>
      <c r="E5421" t="s">
        <v>3055</v>
      </c>
    </row>
    <row r="5422" spans="1:5" x14ac:dyDescent="0.25">
      <c r="A5422">
        <v>2321</v>
      </c>
      <c r="B5422" t="s">
        <v>1734</v>
      </c>
      <c r="C5422" t="s">
        <v>329</v>
      </c>
      <c r="D5422" t="str">
        <f t="shared" si="85"/>
        <v>HEMOMINAS5206</v>
      </c>
      <c r="E5422" t="s">
        <v>3057</v>
      </c>
    </row>
    <row r="5423" spans="1:5" x14ac:dyDescent="0.25">
      <c r="A5423">
        <v>2321</v>
      </c>
      <c r="B5423" t="s">
        <v>1734</v>
      </c>
      <c r="C5423" t="s">
        <v>3058</v>
      </c>
      <c r="D5423" t="str">
        <f t="shared" si="85"/>
        <v>HEMOMINAS5207</v>
      </c>
      <c r="E5423" t="s">
        <v>3057</v>
      </c>
    </row>
    <row r="5424" spans="1:5" x14ac:dyDescent="0.25">
      <c r="A5424">
        <v>2321</v>
      </c>
      <c r="B5424" t="s">
        <v>1734</v>
      </c>
      <c r="C5424" t="s">
        <v>3060</v>
      </c>
      <c r="D5424" t="str">
        <f t="shared" si="85"/>
        <v>HEMOMINAS5208</v>
      </c>
      <c r="E5424" t="s">
        <v>3057</v>
      </c>
    </row>
    <row r="5425" spans="1:5" x14ac:dyDescent="0.25">
      <c r="A5425">
        <v>2321</v>
      </c>
      <c r="B5425" t="s">
        <v>1734</v>
      </c>
      <c r="C5425" t="s">
        <v>359</v>
      </c>
      <c r="D5425" t="str">
        <f t="shared" si="85"/>
        <v>HEMOMINAS5209</v>
      </c>
      <c r="E5425" t="s">
        <v>3055</v>
      </c>
    </row>
    <row r="5426" spans="1:5" x14ac:dyDescent="0.25">
      <c r="A5426">
        <v>2321</v>
      </c>
      <c r="B5426" t="s">
        <v>1734</v>
      </c>
      <c r="C5426" t="s">
        <v>3063</v>
      </c>
      <c r="D5426" t="str">
        <f t="shared" si="85"/>
        <v>HEMOMINAS5210</v>
      </c>
      <c r="E5426" t="s">
        <v>3055</v>
      </c>
    </row>
    <row r="5427" spans="1:5" x14ac:dyDescent="0.25">
      <c r="A5427">
        <v>2321</v>
      </c>
      <c r="B5427" t="s">
        <v>1734</v>
      </c>
      <c r="C5427" t="s">
        <v>3155</v>
      </c>
      <c r="D5427" t="str">
        <f t="shared" si="85"/>
        <v>HEMOMINAS5211</v>
      </c>
      <c r="E5427" t="s">
        <v>2944</v>
      </c>
    </row>
    <row r="5428" spans="1:5" x14ac:dyDescent="0.25">
      <c r="A5428">
        <v>2321</v>
      </c>
      <c r="B5428" t="s">
        <v>1734</v>
      </c>
      <c r="C5428" t="s">
        <v>3064</v>
      </c>
      <c r="D5428" t="str">
        <f t="shared" si="85"/>
        <v>HEMOMINAS5212</v>
      </c>
      <c r="E5428" t="s">
        <v>3055</v>
      </c>
    </row>
    <row r="5429" spans="1:5" x14ac:dyDescent="0.25">
      <c r="A5429">
        <v>2321</v>
      </c>
      <c r="B5429" t="s">
        <v>1734</v>
      </c>
      <c r="C5429" t="s">
        <v>385</v>
      </c>
      <c r="D5429" t="str">
        <f t="shared" si="85"/>
        <v>HEMOMINAS5213</v>
      </c>
      <c r="E5429" t="s">
        <v>3055</v>
      </c>
    </row>
    <row r="5430" spans="1:5" x14ac:dyDescent="0.25">
      <c r="A5430">
        <v>2321</v>
      </c>
      <c r="B5430" t="s">
        <v>1734</v>
      </c>
      <c r="C5430" t="s">
        <v>391</v>
      </c>
      <c r="D5430" t="str">
        <f t="shared" si="85"/>
        <v>HEMOMINAS5214</v>
      </c>
      <c r="E5430" t="s">
        <v>3055</v>
      </c>
    </row>
    <row r="5431" spans="1:5" x14ac:dyDescent="0.25">
      <c r="A5431">
        <v>2321</v>
      </c>
      <c r="B5431" t="s">
        <v>1734</v>
      </c>
      <c r="C5431" t="s">
        <v>403</v>
      </c>
      <c r="D5431" t="str">
        <f t="shared" si="85"/>
        <v>HEMOMINAS5216</v>
      </c>
      <c r="E5431" t="s">
        <v>3067</v>
      </c>
    </row>
    <row r="5432" spans="1:5" x14ac:dyDescent="0.25">
      <c r="A5432">
        <v>2321</v>
      </c>
      <c r="B5432" t="s">
        <v>1734</v>
      </c>
      <c r="C5432" t="s">
        <v>409</v>
      </c>
      <c r="D5432" t="str">
        <f t="shared" si="85"/>
        <v>HEMOMINAS5217</v>
      </c>
      <c r="E5432" t="s">
        <v>3067</v>
      </c>
    </row>
    <row r="5433" spans="1:5" x14ac:dyDescent="0.25">
      <c r="A5433">
        <v>2321</v>
      </c>
      <c r="B5433" t="s">
        <v>1734</v>
      </c>
      <c r="C5433" t="s">
        <v>3241</v>
      </c>
      <c r="D5433" t="str">
        <f t="shared" si="85"/>
        <v>HEMOMINAS5218</v>
      </c>
      <c r="E5433" t="s">
        <v>3055</v>
      </c>
    </row>
    <row r="5434" spans="1:5" x14ac:dyDescent="0.25">
      <c r="A5434">
        <v>2321</v>
      </c>
      <c r="B5434" t="s">
        <v>1734</v>
      </c>
      <c r="C5434" t="s">
        <v>3068</v>
      </c>
      <c r="D5434" t="str">
        <f t="shared" si="85"/>
        <v>HEMOMINAS5220</v>
      </c>
      <c r="E5434" t="s">
        <v>3057</v>
      </c>
    </row>
    <row r="5435" spans="1:5" x14ac:dyDescent="0.25">
      <c r="A5435">
        <v>2321</v>
      </c>
      <c r="B5435" t="s">
        <v>1734</v>
      </c>
      <c r="C5435" t="s">
        <v>429</v>
      </c>
      <c r="D5435" t="str">
        <f t="shared" si="85"/>
        <v>HEMOMINAS5221</v>
      </c>
      <c r="E5435" t="s">
        <v>3055</v>
      </c>
    </row>
    <row r="5436" spans="1:5" x14ac:dyDescent="0.25">
      <c r="A5436">
        <v>2321</v>
      </c>
      <c r="B5436" t="s">
        <v>1734</v>
      </c>
      <c r="C5436" t="s">
        <v>434</v>
      </c>
      <c r="D5436" t="str">
        <f t="shared" si="85"/>
        <v>HEMOMINAS5222</v>
      </c>
      <c r="E5436" t="s">
        <v>3055</v>
      </c>
    </row>
    <row r="5437" spans="1:5" x14ac:dyDescent="0.25">
      <c r="A5437">
        <v>2321</v>
      </c>
      <c r="B5437" t="s">
        <v>1734</v>
      </c>
      <c r="C5437" t="s">
        <v>449</v>
      </c>
      <c r="D5437" t="str">
        <f t="shared" si="85"/>
        <v>HEMOMINAS5225</v>
      </c>
      <c r="E5437" t="s">
        <v>3055</v>
      </c>
    </row>
    <row r="5438" spans="1:5" x14ac:dyDescent="0.25">
      <c r="A5438">
        <v>2321</v>
      </c>
      <c r="B5438" t="s">
        <v>1734</v>
      </c>
      <c r="C5438" t="s">
        <v>3070</v>
      </c>
      <c r="D5438" t="str">
        <f t="shared" si="85"/>
        <v>HEMOMINAS5226</v>
      </c>
      <c r="E5438" t="s">
        <v>3055</v>
      </c>
    </row>
    <row r="5439" spans="1:5" x14ac:dyDescent="0.25">
      <c r="A5439">
        <v>2321</v>
      </c>
      <c r="B5439" t="s">
        <v>1734</v>
      </c>
      <c r="C5439" t="s">
        <v>3072</v>
      </c>
      <c r="D5439" t="str">
        <f t="shared" si="85"/>
        <v>HEMOMINAS5227</v>
      </c>
      <c r="E5439" t="s">
        <v>3055</v>
      </c>
    </row>
    <row r="5440" spans="1:5" x14ac:dyDescent="0.25">
      <c r="A5440">
        <v>2321</v>
      </c>
      <c r="B5440" t="s">
        <v>1734</v>
      </c>
      <c r="C5440" t="s">
        <v>459</v>
      </c>
      <c r="D5440" t="str">
        <f t="shared" si="85"/>
        <v>HEMOMINAS5299</v>
      </c>
      <c r="E5440" t="s">
        <v>3055</v>
      </c>
    </row>
    <row r="5441" spans="1:5" x14ac:dyDescent="0.25">
      <c r="A5441">
        <v>2321</v>
      </c>
      <c r="B5441" t="s">
        <v>1734</v>
      </c>
      <c r="C5441" t="s">
        <v>3164</v>
      </c>
      <c r="D5441" t="str">
        <f t="shared" si="85"/>
        <v>HEMOMINAS5905</v>
      </c>
      <c r="E5441" t="s">
        <v>2968</v>
      </c>
    </row>
    <row r="5442" spans="1:5" x14ac:dyDescent="0.25">
      <c r="A5442">
        <v>2321</v>
      </c>
      <c r="B5442" t="s">
        <v>1734</v>
      </c>
      <c r="C5442" t="s">
        <v>3220</v>
      </c>
      <c r="D5442" t="str">
        <f t="shared" si="85"/>
        <v>HEMOMINAS9201</v>
      </c>
      <c r="E5442" t="s">
        <v>3075</v>
      </c>
    </row>
    <row r="5443" spans="1:5" x14ac:dyDescent="0.25">
      <c r="A5443">
        <v>2321</v>
      </c>
      <c r="B5443" t="s">
        <v>1734</v>
      </c>
      <c r="C5443" t="s">
        <v>3074</v>
      </c>
      <c r="D5443" t="str">
        <f t="shared" si="85"/>
        <v>HEMOMINAS9202</v>
      </c>
      <c r="E5443" t="s">
        <v>3075</v>
      </c>
    </row>
    <row r="5444" spans="1:5" x14ac:dyDescent="0.25">
      <c r="A5444">
        <v>2321</v>
      </c>
      <c r="B5444" t="s">
        <v>1734</v>
      </c>
      <c r="C5444" t="s">
        <v>331</v>
      </c>
      <c r="D5444" t="str">
        <f t="shared" si="85"/>
        <v>HEMOMINAS9306</v>
      </c>
      <c r="E5444" t="s">
        <v>3076</v>
      </c>
    </row>
    <row r="5445" spans="1:5" x14ac:dyDescent="0.25">
      <c r="A5445">
        <v>2321</v>
      </c>
      <c r="B5445" t="s">
        <v>1734</v>
      </c>
      <c r="C5445" t="s">
        <v>367</v>
      </c>
      <c r="D5445" t="str">
        <f t="shared" ref="D5445:D5508" si="86">CONCATENATE(B5445,LEFT(C5445,4))</f>
        <v>HEMOMINAS9310</v>
      </c>
      <c r="E5445" t="s">
        <v>2968</v>
      </c>
    </row>
    <row r="5446" spans="1:5" x14ac:dyDescent="0.25">
      <c r="A5446">
        <v>2321</v>
      </c>
      <c r="B5446" t="s">
        <v>1734</v>
      </c>
      <c r="C5446" t="s">
        <v>3079</v>
      </c>
      <c r="D5446" t="str">
        <f t="shared" si="86"/>
        <v>HEMOMINAS9399</v>
      </c>
      <c r="E5446" t="s">
        <v>2968</v>
      </c>
    </row>
    <row r="5447" spans="1:5" x14ac:dyDescent="0.25">
      <c r="A5447">
        <v>2321</v>
      </c>
      <c r="B5447" t="s">
        <v>1734</v>
      </c>
      <c r="C5447" t="s">
        <v>3298</v>
      </c>
      <c r="D5447" t="str">
        <f t="shared" si="86"/>
        <v>HEMOMINAS9701</v>
      </c>
      <c r="E5447" t="s">
        <v>2968</v>
      </c>
    </row>
    <row r="5448" spans="1:5" x14ac:dyDescent="0.25">
      <c r="A5448">
        <v>2331</v>
      </c>
      <c r="B5448" t="s">
        <v>3347</v>
      </c>
      <c r="C5448" t="s">
        <v>2928</v>
      </c>
      <c r="D5448" t="str">
        <f t="shared" si="86"/>
        <v>IPEM/MG1401</v>
      </c>
      <c r="E5448" t="s">
        <v>44</v>
      </c>
    </row>
    <row r="5449" spans="1:5" x14ac:dyDescent="0.25">
      <c r="A5449">
        <v>2331</v>
      </c>
      <c r="B5449" t="s">
        <v>3347</v>
      </c>
      <c r="C5449" t="s">
        <v>2932</v>
      </c>
      <c r="D5449" t="str">
        <f t="shared" si="86"/>
        <v>IPEM/MG3001</v>
      </c>
      <c r="E5449" t="s">
        <v>2933</v>
      </c>
    </row>
    <row r="5450" spans="1:5" x14ac:dyDescent="0.25">
      <c r="A5450">
        <v>2331</v>
      </c>
      <c r="B5450" t="s">
        <v>3347</v>
      </c>
      <c r="C5450" t="s">
        <v>979</v>
      </c>
      <c r="D5450" t="str">
        <f t="shared" si="86"/>
        <v>IPEM/MG3003</v>
      </c>
      <c r="E5450" t="s">
        <v>2933</v>
      </c>
    </row>
    <row r="5451" spans="1:5" x14ac:dyDescent="0.25">
      <c r="A5451">
        <v>2331</v>
      </c>
      <c r="B5451" t="s">
        <v>3347</v>
      </c>
      <c r="C5451" t="s">
        <v>2937</v>
      </c>
      <c r="D5451" t="str">
        <f t="shared" si="86"/>
        <v>IPEM/MG3004</v>
      </c>
      <c r="E5451" t="s">
        <v>2933</v>
      </c>
    </row>
    <row r="5452" spans="1:5" x14ac:dyDescent="0.25">
      <c r="A5452">
        <v>2331</v>
      </c>
      <c r="B5452" t="s">
        <v>3347</v>
      </c>
      <c r="C5452" t="s">
        <v>2939</v>
      </c>
      <c r="D5452" t="str">
        <f t="shared" si="86"/>
        <v>IPEM/MG3005</v>
      </c>
      <c r="E5452" t="s">
        <v>2933</v>
      </c>
    </row>
    <row r="5453" spans="1:5" x14ac:dyDescent="0.25">
      <c r="A5453">
        <v>2331</v>
      </c>
      <c r="B5453" t="s">
        <v>3347</v>
      </c>
      <c r="C5453" t="s">
        <v>2941</v>
      </c>
      <c r="D5453" t="str">
        <f t="shared" si="86"/>
        <v>IPEM/MG3008</v>
      </c>
      <c r="E5453" t="s">
        <v>2933</v>
      </c>
    </row>
    <row r="5454" spans="1:5" x14ac:dyDescent="0.25">
      <c r="A5454">
        <v>2331</v>
      </c>
      <c r="B5454" t="s">
        <v>3347</v>
      </c>
      <c r="C5454" t="s">
        <v>2943</v>
      </c>
      <c r="D5454" t="str">
        <f t="shared" si="86"/>
        <v>IPEM/MG3010</v>
      </c>
      <c r="E5454" t="s">
        <v>2944</v>
      </c>
    </row>
    <row r="5455" spans="1:5" x14ac:dyDescent="0.25">
      <c r="A5455">
        <v>2331</v>
      </c>
      <c r="B5455" t="s">
        <v>3347</v>
      </c>
      <c r="C5455" t="s">
        <v>138</v>
      </c>
      <c r="D5455" t="str">
        <f t="shared" si="86"/>
        <v>IPEM/MG3012</v>
      </c>
      <c r="E5455" t="s">
        <v>2944</v>
      </c>
    </row>
    <row r="5456" spans="1:5" x14ac:dyDescent="0.25">
      <c r="A5456">
        <v>2331</v>
      </c>
      <c r="B5456" t="s">
        <v>3347</v>
      </c>
      <c r="C5456" t="s">
        <v>2946</v>
      </c>
      <c r="D5456" t="str">
        <f t="shared" si="86"/>
        <v>IPEM/MG3013</v>
      </c>
      <c r="E5456" t="s">
        <v>2933</v>
      </c>
    </row>
    <row r="5457" spans="1:5" x14ac:dyDescent="0.25">
      <c r="A5457">
        <v>2331</v>
      </c>
      <c r="B5457" t="s">
        <v>3347</v>
      </c>
      <c r="C5457" t="s">
        <v>2948</v>
      </c>
      <c r="D5457" t="str">
        <f t="shared" si="86"/>
        <v>IPEM/MG3015</v>
      </c>
      <c r="E5457" t="s">
        <v>2933</v>
      </c>
    </row>
    <row r="5458" spans="1:5" x14ac:dyDescent="0.25">
      <c r="A5458">
        <v>2331</v>
      </c>
      <c r="B5458" t="s">
        <v>3347</v>
      </c>
      <c r="C5458" t="s">
        <v>2950</v>
      </c>
      <c r="D5458" t="str">
        <f t="shared" si="86"/>
        <v>IPEM/MG3016</v>
      </c>
      <c r="E5458" t="s">
        <v>2933</v>
      </c>
    </row>
    <row r="5459" spans="1:5" x14ac:dyDescent="0.25">
      <c r="A5459">
        <v>2331</v>
      </c>
      <c r="B5459" t="s">
        <v>3347</v>
      </c>
      <c r="C5459" t="s">
        <v>406</v>
      </c>
      <c r="D5459" t="str">
        <f t="shared" si="86"/>
        <v>IPEM/MG3017</v>
      </c>
      <c r="E5459" t="s">
        <v>2933</v>
      </c>
    </row>
    <row r="5460" spans="1:5" x14ac:dyDescent="0.25">
      <c r="A5460">
        <v>2331</v>
      </c>
      <c r="B5460" t="s">
        <v>3347</v>
      </c>
      <c r="C5460" t="s">
        <v>2953</v>
      </c>
      <c r="D5460" t="str">
        <f t="shared" si="86"/>
        <v>IPEM/MG3019</v>
      </c>
      <c r="E5460" t="s">
        <v>2954</v>
      </c>
    </row>
    <row r="5461" spans="1:5" x14ac:dyDescent="0.25">
      <c r="A5461">
        <v>2331</v>
      </c>
      <c r="B5461" t="s">
        <v>3347</v>
      </c>
      <c r="C5461" t="s">
        <v>2955</v>
      </c>
      <c r="D5461" t="str">
        <f t="shared" si="86"/>
        <v>IPEM/MG3020</v>
      </c>
      <c r="E5461" t="s">
        <v>2933</v>
      </c>
    </row>
    <row r="5462" spans="1:5" x14ac:dyDescent="0.25">
      <c r="A5462">
        <v>2331</v>
      </c>
      <c r="B5462" t="s">
        <v>3347</v>
      </c>
      <c r="C5462" t="s">
        <v>2956</v>
      </c>
      <c r="D5462" t="str">
        <f t="shared" si="86"/>
        <v>IPEM/MG3021</v>
      </c>
      <c r="E5462" t="s">
        <v>2933</v>
      </c>
    </row>
    <row r="5463" spans="1:5" x14ac:dyDescent="0.25">
      <c r="A5463">
        <v>2331</v>
      </c>
      <c r="B5463" t="s">
        <v>3347</v>
      </c>
      <c r="C5463" t="s">
        <v>431</v>
      </c>
      <c r="D5463" t="str">
        <f t="shared" si="86"/>
        <v>IPEM/MG3022</v>
      </c>
      <c r="E5463" t="s">
        <v>2933</v>
      </c>
    </row>
    <row r="5464" spans="1:5" x14ac:dyDescent="0.25">
      <c r="A5464">
        <v>2331</v>
      </c>
      <c r="B5464" t="s">
        <v>3347</v>
      </c>
      <c r="C5464" t="s">
        <v>2957</v>
      </c>
      <c r="D5464" t="str">
        <f t="shared" si="86"/>
        <v>IPEM/MG3023</v>
      </c>
      <c r="E5464" t="s">
        <v>2958</v>
      </c>
    </row>
    <row r="5465" spans="1:5" x14ac:dyDescent="0.25">
      <c r="A5465">
        <v>2331</v>
      </c>
      <c r="B5465" t="s">
        <v>3347</v>
      </c>
      <c r="C5465" t="s">
        <v>441</v>
      </c>
      <c r="D5465" t="str">
        <f t="shared" si="86"/>
        <v>IPEM/MG3024</v>
      </c>
      <c r="E5465" t="s">
        <v>2933</v>
      </c>
    </row>
    <row r="5466" spans="1:5" x14ac:dyDescent="0.25">
      <c r="A5466">
        <v>2331</v>
      </c>
      <c r="B5466" t="s">
        <v>3347</v>
      </c>
      <c r="C5466" t="s">
        <v>2959</v>
      </c>
      <c r="D5466" t="str">
        <f t="shared" si="86"/>
        <v>IPEM/MG3025</v>
      </c>
      <c r="E5466" t="s">
        <v>2933</v>
      </c>
    </row>
    <row r="5467" spans="1:5" x14ac:dyDescent="0.25">
      <c r="A5467">
        <v>2331</v>
      </c>
      <c r="B5467" t="s">
        <v>3347</v>
      </c>
      <c r="C5467" t="s">
        <v>2960</v>
      </c>
      <c r="D5467" t="str">
        <f t="shared" si="86"/>
        <v>IPEM/MG3026</v>
      </c>
      <c r="E5467" t="s">
        <v>2958</v>
      </c>
    </row>
    <row r="5468" spans="1:5" x14ac:dyDescent="0.25">
      <c r="A5468">
        <v>2331</v>
      </c>
      <c r="B5468" t="s">
        <v>3347</v>
      </c>
      <c r="C5468" t="s">
        <v>2984</v>
      </c>
      <c r="D5468" t="str">
        <f t="shared" si="86"/>
        <v>IPEM/MG3029</v>
      </c>
      <c r="E5468" t="s">
        <v>2933</v>
      </c>
    </row>
    <row r="5469" spans="1:5" x14ac:dyDescent="0.25">
      <c r="A5469">
        <v>2331</v>
      </c>
      <c r="B5469" t="s">
        <v>3347</v>
      </c>
      <c r="C5469" t="s">
        <v>467</v>
      </c>
      <c r="D5469" t="str">
        <f t="shared" si="86"/>
        <v>IPEM/MG3030</v>
      </c>
      <c r="E5469" t="s">
        <v>2933</v>
      </c>
    </row>
    <row r="5470" spans="1:5" x14ac:dyDescent="0.25">
      <c r="A5470">
        <v>2331</v>
      </c>
      <c r="B5470" t="s">
        <v>3347</v>
      </c>
      <c r="C5470" t="s">
        <v>2963</v>
      </c>
      <c r="D5470" t="str">
        <f t="shared" si="86"/>
        <v>IPEM/MG3032</v>
      </c>
      <c r="E5470" t="s">
        <v>2933</v>
      </c>
    </row>
    <row r="5471" spans="1:5" x14ac:dyDescent="0.25">
      <c r="A5471">
        <v>2331</v>
      </c>
      <c r="B5471" t="s">
        <v>3347</v>
      </c>
      <c r="C5471" t="s">
        <v>487</v>
      </c>
      <c r="D5471" t="str">
        <f t="shared" si="86"/>
        <v>IPEM/MG3040</v>
      </c>
      <c r="E5471" t="s">
        <v>2933</v>
      </c>
    </row>
    <row r="5472" spans="1:5" x14ac:dyDescent="0.25">
      <c r="A5472">
        <v>2331</v>
      </c>
      <c r="B5472" t="s">
        <v>3347</v>
      </c>
      <c r="C5472" t="s">
        <v>2993</v>
      </c>
      <c r="D5472" t="str">
        <f t="shared" si="86"/>
        <v>IPEM/MG3041</v>
      </c>
      <c r="E5472" t="s">
        <v>2933</v>
      </c>
    </row>
    <row r="5473" spans="1:5" x14ac:dyDescent="0.25">
      <c r="A5473">
        <v>2331</v>
      </c>
      <c r="B5473" t="s">
        <v>3347</v>
      </c>
      <c r="C5473" t="s">
        <v>491</v>
      </c>
      <c r="D5473" t="str">
        <f t="shared" si="86"/>
        <v>IPEM/MG3099</v>
      </c>
      <c r="E5473" t="s">
        <v>2933</v>
      </c>
    </row>
    <row r="5474" spans="1:5" x14ac:dyDescent="0.25">
      <c r="A5474">
        <v>2331</v>
      </c>
      <c r="B5474" t="s">
        <v>3347</v>
      </c>
      <c r="C5474" t="s">
        <v>2967</v>
      </c>
      <c r="D5474" t="str">
        <f t="shared" si="86"/>
        <v>IPEM/MG3101</v>
      </c>
      <c r="E5474" t="s">
        <v>2968</v>
      </c>
    </row>
    <row r="5475" spans="1:5" x14ac:dyDescent="0.25">
      <c r="A5475">
        <v>2331</v>
      </c>
      <c r="B5475" t="s">
        <v>3347</v>
      </c>
      <c r="C5475" t="s">
        <v>54</v>
      </c>
      <c r="D5475" t="str">
        <f t="shared" si="86"/>
        <v>IPEM/MG3301</v>
      </c>
      <c r="E5475" t="s">
        <v>44</v>
      </c>
    </row>
    <row r="5476" spans="1:5" x14ac:dyDescent="0.25">
      <c r="A5476">
        <v>2331</v>
      </c>
      <c r="B5476" t="s">
        <v>3347</v>
      </c>
      <c r="C5476" t="s">
        <v>2975</v>
      </c>
      <c r="D5476" t="str">
        <f t="shared" si="86"/>
        <v>IPEM/MG3302</v>
      </c>
      <c r="E5476" t="s">
        <v>44</v>
      </c>
    </row>
    <row r="5477" spans="1:5" x14ac:dyDescent="0.25">
      <c r="A5477">
        <v>2331</v>
      </c>
      <c r="B5477" t="s">
        <v>3347</v>
      </c>
      <c r="C5477" t="s">
        <v>2977</v>
      </c>
      <c r="D5477" t="str">
        <f t="shared" si="86"/>
        <v>IPEM/MG3304</v>
      </c>
      <c r="E5477" t="s">
        <v>44</v>
      </c>
    </row>
    <row r="5478" spans="1:5" x14ac:dyDescent="0.25">
      <c r="A5478">
        <v>2331</v>
      </c>
      <c r="B5478" t="s">
        <v>3347</v>
      </c>
      <c r="C5478" t="s">
        <v>309</v>
      </c>
      <c r="D5478" t="str">
        <f t="shared" si="86"/>
        <v>IPEM/MG3305</v>
      </c>
      <c r="E5478" t="s">
        <v>44</v>
      </c>
    </row>
    <row r="5479" spans="1:5" x14ac:dyDescent="0.25">
      <c r="A5479">
        <v>2331</v>
      </c>
      <c r="B5479" t="s">
        <v>3347</v>
      </c>
      <c r="C5479" t="s">
        <v>3233</v>
      </c>
      <c r="D5479" t="str">
        <f t="shared" si="86"/>
        <v>IPEM/MG3501</v>
      </c>
      <c r="E5479" t="s">
        <v>2968</v>
      </c>
    </row>
    <row r="5480" spans="1:5" x14ac:dyDescent="0.25">
      <c r="A5480">
        <v>2331</v>
      </c>
      <c r="B5480" t="s">
        <v>3347</v>
      </c>
      <c r="C5480" t="s">
        <v>3201</v>
      </c>
      <c r="D5480" t="str">
        <f t="shared" si="86"/>
        <v>IPEM/MG3502</v>
      </c>
      <c r="E5480" t="s">
        <v>2968</v>
      </c>
    </row>
    <row r="5481" spans="1:5" x14ac:dyDescent="0.25">
      <c r="A5481">
        <v>2331</v>
      </c>
      <c r="B5481" t="s">
        <v>3347</v>
      </c>
      <c r="C5481" t="s">
        <v>297</v>
      </c>
      <c r="D5481" t="str">
        <f t="shared" si="86"/>
        <v>IPEM/MG3604</v>
      </c>
      <c r="E5481" t="s">
        <v>44</v>
      </c>
    </row>
    <row r="5482" spans="1:5" x14ac:dyDescent="0.25">
      <c r="A5482">
        <v>2331</v>
      </c>
      <c r="B5482" t="s">
        <v>3347</v>
      </c>
      <c r="C5482" t="s">
        <v>355</v>
      </c>
      <c r="D5482" t="str">
        <f t="shared" si="86"/>
        <v>IPEM/MG3610</v>
      </c>
      <c r="E5482" t="s">
        <v>2968</v>
      </c>
    </row>
    <row r="5483" spans="1:5" x14ac:dyDescent="0.25">
      <c r="A5483">
        <v>2331</v>
      </c>
      <c r="B5483" t="s">
        <v>3347</v>
      </c>
      <c r="C5483" t="s">
        <v>3021</v>
      </c>
      <c r="D5483" t="str">
        <f t="shared" si="86"/>
        <v>IPEM/MG3611</v>
      </c>
      <c r="E5483" t="s">
        <v>3107</v>
      </c>
    </row>
    <row r="5484" spans="1:5" x14ac:dyDescent="0.25">
      <c r="A5484">
        <v>2331</v>
      </c>
      <c r="B5484" t="s">
        <v>3347</v>
      </c>
      <c r="C5484" t="s">
        <v>2979</v>
      </c>
      <c r="D5484" t="str">
        <f t="shared" si="86"/>
        <v>IPEM/MG3612</v>
      </c>
      <c r="E5484" t="s">
        <v>2968</v>
      </c>
    </row>
    <row r="5485" spans="1:5" x14ac:dyDescent="0.25">
      <c r="A5485">
        <v>2331</v>
      </c>
      <c r="B5485" t="s">
        <v>3347</v>
      </c>
      <c r="C5485" t="s">
        <v>2983</v>
      </c>
      <c r="D5485" t="str">
        <f t="shared" si="86"/>
        <v>IPEM/MG3703</v>
      </c>
      <c r="E5485" t="s">
        <v>117</v>
      </c>
    </row>
    <row r="5486" spans="1:5" x14ac:dyDescent="0.25">
      <c r="A5486">
        <v>2331</v>
      </c>
      <c r="B5486" t="s">
        <v>3347</v>
      </c>
      <c r="C5486" t="s">
        <v>2985</v>
      </c>
      <c r="D5486" t="str">
        <f t="shared" si="86"/>
        <v>IPEM/MG3704</v>
      </c>
      <c r="E5486" t="s">
        <v>117</v>
      </c>
    </row>
    <row r="5487" spans="1:5" x14ac:dyDescent="0.25">
      <c r="A5487">
        <v>2331</v>
      </c>
      <c r="B5487" t="s">
        <v>3347</v>
      </c>
      <c r="C5487" t="s">
        <v>2986</v>
      </c>
      <c r="D5487" t="str">
        <f t="shared" si="86"/>
        <v>IPEM/MG3705</v>
      </c>
      <c r="E5487" t="s">
        <v>117</v>
      </c>
    </row>
    <row r="5488" spans="1:5" x14ac:dyDescent="0.25">
      <c r="A5488">
        <v>2331</v>
      </c>
      <c r="B5488" t="s">
        <v>3347</v>
      </c>
      <c r="C5488" t="s">
        <v>2988</v>
      </c>
      <c r="D5488" t="str">
        <f t="shared" si="86"/>
        <v>IPEM/MG3903</v>
      </c>
      <c r="E5488" t="s">
        <v>2968</v>
      </c>
    </row>
    <row r="5489" spans="1:5" x14ac:dyDescent="0.25">
      <c r="A5489">
        <v>2331</v>
      </c>
      <c r="B5489" t="s">
        <v>3347</v>
      </c>
      <c r="C5489" t="s">
        <v>299</v>
      </c>
      <c r="D5489" t="str">
        <f t="shared" si="86"/>
        <v>IPEM/MG3904</v>
      </c>
      <c r="E5489" t="s">
        <v>2968</v>
      </c>
    </row>
    <row r="5490" spans="1:5" x14ac:dyDescent="0.25">
      <c r="A5490">
        <v>2331</v>
      </c>
      <c r="B5490" t="s">
        <v>3347</v>
      </c>
      <c r="C5490" t="s">
        <v>326</v>
      </c>
      <c r="D5490" t="str">
        <f t="shared" si="86"/>
        <v>IPEM/MG3906</v>
      </c>
      <c r="E5490" t="s">
        <v>2968</v>
      </c>
    </row>
    <row r="5491" spans="1:5" x14ac:dyDescent="0.25">
      <c r="A5491">
        <v>2331</v>
      </c>
      <c r="B5491" t="s">
        <v>3347</v>
      </c>
      <c r="C5491" t="s">
        <v>346</v>
      </c>
      <c r="D5491" t="str">
        <f t="shared" si="86"/>
        <v>IPEM/MG3910</v>
      </c>
      <c r="E5491" t="s">
        <v>2968</v>
      </c>
    </row>
    <row r="5492" spans="1:5" x14ac:dyDescent="0.25">
      <c r="A5492">
        <v>2331</v>
      </c>
      <c r="B5492" t="s">
        <v>3347</v>
      </c>
      <c r="C5492" t="s">
        <v>356</v>
      </c>
      <c r="D5492" t="str">
        <f t="shared" si="86"/>
        <v>IPEM/MG3911</v>
      </c>
      <c r="E5492" t="s">
        <v>2968</v>
      </c>
    </row>
    <row r="5493" spans="1:5" x14ac:dyDescent="0.25">
      <c r="A5493">
        <v>2331</v>
      </c>
      <c r="B5493" t="s">
        <v>3347</v>
      </c>
      <c r="C5493" t="s">
        <v>2991</v>
      </c>
      <c r="D5493" t="str">
        <f t="shared" si="86"/>
        <v>IPEM/MG3912</v>
      </c>
      <c r="E5493" t="s">
        <v>2992</v>
      </c>
    </row>
    <row r="5494" spans="1:5" x14ac:dyDescent="0.25">
      <c r="A5494">
        <v>2331</v>
      </c>
      <c r="B5494" t="s">
        <v>3347</v>
      </c>
      <c r="C5494" t="s">
        <v>2994</v>
      </c>
      <c r="D5494" t="str">
        <f t="shared" si="86"/>
        <v>IPEM/MG3913</v>
      </c>
      <c r="E5494" t="s">
        <v>2992</v>
      </c>
    </row>
    <row r="5495" spans="1:5" x14ac:dyDescent="0.25">
      <c r="A5495">
        <v>2331</v>
      </c>
      <c r="B5495" t="s">
        <v>3347</v>
      </c>
      <c r="C5495" t="s">
        <v>384</v>
      </c>
      <c r="D5495" t="str">
        <f t="shared" si="86"/>
        <v>IPEM/MG3915</v>
      </c>
      <c r="E5495" t="s">
        <v>2992</v>
      </c>
    </row>
    <row r="5496" spans="1:5" x14ac:dyDescent="0.25">
      <c r="A5496">
        <v>2331</v>
      </c>
      <c r="B5496" t="s">
        <v>3347</v>
      </c>
      <c r="C5496" t="s">
        <v>2996</v>
      </c>
      <c r="D5496" t="str">
        <f t="shared" si="86"/>
        <v>IPEM/MG3917</v>
      </c>
      <c r="E5496" t="s">
        <v>2958</v>
      </c>
    </row>
    <row r="5497" spans="1:5" x14ac:dyDescent="0.25">
      <c r="A5497">
        <v>2331</v>
      </c>
      <c r="B5497" t="s">
        <v>3347</v>
      </c>
      <c r="C5497" t="s">
        <v>2998</v>
      </c>
      <c r="D5497" t="str">
        <f t="shared" si="86"/>
        <v>IPEM/MG3918</v>
      </c>
      <c r="E5497" t="s">
        <v>2958</v>
      </c>
    </row>
    <row r="5498" spans="1:5" x14ac:dyDescent="0.25">
      <c r="A5498">
        <v>2331</v>
      </c>
      <c r="B5498" t="s">
        <v>3347</v>
      </c>
      <c r="C5498" t="s">
        <v>3000</v>
      </c>
      <c r="D5498" t="str">
        <f t="shared" si="86"/>
        <v>IPEM/MG3919</v>
      </c>
      <c r="E5498" t="s">
        <v>3001</v>
      </c>
    </row>
    <row r="5499" spans="1:5" x14ac:dyDescent="0.25">
      <c r="A5499">
        <v>2331</v>
      </c>
      <c r="B5499" t="s">
        <v>3347</v>
      </c>
      <c r="C5499" t="s">
        <v>3077</v>
      </c>
      <c r="D5499" t="str">
        <f t="shared" si="86"/>
        <v>IPEM/MG3920</v>
      </c>
      <c r="E5499" t="s">
        <v>3107</v>
      </c>
    </row>
    <row r="5500" spans="1:5" x14ac:dyDescent="0.25">
      <c r="A5500">
        <v>2331</v>
      </c>
      <c r="B5500" t="s">
        <v>3347</v>
      </c>
      <c r="C5500" t="s">
        <v>3002</v>
      </c>
      <c r="D5500" t="str">
        <f t="shared" si="86"/>
        <v>IPEM/MG3921</v>
      </c>
      <c r="E5500" t="s">
        <v>3001</v>
      </c>
    </row>
    <row r="5501" spans="1:5" x14ac:dyDescent="0.25">
      <c r="A5501">
        <v>2331</v>
      </c>
      <c r="B5501" t="s">
        <v>3347</v>
      </c>
      <c r="C5501" t="s">
        <v>3003</v>
      </c>
      <c r="D5501" t="str">
        <f t="shared" si="86"/>
        <v>IPEM/MG3922</v>
      </c>
      <c r="E5501" t="s">
        <v>2954</v>
      </c>
    </row>
    <row r="5502" spans="1:5" x14ac:dyDescent="0.25">
      <c r="A5502">
        <v>2331</v>
      </c>
      <c r="B5502" t="s">
        <v>3347</v>
      </c>
      <c r="C5502" t="s">
        <v>566</v>
      </c>
      <c r="D5502" t="str">
        <f t="shared" si="86"/>
        <v>IPEM/MG3924</v>
      </c>
      <c r="E5502" t="s">
        <v>3004</v>
      </c>
    </row>
    <row r="5503" spans="1:5" x14ac:dyDescent="0.25">
      <c r="A5503">
        <v>2331</v>
      </c>
      <c r="B5503" t="s">
        <v>3347</v>
      </c>
      <c r="C5503" t="s">
        <v>438</v>
      </c>
      <c r="D5503" t="str">
        <f t="shared" si="86"/>
        <v>IPEM/MG3925</v>
      </c>
      <c r="E5503" t="s">
        <v>3006</v>
      </c>
    </row>
    <row r="5504" spans="1:5" x14ac:dyDescent="0.25">
      <c r="A5504">
        <v>2331</v>
      </c>
      <c r="B5504" t="s">
        <v>3347</v>
      </c>
      <c r="C5504" t="s">
        <v>443</v>
      </c>
      <c r="D5504" t="str">
        <f t="shared" si="86"/>
        <v>IPEM/MG3926</v>
      </c>
      <c r="E5504" t="s">
        <v>3006</v>
      </c>
    </row>
    <row r="5505" spans="1:5" x14ac:dyDescent="0.25">
      <c r="A5505">
        <v>2331</v>
      </c>
      <c r="B5505" t="s">
        <v>3347</v>
      </c>
      <c r="C5505" t="s">
        <v>3008</v>
      </c>
      <c r="D5505" t="str">
        <f t="shared" si="86"/>
        <v>IPEM/MG3927</v>
      </c>
      <c r="E5505" t="s">
        <v>3009</v>
      </c>
    </row>
    <row r="5506" spans="1:5" x14ac:dyDescent="0.25">
      <c r="A5506">
        <v>2331</v>
      </c>
      <c r="B5506" t="s">
        <v>3347</v>
      </c>
      <c r="C5506" t="s">
        <v>458</v>
      </c>
      <c r="D5506" t="str">
        <f t="shared" si="86"/>
        <v>IPEM/MG3930</v>
      </c>
      <c r="E5506" t="s">
        <v>3006</v>
      </c>
    </row>
    <row r="5507" spans="1:5" x14ac:dyDescent="0.25">
      <c r="A5507">
        <v>2331</v>
      </c>
      <c r="B5507" t="s">
        <v>3347</v>
      </c>
      <c r="C5507" t="s">
        <v>1481</v>
      </c>
      <c r="D5507" t="str">
        <f t="shared" si="86"/>
        <v>IPEM/MG3931</v>
      </c>
      <c r="E5507" t="s">
        <v>2968</v>
      </c>
    </row>
    <row r="5508" spans="1:5" x14ac:dyDescent="0.25">
      <c r="A5508">
        <v>2331</v>
      </c>
      <c r="B5508" t="s">
        <v>3347</v>
      </c>
      <c r="C5508" t="s">
        <v>3017</v>
      </c>
      <c r="D5508" t="str">
        <f t="shared" si="86"/>
        <v>IPEM/MG3936</v>
      </c>
      <c r="E5508" t="s">
        <v>94</v>
      </c>
    </row>
    <row r="5509" spans="1:5" x14ac:dyDescent="0.25">
      <c r="A5509">
        <v>2331</v>
      </c>
      <c r="B5509" t="s">
        <v>3347</v>
      </c>
      <c r="C5509" t="s">
        <v>3089</v>
      </c>
      <c r="D5509" t="str">
        <f t="shared" ref="D5509:D5572" si="87">CONCATENATE(B5509,LEFT(C5509,4))</f>
        <v>IPEM/MG3939</v>
      </c>
      <c r="E5509" t="s">
        <v>2968</v>
      </c>
    </row>
    <row r="5510" spans="1:5" x14ac:dyDescent="0.25">
      <c r="A5510">
        <v>2331</v>
      </c>
      <c r="B5510" t="s">
        <v>3347</v>
      </c>
      <c r="C5510" t="s">
        <v>3019</v>
      </c>
      <c r="D5510" t="str">
        <f t="shared" si="87"/>
        <v>IPEM/MG3940</v>
      </c>
      <c r="E5510" t="s">
        <v>3009</v>
      </c>
    </row>
    <row r="5511" spans="1:5" x14ac:dyDescent="0.25">
      <c r="A5511">
        <v>2331</v>
      </c>
      <c r="B5511" t="s">
        <v>3347</v>
      </c>
      <c r="C5511" t="s">
        <v>480</v>
      </c>
      <c r="D5511" t="str">
        <f t="shared" si="87"/>
        <v>IPEM/MG3941</v>
      </c>
      <c r="E5511" t="s">
        <v>2968</v>
      </c>
    </row>
    <row r="5512" spans="1:5" x14ac:dyDescent="0.25">
      <c r="A5512">
        <v>2331</v>
      </c>
      <c r="B5512" t="s">
        <v>3347</v>
      </c>
      <c r="C5512" t="s">
        <v>3020</v>
      </c>
      <c r="D5512" t="str">
        <f t="shared" si="87"/>
        <v>IPEM/MG3943</v>
      </c>
      <c r="E5512" t="s">
        <v>2958</v>
      </c>
    </row>
    <row r="5513" spans="1:5" x14ac:dyDescent="0.25">
      <c r="A5513">
        <v>2331</v>
      </c>
      <c r="B5513" t="s">
        <v>3347</v>
      </c>
      <c r="C5513" t="s">
        <v>492</v>
      </c>
      <c r="D5513" t="str">
        <f t="shared" si="87"/>
        <v>IPEM/MG3948</v>
      </c>
      <c r="E5513" t="s">
        <v>3004</v>
      </c>
    </row>
    <row r="5514" spans="1:5" x14ac:dyDescent="0.25">
      <c r="A5514">
        <v>2331</v>
      </c>
      <c r="B5514" t="s">
        <v>3347</v>
      </c>
      <c r="C5514" t="s">
        <v>3098</v>
      </c>
      <c r="D5514" t="str">
        <f t="shared" si="87"/>
        <v>IPEM/MG3952</v>
      </c>
      <c r="E5514" t="s">
        <v>65</v>
      </c>
    </row>
    <row r="5515" spans="1:5" x14ac:dyDescent="0.25">
      <c r="A5515">
        <v>2331</v>
      </c>
      <c r="B5515" t="s">
        <v>3347</v>
      </c>
      <c r="C5515" t="s">
        <v>498</v>
      </c>
      <c r="D5515" t="str">
        <f t="shared" si="87"/>
        <v>IPEM/MG3955</v>
      </c>
      <c r="E5515" t="s">
        <v>2968</v>
      </c>
    </row>
    <row r="5516" spans="1:5" x14ac:dyDescent="0.25">
      <c r="A5516">
        <v>2331</v>
      </c>
      <c r="B5516" t="s">
        <v>3347</v>
      </c>
      <c r="C5516" t="s">
        <v>3025</v>
      </c>
      <c r="D5516" t="str">
        <f t="shared" si="87"/>
        <v>IPEM/MG3959</v>
      </c>
      <c r="E5516" t="s">
        <v>2968</v>
      </c>
    </row>
    <row r="5517" spans="1:5" x14ac:dyDescent="0.25">
      <c r="A5517">
        <v>2331</v>
      </c>
      <c r="B5517" t="s">
        <v>3347</v>
      </c>
      <c r="C5517" t="s">
        <v>3027</v>
      </c>
      <c r="D5517" t="str">
        <f t="shared" si="87"/>
        <v>IPEM/MG3961</v>
      </c>
      <c r="E5517" t="s">
        <v>103</v>
      </c>
    </row>
    <row r="5518" spans="1:5" x14ac:dyDescent="0.25">
      <c r="A5518">
        <v>2331</v>
      </c>
      <c r="B5518" t="s">
        <v>3347</v>
      </c>
      <c r="C5518" t="s">
        <v>1154</v>
      </c>
      <c r="D5518" t="str">
        <f t="shared" si="87"/>
        <v>IPEM/MG3969</v>
      </c>
      <c r="E5518" t="s">
        <v>2992</v>
      </c>
    </row>
    <row r="5519" spans="1:5" x14ac:dyDescent="0.25">
      <c r="A5519">
        <v>2331</v>
      </c>
      <c r="B5519" t="s">
        <v>3347</v>
      </c>
      <c r="C5519" t="s">
        <v>3031</v>
      </c>
      <c r="D5519" t="str">
        <f t="shared" si="87"/>
        <v>IPEM/MG3970</v>
      </c>
      <c r="E5519" t="s">
        <v>3009</v>
      </c>
    </row>
    <row r="5520" spans="1:5" x14ac:dyDescent="0.25">
      <c r="A5520">
        <v>2331</v>
      </c>
      <c r="B5520" t="s">
        <v>3347</v>
      </c>
      <c r="C5520" t="s">
        <v>513</v>
      </c>
      <c r="D5520" t="str">
        <f t="shared" si="87"/>
        <v>IPEM/MG3971</v>
      </c>
      <c r="E5520" t="s">
        <v>3033</v>
      </c>
    </row>
    <row r="5521" spans="1:5" x14ac:dyDescent="0.25">
      <c r="A5521">
        <v>2331</v>
      </c>
      <c r="B5521" t="s">
        <v>3347</v>
      </c>
      <c r="C5521" t="s">
        <v>514</v>
      </c>
      <c r="D5521" t="str">
        <f t="shared" si="87"/>
        <v>IPEM/MG3972</v>
      </c>
      <c r="E5521" t="s">
        <v>2992</v>
      </c>
    </row>
    <row r="5522" spans="1:5" x14ac:dyDescent="0.25">
      <c r="A5522">
        <v>2331</v>
      </c>
      <c r="B5522" t="s">
        <v>3347</v>
      </c>
      <c r="C5522" t="s">
        <v>521</v>
      </c>
      <c r="D5522" t="str">
        <f t="shared" si="87"/>
        <v>IPEM/MG3981</v>
      </c>
      <c r="E5522" t="s">
        <v>2968</v>
      </c>
    </row>
    <row r="5523" spans="1:5" x14ac:dyDescent="0.25">
      <c r="A5523">
        <v>2331</v>
      </c>
      <c r="B5523" t="s">
        <v>3347</v>
      </c>
      <c r="C5523" t="s">
        <v>3036</v>
      </c>
      <c r="D5523" t="str">
        <f t="shared" si="87"/>
        <v>IPEM/MG3987</v>
      </c>
      <c r="E5523" t="s">
        <v>2958</v>
      </c>
    </row>
    <row r="5524" spans="1:5" x14ac:dyDescent="0.25">
      <c r="A5524">
        <v>2331</v>
      </c>
      <c r="B5524" t="s">
        <v>3347</v>
      </c>
      <c r="C5524" t="s">
        <v>3040</v>
      </c>
      <c r="D5524" t="str">
        <f t="shared" si="87"/>
        <v>IPEM/MG3999</v>
      </c>
      <c r="E5524" t="s">
        <v>2968</v>
      </c>
    </row>
    <row r="5525" spans="1:5" x14ac:dyDescent="0.25">
      <c r="A5525">
        <v>2331</v>
      </c>
      <c r="B5525" t="s">
        <v>3347</v>
      </c>
      <c r="C5525" t="s">
        <v>3041</v>
      </c>
      <c r="D5525" t="str">
        <f t="shared" si="87"/>
        <v>IPEM/MG4002</v>
      </c>
      <c r="E5525" t="s">
        <v>3009</v>
      </c>
    </row>
    <row r="5526" spans="1:5" x14ac:dyDescent="0.25">
      <c r="A5526">
        <v>2331</v>
      </c>
      <c r="B5526" t="s">
        <v>3347</v>
      </c>
      <c r="C5526" t="s">
        <v>3043</v>
      </c>
      <c r="D5526" t="str">
        <f t="shared" si="87"/>
        <v>IPEM/MG4003</v>
      </c>
      <c r="E5526" t="s">
        <v>94</v>
      </c>
    </row>
    <row r="5527" spans="1:5" x14ac:dyDescent="0.25">
      <c r="A5527">
        <v>2331</v>
      </c>
      <c r="B5527" t="s">
        <v>3347</v>
      </c>
      <c r="C5527" t="s">
        <v>3045</v>
      </c>
      <c r="D5527" t="str">
        <f t="shared" si="87"/>
        <v>IPEM/MG4004</v>
      </c>
      <c r="E5527" t="s">
        <v>3009</v>
      </c>
    </row>
    <row r="5528" spans="1:5" x14ac:dyDescent="0.25">
      <c r="A5528">
        <v>2331</v>
      </c>
      <c r="B5528" t="s">
        <v>3347</v>
      </c>
      <c r="C5528" t="s">
        <v>3047</v>
      </c>
      <c r="D5528" t="str">
        <f t="shared" si="87"/>
        <v>IPEM/MG4005</v>
      </c>
      <c r="E5528" t="s">
        <v>3009</v>
      </c>
    </row>
    <row r="5529" spans="1:5" x14ac:dyDescent="0.25">
      <c r="A5529">
        <v>2331</v>
      </c>
      <c r="B5529" t="s">
        <v>3347</v>
      </c>
      <c r="C5529" t="s">
        <v>813</v>
      </c>
      <c r="D5529" t="str">
        <f t="shared" si="87"/>
        <v>IPEM/MG4006</v>
      </c>
      <c r="E5529" t="s">
        <v>3057</v>
      </c>
    </row>
    <row r="5530" spans="1:5" x14ac:dyDescent="0.25">
      <c r="A5530">
        <v>2331</v>
      </c>
      <c r="B5530" t="s">
        <v>3347</v>
      </c>
      <c r="C5530" t="s">
        <v>3048</v>
      </c>
      <c r="D5530" t="str">
        <f t="shared" si="87"/>
        <v>IPEM/MG4701</v>
      </c>
      <c r="E5530" t="s">
        <v>3049</v>
      </c>
    </row>
    <row r="5531" spans="1:5" x14ac:dyDescent="0.25">
      <c r="A5531">
        <v>2331</v>
      </c>
      <c r="B5531" t="s">
        <v>3347</v>
      </c>
      <c r="C5531" t="s">
        <v>316</v>
      </c>
      <c r="D5531" t="str">
        <f t="shared" si="87"/>
        <v>IPEM/MG4706</v>
      </c>
      <c r="E5531" t="s">
        <v>3049</v>
      </c>
    </row>
    <row r="5532" spans="1:5" x14ac:dyDescent="0.25">
      <c r="A5532">
        <v>2331</v>
      </c>
      <c r="B5532" t="s">
        <v>3347</v>
      </c>
      <c r="C5532" t="s">
        <v>328</v>
      </c>
      <c r="D5532" t="str">
        <f t="shared" si="87"/>
        <v>IPEM/MG4707</v>
      </c>
      <c r="E5532" t="s">
        <v>3049</v>
      </c>
    </row>
    <row r="5533" spans="1:5" x14ac:dyDescent="0.25">
      <c r="A5533">
        <v>2331</v>
      </c>
      <c r="B5533" t="s">
        <v>3347</v>
      </c>
      <c r="C5533" t="s">
        <v>364</v>
      </c>
      <c r="D5533" t="str">
        <f t="shared" si="87"/>
        <v>IPEM/MG4799</v>
      </c>
      <c r="E5533" t="s">
        <v>3049</v>
      </c>
    </row>
    <row r="5534" spans="1:5" x14ac:dyDescent="0.25">
      <c r="A5534">
        <v>2331</v>
      </c>
      <c r="B5534" t="s">
        <v>3347</v>
      </c>
      <c r="C5534" t="s">
        <v>3054</v>
      </c>
      <c r="D5534" t="str">
        <f t="shared" si="87"/>
        <v>IPEM/MG5204</v>
      </c>
      <c r="E5534" t="s">
        <v>3055</v>
      </c>
    </row>
    <row r="5535" spans="1:5" x14ac:dyDescent="0.25">
      <c r="A5535">
        <v>2331</v>
      </c>
      <c r="B5535" t="s">
        <v>3347</v>
      </c>
      <c r="C5535" t="s">
        <v>329</v>
      </c>
      <c r="D5535" t="str">
        <f t="shared" si="87"/>
        <v>IPEM/MG5206</v>
      </c>
      <c r="E5535" t="s">
        <v>3057</v>
      </c>
    </row>
    <row r="5536" spans="1:5" x14ac:dyDescent="0.25">
      <c r="A5536">
        <v>2331</v>
      </c>
      <c r="B5536" t="s">
        <v>3347</v>
      </c>
      <c r="C5536" t="s">
        <v>3058</v>
      </c>
      <c r="D5536" t="str">
        <f t="shared" si="87"/>
        <v>IPEM/MG5207</v>
      </c>
      <c r="E5536" t="s">
        <v>3057</v>
      </c>
    </row>
    <row r="5537" spans="1:5" x14ac:dyDescent="0.25">
      <c r="A5537">
        <v>2331</v>
      </c>
      <c r="B5537" t="s">
        <v>3347</v>
      </c>
      <c r="C5537" t="s">
        <v>359</v>
      </c>
      <c r="D5537" t="str">
        <f t="shared" si="87"/>
        <v>IPEM/MG5209</v>
      </c>
      <c r="E5537" t="s">
        <v>3055</v>
      </c>
    </row>
    <row r="5538" spans="1:5" x14ac:dyDescent="0.25">
      <c r="A5538">
        <v>2331</v>
      </c>
      <c r="B5538" t="s">
        <v>3347</v>
      </c>
      <c r="C5538" t="s">
        <v>3063</v>
      </c>
      <c r="D5538" t="str">
        <f t="shared" si="87"/>
        <v>IPEM/MG5210</v>
      </c>
      <c r="E5538" t="s">
        <v>3055</v>
      </c>
    </row>
    <row r="5539" spans="1:5" x14ac:dyDescent="0.25">
      <c r="A5539">
        <v>2331</v>
      </c>
      <c r="B5539" t="s">
        <v>3347</v>
      </c>
      <c r="C5539" t="s">
        <v>3064</v>
      </c>
      <c r="D5539" t="str">
        <f t="shared" si="87"/>
        <v>IPEM/MG5212</v>
      </c>
      <c r="E5539" t="s">
        <v>3055</v>
      </c>
    </row>
    <row r="5540" spans="1:5" x14ac:dyDescent="0.25">
      <c r="A5540">
        <v>2331</v>
      </c>
      <c r="B5540" t="s">
        <v>3347</v>
      </c>
      <c r="C5540" t="s">
        <v>391</v>
      </c>
      <c r="D5540" t="str">
        <f t="shared" si="87"/>
        <v>IPEM/MG5214</v>
      </c>
      <c r="E5540" t="s">
        <v>3055</v>
      </c>
    </row>
    <row r="5541" spans="1:5" x14ac:dyDescent="0.25">
      <c r="A5541">
        <v>2331</v>
      </c>
      <c r="B5541" t="s">
        <v>3347</v>
      </c>
      <c r="C5541" t="s">
        <v>3068</v>
      </c>
      <c r="D5541" t="str">
        <f t="shared" si="87"/>
        <v>IPEM/MG5220</v>
      </c>
      <c r="E5541" t="s">
        <v>3057</v>
      </c>
    </row>
    <row r="5542" spans="1:5" x14ac:dyDescent="0.25">
      <c r="A5542">
        <v>2331</v>
      </c>
      <c r="B5542" t="s">
        <v>3347</v>
      </c>
      <c r="C5542" t="s">
        <v>434</v>
      </c>
      <c r="D5542" t="str">
        <f t="shared" si="87"/>
        <v>IPEM/MG5222</v>
      </c>
      <c r="E5542" t="s">
        <v>3055</v>
      </c>
    </row>
    <row r="5543" spans="1:5" x14ac:dyDescent="0.25">
      <c r="A5543">
        <v>2331</v>
      </c>
      <c r="B5543" t="s">
        <v>3347</v>
      </c>
      <c r="C5543" t="s">
        <v>459</v>
      </c>
      <c r="D5543" t="str">
        <f t="shared" si="87"/>
        <v>IPEM/MG5299</v>
      </c>
      <c r="E5543" t="s">
        <v>3055</v>
      </c>
    </row>
    <row r="5544" spans="1:5" x14ac:dyDescent="0.25">
      <c r="A5544">
        <v>2331</v>
      </c>
      <c r="B5544" t="s">
        <v>3347</v>
      </c>
      <c r="C5544" t="s">
        <v>3211</v>
      </c>
      <c r="D5544" t="str">
        <f t="shared" si="87"/>
        <v>IPEM/MG9108</v>
      </c>
      <c r="E5544" t="s">
        <v>3212</v>
      </c>
    </row>
    <row r="5545" spans="1:5" x14ac:dyDescent="0.25">
      <c r="A5545">
        <v>2331</v>
      </c>
      <c r="B5545" t="s">
        <v>3347</v>
      </c>
      <c r="C5545" t="s">
        <v>3074</v>
      </c>
      <c r="D5545" t="str">
        <f t="shared" si="87"/>
        <v>IPEM/MG9202</v>
      </c>
      <c r="E5545" t="s">
        <v>3075</v>
      </c>
    </row>
    <row r="5546" spans="1:5" x14ac:dyDescent="0.25">
      <c r="A5546">
        <v>2331</v>
      </c>
      <c r="B5546" t="s">
        <v>3347</v>
      </c>
      <c r="C5546" t="s">
        <v>250</v>
      </c>
      <c r="D5546" t="str">
        <f t="shared" si="87"/>
        <v>IPEM/MG9301</v>
      </c>
      <c r="E5546" t="s">
        <v>2968</v>
      </c>
    </row>
    <row r="5547" spans="1:5" x14ac:dyDescent="0.25">
      <c r="A5547">
        <v>2331</v>
      </c>
      <c r="B5547" t="s">
        <v>3347</v>
      </c>
      <c r="C5547" t="s">
        <v>331</v>
      </c>
      <c r="D5547" t="str">
        <f t="shared" si="87"/>
        <v>IPEM/MG9306</v>
      </c>
      <c r="E5547" t="s">
        <v>3076</v>
      </c>
    </row>
    <row r="5548" spans="1:5" x14ac:dyDescent="0.25">
      <c r="A5548">
        <v>2331</v>
      </c>
      <c r="B5548" t="s">
        <v>3347</v>
      </c>
      <c r="C5548" t="s">
        <v>360</v>
      </c>
      <c r="D5548" t="str">
        <f t="shared" si="87"/>
        <v>IPEM/MG9309</v>
      </c>
      <c r="E5548" t="s">
        <v>2968</v>
      </c>
    </row>
    <row r="5549" spans="1:5" x14ac:dyDescent="0.25">
      <c r="A5549">
        <v>2331</v>
      </c>
      <c r="B5549" t="s">
        <v>3347</v>
      </c>
      <c r="C5549" t="s">
        <v>3079</v>
      </c>
      <c r="D5549" t="str">
        <f t="shared" si="87"/>
        <v>IPEM/MG9399</v>
      </c>
      <c r="E5549" t="s">
        <v>2968</v>
      </c>
    </row>
    <row r="5550" spans="1:5" x14ac:dyDescent="0.25">
      <c r="A5550">
        <v>2351</v>
      </c>
      <c r="B5550" t="s">
        <v>1761</v>
      </c>
      <c r="C5550" t="s">
        <v>3255</v>
      </c>
      <c r="D5550" t="str">
        <f t="shared" si="87"/>
        <v>UEMG0409</v>
      </c>
      <c r="E5550" t="s">
        <v>3006</v>
      </c>
    </row>
    <row r="5551" spans="1:5" x14ac:dyDescent="0.25">
      <c r="A5551">
        <v>2351</v>
      </c>
      <c r="B5551" t="s">
        <v>1761</v>
      </c>
      <c r="C5551" t="s">
        <v>2925</v>
      </c>
      <c r="D5551" t="str">
        <f t="shared" si="87"/>
        <v>UEMG0810</v>
      </c>
      <c r="E5551" t="s">
        <v>2926</v>
      </c>
    </row>
    <row r="5552" spans="1:5" x14ac:dyDescent="0.25">
      <c r="A5552">
        <v>2351</v>
      </c>
      <c r="B5552" t="s">
        <v>1761</v>
      </c>
      <c r="C5552" t="s">
        <v>3229</v>
      </c>
      <c r="D5552" t="str">
        <f t="shared" si="87"/>
        <v>UEMG1307</v>
      </c>
      <c r="E5552" t="s">
        <v>3081</v>
      </c>
    </row>
    <row r="5553" spans="1:5" x14ac:dyDescent="0.25">
      <c r="A5553">
        <v>2351</v>
      </c>
      <c r="B5553" t="s">
        <v>1761</v>
      </c>
      <c r="C5553" t="s">
        <v>399</v>
      </c>
      <c r="D5553" t="str">
        <f t="shared" si="87"/>
        <v>UEMG1325</v>
      </c>
      <c r="E5553" t="s">
        <v>3081</v>
      </c>
    </row>
    <row r="5554" spans="1:5" x14ac:dyDescent="0.25">
      <c r="A5554">
        <v>2351</v>
      </c>
      <c r="B5554" t="s">
        <v>1761</v>
      </c>
      <c r="C5554" t="s">
        <v>2928</v>
      </c>
      <c r="D5554" t="str">
        <f t="shared" si="87"/>
        <v>UEMG1401</v>
      </c>
      <c r="E5554" t="s">
        <v>44</v>
      </c>
    </row>
    <row r="5555" spans="1:5" x14ac:dyDescent="0.25">
      <c r="A5555">
        <v>2351</v>
      </c>
      <c r="B5555" t="s">
        <v>1761</v>
      </c>
      <c r="C5555" t="s">
        <v>222</v>
      </c>
      <c r="D5555" t="str">
        <f t="shared" si="87"/>
        <v>UEMG1801</v>
      </c>
      <c r="E5555" t="s">
        <v>3230</v>
      </c>
    </row>
    <row r="5556" spans="1:5" x14ac:dyDescent="0.25">
      <c r="A5556">
        <v>2351</v>
      </c>
      <c r="B5556" t="s">
        <v>1761</v>
      </c>
      <c r="C5556" t="s">
        <v>2951</v>
      </c>
      <c r="D5556" t="str">
        <f t="shared" si="87"/>
        <v>UEMG2001</v>
      </c>
      <c r="E5556" t="s">
        <v>2926</v>
      </c>
    </row>
    <row r="5557" spans="1:5" x14ac:dyDescent="0.25">
      <c r="A5557">
        <v>2351</v>
      </c>
      <c r="B5557" t="s">
        <v>1761</v>
      </c>
      <c r="C5557" t="s">
        <v>2932</v>
      </c>
      <c r="D5557" t="str">
        <f t="shared" si="87"/>
        <v>UEMG3001</v>
      </c>
      <c r="E5557" t="s">
        <v>2933</v>
      </c>
    </row>
    <row r="5558" spans="1:5" x14ac:dyDescent="0.25">
      <c r="A5558">
        <v>2351</v>
      </c>
      <c r="B5558" t="s">
        <v>1761</v>
      </c>
      <c r="C5558" t="s">
        <v>256</v>
      </c>
      <c r="D5558" t="str">
        <f t="shared" si="87"/>
        <v>UEMG3002</v>
      </c>
      <c r="E5558" t="s">
        <v>2933</v>
      </c>
    </row>
    <row r="5559" spans="1:5" x14ac:dyDescent="0.25">
      <c r="A5559">
        <v>2351</v>
      </c>
      <c r="B5559" t="s">
        <v>1761</v>
      </c>
      <c r="C5559" t="s">
        <v>979</v>
      </c>
      <c r="D5559" t="str">
        <f t="shared" si="87"/>
        <v>UEMG3003</v>
      </c>
      <c r="E5559" t="s">
        <v>2933</v>
      </c>
    </row>
    <row r="5560" spans="1:5" x14ac:dyDescent="0.25">
      <c r="A5560">
        <v>2351</v>
      </c>
      <c r="B5560" t="s">
        <v>1761</v>
      </c>
      <c r="C5560" t="s">
        <v>2937</v>
      </c>
      <c r="D5560" t="str">
        <f t="shared" si="87"/>
        <v>UEMG3004</v>
      </c>
      <c r="E5560" t="s">
        <v>2933</v>
      </c>
    </row>
    <row r="5561" spans="1:5" x14ac:dyDescent="0.25">
      <c r="A5561">
        <v>2351</v>
      </c>
      <c r="B5561" t="s">
        <v>1761</v>
      </c>
      <c r="C5561" t="s">
        <v>2939</v>
      </c>
      <c r="D5561" t="str">
        <f t="shared" si="87"/>
        <v>UEMG3005</v>
      </c>
      <c r="E5561" t="s">
        <v>2933</v>
      </c>
    </row>
    <row r="5562" spans="1:5" x14ac:dyDescent="0.25">
      <c r="A5562">
        <v>2351</v>
      </c>
      <c r="B5562" t="s">
        <v>1761</v>
      </c>
      <c r="C5562" t="s">
        <v>323</v>
      </c>
      <c r="D5562" t="str">
        <f t="shared" si="87"/>
        <v>UEMG3006</v>
      </c>
      <c r="E5562" t="s">
        <v>2933</v>
      </c>
    </row>
    <row r="5563" spans="1:5" x14ac:dyDescent="0.25">
      <c r="A5563">
        <v>2351</v>
      </c>
      <c r="B5563" t="s">
        <v>1761</v>
      </c>
      <c r="C5563" t="s">
        <v>333</v>
      </c>
      <c r="D5563" t="str">
        <f t="shared" si="87"/>
        <v>UEMG3007</v>
      </c>
      <c r="E5563" t="s">
        <v>2933</v>
      </c>
    </row>
    <row r="5564" spans="1:5" x14ac:dyDescent="0.25">
      <c r="A5564">
        <v>2351</v>
      </c>
      <c r="B5564" t="s">
        <v>1761</v>
      </c>
      <c r="C5564" t="s">
        <v>2941</v>
      </c>
      <c r="D5564" t="str">
        <f t="shared" si="87"/>
        <v>UEMG3008</v>
      </c>
      <c r="E5564" t="s">
        <v>2933</v>
      </c>
    </row>
    <row r="5565" spans="1:5" x14ac:dyDescent="0.25">
      <c r="A5565">
        <v>2351</v>
      </c>
      <c r="B5565" t="s">
        <v>1761</v>
      </c>
      <c r="C5565" t="s">
        <v>354</v>
      </c>
      <c r="D5565" t="str">
        <f t="shared" si="87"/>
        <v>UEMG3009</v>
      </c>
      <c r="E5565" t="s">
        <v>2933</v>
      </c>
    </row>
    <row r="5566" spans="1:5" x14ac:dyDescent="0.25">
      <c r="A5566">
        <v>2351</v>
      </c>
      <c r="B5566" t="s">
        <v>1761</v>
      </c>
      <c r="C5566" t="s">
        <v>2943</v>
      </c>
      <c r="D5566" t="str">
        <f t="shared" si="87"/>
        <v>UEMG3010</v>
      </c>
      <c r="E5566" t="s">
        <v>2944</v>
      </c>
    </row>
    <row r="5567" spans="1:5" x14ac:dyDescent="0.25">
      <c r="A5567">
        <v>2351</v>
      </c>
      <c r="B5567" t="s">
        <v>1761</v>
      </c>
      <c r="C5567" t="s">
        <v>369</v>
      </c>
      <c r="D5567" t="str">
        <f t="shared" si="87"/>
        <v>UEMG3011</v>
      </c>
      <c r="E5567" t="s">
        <v>2933</v>
      </c>
    </row>
    <row r="5568" spans="1:5" x14ac:dyDescent="0.25">
      <c r="A5568">
        <v>2351</v>
      </c>
      <c r="B5568" t="s">
        <v>1761</v>
      </c>
      <c r="C5568" t="s">
        <v>138</v>
      </c>
      <c r="D5568" t="str">
        <f t="shared" si="87"/>
        <v>UEMG3012</v>
      </c>
      <c r="E5568" t="s">
        <v>2944</v>
      </c>
    </row>
    <row r="5569" spans="1:5" x14ac:dyDescent="0.25">
      <c r="A5569">
        <v>2351</v>
      </c>
      <c r="B5569" t="s">
        <v>1761</v>
      </c>
      <c r="C5569" t="s">
        <v>2946</v>
      </c>
      <c r="D5569" t="str">
        <f t="shared" si="87"/>
        <v>UEMG3013</v>
      </c>
      <c r="E5569" t="s">
        <v>2933</v>
      </c>
    </row>
    <row r="5570" spans="1:5" x14ac:dyDescent="0.25">
      <c r="A5570">
        <v>2351</v>
      </c>
      <c r="B5570" t="s">
        <v>1761</v>
      </c>
      <c r="C5570" t="s">
        <v>2948</v>
      </c>
      <c r="D5570" t="str">
        <f t="shared" si="87"/>
        <v>UEMG3015</v>
      </c>
      <c r="E5570" t="s">
        <v>2933</v>
      </c>
    </row>
    <row r="5571" spans="1:5" x14ac:dyDescent="0.25">
      <c r="A5571">
        <v>2351</v>
      </c>
      <c r="B5571" t="s">
        <v>1761</v>
      </c>
      <c r="C5571" t="s">
        <v>2950</v>
      </c>
      <c r="D5571" t="str">
        <f t="shared" si="87"/>
        <v>UEMG3016</v>
      </c>
      <c r="E5571" t="s">
        <v>2933</v>
      </c>
    </row>
    <row r="5572" spans="1:5" x14ac:dyDescent="0.25">
      <c r="A5572">
        <v>2351</v>
      </c>
      <c r="B5572" t="s">
        <v>1761</v>
      </c>
      <c r="C5572" t="s">
        <v>406</v>
      </c>
      <c r="D5572" t="str">
        <f t="shared" si="87"/>
        <v>UEMG3017</v>
      </c>
      <c r="E5572" t="s">
        <v>2933</v>
      </c>
    </row>
    <row r="5573" spans="1:5" x14ac:dyDescent="0.25">
      <c r="A5573">
        <v>2351</v>
      </c>
      <c r="B5573" t="s">
        <v>1761</v>
      </c>
      <c r="C5573" t="s">
        <v>411</v>
      </c>
      <c r="D5573" t="str">
        <f t="shared" ref="D5573:D5636" si="88">CONCATENATE(B5573,LEFT(C5573,4))</f>
        <v>UEMG3018</v>
      </c>
      <c r="E5573" t="s">
        <v>2933</v>
      </c>
    </row>
    <row r="5574" spans="1:5" x14ac:dyDescent="0.25">
      <c r="A5574">
        <v>2351</v>
      </c>
      <c r="B5574" t="s">
        <v>1761</v>
      </c>
      <c r="C5574" t="s">
        <v>2953</v>
      </c>
      <c r="D5574" t="str">
        <f t="shared" si="88"/>
        <v>UEMG3019</v>
      </c>
      <c r="E5574" t="s">
        <v>2954</v>
      </c>
    </row>
    <row r="5575" spans="1:5" x14ac:dyDescent="0.25">
      <c r="A5575">
        <v>2351</v>
      </c>
      <c r="B5575" t="s">
        <v>1761</v>
      </c>
      <c r="C5575" t="s">
        <v>2955</v>
      </c>
      <c r="D5575" t="str">
        <f t="shared" si="88"/>
        <v>UEMG3020</v>
      </c>
      <c r="E5575" t="s">
        <v>2933</v>
      </c>
    </row>
    <row r="5576" spans="1:5" x14ac:dyDescent="0.25">
      <c r="A5576">
        <v>2351</v>
      </c>
      <c r="B5576" t="s">
        <v>1761</v>
      </c>
      <c r="C5576" t="s">
        <v>2956</v>
      </c>
      <c r="D5576" t="str">
        <f t="shared" si="88"/>
        <v>UEMG3021</v>
      </c>
      <c r="E5576" t="s">
        <v>2933</v>
      </c>
    </row>
    <row r="5577" spans="1:5" x14ac:dyDescent="0.25">
      <c r="A5577">
        <v>2351</v>
      </c>
      <c r="B5577" t="s">
        <v>1761</v>
      </c>
      <c r="C5577" t="s">
        <v>431</v>
      </c>
      <c r="D5577" t="str">
        <f t="shared" si="88"/>
        <v>UEMG3022</v>
      </c>
      <c r="E5577" t="s">
        <v>2933</v>
      </c>
    </row>
    <row r="5578" spans="1:5" x14ac:dyDescent="0.25">
      <c r="A5578">
        <v>2351</v>
      </c>
      <c r="B5578" t="s">
        <v>1761</v>
      </c>
      <c r="C5578" t="s">
        <v>2957</v>
      </c>
      <c r="D5578" t="str">
        <f t="shared" si="88"/>
        <v>UEMG3023</v>
      </c>
      <c r="E5578" t="s">
        <v>2958</v>
      </c>
    </row>
    <row r="5579" spans="1:5" x14ac:dyDescent="0.25">
      <c r="A5579">
        <v>2351</v>
      </c>
      <c r="B5579" t="s">
        <v>1761</v>
      </c>
      <c r="C5579" t="s">
        <v>441</v>
      </c>
      <c r="D5579" t="str">
        <f t="shared" si="88"/>
        <v>UEMG3024</v>
      </c>
      <c r="E5579" t="s">
        <v>2933</v>
      </c>
    </row>
    <row r="5580" spans="1:5" x14ac:dyDescent="0.25">
      <c r="A5580">
        <v>2351</v>
      </c>
      <c r="B5580" t="s">
        <v>1761</v>
      </c>
      <c r="C5580" t="s">
        <v>2959</v>
      </c>
      <c r="D5580" t="str">
        <f t="shared" si="88"/>
        <v>UEMG3025</v>
      </c>
      <c r="E5580" t="s">
        <v>2933</v>
      </c>
    </row>
    <row r="5581" spans="1:5" x14ac:dyDescent="0.25">
      <c r="A5581">
        <v>2351</v>
      </c>
      <c r="B5581" t="s">
        <v>1761</v>
      </c>
      <c r="C5581" t="s">
        <v>2960</v>
      </c>
      <c r="D5581" t="str">
        <f t="shared" si="88"/>
        <v>UEMG3026</v>
      </c>
      <c r="E5581" t="s">
        <v>2958</v>
      </c>
    </row>
    <row r="5582" spans="1:5" x14ac:dyDescent="0.25">
      <c r="A5582">
        <v>2351</v>
      </c>
      <c r="B5582" t="s">
        <v>1761</v>
      </c>
      <c r="C5582" t="s">
        <v>2961</v>
      </c>
      <c r="D5582" t="str">
        <f t="shared" si="88"/>
        <v>UEMG3027</v>
      </c>
      <c r="E5582" t="s">
        <v>2933</v>
      </c>
    </row>
    <row r="5583" spans="1:5" x14ac:dyDescent="0.25">
      <c r="A5583">
        <v>2351</v>
      </c>
      <c r="B5583" t="s">
        <v>1761</v>
      </c>
      <c r="C5583" t="s">
        <v>2984</v>
      </c>
      <c r="D5583" t="str">
        <f t="shared" si="88"/>
        <v>UEMG3029</v>
      </c>
      <c r="E5583" t="s">
        <v>2933</v>
      </c>
    </row>
    <row r="5584" spans="1:5" x14ac:dyDescent="0.25">
      <c r="A5584">
        <v>2351</v>
      </c>
      <c r="B5584" t="s">
        <v>1761</v>
      </c>
      <c r="C5584" t="s">
        <v>467</v>
      </c>
      <c r="D5584" t="str">
        <f t="shared" si="88"/>
        <v>UEMG3030</v>
      </c>
      <c r="E5584" t="s">
        <v>2933</v>
      </c>
    </row>
    <row r="5585" spans="1:5" x14ac:dyDescent="0.25">
      <c r="A5585">
        <v>2351</v>
      </c>
      <c r="B5585" t="s">
        <v>1761</v>
      </c>
      <c r="C5585" t="s">
        <v>3242</v>
      </c>
      <c r="D5585" t="str">
        <f t="shared" si="88"/>
        <v>UEMG3036</v>
      </c>
      <c r="E5585" t="s">
        <v>2933</v>
      </c>
    </row>
    <row r="5586" spans="1:5" x14ac:dyDescent="0.25">
      <c r="A5586">
        <v>2351</v>
      </c>
      <c r="B5586" t="s">
        <v>1761</v>
      </c>
      <c r="C5586" t="s">
        <v>487</v>
      </c>
      <c r="D5586" t="str">
        <f t="shared" si="88"/>
        <v>UEMG3040</v>
      </c>
      <c r="E5586" t="s">
        <v>2933</v>
      </c>
    </row>
    <row r="5587" spans="1:5" x14ac:dyDescent="0.25">
      <c r="A5587">
        <v>2351</v>
      </c>
      <c r="B5587" t="s">
        <v>1761</v>
      </c>
      <c r="C5587" t="s">
        <v>2993</v>
      </c>
      <c r="D5587" t="str">
        <f t="shared" si="88"/>
        <v>UEMG3041</v>
      </c>
      <c r="E5587" t="s">
        <v>2968</v>
      </c>
    </row>
    <row r="5588" spans="1:5" x14ac:dyDescent="0.25">
      <c r="A5588">
        <v>2351</v>
      </c>
      <c r="B5588" t="s">
        <v>1761</v>
      </c>
      <c r="C5588" t="s">
        <v>491</v>
      </c>
      <c r="D5588" t="str">
        <f t="shared" si="88"/>
        <v>UEMG3099</v>
      </c>
      <c r="E5588" t="s">
        <v>2933</v>
      </c>
    </row>
    <row r="5589" spans="1:5" x14ac:dyDescent="0.25">
      <c r="A5589">
        <v>2351</v>
      </c>
      <c r="B5589" t="s">
        <v>1761</v>
      </c>
      <c r="C5589" t="s">
        <v>294</v>
      </c>
      <c r="D5589" t="str">
        <f t="shared" si="88"/>
        <v>UEMG3104</v>
      </c>
      <c r="E5589" t="s">
        <v>2968</v>
      </c>
    </row>
    <row r="5590" spans="1:5" x14ac:dyDescent="0.25">
      <c r="A5590">
        <v>2351</v>
      </c>
      <c r="B5590" t="s">
        <v>1761</v>
      </c>
      <c r="C5590" t="s">
        <v>227</v>
      </c>
      <c r="D5590" t="str">
        <f t="shared" si="88"/>
        <v>UEMG3201</v>
      </c>
      <c r="E5590" t="s">
        <v>2968</v>
      </c>
    </row>
    <row r="5591" spans="1:5" x14ac:dyDescent="0.25">
      <c r="A5591">
        <v>2351</v>
      </c>
      <c r="B5591" t="s">
        <v>1761</v>
      </c>
      <c r="C5591" t="s">
        <v>54</v>
      </c>
      <c r="D5591" t="str">
        <f t="shared" si="88"/>
        <v>UEMG3301</v>
      </c>
      <c r="E5591" t="s">
        <v>44</v>
      </c>
    </row>
    <row r="5592" spans="1:5" x14ac:dyDescent="0.25">
      <c r="A5592">
        <v>2351</v>
      </c>
      <c r="B5592" t="s">
        <v>1761</v>
      </c>
      <c r="C5592" t="s">
        <v>2975</v>
      </c>
      <c r="D5592" t="str">
        <f t="shared" si="88"/>
        <v>UEMG3302</v>
      </c>
      <c r="E5592" t="s">
        <v>44</v>
      </c>
    </row>
    <row r="5593" spans="1:5" x14ac:dyDescent="0.25">
      <c r="A5593">
        <v>2351</v>
      </c>
      <c r="B5593" t="s">
        <v>1761</v>
      </c>
      <c r="C5593" t="s">
        <v>2977</v>
      </c>
      <c r="D5593" t="str">
        <f t="shared" si="88"/>
        <v>UEMG3304</v>
      </c>
      <c r="E5593" t="s">
        <v>44</v>
      </c>
    </row>
    <row r="5594" spans="1:5" x14ac:dyDescent="0.25">
      <c r="A5594">
        <v>2351</v>
      </c>
      <c r="B5594" t="s">
        <v>1761</v>
      </c>
      <c r="C5594" t="s">
        <v>309</v>
      </c>
      <c r="D5594" t="str">
        <f t="shared" si="88"/>
        <v>UEMG3305</v>
      </c>
      <c r="E5594" t="s">
        <v>44</v>
      </c>
    </row>
    <row r="5595" spans="1:5" x14ac:dyDescent="0.25">
      <c r="A5595">
        <v>2351</v>
      </c>
      <c r="B5595" t="s">
        <v>1761</v>
      </c>
      <c r="C5595" t="s">
        <v>228</v>
      </c>
      <c r="D5595" t="str">
        <f t="shared" si="88"/>
        <v>UEMG3401</v>
      </c>
      <c r="E5595" t="s">
        <v>3231</v>
      </c>
    </row>
    <row r="5596" spans="1:5" x14ac:dyDescent="0.25">
      <c r="A5596">
        <v>2351</v>
      </c>
      <c r="B5596" t="s">
        <v>1761</v>
      </c>
      <c r="C5596" t="s">
        <v>280</v>
      </c>
      <c r="D5596" t="str">
        <f t="shared" si="88"/>
        <v>UEMG3403</v>
      </c>
      <c r="E5596" t="s">
        <v>3081</v>
      </c>
    </row>
    <row r="5597" spans="1:5" x14ac:dyDescent="0.25">
      <c r="A5597">
        <v>2351</v>
      </c>
      <c r="B5597" t="s">
        <v>1761</v>
      </c>
      <c r="C5597" t="s">
        <v>296</v>
      </c>
      <c r="D5597" t="str">
        <f t="shared" si="88"/>
        <v>UEMG3404</v>
      </c>
      <c r="E5597" t="s">
        <v>3081</v>
      </c>
    </row>
    <row r="5598" spans="1:5" x14ac:dyDescent="0.25">
      <c r="A5598">
        <v>2351</v>
      </c>
      <c r="B5598" t="s">
        <v>1761</v>
      </c>
      <c r="C5598" t="s">
        <v>3232</v>
      </c>
      <c r="D5598" t="str">
        <f t="shared" si="88"/>
        <v>UEMG3405</v>
      </c>
      <c r="E5598" t="s">
        <v>2926</v>
      </c>
    </row>
    <row r="5599" spans="1:5" x14ac:dyDescent="0.25">
      <c r="A5599">
        <v>2351</v>
      </c>
      <c r="B5599" t="s">
        <v>1761</v>
      </c>
      <c r="C5599" t="s">
        <v>3201</v>
      </c>
      <c r="D5599" t="str">
        <f t="shared" si="88"/>
        <v>UEMG3502</v>
      </c>
      <c r="E5599" t="s">
        <v>1660</v>
      </c>
    </row>
    <row r="5600" spans="1:5" x14ac:dyDescent="0.25">
      <c r="A5600">
        <v>2351</v>
      </c>
      <c r="B5600" t="s">
        <v>1761</v>
      </c>
      <c r="C5600" t="s">
        <v>3012</v>
      </c>
      <c r="D5600" t="str">
        <f t="shared" si="88"/>
        <v>UEMG3601</v>
      </c>
      <c r="E5600" t="s">
        <v>65</v>
      </c>
    </row>
    <row r="5601" spans="1:5" x14ac:dyDescent="0.25">
      <c r="A5601">
        <v>2351</v>
      </c>
      <c r="B5601" t="s">
        <v>1761</v>
      </c>
      <c r="C5601" t="s">
        <v>297</v>
      </c>
      <c r="D5601" t="str">
        <f t="shared" si="88"/>
        <v>UEMG3604</v>
      </c>
      <c r="E5601" t="s">
        <v>44</v>
      </c>
    </row>
    <row r="5602" spans="1:5" x14ac:dyDescent="0.25">
      <c r="A5602">
        <v>2351</v>
      </c>
      <c r="B5602" t="s">
        <v>1761</v>
      </c>
      <c r="C5602" t="s">
        <v>355</v>
      </c>
      <c r="D5602" t="str">
        <f t="shared" si="88"/>
        <v>UEMG3610</v>
      </c>
      <c r="E5602" t="s">
        <v>2968</v>
      </c>
    </row>
    <row r="5603" spans="1:5" x14ac:dyDescent="0.25">
      <c r="A5603">
        <v>2351</v>
      </c>
      <c r="B5603" t="s">
        <v>1761</v>
      </c>
      <c r="C5603" t="s">
        <v>3021</v>
      </c>
      <c r="D5603" t="str">
        <f t="shared" si="88"/>
        <v>UEMG3611</v>
      </c>
      <c r="E5603" t="s">
        <v>3107</v>
      </c>
    </row>
    <row r="5604" spans="1:5" x14ac:dyDescent="0.25">
      <c r="A5604">
        <v>2351</v>
      </c>
      <c r="B5604" t="s">
        <v>1761</v>
      </c>
      <c r="C5604" t="s">
        <v>2979</v>
      </c>
      <c r="D5604" t="str">
        <f t="shared" si="88"/>
        <v>UEMG3612</v>
      </c>
      <c r="E5604" t="s">
        <v>2968</v>
      </c>
    </row>
    <row r="5605" spans="1:5" x14ac:dyDescent="0.25">
      <c r="A5605">
        <v>2351</v>
      </c>
      <c r="B5605" t="s">
        <v>1761</v>
      </c>
      <c r="C5605" t="s">
        <v>412</v>
      </c>
      <c r="D5605" t="str">
        <f t="shared" si="88"/>
        <v>UEMG3619</v>
      </c>
      <c r="E5605" t="s">
        <v>2968</v>
      </c>
    </row>
    <row r="5606" spans="1:5" x14ac:dyDescent="0.25">
      <c r="A5606">
        <v>2351</v>
      </c>
      <c r="B5606" t="s">
        <v>1761</v>
      </c>
      <c r="C5606" t="s">
        <v>3301</v>
      </c>
      <c r="D5606" t="str">
        <f t="shared" si="88"/>
        <v>UEMG3624</v>
      </c>
      <c r="E5606" t="s">
        <v>2968</v>
      </c>
    </row>
    <row r="5607" spans="1:5" x14ac:dyDescent="0.25">
      <c r="A5607">
        <v>2351</v>
      </c>
      <c r="B5607" t="s">
        <v>1761</v>
      </c>
      <c r="C5607" t="s">
        <v>447</v>
      </c>
      <c r="D5607" t="str">
        <f t="shared" si="88"/>
        <v>UEMG3626</v>
      </c>
      <c r="E5607" t="s">
        <v>2933</v>
      </c>
    </row>
    <row r="5608" spans="1:5" x14ac:dyDescent="0.25">
      <c r="A5608">
        <v>2351</v>
      </c>
      <c r="B5608" t="s">
        <v>1761</v>
      </c>
      <c r="C5608" t="s">
        <v>471</v>
      </c>
      <c r="D5608" t="str">
        <f t="shared" si="88"/>
        <v>UEMG3699</v>
      </c>
      <c r="E5608" t="s">
        <v>2968</v>
      </c>
    </row>
    <row r="5609" spans="1:5" x14ac:dyDescent="0.25">
      <c r="A5609">
        <v>2351</v>
      </c>
      <c r="B5609" t="s">
        <v>1761</v>
      </c>
      <c r="C5609" t="s">
        <v>2980</v>
      </c>
      <c r="D5609" t="str">
        <f t="shared" si="88"/>
        <v>UEMG3701</v>
      </c>
      <c r="E5609" t="s">
        <v>103</v>
      </c>
    </row>
    <row r="5610" spans="1:5" x14ac:dyDescent="0.25">
      <c r="A5610">
        <v>2351</v>
      </c>
      <c r="B5610" t="s">
        <v>1761</v>
      </c>
      <c r="C5610" t="s">
        <v>3050</v>
      </c>
      <c r="D5610" t="str">
        <f t="shared" si="88"/>
        <v>UEMG3702</v>
      </c>
      <c r="E5610" t="s">
        <v>2981</v>
      </c>
    </row>
    <row r="5611" spans="1:5" x14ac:dyDescent="0.25">
      <c r="A5611">
        <v>2351</v>
      </c>
      <c r="B5611" t="s">
        <v>1761</v>
      </c>
      <c r="C5611" t="s">
        <v>2983</v>
      </c>
      <c r="D5611" t="str">
        <f t="shared" si="88"/>
        <v>UEMG3703</v>
      </c>
      <c r="E5611" t="s">
        <v>117</v>
      </c>
    </row>
    <row r="5612" spans="1:5" x14ac:dyDescent="0.25">
      <c r="A5612">
        <v>2351</v>
      </c>
      <c r="B5612" t="s">
        <v>1761</v>
      </c>
      <c r="C5612" t="s">
        <v>2985</v>
      </c>
      <c r="D5612" t="str">
        <f t="shared" si="88"/>
        <v>UEMG3704</v>
      </c>
      <c r="E5612" t="s">
        <v>117</v>
      </c>
    </row>
    <row r="5613" spans="1:5" x14ac:dyDescent="0.25">
      <c r="A5613">
        <v>2351</v>
      </c>
      <c r="B5613" t="s">
        <v>1761</v>
      </c>
      <c r="C5613" t="s">
        <v>2986</v>
      </c>
      <c r="D5613" t="str">
        <f t="shared" si="88"/>
        <v>UEMG3705</v>
      </c>
      <c r="E5613" t="s">
        <v>117</v>
      </c>
    </row>
    <row r="5614" spans="1:5" x14ac:dyDescent="0.25">
      <c r="A5614">
        <v>2351</v>
      </c>
      <c r="B5614" t="s">
        <v>1761</v>
      </c>
      <c r="C5614" t="s">
        <v>233</v>
      </c>
      <c r="D5614" t="str">
        <f t="shared" si="88"/>
        <v>UEMG3901</v>
      </c>
      <c r="E5614" t="s">
        <v>2926</v>
      </c>
    </row>
    <row r="5615" spans="1:5" x14ac:dyDescent="0.25">
      <c r="A5615">
        <v>2351</v>
      </c>
      <c r="B5615" t="s">
        <v>1761</v>
      </c>
      <c r="C5615" t="s">
        <v>2988</v>
      </c>
      <c r="D5615" t="str">
        <f t="shared" si="88"/>
        <v>UEMG3903</v>
      </c>
      <c r="E5615" t="s">
        <v>2968</v>
      </c>
    </row>
    <row r="5616" spans="1:5" x14ac:dyDescent="0.25">
      <c r="A5616">
        <v>2351</v>
      </c>
      <c r="B5616" t="s">
        <v>1761</v>
      </c>
      <c r="C5616" t="s">
        <v>299</v>
      </c>
      <c r="D5616" t="str">
        <f t="shared" si="88"/>
        <v>UEMG3904</v>
      </c>
      <c r="E5616" t="s">
        <v>2968</v>
      </c>
    </row>
    <row r="5617" spans="1:5" x14ac:dyDescent="0.25">
      <c r="A5617">
        <v>2351</v>
      </c>
      <c r="B5617" t="s">
        <v>1761</v>
      </c>
      <c r="C5617" t="s">
        <v>326</v>
      </c>
      <c r="D5617" t="str">
        <f t="shared" si="88"/>
        <v>UEMG3906</v>
      </c>
      <c r="E5617" t="s">
        <v>2968</v>
      </c>
    </row>
    <row r="5618" spans="1:5" x14ac:dyDescent="0.25">
      <c r="A5618">
        <v>2351</v>
      </c>
      <c r="B5618" t="s">
        <v>1761</v>
      </c>
      <c r="C5618" t="s">
        <v>2989</v>
      </c>
      <c r="D5618" t="str">
        <f t="shared" si="88"/>
        <v>UEMG3908</v>
      </c>
      <c r="E5618" t="s">
        <v>2968</v>
      </c>
    </row>
    <row r="5619" spans="1:5" x14ac:dyDescent="0.25">
      <c r="A5619">
        <v>2351</v>
      </c>
      <c r="B5619" t="s">
        <v>1761</v>
      </c>
      <c r="C5619" t="s">
        <v>346</v>
      </c>
      <c r="D5619" t="str">
        <f t="shared" si="88"/>
        <v>UEMG3910</v>
      </c>
      <c r="E5619" t="s">
        <v>2968</v>
      </c>
    </row>
    <row r="5620" spans="1:5" x14ac:dyDescent="0.25">
      <c r="A5620">
        <v>2351</v>
      </c>
      <c r="B5620" t="s">
        <v>1761</v>
      </c>
      <c r="C5620" t="s">
        <v>356</v>
      </c>
      <c r="D5620" t="str">
        <f t="shared" si="88"/>
        <v>UEMG3911</v>
      </c>
      <c r="E5620" t="s">
        <v>2968</v>
      </c>
    </row>
    <row r="5621" spans="1:5" x14ac:dyDescent="0.25">
      <c r="A5621">
        <v>2351</v>
      </c>
      <c r="B5621" t="s">
        <v>1761</v>
      </c>
      <c r="C5621" t="s">
        <v>2991</v>
      </c>
      <c r="D5621" t="str">
        <f t="shared" si="88"/>
        <v>UEMG3912</v>
      </c>
      <c r="E5621" t="s">
        <v>2992</v>
      </c>
    </row>
    <row r="5622" spans="1:5" x14ac:dyDescent="0.25">
      <c r="A5622">
        <v>2351</v>
      </c>
      <c r="B5622" t="s">
        <v>1761</v>
      </c>
      <c r="C5622" t="s">
        <v>2994</v>
      </c>
      <c r="D5622" t="str">
        <f t="shared" si="88"/>
        <v>UEMG3913</v>
      </c>
      <c r="E5622" t="s">
        <v>2992</v>
      </c>
    </row>
    <row r="5623" spans="1:5" x14ac:dyDescent="0.25">
      <c r="A5623">
        <v>2351</v>
      </c>
      <c r="B5623" t="s">
        <v>1761</v>
      </c>
      <c r="C5623" t="s">
        <v>377</v>
      </c>
      <c r="D5623" t="str">
        <f t="shared" si="88"/>
        <v>UEMG3914</v>
      </c>
      <c r="E5623" t="s">
        <v>3009</v>
      </c>
    </row>
    <row r="5624" spans="1:5" x14ac:dyDescent="0.25">
      <c r="A5624">
        <v>2351</v>
      </c>
      <c r="B5624" t="s">
        <v>1761</v>
      </c>
      <c r="C5624" t="s">
        <v>384</v>
      </c>
      <c r="D5624" t="str">
        <f t="shared" si="88"/>
        <v>UEMG3915</v>
      </c>
      <c r="E5624" t="s">
        <v>2992</v>
      </c>
    </row>
    <row r="5625" spans="1:5" x14ac:dyDescent="0.25">
      <c r="A5625">
        <v>2351</v>
      </c>
      <c r="B5625" t="s">
        <v>1761</v>
      </c>
      <c r="C5625" t="s">
        <v>2996</v>
      </c>
      <c r="D5625" t="str">
        <f t="shared" si="88"/>
        <v>UEMG3917</v>
      </c>
      <c r="E5625" t="s">
        <v>2958</v>
      </c>
    </row>
    <row r="5626" spans="1:5" x14ac:dyDescent="0.25">
      <c r="A5626">
        <v>2351</v>
      </c>
      <c r="B5626" t="s">
        <v>1761</v>
      </c>
      <c r="C5626" t="s">
        <v>2998</v>
      </c>
      <c r="D5626" t="str">
        <f t="shared" si="88"/>
        <v>UEMG3918</v>
      </c>
      <c r="E5626" t="s">
        <v>2958</v>
      </c>
    </row>
    <row r="5627" spans="1:5" x14ac:dyDescent="0.25">
      <c r="A5627">
        <v>2351</v>
      </c>
      <c r="B5627" t="s">
        <v>1761</v>
      </c>
      <c r="C5627" t="s">
        <v>3000</v>
      </c>
      <c r="D5627" t="str">
        <f t="shared" si="88"/>
        <v>UEMG3919</v>
      </c>
      <c r="E5627" t="s">
        <v>3001</v>
      </c>
    </row>
    <row r="5628" spans="1:5" x14ac:dyDescent="0.25">
      <c r="A5628">
        <v>2351</v>
      </c>
      <c r="B5628" t="s">
        <v>1761</v>
      </c>
      <c r="C5628" t="s">
        <v>3077</v>
      </c>
      <c r="D5628" t="str">
        <f t="shared" si="88"/>
        <v>UEMG3920</v>
      </c>
      <c r="E5628" t="s">
        <v>3107</v>
      </c>
    </row>
    <row r="5629" spans="1:5" x14ac:dyDescent="0.25">
      <c r="A5629">
        <v>2351</v>
      </c>
      <c r="B5629" t="s">
        <v>1761</v>
      </c>
      <c r="C5629" t="s">
        <v>3002</v>
      </c>
      <c r="D5629" t="str">
        <f t="shared" si="88"/>
        <v>UEMG3921</v>
      </c>
      <c r="E5629" t="s">
        <v>3001</v>
      </c>
    </row>
    <row r="5630" spans="1:5" x14ac:dyDescent="0.25">
      <c r="A5630">
        <v>2351</v>
      </c>
      <c r="B5630" t="s">
        <v>1761</v>
      </c>
      <c r="C5630" t="s">
        <v>3003</v>
      </c>
      <c r="D5630" t="str">
        <f t="shared" si="88"/>
        <v>UEMG3922</v>
      </c>
      <c r="E5630" t="s">
        <v>2954</v>
      </c>
    </row>
    <row r="5631" spans="1:5" x14ac:dyDescent="0.25">
      <c r="A5631">
        <v>2351</v>
      </c>
      <c r="B5631" t="s">
        <v>1761</v>
      </c>
      <c r="C5631" t="s">
        <v>566</v>
      </c>
      <c r="D5631" t="str">
        <f t="shared" si="88"/>
        <v>UEMG3924</v>
      </c>
      <c r="E5631" t="s">
        <v>3004</v>
      </c>
    </row>
    <row r="5632" spans="1:5" x14ac:dyDescent="0.25">
      <c r="A5632">
        <v>2351</v>
      </c>
      <c r="B5632" t="s">
        <v>1761</v>
      </c>
      <c r="C5632" t="s">
        <v>438</v>
      </c>
      <c r="D5632" t="str">
        <f t="shared" si="88"/>
        <v>UEMG3925</v>
      </c>
      <c r="E5632" t="s">
        <v>3006</v>
      </c>
    </row>
    <row r="5633" spans="1:5" x14ac:dyDescent="0.25">
      <c r="A5633">
        <v>2351</v>
      </c>
      <c r="B5633" t="s">
        <v>1761</v>
      </c>
      <c r="C5633" t="s">
        <v>443</v>
      </c>
      <c r="D5633" t="str">
        <f t="shared" si="88"/>
        <v>UEMG3926</v>
      </c>
      <c r="E5633" t="s">
        <v>3006</v>
      </c>
    </row>
    <row r="5634" spans="1:5" x14ac:dyDescent="0.25">
      <c r="A5634">
        <v>2351</v>
      </c>
      <c r="B5634" t="s">
        <v>1761</v>
      </c>
      <c r="C5634" t="s">
        <v>3008</v>
      </c>
      <c r="D5634" t="str">
        <f t="shared" si="88"/>
        <v>UEMG3927</v>
      </c>
      <c r="E5634" t="s">
        <v>3009</v>
      </c>
    </row>
    <row r="5635" spans="1:5" x14ac:dyDescent="0.25">
      <c r="A5635">
        <v>2351</v>
      </c>
      <c r="B5635" t="s">
        <v>1761</v>
      </c>
      <c r="C5635" t="s">
        <v>3011</v>
      </c>
      <c r="D5635" t="str">
        <f t="shared" si="88"/>
        <v>UEMG3929</v>
      </c>
      <c r="E5635" t="s">
        <v>2944</v>
      </c>
    </row>
    <row r="5636" spans="1:5" x14ac:dyDescent="0.25">
      <c r="A5636">
        <v>2351</v>
      </c>
      <c r="B5636" t="s">
        <v>1761</v>
      </c>
      <c r="C5636" t="s">
        <v>458</v>
      </c>
      <c r="D5636" t="str">
        <f t="shared" si="88"/>
        <v>UEMG3930</v>
      </c>
      <c r="E5636" t="s">
        <v>3006</v>
      </c>
    </row>
    <row r="5637" spans="1:5" x14ac:dyDescent="0.25">
      <c r="A5637">
        <v>2351</v>
      </c>
      <c r="B5637" t="s">
        <v>1761</v>
      </c>
      <c r="C5637" t="s">
        <v>1481</v>
      </c>
      <c r="D5637" t="str">
        <f t="shared" ref="D5637:D5700" si="89">CONCATENATE(B5637,LEFT(C5637,4))</f>
        <v>UEMG3931</v>
      </c>
      <c r="E5637" t="s">
        <v>2968</v>
      </c>
    </row>
    <row r="5638" spans="1:5" x14ac:dyDescent="0.25">
      <c r="A5638">
        <v>2351</v>
      </c>
      <c r="B5638" t="s">
        <v>1761</v>
      </c>
      <c r="C5638" t="s">
        <v>3017</v>
      </c>
      <c r="D5638" t="str">
        <f t="shared" si="89"/>
        <v>UEMG3936</v>
      </c>
      <c r="E5638" t="s">
        <v>94</v>
      </c>
    </row>
    <row r="5639" spans="1:5" x14ac:dyDescent="0.25">
      <c r="A5639">
        <v>2351</v>
      </c>
      <c r="B5639" t="s">
        <v>1761</v>
      </c>
      <c r="C5639" t="s">
        <v>3019</v>
      </c>
      <c r="D5639" t="str">
        <f t="shared" si="89"/>
        <v>UEMG3940</v>
      </c>
      <c r="E5639" t="s">
        <v>3009</v>
      </c>
    </row>
    <row r="5640" spans="1:5" x14ac:dyDescent="0.25">
      <c r="A5640">
        <v>2351</v>
      </c>
      <c r="B5640" t="s">
        <v>1761</v>
      </c>
      <c r="C5640" t="s">
        <v>480</v>
      </c>
      <c r="D5640" t="str">
        <f t="shared" si="89"/>
        <v>UEMG3941</v>
      </c>
      <c r="E5640" t="s">
        <v>2968</v>
      </c>
    </row>
    <row r="5641" spans="1:5" x14ac:dyDescent="0.25">
      <c r="A5641">
        <v>2351</v>
      </c>
      <c r="B5641" t="s">
        <v>1761</v>
      </c>
      <c r="C5641" t="s">
        <v>482</v>
      </c>
      <c r="D5641" t="str">
        <f t="shared" si="89"/>
        <v>UEMG3942</v>
      </c>
      <c r="E5641" t="s">
        <v>2968</v>
      </c>
    </row>
    <row r="5642" spans="1:5" x14ac:dyDescent="0.25">
      <c r="A5642">
        <v>2351</v>
      </c>
      <c r="B5642" t="s">
        <v>1761</v>
      </c>
      <c r="C5642" t="s">
        <v>3020</v>
      </c>
      <c r="D5642" t="str">
        <f t="shared" si="89"/>
        <v>UEMG3943</v>
      </c>
      <c r="E5642" t="s">
        <v>2958</v>
      </c>
    </row>
    <row r="5643" spans="1:5" x14ac:dyDescent="0.25">
      <c r="A5643">
        <v>2351</v>
      </c>
      <c r="B5643" t="s">
        <v>1761</v>
      </c>
      <c r="C5643" t="s">
        <v>492</v>
      </c>
      <c r="D5643" t="str">
        <f t="shared" si="89"/>
        <v>UEMG3948</v>
      </c>
      <c r="E5643" t="s">
        <v>3004</v>
      </c>
    </row>
    <row r="5644" spans="1:5" x14ac:dyDescent="0.25">
      <c r="A5644">
        <v>2351</v>
      </c>
      <c r="B5644" t="s">
        <v>1761</v>
      </c>
      <c r="C5644" t="s">
        <v>3096</v>
      </c>
      <c r="D5644" t="str">
        <f t="shared" si="89"/>
        <v>UEMG3949</v>
      </c>
      <c r="E5644" t="s">
        <v>3004</v>
      </c>
    </row>
    <row r="5645" spans="1:5" x14ac:dyDescent="0.25">
      <c r="A5645">
        <v>2351</v>
      </c>
      <c r="B5645" t="s">
        <v>1761</v>
      </c>
      <c r="C5645" t="s">
        <v>3098</v>
      </c>
      <c r="D5645" t="str">
        <f t="shared" si="89"/>
        <v>UEMG3952</v>
      </c>
      <c r="E5645" t="s">
        <v>65</v>
      </c>
    </row>
    <row r="5646" spans="1:5" x14ac:dyDescent="0.25">
      <c r="A5646">
        <v>2351</v>
      </c>
      <c r="B5646" t="s">
        <v>1761</v>
      </c>
      <c r="C5646" t="s">
        <v>496</v>
      </c>
      <c r="D5646" t="str">
        <f t="shared" si="89"/>
        <v>UEMG3953</v>
      </c>
      <c r="E5646" t="s">
        <v>3004</v>
      </c>
    </row>
    <row r="5647" spans="1:5" x14ac:dyDescent="0.25">
      <c r="A5647">
        <v>2351</v>
      </c>
      <c r="B5647" t="s">
        <v>1761</v>
      </c>
      <c r="C5647" t="s">
        <v>3025</v>
      </c>
      <c r="D5647" t="str">
        <f t="shared" si="89"/>
        <v>UEMG3959</v>
      </c>
      <c r="E5647" t="s">
        <v>2968</v>
      </c>
    </row>
    <row r="5648" spans="1:5" x14ac:dyDescent="0.25">
      <c r="A5648">
        <v>2351</v>
      </c>
      <c r="B5648" t="s">
        <v>1761</v>
      </c>
      <c r="C5648" t="s">
        <v>3027</v>
      </c>
      <c r="D5648" t="str">
        <f t="shared" si="89"/>
        <v>UEMG3961</v>
      </c>
      <c r="E5648" t="s">
        <v>2981</v>
      </c>
    </row>
    <row r="5649" spans="1:5" x14ac:dyDescent="0.25">
      <c r="A5649">
        <v>2351</v>
      </c>
      <c r="B5649" t="s">
        <v>1761</v>
      </c>
      <c r="C5649" t="s">
        <v>3103</v>
      </c>
      <c r="D5649" t="str">
        <f t="shared" si="89"/>
        <v>UEMG3962</v>
      </c>
      <c r="E5649" t="s">
        <v>3033</v>
      </c>
    </row>
    <row r="5650" spans="1:5" x14ac:dyDescent="0.25">
      <c r="A5650">
        <v>2351</v>
      </c>
      <c r="B5650" t="s">
        <v>1761</v>
      </c>
      <c r="C5650" t="s">
        <v>3104</v>
      </c>
      <c r="D5650" t="str">
        <f t="shared" si="89"/>
        <v>UEMG3964</v>
      </c>
      <c r="E5650" t="s">
        <v>2968</v>
      </c>
    </row>
    <row r="5651" spans="1:5" x14ac:dyDescent="0.25">
      <c r="A5651">
        <v>2351</v>
      </c>
      <c r="B5651" t="s">
        <v>1761</v>
      </c>
      <c r="C5651" t="s">
        <v>1154</v>
      </c>
      <c r="D5651" t="str">
        <f t="shared" si="89"/>
        <v>UEMG3969</v>
      </c>
      <c r="E5651" t="s">
        <v>2992</v>
      </c>
    </row>
    <row r="5652" spans="1:5" x14ac:dyDescent="0.25">
      <c r="A5652">
        <v>2351</v>
      </c>
      <c r="B5652" t="s">
        <v>1761</v>
      </c>
      <c r="C5652" t="s">
        <v>3031</v>
      </c>
      <c r="D5652" t="str">
        <f t="shared" si="89"/>
        <v>UEMG3970</v>
      </c>
      <c r="E5652" t="s">
        <v>3009</v>
      </c>
    </row>
    <row r="5653" spans="1:5" x14ac:dyDescent="0.25">
      <c r="A5653">
        <v>2351</v>
      </c>
      <c r="B5653" t="s">
        <v>1761</v>
      </c>
      <c r="C5653" t="s">
        <v>513</v>
      </c>
      <c r="D5653" t="str">
        <f t="shared" si="89"/>
        <v>UEMG3971</v>
      </c>
      <c r="E5653" t="s">
        <v>3033</v>
      </c>
    </row>
    <row r="5654" spans="1:5" x14ac:dyDescent="0.25">
      <c r="A5654">
        <v>2351</v>
      </c>
      <c r="B5654" t="s">
        <v>1761</v>
      </c>
      <c r="C5654" t="s">
        <v>520</v>
      </c>
      <c r="D5654" t="str">
        <f t="shared" si="89"/>
        <v>UEMG3978</v>
      </c>
      <c r="E5654" t="s">
        <v>103</v>
      </c>
    </row>
    <row r="5655" spans="1:5" x14ac:dyDescent="0.25">
      <c r="A5655">
        <v>2351</v>
      </c>
      <c r="B5655" t="s">
        <v>1761</v>
      </c>
      <c r="C5655" t="s">
        <v>521</v>
      </c>
      <c r="D5655" t="str">
        <f t="shared" si="89"/>
        <v>UEMG3981</v>
      </c>
      <c r="E5655" t="s">
        <v>2968</v>
      </c>
    </row>
    <row r="5656" spans="1:5" x14ac:dyDescent="0.25">
      <c r="A5656">
        <v>2351</v>
      </c>
      <c r="B5656" t="s">
        <v>1761</v>
      </c>
      <c r="C5656" t="s">
        <v>3036</v>
      </c>
      <c r="D5656" t="str">
        <f t="shared" si="89"/>
        <v>UEMG3987</v>
      </c>
      <c r="E5656" t="s">
        <v>2958</v>
      </c>
    </row>
    <row r="5657" spans="1:5" x14ac:dyDescent="0.25">
      <c r="A5657">
        <v>2351</v>
      </c>
      <c r="B5657" t="s">
        <v>1761</v>
      </c>
      <c r="C5657" t="s">
        <v>531</v>
      </c>
      <c r="D5657" t="str">
        <f t="shared" si="89"/>
        <v>UEMG3991</v>
      </c>
      <c r="E5657" t="s">
        <v>2968</v>
      </c>
    </row>
    <row r="5658" spans="1:5" x14ac:dyDescent="0.25">
      <c r="A5658">
        <v>2351</v>
      </c>
      <c r="B5658" t="s">
        <v>1761</v>
      </c>
      <c r="C5658" t="s">
        <v>3249</v>
      </c>
      <c r="D5658" t="str">
        <f t="shared" si="89"/>
        <v>UEMG3993</v>
      </c>
      <c r="E5658" t="s">
        <v>2968</v>
      </c>
    </row>
    <row r="5659" spans="1:5" x14ac:dyDescent="0.25">
      <c r="A5659">
        <v>2351</v>
      </c>
      <c r="B5659" t="s">
        <v>1761</v>
      </c>
      <c r="C5659" t="s">
        <v>3040</v>
      </c>
      <c r="D5659" t="str">
        <f t="shared" si="89"/>
        <v>UEMG3999</v>
      </c>
      <c r="E5659" t="s">
        <v>2968</v>
      </c>
    </row>
    <row r="5660" spans="1:5" x14ac:dyDescent="0.25">
      <c r="A5660">
        <v>2351</v>
      </c>
      <c r="B5660" t="s">
        <v>1761</v>
      </c>
      <c r="C5660" t="s">
        <v>3041</v>
      </c>
      <c r="D5660" t="str">
        <f t="shared" si="89"/>
        <v>UEMG4002</v>
      </c>
      <c r="E5660" t="s">
        <v>3009</v>
      </c>
    </row>
    <row r="5661" spans="1:5" x14ac:dyDescent="0.25">
      <c r="A5661">
        <v>2351</v>
      </c>
      <c r="B5661" t="s">
        <v>1761</v>
      </c>
      <c r="C5661" t="s">
        <v>3043</v>
      </c>
      <c r="D5661" t="str">
        <f t="shared" si="89"/>
        <v>UEMG4003</v>
      </c>
      <c r="E5661" t="s">
        <v>94</v>
      </c>
    </row>
    <row r="5662" spans="1:5" x14ac:dyDescent="0.25">
      <c r="A5662">
        <v>2351</v>
      </c>
      <c r="B5662" t="s">
        <v>1761</v>
      </c>
      <c r="C5662" t="s">
        <v>3045</v>
      </c>
      <c r="D5662" t="str">
        <f t="shared" si="89"/>
        <v>UEMG4004</v>
      </c>
      <c r="E5662" t="s">
        <v>3009</v>
      </c>
    </row>
    <row r="5663" spans="1:5" x14ac:dyDescent="0.25">
      <c r="A5663">
        <v>2351</v>
      </c>
      <c r="B5663" t="s">
        <v>1761</v>
      </c>
      <c r="C5663" t="s">
        <v>3047</v>
      </c>
      <c r="D5663" t="str">
        <f t="shared" si="89"/>
        <v>UEMG4005</v>
      </c>
      <c r="E5663" t="s">
        <v>3009</v>
      </c>
    </row>
    <row r="5664" spans="1:5" x14ac:dyDescent="0.25">
      <c r="A5664">
        <v>2351</v>
      </c>
      <c r="B5664" t="s">
        <v>1761</v>
      </c>
      <c r="C5664" t="s">
        <v>813</v>
      </c>
      <c r="D5664" t="str">
        <f t="shared" si="89"/>
        <v>UEMG4006</v>
      </c>
      <c r="E5664" t="s">
        <v>3057</v>
      </c>
    </row>
    <row r="5665" spans="1:5" x14ac:dyDescent="0.25">
      <c r="A5665">
        <v>2351</v>
      </c>
      <c r="B5665" t="s">
        <v>1761</v>
      </c>
      <c r="C5665" t="s">
        <v>3123</v>
      </c>
      <c r="D5665" t="str">
        <f t="shared" si="89"/>
        <v>UEMG4101</v>
      </c>
      <c r="E5665" t="s">
        <v>2968</v>
      </c>
    </row>
    <row r="5666" spans="1:5" x14ac:dyDescent="0.25">
      <c r="A5666">
        <v>2351</v>
      </c>
      <c r="B5666" t="s">
        <v>1761</v>
      </c>
      <c r="C5666" t="s">
        <v>3127</v>
      </c>
      <c r="D5666" t="str">
        <f t="shared" si="89"/>
        <v>UEMG4201</v>
      </c>
      <c r="E5666" t="s">
        <v>3218</v>
      </c>
    </row>
    <row r="5667" spans="1:5" x14ac:dyDescent="0.25">
      <c r="A5667">
        <v>2351</v>
      </c>
      <c r="B5667" t="s">
        <v>1761</v>
      </c>
      <c r="C5667" t="s">
        <v>3128</v>
      </c>
      <c r="D5667" t="str">
        <f t="shared" si="89"/>
        <v>UEMG4301</v>
      </c>
      <c r="E5667" t="s">
        <v>3239</v>
      </c>
    </row>
    <row r="5668" spans="1:5" x14ac:dyDescent="0.25">
      <c r="A5668">
        <v>2351</v>
      </c>
      <c r="B5668" t="s">
        <v>1761</v>
      </c>
      <c r="C5668" t="s">
        <v>3048</v>
      </c>
      <c r="D5668" t="str">
        <f t="shared" si="89"/>
        <v>UEMG4701</v>
      </c>
      <c r="E5668" t="s">
        <v>3049</v>
      </c>
    </row>
    <row r="5669" spans="1:5" x14ac:dyDescent="0.25">
      <c r="A5669">
        <v>2351</v>
      </c>
      <c r="B5669" t="s">
        <v>1761</v>
      </c>
      <c r="C5669" t="s">
        <v>265</v>
      </c>
      <c r="D5669" t="str">
        <f t="shared" si="89"/>
        <v>UEMG4703</v>
      </c>
      <c r="E5669" t="s">
        <v>3049</v>
      </c>
    </row>
    <row r="5670" spans="1:5" x14ac:dyDescent="0.25">
      <c r="A5670">
        <v>2351</v>
      </c>
      <c r="B5670" t="s">
        <v>1761</v>
      </c>
      <c r="C5670" t="s">
        <v>316</v>
      </c>
      <c r="D5670" t="str">
        <f t="shared" si="89"/>
        <v>UEMG4706</v>
      </c>
      <c r="E5670" t="s">
        <v>3049</v>
      </c>
    </row>
    <row r="5671" spans="1:5" x14ac:dyDescent="0.25">
      <c r="A5671">
        <v>2351</v>
      </c>
      <c r="B5671" t="s">
        <v>1761</v>
      </c>
      <c r="C5671" t="s">
        <v>328</v>
      </c>
      <c r="D5671" t="str">
        <f t="shared" si="89"/>
        <v>UEMG4707</v>
      </c>
      <c r="E5671" t="s">
        <v>3049</v>
      </c>
    </row>
    <row r="5672" spans="1:5" x14ac:dyDescent="0.25">
      <c r="A5672">
        <v>2351</v>
      </c>
      <c r="B5672" t="s">
        <v>1761</v>
      </c>
      <c r="C5672" t="s">
        <v>364</v>
      </c>
      <c r="D5672" t="str">
        <f t="shared" si="89"/>
        <v>UEMG4799</v>
      </c>
      <c r="E5672" t="s">
        <v>3049</v>
      </c>
    </row>
    <row r="5673" spans="1:5" x14ac:dyDescent="0.25">
      <c r="A5673">
        <v>2351</v>
      </c>
      <c r="B5673" t="s">
        <v>1761</v>
      </c>
      <c r="C5673" t="s">
        <v>240</v>
      </c>
      <c r="D5673" t="str">
        <f t="shared" si="89"/>
        <v>UEMG4801</v>
      </c>
      <c r="E5673" t="s">
        <v>2968</v>
      </c>
    </row>
    <row r="5674" spans="1:5" x14ac:dyDescent="0.25">
      <c r="A5674">
        <v>2351</v>
      </c>
      <c r="B5674" t="s">
        <v>1761</v>
      </c>
      <c r="C5674" t="s">
        <v>3051</v>
      </c>
      <c r="D5674" t="str">
        <f t="shared" si="89"/>
        <v>UEMG5101</v>
      </c>
      <c r="E5674" t="s">
        <v>3052</v>
      </c>
    </row>
    <row r="5675" spans="1:5" x14ac:dyDescent="0.25">
      <c r="A5675">
        <v>2351</v>
      </c>
      <c r="B5675" t="s">
        <v>1761</v>
      </c>
      <c r="C5675" t="s">
        <v>3053</v>
      </c>
      <c r="D5675" t="str">
        <f t="shared" si="89"/>
        <v>UEMG5103</v>
      </c>
      <c r="E5675" t="s">
        <v>3052</v>
      </c>
    </row>
    <row r="5676" spans="1:5" x14ac:dyDescent="0.25">
      <c r="A5676">
        <v>2351</v>
      </c>
      <c r="B5676" t="s">
        <v>1761</v>
      </c>
      <c r="C5676" t="s">
        <v>349</v>
      </c>
      <c r="D5676" t="str">
        <f t="shared" si="89"/>
        <v>UEMG5110</v>
      </c>
      <c r="E5676" t="s">
        <v>3052</v>
      </c>
    </row>
    <row r="5677" spans="1:5" x14ac:dyDescent="0.25">
      <c r="A5677">
        <v>2351</v>
      </c>
      <c r="B5677" t="s">
        <v>1761</v>
      </c>
      <c r="C5677" t="s">
        <v>372</v>
      </c>
      <c r="D5677" t="str">
        <f t="shared" si="89"/>
        <v>UEMG5113</v>
      </c>
      <c r="E5677" t="s">
        <v>3052</v>
      </c>
    </row>
    <row r="5678" spans="1:5" x14ac:dyDescent="0.25">
      <c r="A5678">
        <v>2351</v>
      </c>
      <c r="B5678" t="s">
        <v>1761</v>
      </c>
      <c r="C5678" t="s">
        <v>242</v>
      </c>
      <c r="D5678" t="str">
        <f t="shared" si="89"/>
        <v>UEMG5201</v>
      </c>
      <c r="E5678" t="s">
        <v>2965</v>
      </c>
    </row>
    <row r="5679" spans="1:5" x14ac:dyDescent="0.25">
      <c r="A5679">
        <v>2351</v>
      </c>
      <c r="B5679" t="s">
        <v>1761</v>
      </c>
      <c r="C5679" t="s">
        <v>288</v>
      </c>
      <c r="D5679" t="str">
        <f t="shared" si="89"/>
        <v>UEMG5203</v>
      </c>
      <c r="E5679" t="s">
        <v>3055</v>
      </c>
    </row>
    <row r="5680" spans="1:5" x14ac:dyDescent="0.25">
      <c r="A5680">
        <v>2351</v>
      </c>
      <c r="B5680" t="s">
        <v>1761</v>
      </c>
      <c r="C5680" t="s">
        <v>3054</v>
      </c>
      <c r="D5680" t="str">
        <f t="shared" si="89"/>
        <v>UEMG5204</v>
      </c>
      <c r="E5680" t="s">
        <v>3055</v>
      </c>
    </row>
    <row r="5681" spans="1:5" x14ac:dyDescent="0.25">
      <c r="A5681">
        <v>2351</v>
      </c>
      <c r="B5681" t="s">
        <v>1761</v>
      </c>
      <c r="C5681" t="s">
        <v>329</v>
      </c>
      <c r="D5681" t="str">
        <f t="shared" si="89"/>
        <v>UEMG5206</v>
      </c>
      <c r="E5681" t="s">
        <v>3057</v>
      </c>
    </row>
    <row r="5682" spans="1:5" x14ac:dyDescent="0.25">
      <c r="A5682">
        <v>2351</v>
      </c>
      <c r="B5682" t="s">
        <v>1761</v>
      </c>
      <c r="C5682" t="s">
        <v>3058</v>
      </c>
      <c r="D5682" t="str">
        <f t="shared" si="89"/>
        <v>UEMG5207</v>
      </c>
      <c r="E5682" t="s">
        <v>3057</v>
      </c>
    </row>
    <row r="5683" spans="1:5" x14ac:dyDescent="0.25">
      <c r="A5683">
        <v>2351</v>
      </c>
      <c r="B5683" t="s">
        <v>1761</v>
      </c>
      <c r="C5683" t="s">
        <v>3060</v>
      </c>
      <c r="D5683" t="str">
        <f t="shared" si="89"/>
        <v>UEMG5208</v>
      </c>
      <c r="E5683" t="s">
        <v>3057</v>
      </c>
    </row>
    <row r="5684" spans="1:5" x14ac:dyDescent="0.25">
      <c r="A5684">
        <v>2351</v>
      </c>
      <c r="B5684" t="s">
        <v>1761</v>
      </c>
      <c r="C5684" t="s">
        <v>359</v>
      </c>
      <c r="D5684" t="str">
        <f t="shared" si="89"/>
        <v>UEMG5209</v>
      </c>
      <c r="E5684" t="s">
        <v>3055</v>
      </c>
    </row>
    <row r="5685" spans="1:5" x14ac:dyDescent="0.25">
      <c r="A5685">
        <v>2351</v>
      </c>
      <c r="B5685" t="s">
        <v>1761</v>
      </c>
      <c r="C5685" t="s">
        <v>3063</v>
      </c>
      <c r="D5685" t="str">
        <f t="shared" si="89"/>
        <v>UEMG5210</v>
      </c>
      <c r="E5685" t="s">
        <v>3055</v>
      </c>
    </row>
    <row r="5686" spans="1:5" x14ac:dyDescent="0.25">
      <c r="A5686">
        <v>2351</v>
      </c>
      <c r="B5686" t="s">
        <v>1761</v>
      </c>
      <c r="C5686" t="s">
        <v>3155</v>
      </c>
      <c r="D5686" t="str">
        <f t="shared" si="89"/>
        <v>UEMG5211</v>
      </c>
      <c r="E5686" t="s">
        <v>2944</v>
      </c>
    </row>
    <row r="5687" spans="1:5" x14ac:dyDescent="0.25">
      <c r="A5687">
        <v>2351</v>
      </c>
      <c r="B5687" t="s">
        <v>1761</v>
      </c>
      <c r="C5687" t="s">
        <v>3064</v>
      </c>
      <c r="D5687" t="str">
        <f t="shared" si="89"/>
        <v>UEMG5212</v>
      </c>
      <c r="E5687" t="s">
        <v>3055</v>
      </c>
    </row>
    <row r="5688" spans="1:5" x14ac:dyDescent="0.25">
      <c r="A5688">
        <v>2351</v>
      </c>
      <c r="B5688" t="s">
        <v>1761</v>
      </c>
      <c r="C5688" t="s">
        <v>385</v>
      </c>
      <c r="D5688" t="str">
        <f t="shared" si="89"/>
        <v>UEMG5213</v>
      </c>
      <c r="E5688" t="s">
        <v>3055</v>
      </c>
    </row>
    <row r="5689" spans="1:5" x14ac:dyDescent="0.25">
      <c r="A5689">
        <v>2351</v>
      </c>
      <c r="B5689" t="s">
        <v>1761</v>
      </c>
      <c r="C5689" t="s">
        <v>391</v>
      </c>
      <c r="D5689" t="str">
        <f t="shared" si="89"/>
        <v>UEMG5214</v>
      </c>
      <c r="E5689" t="s">
        <v>3055</v>
      </c>
    </row>
    <row r="5690" spans="1:5" x14ac:dyDescent="0.25">
      <c r="A5690">
        <v>2351</v>
      </c>
      <c r="B5690" t="s">
        <v>1761</v>
      </c>
      <c r="C5690" t="s">
        <v>403</v>
      </c>
      <c r="D5690" t="str">
        <f t="shared" si="89"/>
        <v>UEMG5216</v>
      </c>
      <c r="E5690" t="s">
        <v>3055</v>
      </c>
    </row>
    <row r="5691" spans="1:5" x14ac:dyDescent="0.25">
      <c r="A5691">
        <v>2351</v>
      </c>
      <c r="B5691" t="s">
        <v>1761</v>
      </c>
      <c r="C5691" t="s">
        <v>419</v>
      </c>
      <c r="D5691" t="str">
        <f t="shared" si="89"/>
        <v>UEMG5219</v>
      </c>
      <c r="E5691" t="s">
        <v>3055</v>
      </c>
    </row>
    <row r="5692" spans="1:5" x14ac:dyDescent="0.25">
      <c r="A5692">
        <v>2351</v>
      </c>
      <c r="B5692" t="s">
        <v>1761</v>
      </c>
      <c r="C5692" t="s">
        <v>3068</v>
      </c>
      <c r="D5692" t="str">
        <f t="shared" si="89"/>
        <v>UEMG5220</v>
      </c>
      <c r="E5692" t="s">
        <v>3057</v>
      </c>
    </row>
    <row r="5693" spans="1:5" x14ac:dyDescent="0.25">
      <c r="A5693">
        <v>2351</v>
      </c>
      <c r="B5693" t="s">
        <v>1761</v>
      </c>
      <c r="C5693" t="s">
        <v>429</v>
      </c>
      <c r="D5693" t="str">
        <f t="shared" si="89"/>
        <v>UEMG5221</v>
      </c>
      <c r="E5693" t="s">
        <v>3055</v>
      </c>
    </row>
    <row r="5694" spans="1:5" x14ac:dyDescent="0.25">
      <c r="A5694">
        <v>2351</v>
      </c>
      <c r="B5694" t="s">
        <v>1761</v>
      </c>
      <c r="C5694" t="s">
        <v>434</v>
      </c>
      <c r="D5694" t="str">
        <f t="shared" si="89"/>
        <v>UEMG5222</v>
      </c>
      <c r="E5694" t="s">
        <v>3055</v>
      </c>
    </row>
    <row r="5695" spans="1:5" x14ac:dyDescent="0.25">
      <c r="A5695">
        <v>2351</v>
      </c>
      <c r="B5695" t="s">
        <v>1761</v>
      </c>
      <c r="C5695" t="s">
        <v>449</v>
      </c>
      <c r="D5695" t="str">
        <f t="shared" si="89"/>
        <v>UEMG5225</v>
      </c>
      <c r="E5695" t="s">
        <v>3055</v>
      </c>
    </row>
    <row r="5696" spans="1:5" x14ac:dyDescent="0.25">
      <c r="A5696">
        <v>2351</v>
      </c>
      <c r="B5696" t="s">
        <v>1761</v>
      </c>
      <c r="C5696" t="s">
        <v>3070</v>
      </c>
      <c r="D5696" t="str">
        <f t="shared" si="89"/>
        <v>UEMG5226</v>
      </c>
      <c r="E5696" t="s">
        <v>3055</v>
      </c>
    </row>
    <row r="5697" spans="1:5" x14ac:dyDescent="0.25">
      <c r="A5697">
        <v>2351</v>
      </c>
      <c r="B5697" t="s">
        <v>1761</v>
      </c>
      <c r="C5697" t="s">
        <v>459</v>
      </c>
      <c r="D5697" t="str">
        <f t="shared" si="89"/>
        <v>UEMG5299</v>
      </c>
      <c r="E5697" t="s">
        <v>3055</v>
      </c>
    </row>
    <row r="5698" spans="1:5" x14ac:dyDescent="0.25">
      <c r="A5698">
        <v>2351</v>
      </c>
      <c r="B5698" t="s">
        <v>1761</v>
      </c>
      <c r="C5698" t="s">
        <v>3220</v>
      </c>
      <c r="D5698" t="str">
        <f t="shared" si="89"/>
        <v>UEMG9201</v>
      </c>
      <c r="E5698" t="s">
        <v>3075</v>
      </c>
    </row>
    <row r="5699" spans="1:5" x14ac:dyDescent="0.25">
      <c r="A5699">
        <v>2351</v>
      </c>
      <c r="B5699" t="s">
        <v>1761</v>
      </c>
      <c r="C5699" t="s">
        <v>3074</v>
      </c>
      <c r="D5699" t="str">
        <f t="shared" si="89"/>
        <v>UEMG9202</v>
      </c>
      <c r="E5699" t="s">
        <v>3075</v>
      </c>
    </row>
    <row r="5700" spans="1:5" x14ac:dyDescent="0.25">
      <c r="A5700">
        <v>2351</v>
      </c>
      <c r="B5700" t="s">
        <v>1761</v>
      </c>
      <c r="C5700" t="s">
        <v>331</v>
      </c>
      <c r="D5700" t="str">
        <f t="shared" si="89"/>
        <v>UEMG9306</v>
      </c>
      <c r="E5700" t="s">
        <v>3076</v>
      </c>
    </row>
    <row r="5701" spans="1:5" x14ac:dyDescent="0.25">
      <c r="A5701">
        <v>2351</v>
      </c>
      <c r="B5701" t="s">
        <v>1761</v>
      </c>
      <c r="C5701" t="s">
        <v>440</v>
      </c>
      <c r="D5701" t="str">
        <f t="shared" ref="D5701:D5764" si="90">CONCATENATE(B5701,LEFT(C5701,4))</f>
        <v>UEMG9326</v>
      </c>
      <c r="E5701" t="s">
        <v>2968</v>
      </c>
    </row>
    <row r="5702" spans="1:5" x14ac:dyDescent="0.25">
      <c r="A5702">
        <v>2351</v>
      </c>
      <c r="B5702" t="s">
        <v>1761</v>
      </c>
      <c r="C5702" t="s">
        <v>3079</v>
      </c>
      <c r="D5702" t="str">
        <f t="shared" si="90"/>
        <v>UEMG9399</v>
      </c>
      <c r="E5702" t="s">
        <v>2968</v>
      </c>
    </row>
    <row r="5703" spans="1:5" x14ac:dyDescent="0.25">
      <c r="A5703">
        <v>2371</v>
      </c>
      <c r="B5703" t="s">
        <v>1739</v>
      </c>
      <c r="C5703" t="s">
        <v>2925</v>
      </c>
      <c r="D5703" t="str">
        <f t="shared" si="90"/>
        <v>IMA0810</v>
      </c>
      <c r="E5703" t="s">
        <v>2926</v>
      </c>
    </row>
    <row r="5704" spans="1:5" x14ac:dyDescent="0.25">
      <c r="A5704">
        <v>2371</v>
      </c>
      <c r="B5704" t="s">
        <v>1739</v>
      </c>
      <c r="C5704" t="s">
        <v>3229</v>
      </c>
      <c r="D5704" t="str">
        <f t="shared" si="90"/>
        <v>IMA1307</v>
      </c>
      <c r="E5704" t="s">
        <v>3081</v>
      </c>
    </row>
    <row r="5705" spans="1:5" x14ac:dyDescent="0.25">
      <c r="A5705">
        <v>2371</v>
      </c>
      <c r="B5705" t="s">
        <v>1739</v>
      </c>
      <c r="C5705" t="s">
        <v>332</v>
      </c>
      <c r="D5705" t="str">
        <f t="shared" si="90"/>
        <v>IMA1314</v>
      </c>
      <c r="E5705" t="s">
        <v>3081</v>
      </c>
    </row>
    <row r="5706" spans="1:5" x14ac:dyDescent="0.25">
      <c r="A5706">
        <v>2371</v>
      </c>
      <c r="B5706" t="s">
        <v>1739</v>
      </c>
      <c r="C5706" t="s">
        <v>2942</v>
      </c>
      <c r="D5706" t="str">
        <f t="shared" si="90"/>
        <v>IMA1317</v>
      </c>
      <c r="E5706" t="s">
        <v>3081</v>
      </c>
    </row>
    <row r="5707" spans="1:5" x14ac:dyDescent="0.25">
      <c r="A5707">
        <v>2371</v>
      </c>
      <c r="B5707" t="s">
        <v>1739</v>
      </c>
      <c r="C5707" t="s">
        <v>3282</v>
      </c>
      <c r="D5707" t="str">
        <f t="shared" si="90"/>
        <v>IMA1323</v>
      </c>
      <c r="E5707" t="s">
        <v>2944</v>
      </c>
    </row>
    <row r="5708" spans="1:5" x14ac:dyDescent="0.25">
      <c r="A5708">
        <v>2371</v>
      </c>
      <c r="B5708" t="s">
        <v>1739</v>
      </c>
      <c r="C5708" t="s">
        <v>399</v>
      </c>
      <c r="D5708" t="str">
        <f t="shared" si="90"/>
        <v>IMA1325</v>
      </c>
      <c r="E5708" t="s">
        <v>3081</v>
      </c>
    </row>
    <row r="5709" spans="1:5" x14ac:dyDescent="0.25">
      <c r="A5709">
        <v>2371</v>
      </c>
      <c r="B5709" t="s">
        <v>1739</v>
      </c>
      <c r="C5709" t="s">
        <v>2928</v>
      </c>
      <c r="D5709" t="str">
        <f t="shared" si="90"/>
        <v>IMA1401</v>
      </c>
      <c r="E5709" t="s">
        <v>44</v>
      </c>
    </row>
    <row r="5710" spans="1:5" x14ac:dyDescent="0.25">
      <c r="A5710">
        <v>2371</v>
      </c>
      <c r="B5710" t="s">
        <v>1739</v>
      </c>
      <c r="C5710" t="s">
        <v>2932</v>
      </c>
      <c r="D5710" t="str">
        <f t="shared" si="90"/>
        <v>IMA3001</v>
      </c>
      <c r="E5710" t="s">
        <v>2933</v>
      </c>
    </row>
    <row r="5711" spans="1:5" x14ac:dyDescent="0.25">
      <c r="A5711">
        <v>2371</v>
      </c>
      <c r="B5711" t="s">
        <v>1739</v>
      </c>
      <c r="C5711" t="s">
        <v>256</v>
      </c>
      <c r="D5711" t="str">
        <f t="shared" si="90"/>
        <v>IMA3002</v>
      </c>
      <c r="E5711" t="s">
        <v>2933</v>
      </c>
    </row>
    <row r="5712" spans="1:5" x14ac:dyDescent="0.25">
      <c r="A5712">
        <v>2371</v>
      </c>
      <c r="B5712" t="s">
        <v>1739</v>
      </c>
      <c r="C5712" t="s">
        <v>979</v>
      </c>
      <c r="D5712" t="str">
        <f t="shared" si="90"/>
        <v>IMA3003</v>
      </c>
      <c r="E5712" t="s">
        <v>2933</v>
      </c>
    </row>
    <row r="5713" spans="1:5" x14ac:dyDescent="0.25">
      <c r="A5713">
        <v>2371</v>
      </c>
      <c r="B5713" t="s">
        <v>1739</v>
      </c>
      <c r="C5713" t="s">
        <v>2937</v>
      </c>
      <c r="D5713" t="str">
        <f t="shared" si="90"/>
        <v>IMA3004</v>
      </c>
      <c r="E5713" t="s">
        <v>2933</v>
      </c>
    </row>
    <row r="5714" spans="1:5" x14ac:dyDescent="0.25">
      <c r="A5714">
        <v>2371</v>
      </c>
      <c r="B5714" t="s">
        <v>1739</v>
      </c>
      <c r="C5714" t="s">
        <v>2939</v>
      </c>
      <c r="D5714" t="str">
        <f t="shared" si="90"/>
        <v>IMA3005</v>
      </c>
      <c r="E5714" t="s">
        <v>2933</v>
      </c>
    </row>
    <row r="5715" spans="1:5" x14ac:dyDescent="0.25">
      <c r="A5715">
        <v>2371</v>
      </c>
      <c r="B5715" t="s">
        <v>1739</v>
      </c>
      <c r="C5715" t="s">
        <v>323</v>
      </c>
      <c r="D5715" t="str">
        <f t="shared" si="90"/>
        <v>IMA3006</v>
      </c>
      <c r="E5715" t="s">
        <v>2933</v>
      </c>
    </row>
    <row r="5716" spans="1:5" x14ac:dyDescent="0.25">
      <c r="A5716">
        <v>2371</v>
      </c>
      <c r="B5716" t="s">
        <v>1739</v>
      </c>
      <c r="C5716" t="s">
        <v>333</v>
      </c>
      <c r="D5716" t="str">
        <f t="shared" si="90"/>
        <v>IMA3007</v>
      </c>
      <c r="E5716" t="s">
        <v>2933</v>
      </c>
    </row>
    <row r="5717" spans="1:5" x14ac:dyDescent="0.25">
      <c r="A5717">
        <v>2371</v>
      </c>
      <c r="B5717" t="s">
        <v>1739</v>
      </c>
      <c r="C5717" t="s">
        <v>2941</v>
      </c>
      <c r="D5717" t="str">
        <f t="shared" si="90"/>
        <v>IMA3008</v>
      </c>
      <c r="E5717" t="s">
        <v>2933</v>
      </c>
    </row>
    <row r="5718" spans="1:5" x14ac:dyDescent="0.25">
      <c r="A5718">
        <v>2371</v>
      </c>
      <c r="B5718" t="s">
        <v>1739</v>
      </c>
      <c r="C5718" t="s">
        <v>354</v>
      </c>
      <c r="D5718" t="str">
        <f t="shared" si="90"/>
        <v>IMA3009</v>
      </c>
      <c r="E5718" t="s">
        <v>2933</v>
      </c>
    </row>
    <row r="5719" spans="1:5" x14ac:dyDescent="0.25">
      <c r="A5719">
        <v>2371</v>
      </c>
      <c r="B5719" t="s">
        <v>1739</v>
      </c>
      <c r="C5719" t="s">
        <v>2943</v>
      </c>
      <c r="D5719" t="str">
        <f t="shared" si="90"/>
        <v>IMA3010</v>
      </c>
      <c r="E5719" t="s">
        <v>2944</v>
      </c>
    </row>
    <row r="5720" spans="1:5" x14ac:dyDescent="0.25">
      <c r="A5720">
        <v>2371</v>
      </c>
      <c r="B5720" t="s">
        <v>1739</v>
      </c>
      <c r="C5720" t="s">
        <v>138</v>
      </c>
      <c r="D5720" t="str">
        <f t="shared" si="90"/>
        <v>IMA3012</v>
      </c>
      <c r="E5720" t="s">
        <v>2944</v>
      </c>
    </row>
    <row r="5721" spans="1:5" x14ac:dyDescent="0.25">
      <c r="A5721">
        <v>2371</v>
      </c>
      <c r="B5721" t="s">
        <v>1739</v>
      </c>
      <c r="C5721" t="s">
        <v>2946</v>
      </c>
      <c r="D5721" t="str">
        <f t="shared" si="90"/>
        <v>IMA3013</v>
      </c>
      <c r="E5721" t="s">
        <v>2933</v>
      </c>
    </row>
    <row r="5722" spans="1:5" x14ac:dyDescent="0.25">
      <c r="A5722">
        <v>2371</v>
      </c>
      <c r="B5722" t="s">
        <v>1739</v>
      </c>
      <c r="C5722" t="s">
        <v>2948</v>
      </c>
      <c r="D5722" t="str">
        <f t="shared" si="90"/>
        <v>IMA3015</v>
      </c>
      <c r="E5722" t="s">
        <v>2933</v>
      </c>
    </row>
    <row r="5723" spans="1:5" x14ac:dyDescent="0.25">
      <c r="A5723">
        <v>2371</v>
      </c>
      <c r="B5723" t="s">
        <v>1739</v>
      </c>
      <c r="C5723" t="s">
        <v>2950</v>
      </c>
      <c r="D5723" t="str">
        <f t="shared" si="90"/>
        <v>IMA3016</v>
      </c>
      <c r="E5723" t="s">
        <v>2933</v>
      </c>
    </row>
    <row r="5724" spans="1:5" x14ac:dyDescent="0.25">
      <c r="A5724">
        <v>2371</v>
      </c>
      <c r="B5724" t="s">
        <v>1739</v>
      </c>
      <c r="C5724" t="s">
        <v>406</v>
      </c>
      <c r="D5724" t="str">
        <f t="shared" si="90"/>
        <v>IMA3017</v>
      </c>
      <c r="E5724" t="s">
        <v>2933</v>
      </c>
    </row>
    <row r="5725" spans="1:5" x14ac:dyDescent="0.25">
      <c r="A5725">
        <v>2371</v>
      </c>
      <c r="B5725" t="s">
        <v>1739</v>
      </c>
      <c r="C5725" t="s">
        <v>411</v>
      </c>
      <c r="D5725" t="str">
        <f t="shared" si="90"/>
        <v>IMA3018</v>
      </c>
      <c r="E5725" t="s">
        <v>2933</v>
      </c>
    </row>
    <row r="5726" spans="1:5" x14ac:dyDescent="0.25">
      <c r="A5726">
        <v>2371</v>
      </c>
      <c r="B5726" t="s">
        <v>1739</v>
      </c>
      <c r="C5726" t="s">
        <v>2953</v>
      </c>
      <c r="D5726" t="str">
        <f t="shared" si="90"/>
        <v>IMA3019</v>
      </c>
      <c r="E5726" t="s">
        <v>2954</v>
      </c>
    </row>
    <row r="5727" spans="1:5" x14ac:dyDescent="0.25">
      <c r="A5727">
        <v>2371</v>
      </c>
      <c r="B5727" t="s">
        <v>1739</v>
      </c>
      <c r="C5727" t="s">
        <v>2955</v>
      </c>
      <c r="D5727" t="str">
        <f t="shared" si="90"/>
        <v>IMA3020</v>
      </c>
      <c r="E5727" t="s">
        <v>2933</v>
      </c>
    </row>
    <row r="5728" spans="1:5" x14ac:dyDescent="0.25">
      <c r="A5728">
        <v>2371</v>
      </c>
      <c r="B5728" t="s">
        <v>1739</v>
      </c>
      <c r="C5728" t="s">
        <v>2956</v>
      </c>
      <c r="D5728" t="str">
        <f t="shared" si="90"/>
        <v>IMA3021</v>
      </c>
      <c r="E5728" t="s">
        <v>2933</v>
      </c>
    </row>
    <row r="5729" spans="1:5" x14ac:dyDescent="0.25">
      <c r="A5729">
        <v>2371</v>
      </c>
      <c r="B5729" t="s">
        <v>1739</v>
      </c>
      <c r="C5729" t="s">
        <v>431</v>
      </c>
      <c r="D5729" t="str">
        <f t="shared" si="90"/>
        <v>IMA3022</v>
      </c>
      <c r="E5729" t="s">
        <v>2933</v>
      </c>
    </row>
    <row r="5730" spans="1:5" x14ac:dyDescent="0.25">
      <c r="A5730">
        <v>2371</v>
      </c>
      <c r="B5730" t="s">
        <v>1739</v>
      </c>
      <c r="C5730" t="s">
        <v>2957</v>
      </c>
      <c r="D5730" t="str">
        <f t="shared" si="90"/>
        <v>IMA3023</v>
      </c>
      <c r="E5730" t="s">
        <v>2958</v>
      </c>
    </row>
    <row r="5731" spans="1:5" x14ac:dyDescent="0.25">
      <c r="A5731">
        <v>2371</v>
      </c>
      <c r="B5731" t="s">
        <v>1739</v>
      </c>
      <c r="C5731" t="s">
        <v>441</v>
      </c>
      <c r="D5731" t="str">
        <f t="shared" si="90"/>
        <v>IMA3024</v>
      </c>
      <c r="E5731" t="s">
        <v>2933</v>
      </c>
    </row>
    <row r="5732" spans="1:5" x14ac:dyDescent="0.25">
      <c r="A5732">
        <v>2371</v>
      </c>
      <c r="B5732" t="s">
        <v>1739</v>
      </c>
      <c r="C5732" t="s">
        <v>2959</v>
      </c>
      <c r="D5732" t="str">
        <f t="shared" si="90"/>
        <v>IMA3025</v>
      </c>
      <c r="E5732" t="s">
        <v>2933</v>
      </c>
    </row>
    <row r="5733" spans="1:5" x14ac:dyDescent="0.25">
      <c r="A5733">
        <v>2371</v>
      </c>
      <c r="B5733" t="s">
        <v>1739</v>
      </c>
      <c r="C5733" t="s">
        <v>2960</v>
      </c>
      <c r="D5733" t="str">
        <f t="shared" si="90"/>
        <v>IMA3026</v>
      </c>
      <c r="E5733" t="s">
        <v>2958</v>
      </c>
    </row>
    <row r="5734" spans="1:5" x14ac:dyDescent="0.25">
      <c r="A5734">
        <v>2371</v>
      </c>
      <c r="B5734" t="s">
        <v>1739</v>
      </c>
      <c r="C5734" t="s">
        <v>2961</v>
      </c>
      <c r="D5734" t="str">
        <f t="shared" si="90"/>
        <v>IMA3027</v>
      </c>
      <c r="E5734" t="s">
        <v>2933</v>
      </c>
    </row>
    <row r="5735" spans="1:5" x14ac:dyDescent="0.25">
      <c r="A5735">
        <v>2371</v>
      </c>
      <c r="B5735" t="s">
        <v>1739</v>
      </c>
      <c r="C5735" t="s">
        <v>467</v>
      </c>
      <c r="D5735" t="str">
        <f t="shared" si="90"/>
        <v>IMA3030</v>
      </c>
      <c r="E5735" t="s">
        <v>2933</v>
      </c>
    </row>
    <row r="5736" spans="1:5" x14ac:dyDescent="0.25">
      <c r="A5736">
        <v>2371</v>
      </c>
      <c r="B5736" t="s">
        <v>1739</v>
      </c>
      <c r="C5736" t="s">
        <v>470</v>
      </c>
      <c r="D5736" t="str">
        <f t="shared" si="90"/>
        <v>IMA3031</v>
      </c>
      <c r="E5736" t="s">
        <v>2933</v>
      </c>
    </row>
    <row r="5737" spans="1:5" x14ac:dyDescent="0.25">
      <c r="A5737">
        <v>2371</v>
      </c>
      <c r="B5737" t="s">
        <v>1739</v>
      </c>
      <c r="C5737" t="s">
        <v>2963</v>
      </c>
      <c r="D5737" t="str">
        <f t="shared" si="90"/>
        <v>IMA3032</v>
      </c>
      <c r="E5737" t="s">
        <v>2933</v>
      </c>
    </row>
    <row r="5738" spans="1:5" x14ac:dyDescent="0.25">
      <c r="A5738">
        <v>2371</v>
      </c>
      <c r="B5738" t="s">
        <v>1739</v>
      </c>
      <c r="C5738" t="s">
        <v>485</v>
      </c>
      <c r="D5738" t="str">
        <f t="shared" si="90"/>
        <v>IMA3039</v>
      </c>
      <c r="E5738" t="s">
        <v>2933</v>
      </c>
    </row>
    <row r="5739" spans="1:5" x14ac:dyDescent="0.25">
      <c r="A5739">
        <v>2371</v>
      </c>
      <c r="B5739" t="s">
        <v>1739</v>
      </c>
      <c r="C5739" t="s">
        <v>487</v>
      </c>
      <c r="D5739" t="str">
        <f t="shared" si="90"/>
        <v>IMA3040</v>
      </c>
      <c r="E5739" t="s">
        <v>2933</v>
      </c>
    </row>
    <row r="5740" spans="1:5" x14ac:dyDescent="0.25">
      <c r="A5740">
        <v>2371</v>
      </c>
      <c r="B5740" t="s">
        <v>1739</v>
      </c>
      <c r="C5740" t="s">
        <v>2993</v>
      </c>
      <c r="D5740" t="str">
        <f t="shared" si="90"/>
        <v>IMA3041</v>
      </c>
      <c r="E5740" t="s">
        <v>2968</v>
      </c>
    </row>
    <row r="5741" spans="1:5" x14ac:dyDescent="0.25">
      <c r="A5741">
        <v>2371</v>
      </c>
      <c r="B5741" t="s">
        <v>1739</v>
      </c>
      <c r="C5741" t="s">
        <v>491</v>
      </c>
      <c r="D5741" t="str">
        <f t="shared" si="90"/>
        <v>IMA3099</v>
      </c>
      <c r="E5741" t="s">
        <v>2933</v>
      </c>
    </row>
    <row r="5742" spans="1:5" x14ac:dyDescent="0.25">
      <c r="A5742">
        <v>2371</v>
      </c>
      <c r="B5742" t="s">
        <v>1739</v>
      </c>
      <c r="C5742" t="s">
        <v>227</v>
      </c>
      <c r="D5742" t="str">
        <f t="shared" si="90"/>
        <v>IMA3201</v>
      </c>
      <c r="E5742" t="s">
        <v>2968</v>
      </c>
    </row>
    <row r="5743" spans="1:5" x14ac:dyDescent="0.25">
      <c r="A5743">
        <v>2371</v>
      </c>
      <c r="B5743" t="s">
        <v>1739</v>
      </c>
      <c r="C5743" t="s">
        <v>54</v>
      </c>
      <c r="D5743" t="str">
        <f t="shared" si="90"/>
        <v>IMA3301</v>
      </c>
      <c r="E5743" t="s">
        <v>44</v>
      </c>
    </row>
    <row r="5744" spans="1:5" x14ac:dyDescent="0.25">
      <c r="A5744">
        <v>2371</v>
      </c>
      <c r="B5744" t="s">
        <v>1739</v>
      </c>
      <c r="C5744" t="s">
        <v>2975</v>
      </c>
      <c r="D5744" t="str">
        <f t="shared" si="90"/>
        <v>IMA3302</v>
      </c>
      <c r="E5744" t="s">
        <v>44</v>
      </c>
    </row>
    <row r="5745" spans="1:5" x14ac:dyDescent="0.25">
      <c r="A5745">
        <v>2371</v>
      </c>
      <c r="B5745" t="s">
        <v>1739</v>
      </c>
      <c r="C5745" t="s">
        <v>2977</v>
      </c>
      <c r="D5745" t="str">
        <f t="shared" si="90"/>
        <v>IMA3304</v>
      </c>
      <c r="E5745" t="s">
        <v>44</v>
      </c>
    </row>
    <row r="5746" spans="1:5" x14ac:dyDescent="0.25">
      <c r="A5746">
        <v>2371</v>
      </c>
      <c r="B5746" t="s">
        <v>1739</v>
      </c>
      <c r="C5746" t="s">
        <v>309</v>
      </c>
      <c r="D5746" t="str">
        <f t="shared" si="90"/>
        <v>IMA3305</v>
      </c>
      <c r="E5746" t="s">
        <v>44</v>
      </c>
    </row>
    <row r="5747" spans="1:5" x14ac:dyDescent="0.25">
      <c r="A5747">
        <v>2371</v>
      </c>
      <c r="B5747" t="s">
        <v>1739</v>
      </c>
      <c r="C5747" t="s">
        <v>228</v>
      </c>
      <c r="D5747" t="str">
        <f t="shared" si="90"/>
        <v>IMA3401</v>
      </c>
      <c r="E5747" t="s">
        <v>3231</v>
      </c>
    </row>
    <row r="5748" spans="1:5" x14ac:dyDescent="0.25">
      <c r="A5748">
        <v>2371</v>
      </c>
      <c r="B5748" t="s">
        <v>1739</v>
      </c>
      <c r="C5748" t="s">
        <v>280</v>
      </c>
      <c r="D5748" t="str">
        <f t="shared" si="90"/>
        <v>IMA3403</v>
      </c>
      <c r="E5748" t="s">
        <v>3081</v>
      </c>
    </row>
    <row r="5749" spans="1:5" x14ac:dyDescent="0.25">
      <c r="A5749">
        <v>2371</v>
      </c>
      <c r="B5749" t="s">
        <v>1739</v>
      </c>
      <c r="C5749" t="s">
        <v>296</v>
      </c>
      <c r="D5749" t="str">
        <f t="shared" si="90"/>
        <v>IMA3404</v>
      </c>
      <c r="E5749" t="s">
        <v>3081</v>
      </c>
    </row>
    <row r="5750" spans="1:5" x14ac:dyDescent="0.25">
      <c r="A5750">
        <v>2371</v>
      </c>
      <c r="B5750" t="s">
        <v>1739</v>
      </c>
      <c r="C5750" t="s">
        <v>3233</v>
      </c>
      <c r="D5750" t="str">
        <f t="shared" si="90"/>
        <v>IMA3501</v>
      </c>
      <c r="E5750" t="s">
        <v>2968</v>
      </c>
    </row>
    <row r="5751" spans="1:5" x14ac:dyDescent="0.25">
      <c r="A5751">
        <v>2371</v>
      </c>
      <c r="B5751" t="s">
        <v>1739</v>
      </c>
      <c r="C5751" t="s">
        <v>3201</v>
      </c>
      <c r="D5751" t="str">
        <f t="shared" si="90"/>
        <v>IMA3502</v>
      </c>
      <c r="E5751" t="s">
        <v>1660</v>
      </c>
    </row>
    <row r="5752" spans="1:5" x14ac:dyDescent="0.25">
      <c r="A5752">
        <v>2371</v>
      </c>
      <c r="B5752" t="s">
        <v>1739</v>
      </c>
      <c r="C5752" t="s">
        <v>3012</v>
      </c>
      <c r="D5752" t="str">
        <f t="shared" si="90"/>
        <v>IMA3601</v>
      </c>
      <c r="E5752" t="s">
        <v>65</v>
      </c>
    </row>
    <row r="5753" spans="1:5" x14ac:dyDescent="0.25">
      <c r="A5753">
        <v>2371</v>
      </c>
      <c r="B5753" t="s">
        <v>1739</v>
      </c>
      <c r="C5753" t="s">
        <v>297</v>
      </c>
      <c r="D5753" t="str">
        <f t="shared" si="90"/>
        <v>IMA3604</v>
      </c>
      <c r="E5753" t="s">
        <v>44</v>
      </c>
    </row>
    <row r="5754" spans="1:5" x14ac:dyDescent="0.25">
      <c r="A5754">
        <v>2371</v>
      </c>
      <c r="B5754" t="s">
        <v>1739</v>
      </c>
      <c r="C5754" t="s">
        <v>3234</v>
      </c>
      <c r="D5754" t="str">
        <f t="shared" si="90"/>
        <v>IMA3605</v>
      </c>
      <c r="E5754" t="s">
        <v>2968</v>
      </c>
    </row>
    <row r="5755" spans="1:5" x14ac:dyDescent="0.25">
      <c r="A5755">
        <v>2371</v>
      </c>
      <c r="B5755" t="s">
        <v>1739</v>
      </c>
      <c r="C5755" t="s">
        <v>355</v>
      </c>
      <c r="D5755" t="str">
        <f t="shared" si="90"/>
        <v>IMA3610</v>
      </c>
      <c r="E5755" t="s">
        <v>2968</v>
      </c>
    </row>
    <row r="5756" spans="1:5" x14ac:dyDescent="0.25">
      <c r="A5756">
        <v>2371</v>
      </c>
      <c r="B5756" t="s">
        <v>1739</v>
      </c>
      <c r="C5756" t="s">
        <v>3021</v>
      </c>
      <c r="D5756" t="str">
        <f t="shared" si="90"/>
        <v>IMA3611</v>
      </c>
      <c r="E5756" t="s">
        <v>3107</v>
      </c>
    </row>
    <row r="5757" spans="1:5" x14ac:dyDescent="0.25">
      <c r="A5757">
        <v>2371</v>
      </c>
      <c r="B5757" t="s">
        <v>1739</v>
      </c>
      <c r="C5757" t="s">
        <v>2979</v>
      </c>
      <c r="D5757" t="str">
        <f t="shared" si="90"/>
        <v>IMA3612</v>
      </c>
      <c r="E5757" t="s">
        <v>2968</v>
      </c>
    </row>
    <row r="5758" spans="1:5" x14ac:dyDescent="0.25">
      <c r="A5758">
        <v>2371</v>
      </c>
      <c r="B5758" t="s">
        <v>1739</v>
      </c>
      <c r="C5758" t="s">
        <v>3023</v>
      </c>
      <c r="D5758" t="str">
        <f t="shared" si="90"/>
        <v>IMA3616</v>
      </c>
      <c r="E5758" t="s">
        <v>2958</v>
      </c>
    </row>
    <row r="5759" spans="1:5" x14ac:dyDescent="0.25">
      <c r="A5759">
        <v>2371</v>
      </c>
      <c r="B5759" t="s">
        <v>1739</v>
      </c>
      <c r="C5759" t="s">
        <v>401</v>
      </c>
      <c r="D5759" t="str">
        <f t="shared" si="90"/>
        <v>IMA3617</v>
      </c>
      <c r="E5759" t="s">
        <v>2968</v>
      </c>
    </row>
    <row r="5760" spans="1:5" x14ac:dyDescent="0.25">
      <c r="A5760">
        <v>2371</v>
      </c>
      <c r="B5760" t="s">
        <v>1739</v>
      </c>
      <c r="C5760" t="s">
        <v>407</v>
      </c>
      <c r="D5760" t="str">
        <f t="shared" si="90"/>
        <v>IMA3618</v>
      </c>
      <c r="E5760" t="s">
        <v>2954</v>
      </c>
    </row>
    <row r="5761" spans="1:5" x14ac:dyDescent="0.25">
      <c r="A5761">
        <v>2371</v>
      </c>
      <c r="B5761" t="s">
        <v>1739</v>
      </c>
      <c r="C5761" t="s">
        <v>422</v>
      </c>
      <c r="D5761" t="str">
        <f t="shared" si="90"/>
        <v>IMA3621</v>
      </c>
      <c r="E5761" t="s">
        <v>3106</v>
      </c>
    </row>
    <row r="5762" spans="1:5" x14ac:dyDescent="0.25">
      <c r="A5762">
        <v>2371</v>
      </c>
      <c r="B5762" t="s">
        <v>1739</v>
      </c>
      <c r="C5762" t="s">
        <v>457</v>
      </c>
      <c r="D5762" t="str">
        <f t="shared" si="90"/>
        <v>IMA3628</v>
      </c>
      <c r="E5762" t="s">
        <v>2968</v>
      </c>
    </row>
    <row r="5763" spans="1:5" x14ac:dyDescent="0.25">
      <c r="A5763">
        <v>2371</v>
      </c>
      <c r="B5763" t="s">
        <v>1739</v>
      </c>
      <c r="C5763" t="s">
        <v>471</v>
      </c>
      <c r="D5763" t="str">
        <f t="shared" si="90"/>
        <v>IMA3699</v>
      </c>
      <c r="E5763" t="s">
        <v>2968</v>
      </c>
    </row>
    <row r="5764" spans="1:5" x14ac:dyDescent="0.25">
      <c r="A5764">
        <v>2371</v>
      </c>
      <c r="B5764" t="s">
        <v>1739</v>
      </c>
      <c r="C5764" t="s">
        <v>2980</v>
      </c>
      <c r="D5764" t="str">
        <f t="shared" si="90"/>
        <v>IMA3701</v>
      </c>
      <c r="E5764" t="s">
        <v>103</v>
      </c>
    </row>
    <row r="5765" spans="1:5" x14ac:dyDescent="0.25">
      <c r="A5765">
        <v>2371</v>
      </c>
      <c r="B5765" t="s">
        <v>1739</v>
      </c>
      <c r="C5765" t="s">
        <v>3050</v>
      </c>
      <c r="D5765" t="str">
        <f t="shared" ref="D5765:D5828" si="91">CONCATENATE(B5765,LEFT(C5765,4))</f>
        <v>IMA3702</v>
      </c>
      <c r="E5765" t="s">
        <v>2981</v>
      </c>
    </row>
    <row r="5766" spans="1:5" x14ac:dyDescent="0.25">
      <c r="A5766">
        <v>2371</v>
      </c>
      <c r="B5766" t="s">
        <v>1739</v>
      </c>
      <c r="C5766" t="s">
        <v>2983</v>
      </c>
      <c r="D5766" t="str">
        <f t="shared" si="91"/>
        <v>IMA3703</v>
      </c>
      <c r="E5766" t="s">
        <v>117</v>
      </c>
    </row>
    <row r="5767" spans="1:5" x14ac:dyDescent="0.25">
      <c r="A5767">
        <v>2371</v>
      </c>
      <c r="B5767" t="s">
        <v>1739</v>
      </c>
      <c r="C5767" t="s">
        <v>2985</v>
      </c>
      <c r="D5767" t="str">
        <f t="shared" si="91"/>
        <v>IMA3704</v>
      </c>
      <c r="E5767" t="s">
        <v>117</v>
      </c>
    </row>
    <row r="5768" spans="1:5" x14ac:dyDescent="0.25">
      <c r="A5768">
        <v>2371</v>
      </c>
      <c r="B5768" t="s">
        <v>1739</v>
      </c>
      <c r="C5768" t="s">
        <v>2986</v>
      </c>
      <c r="D5768" t="str">
        <f t="shared" si="91"/>
        <v>IMA3705</v>
      </c>
      <c r="E5768" t="s">
        <v>117</v>
      </c>
    </row>
    <row r="5769" spans="1:5" x14ac:dyDescent="0.25">
      <c r="A5769">
        <v>2371</v>
      </c>
      <c r="B5769" t="s">
        <v>1739</v>
      </c>
      <c r="C5769" t="s">
        <v>2988</v>
      </c>
      <c r="D5769" t="str">
        <f t="shared" si="91"/>
        <v>IMA3903</v>
      </c>
      <c r="E5769" t="s">
        <v>2968</v>
      </c>
    </row>
    <row r="5770" spans="1:5" x14ac:dyDescent="0.25">
      <c r="A5770">
        <v>2371</v>
      </c>
      <c r="B5770" t="s">
        <v>1739</v>
      </c>
      <c r="C5770" t="s">
        <v>299</v>
      </c>
      <c r="D5770" t="str">
        <f t="shared" si="91"/>
        <v>IMA3904</v>
      </c>
      <c r="E5770" t="s">
        <v>2968</v>
      </c>
    </row>
    <row r="5771" spans="1:5" x14ac:dyDescent="0.25">
      <c r="A5771">
        <v>2371</v>
      </c>
      <c r="B5771" t="s">
        <v>1739</v>
      </c>
      <c r="C5771" t="s">
        <v>326</v>
      </c>
      <c r="D5771" t="str">
        <f t="shared" si="91"/>
        <v>IMA3906</v>
      </c>
      <c r="E5771" t="s">
        <v>2968</v>
      </c>
    </row>
    <row r="5772" spans="1:5" x14ac:dyDescent="0.25">
      <c r="A5772">
        <v>2371</v>
      </c>
      <c r="B5772" t="s">
        <v>1739</v>
      </c>
      <c r="C5772" t="s">
        <v>346</v>
      </c>
      <c r="D5772" t="str">
        <f t="shared" si="91"/>
        <v>IMA3910</v>
      </c>
      <c r="E5772" t="s">
        <v>2968</v>
      </c>
    </row>
    <row r="5773" spans="1:5" x14ac:dyDescent="0.25">
      <c r="A5773">
        <v>2371</v>
      </c>
      <c r="B5773" t="s">
        <v>1739</v>
      </c>
      <c r="C5773" t="s">
        <v>2991</v>
      </c>
      <c r="D5773" t="str">
        <f t="shared" si="91"/>
        <v>IMA3912</v>
      </c>
      <c r="E5773" t="s">
        <v>2992</v>
      </c>
    </row>
    <row r="5774" spans="1:5" x14ac:dyDescent="0.25">
      <c r="A5774">
        <v>2371</v>
      </c>
      <c r="B5774" t="s">
        <v>1739</v>
      </c>
      <c r="C5774" t="s">
        <v>2994</v>
      </c>
      <c r="D5774" t="str">
        <f t="shared" si="91"/>
        <v>IMA3913</v>
      </c>
      <c r="E5774" t="s">
        <v>2992</v>
      </c>
    </row>
    <row r="5775" spans="1:5" x14ac:dyDescent="0.25">
      <c r="A5775">
        <v>2371</v>
      </c>
      <c r="B5775" t="s">
        <v>1739</v>
      </c>
      <c r="C5775" t="s">
        <v>384</v>
      </c>
      <c r="D5775" t="str">
        <f t="shared" si="91"/>
        <v>IMA3915</v>
      </c>
      <c r="E5775" t="s">
        <v>2992</v>
      </c>
    </row>
    <row r="5776" spans="1:5" x14ac:dyDescent="0.25">
      <c r="A5776">
        <v>2371</v>
      </c>
      <c r="B5776" t="s">
        <v>1739</v>
      </c>
      <c r="C5776" t="s">
        <v>2996</v>
      </c>
      <c r="D5776" t="str">
        <f t="shared" si="91"/>
        <v>IMA3917</v>
      </c>
      <c r="E5776" t="s">
        <v>2958</v>
      </c>
    </row>
    <row r="5777" spans="1:5" x14ac:dyDescent="0.25">
      <c r="A5777">
        <v>2371</v>
      </c>
      <c r="B5777" t="s">
        <v>1739</v>
      </c>
      <c r="C5777" t="s">
        <v>2998</v>
      </c>
      <c r="D5777" t="str">
        <f t="shared" si="91"/>
        <v>IMA3918</v>
      </c>
      <c r="E5777" t="s">
        <v>2958</v>
      </c>
    </row>
    <row r="5778" spans="1:5" x14ac:dyDescent="0.25">
      <c r="A5778">
        <v>2371</v>
      </c>
      <c r="B5778" t="s">
        <v>1739</v>
      </c>
      <c r="C5778" t="s">
        <v>3000</v>
      </c>
      <c r="D5778" t="str">
        <f t="shared" si="91"/>
        <v>IMA3919</v>
      </c>
      <c r="E5778" t="s">
        <v>3001</v>
      </c>
    </row>
    <row r="5779" spans="1:5" x14ac:dyDescent="0.25">
      <c r="A5779">
        <v>2371</v>
      </c>
      <c r="B5779" t="s">
        <v>1739</v>
      </c>
      <c r="C5779" t="s">
        <v>3002</v>
      </c>
      <c r="D5779" t="str">
        <f t="shared" si="91"/>
        <v>IMA3921</v>
      </c>
      <c r="E5779" t="s">
        <v>3001</v>
      </c>
    </row>
    <row r="5780" spans="1:5" x14ac:dyDescent="0.25">
      <c r="A5780">
        <v>2371</v>
      </c>
      <c r="B5780" t="s">
        <v>1739</v>
      </c>
      <c r="C5780" t="s">
        <v>3003</v>
      </c>
      <c r="D5780" t="str">
        <f t="shared" si="91"/>
        <v>IMA3922</v>
      </c>
      <c r="E5780" t="s">
        <v>2954</v>
      </c>
    </row>
    <row r="5781" spans="1:5" x14ac:dyDescent="0.25">
      <c r="A5781">
        <v>2371</v>
      </c>
      <c r="B5781" t="s">
        <v>1739</v>
      </c>
      <c r="C5781" t="s">
        <v>566</v>
      </c>
      <c r="D5781" t="str">
        <f t="shared" si="91"/>
        <v>IMA3924</v>
      </c>
      <c r="E5781" t="s">
        <v>3004</v>
      </c>
    </row>
    <row r="5782" spans="1:5" x14ac:dyDescent="0.25">
      <c r="A5782">
        <v>2371</v>
      </c>
      <c r="B5782" t="s">
        <v>1739</v>
      </c>
      <c r="C5782" t="s">
        <v>438</v>
      </c>
      <c r="D5782" t="str">
        <f t="shared" si="91"/>
        <v>IMA3925</v>
      </c>
      <c r="E5782" t="s">
        <v>3006</v>
      </c>
    </row>
    <row r="5783" spans="1:5" x14ac:dyDescent="0.25">
      <c r="A5783">
        <v>2371</v>
      </c>
      <c r="B5783" t="s">
        <v>1739</v>
      </c>
      <c r="C5783" t="s">
        <v>443</v>
      </c>
      <c r="D5783" t="str">
        <f t="shared" si="91"/>
        <v>IMA3926</v>
      </c>
      <c r="E5783" t="s">
        <v>3006</v>
      </c>
    </row>
    <row r="5784" spans="1:5" x14ac:dyDescent="0.25">
      <c r="A5784">
        <v>2371</v>
      </c>
      <c r="B5784" t="s">
        <v>1739</v>
      </c>
      <c r="C5784" t="s">
        <v>3008</v>
      </c>
      <c r="D5784" t="str">
        <f t="shared" si="91"/>
        <v>IMA3927</v>
      </c>
      <c r="E5784" t="s">
        <v>3009</v>
      </c>
    </row>
    <row r="5785" spans="1:5" x14ac:dyDescent="0.25">
      <c r="A5785">
        <v>2371</v>
      </c>
      <c r="B5785" t="s">
        <v>1739</v>
      </c>
      <c r="C5785" t="s">
        <v>458</v>
      </c>
      <c r="D5785" t="str">
        <f t="shared" si="91"/>
        <v>IMA3930</v>
      </c>
      <c r="E5785" t="s">
        <v>3006</v>
      </c>
    </row>
    <row r="5786" spans="1:5" x14ac:dyDescent="0.25">
      <c r="A5786">
        <v>2371</v>
      </c>
      <c r="B5786" t="s">
        <v>1739</v>
      </c>
      <c r="C5786" t="s">
        <v>1481</v>
      </c>
      <c r="D5786" t="str">
        <f t="shared" si="91"/>
        <v>IMA3931</v>
      </c>
      <c r="E5786" t="s">
        <v>2968</v>
      </c>
    </row>
    <row r="5787" spans="1:5" x14ac:dyDescent="0.25">
      <c r="A5787">
        <v>2371</v>
      </c>
      <c r="B5787" t="s">
        <v>1739</v>
      </c>
      <c r="C5787" t="s">
        <v>3017</v>
      </c>
      <c r="D5787" t="str">
        <f t="shared" si="91"/>
        <v>IMA3936</v>
      </c>
      <c r="E5787" t="s">
        <v>94</v>
      </c>
    </row>
    <row r="5788" spans="1:5" x14ac:dyDescent="0.25">
      <c r="A5788">
        <v>2371</v>
      </c>
      <c r="B5788" t="s">
        <v>1739</v>
      </c>
      <c r="C5788" t="s">
        <v>3088</v>
      </c>
      <c r="D5788" t="str">
        <f t="shared" si="91"/>
        <v>IMA3937</v>
      </c>
      <c r="E5788" t="s">
        <v>3107</v>
      </c>
    </row>
    <row r="5789" spans="1:5" x14ac:dyDescent="0.25">
      <c r="A5789">
        <v>2371</v>
      </c>
      <c r="B5789" t="s">
        <v>1739</v>
      </c>
      <c r="C5789" t="s">
        <v>3202</v>
      </c>
      <c r="D5789" t="str">
        <f t="shared" si="91"/>
        <v>IMA3938</v>
      </c>
      <c r="E5789" t="s">
        <v>2968</v>
      </c>
    </row>
    <row r="5790" spans="1:5" x14ac:dyDescent="0.25">
      <c r="A5790">
        <v>2371</v>
      </c>
      <c r="B5790" t="s">
        <v>1739</v>
      </c>
      <c r="C5790" t="s">
        <v>3019</v>
      </c>
      <c r="D5790" t="str">
        <f t="shared" si="91"/>
        <v>IMA3940</v>
      </c>
      <c r="E5790" t="s">
        <v>3009</v>
      </c>
    </row>
    <row r="5791" spans="1:5" x14ac:dyDescent="0.25">
      <c r="A5791">
        <v>2371</v>
      </c>
      <c r="B5791" t="s">
        <v>1739</v>
      </c>
      <c r="C5791" t="s">
        <v>480</v>
      </c>
      <c r="D5791" t="str">
        <f t="shared" si="91"/>
        <v>IMA3941</v>
      </c>
      <c r="E5791" t="s">
        <v>2968</v>
      </c>
    </row>
    <row r="5792" spans="1:5" x14ac:dyDescent="0.25">
      <c r="A5792">
        <v>2371</v>
      </c>
      <c r="B5792" t="s">
        <v>1739</v>
      </c>
      <c r="C5792" t="s">
        <v>482</v>
      </c>
      <c r="D5792" t="str">
        <f t="shared" si="91"/>
        <v>IMA3942</v>
      </c>
      <c r="E5792" t="s">
        <v>2968</v>
      </c>
    </row>
    <row r="5793" spans="1:5" x14ac:dyDescent="0.25">
      <c r="A5793">
        <v>2371</v>
      </c>
      <c r="B5793" t="s">
        <v>1739</v>
      </c>
      <c r="C5793" t="s">
        <v>3020</v>
      </c>
      <c r="D5793" t="str">
        <f t="shared" si="91"/>
        <v>IMA3943</v>
      </c>
      <c r="E5793" t="s">
        <v>2958</v>
      </c>
    </row>
    <row r="5794" spans="1:5" x14ac:dyDescent="0.25">
      <c r="A5794">
        <v>2371</v>
      </c>
      <c r="B5794" t="s">
        <v>1739</v>
      </c>
      <c r="C5794" t="s">
        <v>492</v>
      </c>
      <c r="D5794" t="str">
        <f t="shared" si="91"/>
        <v>IMA3948</v>
      </c>
      <c r="E5794" t="s">
        <v>3004</v>
      </c>
    </row>
    <row r="5795" spans="1:5" x14ac:dyDescent="0.25">
      <c r="A5795">
        <v>2371</v>
      </c>
      <c r="B5795" t="s">
        <v>1739</v>
      </c>
      <c r="C5795" t="s">
        <v>3025</v>
      </c>
      <c r="D5795" t="str">
        <f t="shared" si="91"/>
        <v>IMA3959</v>
      </c>
      <c r="E5795" t="s">
        <v>2968</v>
      </c>
    </row>
    <row r="5796" spans="1:5" x14ac:dyDescent="0.25">
      <c r="A5796">
        <v>2371</v>
      </c>
      <c r="B5796" t="s">
        <v>1739</v>
      </c>
      <c r="C5796" t="s">
        <v>3027</v>
      </c>
      <c r="D5796" t="str">
        <f t="shared" si="91"/>
        <v>IMA3961</v>
      </c>
      <c r="E5796" t="s">
        <v>2981</v>
      </c>
    </row>
    <row r="5797" spans="1:5" x14ac:dyDescent="0.25">
      <c r="A5797">
        <v>2371</v>
      </c>
      <c r="B5797" t="s">
        <v>1739</v>
      </c>
      <c r="C5797" t="s">
        <v>3103</v>
      </c>
      <c r="D5797" t="str">
        <f t="shared" si="91"/>
        <v>IMA3962</v>
      </c>
      <c r="E5797" t="s">
        <v>3033</v>
      </c>
    </row>
    <row r="5798" spans="1:5" x14ac:dyDescent="0.25">
      <c r="A5798">
        <v>2371</v>
      </c>
      <c r="B5798" t="s">
        <v>1739</v>
      </c>
      <c r="C5798" t="s">
        <v>3031</v>
      </c>
      <c r="D5798" t="str">
        <f t="shared" si="91"/>
        <v>IMA3970</v>
      </c>
      <c r="E5798" t="s">
        <v>3009</v>
      </c>
    </row>
    <row r="5799" spans="1:5" x14ac:dyDescent="0.25">
      <c r="A5799">
        <v>2371</v>
      </c>
      <c r="B5799" t="s">
        <v>1739</v>
      </c>
      <c r="C5799" t="s">
        <v>513</v>
      </c>
      <c r="D5799" t="str">
        <f t="shared" si="91"/>
        <v>IMA3971</v>
      </c>
      <c r="E5799" t="s">
        <v>3033</v>
      </c>
    </row>
    <row r="5800" spans="1:5" x14ac:dyDescent="0.25">
      <c r="A5800">
        <v>2371</v>
      </c>
      <c r="B5800" t="s">
        <v>1739</v>
      </c>
      <c r="C5800" t="s">
        <v>521</v>
      </c>
      <c r="D5800" t="str">
        <f t="shared" si="91"/>
        <v>IMA3981</v>
      </c>
      <c r="E5800" t="s">
        <v>2968</v>
      </c>
    </row>
    <row r="5801" spans="1:5" x14ac:dyDescent="0.25">
      <c r="A5801">
        <v>2371</v>
      </c>
      <c r="B5801" t="s">
        <v>1739</v>
      </c>
      <c r="C5801" t="s">
        <v>3036</v>
      </c>
      <c r="D5801" t="str">
        <f t="shared" si="91"/>
        <v>IMA3987</v>
      </c>
      <c r="E5801" t="s">
        <v>2958</v>
      </c>
    </row>
    <row r="5802" spans="1:5" x14ac:dyDescent="0.25">
      <c r="A5802">
        <v>2371</v>
      </c>
      <c r="B5802" t="s">
        <v>1739</v>
      </c>
      <c r="C5802" t="s">
        <v>3227</v>
      </c>
      <c r="D5802" t="str">
        <f t="shared" si="91"/>
        <v>IMA3998</v>
      </c>
      <c r="E5802" t="s">
        <v>3291</v>
      </c>
    </row>
    <row r="5803" spans="1:5" x14ac:dyDescent="0.25">
      <c r="A5803">
        <v>2371</v>
      </c>
      <c r="B5803" t="s">
        <v>1739</v>
      </c>
      <c r="C5803" t="s">
        <v>3040</v>
      </c>
      <c r="D5803" t="str">
        <f t="shared" si="91"/>
        <v>IMA3999</v>
      </c>
      <c r="E5803" t="s">
        <v>2968</v>
      </c>
    </row>
    <row r="5804" spans="1:5" x14ac:dyDescent="0.25">
      <c r="A5804">
        <v>2371</v>
      </c>
      <c r="B5804" t="s">
        <v>1739</v>
      </c>
      <c r="C5804" t="s">
        <v>3041</v>
      </c>
      <c r="D5804" t="str">
        <f t="shared" si="91"/>
        <v>IMA4002</v>
      </c>
      <c r="E5804" t="s">
        <v>3009</v>
      </c>
    </row>
    <row r="5805" spans="1:5" x14ac:dyDescent="0.25">
      <c r="A5805">
        <v>2371</v>
      </c>
      <c r="B5805" t="s">
        <v>1739</v>
      </c>
      <c r="C5805" t="s">
        <v>3043</v>
      </c>
      <c r="D5805" t="str">
        <f t="shared" si="91"/>
        <v>IMA4003</v>
      </c>
      <c r="E5805" t="s">
        <v>94</v>
      </c>
    </row>
    <row r="5806" spans="1:5" x14ac:dyDescent="0.25">
      <c r="A5806">
        <v>2371</v>
      </c>
      <c r="B5806" t="s">
        <v>1739</v>
      </c>
      <c r="C5806" t="s">
        <v>3045</v>
      </c>
      <c r="D5806" t="str">
        <f t="shared" si="91"/>
        <v>IMA4004</v>
      </c>
      <c r="E5806" t="s">
        <v>3009</v>
      </c>
    </row>
    <row r="5807" spans="1:5" x14ac:dyDescent="0.25">
      <c r="A5807">
        <v>2371</v>
      </c>
      <c r="B5807" t="s">
        <v>1739</v>
      </c>
      <c r="C5807" t="s">
        <v>3047</v>
      </c>
      <c r="D5807" t="str">
        <f t="shared" si="91"/>
        <v>IMA4005</v>
      </c>
      <c r="E5807" t="s">
        <v>3009</v>
      </c>
    </row>
    <row r="5808" spans="1:5" x14ac:dyDescent="0.25">
      <c r="A5808">
        <v>2371</v>
      </c>
      <c r="B5808" t="s">
        <v>1739</v>
      </c>
      <c r="C5808" t="s">
        <v>813</v>
      </c>
      <c r="D5808" t="str">
        <f t="shared" si="91"/>
        <v>IMA4006</v>
      </c>
      <c r="E5808" t="s">
        <v>3057</v>
      </c>
    </row>
    <row r="5809" spans="1:5" x14ac:dyDescent="0.25">
      <c r="A5809">
        <v>2371</v>
      </c>
      <c r="B5809" t="s">
        <v>1739</v>
      </c>
      <c r="C5809" t="s">
        <v>3138</v>
      </c>
      <c r="D5809" t="str">
        <f t="shared" si="91"/>
        <v>IMA4007</v>
      </c>
      <c r="E5809" t="s">
        <v>94</v>
      </c>
    </row>
    <row r="5810" spans="1:5" x14ac:dyDescent="0.25">
      <c r="A5810">
        <v>2371</v>
      </c>
      <c r="B5810" t="s">
        <v>1739</v>
      </c>
      <c r="C5810" t="s">
        <v>3048</v>
      </c>
      <c r="D5810" t="str">
        <f t="shared" si="91"/>
        <v>IMA4701</v>
      </c>
      <c r="E5810" t="s">
        <v>3049</v>
      </c>
    </row>
    <row r="5811" spans="1:5" x14ac:dyDescent="0.25">
      <c r="A5811">
        <v>2371</v>
      </c>
      <c r="B5811" t="s">
        <v>1739</v>
      </c>
      <c r="C5811" t="s">
        <v>265</v>
      </c>
      <c r="D5811" t="str">
        <f t="shared" si="91"/>
        <v>IMA4703</v>
      </c>
      <c r="E5811" t="s">
        <v>3049</v>
      </c>
    </row>
    <row r="5812" spans="1:5" x14ac:dyDescent="0.25">
      <c r="A5812">
        <v>2371</v>
      </c>
      <c r="B5812" t="s">
        <v>1739</v>
      </c>
      <c r="C5812" t="s">
        <v>316</v>
      </c>
      <c r="D5812" t="str">
        <f t="shared" si="91"/>
        <v>IMA4706</v>
      </c>
      <c r="E5812" t="s">
        <v>3049</v>
      </c>
    </row>
    <row r="5813" spans="1:5" x14ac:dyDescent="0.25">
      <c r="A5813">
        <v>2371</v>
      </c>
      <c r="B5813" t="s">
        <v>1739</v>
      </c>
      <c r="C5813" t="s">
        <v>328</v>
      </c>
      <c r="D5813" t="str">
        <f t="shared" si="91"/>
        <v>IMA4707</v>
      </c>
      <c r="E5813" t="s">
        <v>3049</v>
      </c>
    </row>
    <row r="5814" spans="1:5" x14ac:dyDescent="0.25">
      <c r="A5814">
        <v>2371</v>
      </c>
      <c r="B5814" t="s">
        <v>1739</v>
      </c>
      <c r="C5814" t="s">
        <v>364</v>
      </c>
      <c r="D5814" t="str">
        <f t="shared" si="91"/>
        <v>IMA4799</v>
      </c>
      <c r="E5814" t="s">
        <v>3049</v>
      </c>
    </row>
    <row r="5815" spans="1:5" x14ac:dyDescent="0.25">
      <c r="A5815">
        <v>2371</v>
      </c>
      <c r="B5815" t="s">
        <v>1739</v>
      </c>
      <c r="C5815" t="s">
        <v>3205</v>
      </c>
      <c r="D5815" t="str">
        <f t="shared" si="91"/>
        <v>IMA4905</v>
      </c>
      <c r="E5815" t="s">
        <v>65</v>
      </c>
    </row>
    <row r="5816" spans="1:5" x14ac:dyDescent="0.25">
      <c r="A5816">
        <v>2371</v>
      </c>
      <c r="B5816" t="s">
        <v>1739</v>
      </c>
      <c r="C5816" t="s">
        <v>3054</v>
      </c>
      <c r="D5816" t="str">
        <f t="shared" si="91"/>
        <v>IMA5204</v>
      </c>
      <c r="E5816" t="s">
        <v>3055</v>
      </c>
    </row>
    <row r="5817" spans="1:5" x14ac:dyDescent="0.25">
      <c r="A5817">
        <v>2371</v>
      </c>
      <c r="B5817" t="s">
        <v>1739</v>
      </c>
      <c r="C5817" t="s">
        <v>329</v>
      </c>
      <c r="D5817" t="str">
        <f t="shared" si="91"/>
        <v>IMA5206</v>
      </c>
      <c r="E5817" t="s">
        <v>3057</v>
      </c>
    </row>
    <row r="5818" spans="1:5" x14ac:dyDescent="0.25">
      <c r="A5818">
        <v>2371</v>
      </c>
      <c r="B5818" t="s">
        <v>1739</v>
      </c>
      <c r="C5818" t="s">
        <v>3058</v>
      </c>
      <c r="D5818" t="str">
        <f t="shared" si="91"/>
        <v>IMA5207</v>
      </c>
      <c r="E5818" t="s">
        <v>3057</v>
      </c>
    </row>
    <row r="5819" spans="1:5" x14ac:dyDescent="0.25">
      <c r="A5819">
        <v>2371</v>
      </c>
      <c r="B5819" t="s">
        <v>1739</v>
      </c>
      <c r="C5819" t="s">
        <v>3060</v>
      </c>
      <c r="D5819" t="str">
        <f t="shared" si="91"/>
        <v>IMA5208</v>
      </c>
      <c r="E5819" t="s">
        <v>3057</v>
      </c>
    </row>
    <row r="5820" spans="1:5" x14ac:dyDescent="0.25">
      <c r="A5820">
        <v>2371</v>
      </c>
      <c r="B5820" t="s">
        <v>1739</v>
      </c>
      <c r="C5820" t="s">
        <v>359</v>
      </c>
      <c r="D5820" t="str">
        <f t="shared" si="91"/>
        <v>IMA5209</v>
      </c>
      <c r="E5820" t="s">
        <v>3055</v>
      </c>
    </row>
    <row r="5821" spans="1:5" x14ac:dyDescent="0.25">
      <c r="A5821">
        <v>2371</v>
      </c>
      <c r="B5821" t="s">
        <v>1739</v>
      </c>
      <c r="C5821" t="s">
        <v>3063</v>
      </c>
      <c r="D5821" t="str">
        <f t="shared" si="91"/>
        <v>IMA5210</v>
      </c>
      <c r="E5821" t="s">
        <v>3055</v>
      </c>
    </row>
    <row r="5822" spans="1:5" x14ac:dyDescent="0.25">
      <c r="A5822">
        <v>2371</v>
      </c>
      <c r="B5822" t="s">
        <v>1739</v>
      </c>
      <c r="C5822" t="s">
        <v>3155</v>
      </c>
      <c r="D5822" t="str">
        <f t="shared" si="91"/>
        <v>IMA5211</v>
      </c>
      <c r="E5822" t="s">
        <v>2944</v>
      </c>
    </row>
    <row r="5823" spans="1:5" x14ac:dyDescent="0.25">
      <c r="A5823">
        <v>2371</v>
      </c>
      <c r="B5823" t="s">
        <v>1739</v>
      </c>
      <c r="C5823" t="s">
        <v>3064</v>
      </c>
      <c r="D5823" t="str">
        <f t="shared" si="91"/>
        <v>IMA5212</v>
      </c>
      <c r="E5823" t="s">
        <v>3055</v>
      </c>
    </row>
    <row r="5824" spans="1:5" x14ac:dyDescent="0.25">
      <c r="A5824">
        <v>2371</v>
      </c>
      <c r="B5824" t="s">
        <v>1739</v>
      </c>
      <c r="C5824" t="s">
        <v>391</v>
      </c>
      <c r="D5824" t="str">
        <f t="shared" si="91"/>
        <v>IMA5214</v>
      </c>
      <c r="E5824" t="s">
        <v>3055</v>
      </c>
    </row>
    <row r="5825" spans="1:5" x14ac:dyDescent="0.25">
      <c r="A5825">
        <v>2371</v>
      </c>
      <c r="B5825" t="s">
        <v>1739</v>
      </c>
      <c r="C5825" t="s">
        <v>409</v>
      </c>
      <c r="D5825" t="str">
        <f t="shared" si="91"/>
        <v>IMA5217</v>
      </c>
      <c r="E5825" t="s">
        <v>3067</v>
      </c>
    </row>
    <row r="5826" spans="1:5" x14ac:dyDescent="0.25">
      <c r="A5826">
        <v>2371</v>
      </c>
      <c r="B5826" t="s">
        <v>1739</v>
      </c>
      <c r="C5826" t="s">
        <v>3068</v>
      </c>
      <c r="D5826" t="str">
        <f t="shared" si="91"/>
        <v>IMA5220</v>
      </c>
      <c r="E5826" t="s">
        <v>3057</v>
      </c>
    </row>
    <row r="5827" spans="1:5" x14ac:dyDescent="0.25">
      <c r="A5827">
        <v>2371</v>
      </c>
      <c r="B5827" t="s">
        <v>1739</v>
      </c>
      <c r="C5827" t="s">
        <v>449</v>
      </c>
      <c r="D5827" t="str">
        <f t="shared" si="91"/>
        <v>IMA5225</v>
      </c>
      <c r="E5827" t="s">
        <v>3055</v>
      </c>
    </row>
    <row r="5828" spans="1:5" x14ac:dyDescent="0.25">
      <c r="A5828">
        <v>2371</v>
      </c>
      <c r="B5828" t="s">
        <v>1739</v>
      </c>
      <c r="C5828" t="s">
        <v>459</v>
      </c>
      <c r="D5828" t="str">
        <f t="shared" si="91"/>
        <v>IMA5299</v>
      </c>
      <c r="E5828" t="s">
        <v>3055</v>
      </c>
    </row>
    <row r="5829" spans="1:5" x14ac:dyDescent="0.25">
      <c r="A5829">
        <v>2371</v>
      </c>
      <c r="B5829" t="s">
        <v>1739</v>
      </c>
      <c r="C5829" t="s">
        <v>3211</v>
      </c>
      <c r="D5829" t="str">
        <f t="shared" ref="D5829:D5892" si="92">CONCATENATE(B5829,LEFT(C5829,4))</f>
        <v>IMA9108</v>
      </c>
      <c r="E5829" t="s">
        <v>3212</v>
      </c>
    </row>
    <row r="5830" spans="1:5" x14ac:dyDescent="0.25">
      <c r="A5830">
        <v>2371</v>
      </c>
      <c r="B5830" t="s">
        <v>1739</v>
      </c>
      <c r="C5830" t="s">
        <v>3074</v>
      </c>
      <c r="D5830" t="str">
        <f t="shared" si="92"/>
        <v>IMA9202</v>
      </c>
      <c r="E5830" t="s">
        <v>3075</v>
      </c>
    </row>
    <row r="5831" spans="1:5" x14ac:dyDescent="0.25">
      <c r="A5831">
        <v>2371</v>
      </c>
      <c r="B5831" t="s">
        <v>1739</v>
      </c>
      <c r="C5831" t="s">
        <v>250</v>
      </c>
      <c r="D5831" t="str">
        <f t="shared" si="92"/>
        <v>IMA9301</v>
      </c>
      <c r="E5831" t="s">
        <v>2968</v>
      </c>
    </row>
    <row r="5832" spans="1:5" x14ac:dyDescent="0.25">
      <c r="A5832">
        <v>2371</v>
      </c>
      <c r="B5832" t="s">
        <v>1739</v>
      </c>
      <c r="C5832" t="s">
        <v>331</v>
      </c>
      <c r="D5832" t="str">
        <f t="shared" si="92"/>
        <v>IMA9306</v>
      </c>
      <c r="E5832" t="s">
        <v>3076</v>
      </c>
    </row>
    <row r="5833" spans="1:5" x14ac:dyDescent="0.25">
      <c r="A5833">
        <v>2371</v>
      </c>
      <c r="B5833" t="s">
        <v>1739</v>
      </c>
      <c r="C5833" t="s">
        <v>367</v>
      </c>
      <c r="D5833" t="str">
        <f t="shared" si="92"/>
        <v>IMA9310</v>
      </c>
      <c r="E5833" t="s">
        <v>2968</v>
      </c>
    </row>
    <row r="5834" spans="1:5" x14ac:dyDescent="0.25">
      <c r="A5834">
        <v>2371</v>
      </c>
      <c r="B5834" t="s">
        <v>1739</v>
      </c>
      <c r="C5834" t="s">
        <v>3079</v>
      </c>
      <c r="D5834" t="str">
        <f t="shared" si="92"/>
        <v>IMA9399</v>
      </c>
      <c r="E5834" t="s">
        <v>2968</v>
      </c>
    </row>
    <row r="5835" spans="1:5" x14ac:dyDescent="0.25">
      <c r="A5835">
        <v>2371</v>
      </c>
      <c r="B5835" t="s">
        <v>1739</v>
      </c>
      <c r="C5835" t="s">
        <v>3089</v>
      </c>
      <c r="D5835" t="str">
        <f t="shared" si="92"/>
        <v>IMA3939</v>
      </c>
      <c r="E5835" t="s">
        <v>2968</v>
      </c>
    </row>
    <row r="5836" spans="1:5" x14ac:dyDescent="0.25">
      <c r="A5836">
        <v>2381</v>
      </c>
      <c r="B5836" t="e">
        <v>#N/A</v>
      </c>
      <c r="C5836" t="s">
        <v>2928</v>
      </c>
      <c r="D5836" t="e">
        <f t="shared" si="92"/>
        <v>#N/A</v>
      </c>
      <c r="E5836" t="s">
        <v>44</v>
      </c>
    </row>
    <row r="5837" spans="1:5" x14ac:dyDescent="0.25">
      <c r="A5837">
        <v>2381</v>
      </c>
      <c r="B5837" t="e">
        <v>#N/A</v>
      </c>
      <c r="C5837" t="s">
        <v>2941</v>
      </c>
      <c r="D5837" t="e">
        <f t="shared" si="92"/>
        <v>#N/A</v>
      </c>
      <c r="E5837" t="s">
        <v>2933</v>
      </c>
    </row>
    <row r="5838" spans="1:5" x14ac:dyDescent="0.25">
      <c r="A5838">
        <v>2381</v>
      </c>
      <c r="B5838" t="e">
        <v>#N/A</v>
      </c>
      <c r="C5838" t="s">
        <v>2948</v>
      </c>
      <c r="D5838" t="e">
        <f t="shared" si="92"/>
        <v>#N/A</v>
      </c>
      <c r="E5838" t="s">
        <v>2933</v>
      </c>
    </row>
    <row r="5839" spans="1:5" x14ac:dyDescent="0.25">
      <c r="A5839">
        <v>2381</v>
      </c>
      <c r="B5839" t="e">
        <v>#N/A</v>
      </c>
      <c r="C5839" t="s">
        <v>406</v>
      </c>
      <c r="D5839" t="e">
        <f t="shared" si="92"/>
        <v>#N/A</v>
      </c>
      <c r="E5839" t="s">
        <v>2933</v>
      </c>
    </row>
    <row r="5840" spans="1:5" x14ac:dyDescent="0.25">
      <c r="A5840">
        <v>2381</v>
      </c>
      <c r="B5840" t="e">
        <v>#N/A</v>
      </c>
      <c r="C5840" t="s">
        <v>2955</v>
      </c>
      <c r="D5840" t="e">
        <f t="shared" si="92"/>
        <v>#N/A</v>
      </c>
      <c r="E5840" t="s">
        <v>2933</v>
      </c>
    </row>
    <row r="5841" spans="1:5" x14ac:dyDescent="0.25">
      <c r="A5841">
        <v>2381</v>
      </c>
      <c r="B5841" t="e">
        <v>#N/A</v>
      </c>
      <c r="C5841" t="s">
        <v>2956</v>
      </c>
      <c r="D5841" t="e">
        <f t="shared" si="92"/>
        <v>#N/A</v>
      </c>
      <c r="E5841" t="s">
        <v>2933</v>
      </c>
    </row>
    <row r="5842" spans="1:5" x14ac:dyDescent="0.25">
      <c r="A5842">
        <v>2381</v>
      </c>
      <c r="B5842" t="e">
        <v>#N/A</v>
      </c>
      <c r="C5842" t="s">
        <v>2960</v>
      </c>
      <c r="D5842" t="e">
        <f t="shared" si="92"/>
        <v>#N/A</v>
      </c>
      <c r="E5842" t="s">
        <v>2958</v>
      </c>
    </row>
    <row r="5843" spans="1:5" x14ac:dyDescent="0.25">
      <c r="A5843">
        <v>2381</v>
      </c>
      <c r="B5843" t="e">
        <v>#N/A</v>
      </c>
      <c r="C5843" t="s">
        <v>54</v>
      </c>
      <c r="D5843" t="e">
        <f t="shared" si="92"/>
        <v>#N/A</v>
      </c>
      <c r="E5843" t="s">
        <v>44</v>
      </c>
    </row>
    <row r="5844" spans="1:5" x14ac:dyDescent="0.25">
      <c r="A5844">
        <v>2381</v>
      </c>
      <c r="B5844" t="e">
        <v>#N/A</v>
      </c>
      <c r="C5844" t="s">
        <v>2975</v>
      </c>
      <c r="D5844" t="e">
        <f t="shared" si="92"/>
        <v>#N/A</v>
      </c>
      <c r="E5844" t="s">
        <v>44</v>
      </c>
    </row>
    <row r="5845" spans="1:5" x14ac:dyDescent="0.25">
      <c r="A5845">
        <v>2381</v>
      </c>
      <c r="B5845" t="e">
        <v>#N/A</v>
      </c>
      <c r="C5845" t="s">
        <v>2977</v>
      </c>
      <c r="D5845" t="e">
        <f t="shared" si="92"/>
        <v>#N/A</v>
      </c>
      <c r="E5845" t="s">
        <v>44</v>
      </c>
    </row>
    <row r="5846" spans="1:5" x14ac:dyDescent="0.25">
      <c r="A5846">
        <v>2381</v>
      </c>
      <c r="B5846" t="e">
        <v>#N/A</v>
      </c>
      <c r="C5846" t="s">
        <v>3021</v>
      </c>
      <c r="D5846" t="e">
        <f t="shared" si="92"/>
        <v>#N/A</v>
      </c>
      <c r="E5846" t="s">
        <v>3107</v>
      </c>
    </row>
    <row r="5847" spans="1:5" x14ac:dyDescent="0.25">
      <c r="A5847">
        <v>2381</v>
      </c>
      <c r="B5847" t="e">
        <v>#N/A</v>
      </c>
      <c r="C5847" t="s">
        <v>2979</v>
      </c>
      <c r="D5847" t="e">
        <f t="shared" si="92"/>
        <v>#N/A</v>
      </c>
      <c r="E5847" t="s">
        <v>2968</v>
      </c>
    </row>
    <row r="5848" spans="1:5" x14ac:dyDescent="0.25">
      <c r="A5848">
        <v>2381</v>
      </c>
      <c r="B5848" t="e">
        <v>#N/A</v>
      </c>
      <c r="C5848" t="s">
        <v>2983</v>
      </c>
      <c r="D5848" t="e">
        <f t="shared" si="92"/>
        <v>#N/A</v>
      </c>
      <c r="E5848" t="s">
        <v>117</v>
      </c>
    </row>
    <row r="5849" spans="1:5" x14ac:dyDescent="0.25">
      <c r="A5849">
        <v>2381</v>
      </c>
      <c r="B5849" t="e">
        <v>#N/A</v>
      </c>
      <c r="C5849" t="s">
        <v>2985</v>
      </c>
      <c r="D5849" t="e">
        <f t="shared" si="92"/>
        <v>#N/A</v>
      </c>
      <c r="E5849" t="s">
        <v>117</v>
      </c>
    </row>
    <row r="5850" spans="1:5" x14ac:dyDescent="0.25">
      <c r="A5850">
        <v>2381</v>
      </c>
      <c r="B5850" t="e">
        <v>#N/A</v>
      </c>
      <c r="C5850" t="s">
        <v>2989</v>
      </c>
      <c r="D5850" t="e">
        <f t="shared" si="92"/>
        <v>#N/A</v>
      </c>
      <c r="E5850" t="s">
        <v>2968</v>
      </c>
    </row>
    <row r="5851" spans="1:5" x14ac:dyDescent="0.25">
      <c r="A5851">
        <v>2381</v>
      </c>
      <c r="B5851" t="e">
        <v>#N/A</v>
      </c>
      <c r="C5851" t="s">
        <v>346</v>
      </c>
      <c r="D5851" t="e">
        <f t="shared" si="92"/>
        <v>#N/A</v>
      </c>
      <c r="E5851" t="s">
        <v>2968</v>
      </c>
    </row>
    <row r="5852" spans="1:5" x14ac:dyDescent="0.25">
      <c r="A5852">
        <v>2381</v>
      </c>
      <c r="B5852" t="e">
        <v>#N/A</v>
      </c>
      <c r="C5852" t="s">
        <v>2991</v>
      </c>
      <c r="D5852" t="e">
        <f t="shared" si="92"/>
        <v>#N/A</v>
      </c>
      <c r="E5852" t="s">
        <v>2992</v>
      </c>
    </row>
    <row r="5853" spans="1:5" x14ac:dyDescent="0.25">
      <c r="A5853">
        <v>2381</v>
      </c>
      <c r="B5853" t="e">
        <v>#N/A</v>
      </c>
      <c r="C5853" t="s">
        <v>2994</v>
      </c>
      <c r="D5853" t="e">
        <f t="shared" si="92"/>
        <v>#N/A</v>
      </c>
      <c r="E5853" t="s">
        <v>2992</v>
      </c>
    </row>
    <row r="5854" spans="1:5" x14ac:dyDescent="0.25">
      <c r="A5854">
        <v>2381</v>
      </c>
      <c r="B5854" t="e">
        <v>#N/A</v>
      </c>
      <c r="C5854" t="s">
        <v>2996</v>
      </c>
      <c r="D5854" t="e">
        <f t="shared" si="92"/>
        <v>#N/A</v>
      </c>
      <c r="E5854" t="s">
        <v>2958</v>
      </c>
    </row>
    <row r="5855" spans="1:5" x14ac:dyDescent="0.25">
      <c r="A5855">
        <v>2381</v>
      </c>
      <c r="B5855" t="e">
        <v>#N/A</v>
      </c>
      <c r="C5855" t="s">
        <v>3000</v>
      </c>
      <c r="D5855" t="e">
        <f t="shared" si="92"/>
        <v>#N/A</v>
      </c>
      <c r="E5855" t="s">
        <v>3001</v>
      </c>
    </row>
    <row r="5856" spans="1:5" x14ac:dyDescent="0.25">
      <c r="A5856">
        <v>2381</v>
      </c>
      <c r="B5856" t="e">
        <v>#N/A</v>
      </c>
      <c r="C5856" t="s">
        <v>3002</v>
      </c>
      <c r="D5856" t="e">
        <f t="shared" si="92"/>
        <v>#N/A</v>
      </c>
      <c r="E5856" t="s">
        <v>3001</v>
      </c>
    </row>
    <row r="5857" spans="1:5" x14ac:dyDescent="0.25">
      <c r="A5857">
        <v>2381</v>
      </c>
      <c r="B5857" t="e">
        <v>#N/A</v>
      </c>
      <c r="C5857" t="s">
        <v>443</v>
      </c>
      <c r="D5857" t="e">
        <f t="shared" si="92"/>
        <v>#N/A</v>
      </c>
      <c r="E5857" t="s">
        <v>3006</v>
      </c>
    </row>
    <row r="5858" spans="1:5" x14ac:dyDescent="0.25">
      <c r="A5858">
        <v>2381</v>
      </c>
      <c r="B5858" t="e">
        <v>#N/A</v>
      </c>
      <c r="C5858" t="s">
        <v>1481</v>
      </c>
      <c r="D5858" t="e">
        <f t="shared" si="92"/>
        <v>#N/A</v>
      </c>
      <c r="E5858" t="s">
        <v>2968</v>
      </c>
    </row>
    <row r="5859" spans="1:5" x14ac:dyDescent="0.25">
      <c r="A5859">
        <v>2381</v>
      </c>
      <c r="B5859" t="e">
        <v>#N/A</v>
      </c>
      <c r="C5859" t="s">
        <v>3017</v>
      </c>
      <c r="D5859" t="e">
        <f t="shared" si="92"/>
        <v>#N/A</v>
      </c>
      <c r="E5859" t="s">
        <v>94</v>
      </c>
    </row>
    <row r="5860" spans="1:5" x14ac:dyDescent="0.25">
      <c r="A5860">
        <v>2381</v>
      </c>
      <c r="B5860" t="e">
        <v>#N/A</v>
      </c>
      <c r="C5860" t="s">
        <v>3019</v>
      </c>
      <c r="D5860" t="e">
        <f t="shared" si="92"/>
        <v>#N/A</v>
      </c>
      <c r="E5860" t="s">
        <v>3009</v>
      </c>
    </row>
    <row r="5861" spans="1:5" x14ac:dyDescent="0.25">
      <c r="A5861">
        <v>2381</v>
      </c>
      <c r="B5861" t="e">
        <v>#N/A</v>
      </c>
      <c r="C5861" t="s">
        <v>3020</v>
      </c>
      <c r="D5861" t="e">
        <f t="shared" si="92"/>
        <v>#N/A</v>
      </c>
      <c r="E5861" t="s">
        <v>2958</v>
      </c>
    </row>
    <row r="5862" spans="1:5" x14ac:dyDescent="0.25">
      <c r="A5862">
        <v>2381</v>
      </c>
      <c r="B5862" t="e">
        <v>#N/A</v>
      </c>
      <c r="C5862" t="s">
        <v>3031</v>
      </c>
      <c r="D5862" t="e">
        <f t="shared" si="92"/>
        <v>#N/A</v>
      </c>
      <c r="E5862" t="s">
        <v>3009</v>
      </c>
    </row>
    <row r="5863" spans="1:5" x14ac:dyDescent="0.25">
      <c r="A5863">
        <v>2381</v>
      </c>
      <c r="B5863" t="e">
        <v>#N/A</v>
      </c>
      <c r="C5863" t="s">
        <v>3036</v>
      </c>
      <c r="D5863" t="e">
        <f t="shared" si="92"/>
        <v>#N/A</v>
      </c>
      <c r="E5863" t="s">
        <v>2958</v>
      </c>
    </row>
    <row r="5864" spans="1:5" x14ac:dyDescent="0.25">
      <c r="A5864">
        <v>2381</v>
      </c>
      <c r="B5864" t="e">
        <v>#N/A</v>
      </c>
      <c r="C5864" t="s">
        <v>3043</v>
      </c>
      <c r="D5864" t="e">
        <f t="shared" si="92"/>
        <v>#N/A</v>
      </c>
      <c r="E5864" t="s">
        <v>94</v>
      </c>
    </row>
    <row r="5865" spans="1:5" x14ac:dyDescent="0.25">
      <c r="A5865">
        <v>2381</v>
      </c>
      <c r="B5865" t="e">
        <v>#N/A</v>
      </c>
      <c r="C5865" t="s">
        <v>3045</v>
      </c>
      <c r="D5865" t="e">
        <f t="shared" si="92"/>
        <v>#N/A</v>
      </c>
      <c r="E5865" t="s">
        <v>3009</v>
      </c>
    </row>
    <row r="5866" spans="1:5" x14ac:dyDescent="0.25">
      <c r="A5866">
        <v>2381</v>
      </c>
      <c r="B5866" t="e">
        <v>#N/A</v>
      </c>
      <c r="C5866" t="s">
        <v>3047</v>
      </c>
      <c r="D5866" t="e">
        <f t="shared" si="92"/>
        <v>#N/A</v>
      </c>
      <c r="E5866" t="s">
        <v>3009</v>
      </c>
    </row>
    <row r="5867" spans="1:5" x14ac:dyDescent="0.25">
      <c r="A5867">
        <v>2381</v>
      </c>
      <c r="B5867" t="e">
        <v>#N/A</v>
      </c>
      <c r="C5867" t="s">
        <v>3048</v>
      </c>
      <c r="D5867" t="e">
        <f t="shared" si="92"/>
        <v>#N/A</v>
      </c>
      <c r="E5867" t="s">
        <v>3049</v>
      </c>
    </row>
    <row r="5868" spans="1:5" x14ac:dyDescent="0.25">
      <c r="A5868">
        <v>2381</v>
      </c>
      <c r="B5868" t="e">
        <v>#N/A</v>
      </c>
      <c r="C5868" t="s">
        <v>316</v>
      </c>
      <c r="D5868" t="e">
        <f t="shared" si="92"/>
        <v>#N/A</v>
      </c>
      <c r="E5868" t="s">
        <v>3049</v>
      </c>
    </row>
    <row r="5869" spans="1:5" x14ac:dyDescent="0.25">
      <c r="A5869">
        <v>2381</v>
      </c>
      <c r="B5869" t="e">
        <v>#N/A</v>
      </c>
      <c r="C5869" t="s">
        <v>364</v>
      </c>
      <c r="D5869" t="e">
        <f t="shared" si="92"/>
        <v>#N/A</v>
      </c>
      <c r="E5869" t="s">
        <v>3049</v>
      </c>
    </row>
    <row r="5870" spans="1:5" x14ac:dyDescent="0.25">
      <c r="A5870">
        <v>2381</v>
      </c>
      <c r="B5870" t="e">
        <v>#N/A</v>
      </c>
      <c r="C5870" t="s">
        <v>329</v>
      </c>
      <c r="D5870" t="e">
        <f t="shared" si="92"/>
        <v>#N/A</v>
      </c>
      <c r="E5870" t="s">
        <v>3057</v>
      </c>
    </row>
    <row r="5871" spans="1:5" x14ac:dyDescent="0.25">
      <c r="A5871">
        <v>2381</v>
      </c>
      <c r="B5871" t="e">
        <v>#N/A</v>
      </c>
      <c r="C5871" t="s">
        <v>3074</v>
      </c>
      <c r="D5871" t="e">
        <f t="shared" si="92"/>
        <v>#N/A</v>
      </c>
      <c r="E5871" t="s">
        <v>3075</v>
      </c>
    </row>
    <row r="5872" spans="1:5" x14ac:dyDescent="0.25">
      <c r="A5872">
        <v>2381</v>
      </c>
      <c r="B5872" t="e">
        <v>#N/A</v>
      </c>
      <c r="C5872" t="s">
        <v>3079</v>
      </c>
      <c r="D5872" t="e">
        <f t="shared" si="92"/>
        <v>#N/A</v>
      </c>
      <c r="E5872" t="s">
        <v>2968</v>
      </c>
    </row>
    <row r="5873" spans="1:5" x14ac:dyDescent="0.25">
      <c r="A5873">
        <v>2421</v>
      </c>
      <c r="B5873" t="s">
        <v>1735</v>
      </c>
      <c r="C5873" t="s">
        <v>332</v>
      </c>
      <c r="D5873" t="str">
        <f t="shared" si="92"/>
        <v>IDENE1314</v>
      </c>
      <c r="E5873" t="s">
        <v>3081</v>
      </c>
    </row>
    <row r="5874" spans="1:5" x14ac:dyDescent="0.25">
      <c r="A5874">
        <v>2421</v>
      </c>
      <c r="B5874" t="s">
        <v>1735</v>
      </c>
      <c r="C5874" t="s">
        <v>2928</v>
      </c>
      <c r="D5874" t="str">
        <f t="shared" si="92"/>
        <v>IDENE1401</v>
      </c>
      <c r="E5874" t="s">
        <v>44</v>
      </c>
    </row>
    <row r="5875" spans="1:5" x14ac:dyDescent="0.25">
      <c r="A5875">
        <v>2421</v>
      </c>
      <c r="B5875" t="s">
        <v>1735</v>
      </c>
      <c r="C5875" t="s">
        <v>2930</v>
      </c>
      <c r="D5875" t="str">
        <f t="shared" si="92"/>
        <v>IDENE1501</v>
      </c>
      <c r="E5875" t="s">
        <v>44</v>
      </c>
    </row>
    <row r="5876" spans="1:5" x14ac:dyDescent="0.25">
      <c r="A5876">
        <v>2421</v>
      </c>
      <c r="B5876" t="s">
        <v>1735</v>
      </c>
      <c r="C5876" t="s">
        <v>2932</v>
      </c>
      <c r="D5876" t="str">
        <f t="shared" si="92"/>
        <v>IDENE3001</v>
      </c>
      <c r="E5876" t="s">
        <v>2933</v>
      </c>
    </row>
    <row r="5877" spans="1:5" x14ac:dyDescent="0.25">
      <c r="A5877">
        <v>2421</v>
      </c>
      <c r="B5877" t="s">
        <v>1735</v>
      </c>
      <c r="C5877" t="s">
        <v>979</v>
      </c>
      <c r="D5877" t="str">
        <f t="shared" si="92"/>
        <v>IDENE3003</v>
      </c>
      <c r="E5877" t="s">
        <v>2933</v>
      </c>
    </row>
    <row r="5878" spans="1:5" x14ac:dyDescent="0.25">
      <c r="A5878">
        <v>2421</v>
      </c>
      <c r="B5878" t="s">
        <v>1735</v>
      </c>
      <c r="C5878" t="s">
        <v>2939</v>
      </c>
      <c r="D5878" t="str">
        <f t="shared" si="92"/>
        <v>IDENE3005</v>
      </c>
      <c r="E5878" t="s">
        <v>2933</v>
      </c>
    </row>
    <row r="5879" spans="1:5" x14ac:dyDescent="0.25">
      <c r="A5879">
        <v>2421</v>
      </c>
      <c r="B5879" t="s">
        <v>1735</v>
      </c>
      <c r="C5879" t="s">
        <v>2941</v>
      </c>
      <c r="D5879" t="str">
        <f t="shared" si="92"/>
        <v>IDENE3008</v>
      </c>
      <c r="E5879" t="s">
        <v>2933</v>
      </c>
    </row>
    <row r="5880" spans="1:5" x14ac:dyDescent="0.25">
      <c r="A5880">
        <v>2421</v>
      </c>
      <c r="B5880" t="s">
        <v>1735</v>
      </c>
      <c r="C5880" t="s">
        <v>2943</v>
      </c>
      <c r="D5880" t="str">
        <f t="shared" si="92"/>
        <v>IDENE3010</v>
      </c>
      <c r="E5880" t="s">
        <v>2944</v>
      </c>
    </row>
    <row r="5881" spans="1:5" x14ac:dyDescent="0.25">
      <c r="A5881">
        <v>2421</v>
      </c>
      <c r="B5881" t="s">
        <v>1735</v>
      </c>
      <c r="C5881" t="s">
        <v>406</v>
      </c>
      <c r="D5881" t="str">
        <f t="shared" si="92"/>
        <v>IDENE3017</v>
      </c>
      <c r="E5881" t="s">
        <v>2933</v>
      </c>
    </row>
    <row r="5882" spans="1:5" x14ac:dyDescent="0.25">
      <c r="A5882">
        <v>2421</v>
      </c>
      <c r="B5882" t="s">
        <v>1735</v>
      </c>
      <c r="C5882" t="s">
        <v>2955</v>
      </c>
      <c r="D5882" t="str">
        <f t="shared" si="92"/>
        <v>IDENE3020</v>
      </c>
      <c r="E5882" t="s">
        <v>2933</v>
      </c>
    </row>
    <row r="5883" spans="1:5" x14ac:dyDescent="0.25">
      <c r="A5883">
        <v>2421</v>
      </c>
      <c r="B5883" t="s">
        <v>1735</v>
      </c>
      <c r="C5883" t="s">
        <v>2956</v>
      </c>
      <c r="D5883" t="str">
        <f t="shared" si="92"/>
        <v>IDENE3021</v>
      </c>
      <c r="E5883" t="s">
        <v>2933</v>
      </c>
    </row>
    <row r="5884" spans="1:5" x14ac:dyDescent="0.25">
      <c r="A5884">
        <v>2421</v>
      </c>
      <c r="B5884" t="s">
        <v>1735</v>
      </c>
      <c r="C5884" t="s">
        <v>431</v>
      </c>
      <c r="D5884" t="str">
        <f t="shared" si="92"/>
        <v>IDENE3022</v>
      </c>
      <c r="E5884" t="s">
        <v>2933</v>
      </c>
    </row>
    <row r="5885" spans="1:5" x14ac:dyDescent="0.25">
      <c r="A5885">
        <v>2421</v>
      </c>
      <c r="B5885" t="s">
        <v>1735</v>
      </c>
      <c r="C5885" t="s">
        <v>441</v>
      </c>
      <c r="D5885" t="str">
        <f t="shared" si="92"/>
        <v>IDENE3024</v>
      </c>
      <c r="E5885" t="s">
        <v>2933</v>
      </c>
    </row>
    <row r="5886" spans="1:5" x14ac:dyDescent="0.25">
      <c r="A5886">
        <v>2421</v>
      </c>
      <c r="B5886" t="s">
        <v>1735</v>
      </c>
      <c r="C5886" t="s">
        <v>2960</v>
      </c>
      <c r="D5886" t="str">
        <f t="shared" si="92"/>
        <v>IDENE3026</v>
      </c>
      <c r="E5886" t="s">
        <v>2958</v>
      </c>
    </row>
    <row r="5887" spans="1:5" x14ac:dyDescent="0.25">
      <c r="A5887">
        <v>2421</v>
      </c>
      <c r="B5887" t="s">
        <v>1735</v>
      </c>
      <c r="C5887" t="s">
        <v>2984</v>
      </c>
      <c r="D5887" t="str">
        <f t="shared" si="92"/>
        <v>IDENE3029</v>
      </c>
      <c r="E5887" t="s">
        <v>2933</v>
      </c>
    </row>
    <row r="5888" spans="1:5" x14ac:dyDescent="0.25">
      <c r="A5888">
        <v>2421</v>
      </c>
      <c r="B5888" t="s">
        <v>1735</v>
      </c>
      <c r="C5888" t="s">
        <v>483</v>
      </c>
      <c r="D5888" t="str">
        <f t="shared" si="92"/>
        <v>IDENE3038</v>
      </c>
      <c r="E5888" t="s">
        <v>2933</v>
      </c>
    </row>
    <row r="5889" spans="1:5" x14ac:dyDescent="0.25">
      <c r="A5889">
        <v>2421</v>
      </c>
      <c r="B5889" t="s">
        <v>1735</v>
      </c>
      <c r="C5889" t="s">
        <v>491</v>
      </c>
      <c r="D5889" t="str">
        <f t="shared" si="92"/>
        <v>IDENE3099</v>
      </c>
      <c r="E5889" t="s">
        <v>2933</v>
      </c>
    </row>
    <row r="5890" spans="1:5" x14ac:dyDescent="0.25">
      <c r="A5890">
        <v>2421</v>
      </c>
      <c r="B5890" t="s">
        <v>1735</v>
      </c>
      <c r="C5890" t="s">
        <v>227</v>
      </c>
      <c r="D5890" t="str">
        <f t="shared" si="92"/>
        <v>IDENE3201</v>
      </c>
      <c r="E5890" t="s">
        <v>2968</v>
      </c>
    </row>
    <row r="5891" spans="1:5" x14ac:dyDescent="0.25">
      <c r="A5891">
        <v>2421</v>
      </c>
      <c r="B5891" t="s">
        <v>1735</v>
      </c>
      <c r="C5891" t="s">
        <v>54</v>
      </c>
      <c r="D5891" t="str">
        <f t="shared" si="92"/>
        <v>IDENE3301</v>
      </c>
      <c r="E5891" t="s">
        <v>44</v>
      </c>
    </row>
    <row r="5892" spans="1:5" x14ac:dyDescent="0.25">
      <c r="A5892">
        <v>2421</v>
      </c>
      <c r="B5892" t="s">
        <v>1735</v>
      </c>
      <c r="C5892" t="s">
        <v>2975</v>
      </c>
      <c r="D5892" t="str">
        <f t="shared" si="92"/>
        <v>IDENE3302</v>
      </c>
      <c r="E5892" t="s">
        <v>44</v>
      </c>
    </row>
    <row r="5893" spans="1:5" x14ac:dyDescent="0.25">
      <c r="A5893">
        <v>2421</v>
      </c>
      <c r="B5893" t="s">
        <v>1735</v>
      </c>
      <c r="C5893" t="s">
        <v>2977</v>
      </c>
      <c r="D5893" t="str">
        <f t="shared" ref="D5893:D5956" si="93">CONCATENATE(B5893,LEFT(C5893,4))</f>
        <v>IDENE3304</v>
      </c>
      <c r="E5893" t="s">
        <v>44</v>
      </c>
    </row>
    <row r="5894" spans="1:5" x14ac:dyDescent="0.25">
      <c r="A5894">
        <v>2421</v>
      </c>
      <c r="B5894" t="s">
        <v>1735</v>
      </c>
      <c r="C5894" t="s">
        <v>3201</v>
      </c>
      <c r="D5894" t="str">
        <f t="shared" si="93"/>
        <v>IDENE3502</v>
      </c>
      <c r="E5894" t="s">
        <v>1660</v>
      </c>
    </row>
    <row r="5895" spans="1:5" x14ac:dyDescent="0.25">
      <c r="A5895">
        <v>2421</v>
      </c>
      <c r="B5895" t="s">
        <v>1735</v>
      </c>
      <c r="C5895" t="s">
        <v>297</v>
      </c>
      <c r="D5895" t="str">
        <f t="shared" si="93"/>
        <v>IDENE3604</v>
      </c>
      <c r="E5895" t="s">
        <v>44</v>
      </c>
    </row>
    <row r="5896" spans="1:5" x14ac:dyDescent="0.25">
      <c r="A5896">
        <v>2421</v>
      </c>
      <c r="B5896" t="s">
        <v>1735</v>
      </c>
      <c r="C5896" t="s">
        <v>355</v>
      </c>
      <c r="D5896" t="str">
        <f t="shared" si="93"/>
        <v>IDENE3610</v>
      </c>
      <c r="E5896" t="s">
        <v>2968</v>
      </c>
    </row>
    <row r="5897" spans="1:5" x14ac:dyDescent="0.25">
      <c r="A5897">
        <v>2421</v>
      </c>
      <c r="B5897" t="s">
        <v>1735</v>
      </c>
      <c r="C5897" t="s">
        <v>3021</v>
      </c>
      <c r="D5897" t="str">
        <f t="shared" si="93"/>
        <v>IDENE3611</v>
      </c>
      <c r="E5897" t="s">
        <v>3107</v>
      </c>
    </row>
    <row r="5898" spans="1:5" x14ac:dyDescent="0.25">
      <c r="A5898">
        <v>2421</v>
      </c>
      <c r="B5898" t="s">
        <v>1735</v>
      </c>
      <c r="C5898" t="s">
        <v>2979</v>
      </c>
      <c r="D5898" t="str">
        <f t="shared" si="93"/>
        <v>IDENE3612</v>
      </c>
      <c r="E5898" t="s">
        <v>2968</v>
      </c>
    </row>
    <row r="5899" spans="1:5" x14ac:dyDescent="0.25">
      <c r="A5899">
        <v>2421</v>
      </c>
      <c r="B5899" t="s">
        <v>1735</v>
      </c>
      <c r="C5899" t="s">
        <v>427</v>
      </c>
      <c r="D5899" t="str">
        <f t="shared" si="93"/>
        <v>IDENE3622</v>
      </c>
      <c r="E5899" t="s">
        <v>3107</v>
      </c>
    </row>
    <row r="5900" spans="1:5" x14ac:dyDescent="0.25">
      <c r="A5900">
        <v>2421</v>
      </c>
      <c r="B5900" t="s">
        <v>1735</v>
      </c>
      <c r="C5900" t="s">
        <v>2983</v>
      </c>
      <c r="D5900" t="str">
        <f t="shared" si="93"/>
        <v>IDENE3703</v>
      </c>
      <c r="E5900" t="s">
        <v>117</v>
      </c>
    </row>
    <row r="5901" spans="1:5" x14ac:dyDescent="0.25">
      <c r="A5901">
        <v>2421</v>
      </c>
      <c r="B5901" t="s">
        <v>1735</v>
      </c>
      <c r="C5901" t="s">
        <v>2985</v>
      </c>
      <c r="D5901" t="str">
        <f t="shared" si="93"/>
        <v>IDENE3704</v>
      </c>
      <c r="E5901" t="s">
        <v>117</v>
      </c>
    </row>
    <row r="5902" spans="1:5" x14ac:dyDescent="0.25">
      <c r="A5902">
        <v>2421</v>
      </c>
      <c r="B5902" t="s">
        <v>1735</v>
      </c>
      <c r="C5902" t="s">
        <v>2986</v>
      </c>
      <c r="D5902" t="str">
        <f t="shared" si="93"/>
        <v>IDENE3705</v>
      </c>
      <c r="E5902" t="s">
        <v>117</v>
      </c>
    </row>
    <row r="5903" spans="1:5" x14ac:dyDescent="0.25">
      <c r="A5903">
        <v>2421</v>
      </c>
      <c r="B5903" t="s">
        <v>1735</v>
      </c>
      <c r="C5903" t="s">
        <v>299</v>
      </c>
      <c r="D5903" t="str">
        <f t="shared" si="93"/>
        <v>IDENE3904</v>
      </c>
      <c r="E5903" t="s">
        <v>2968</v>
      </c>
    </row>
    <row r="5904" spans="1:5" x14ac:dyDescent="0.25">
      <c r="A5904">
        <v>2421</v>
      </c>
      <c r="B5904" t="s">
        <v>1735</v>
      </c>
      <c r="C5904" t="s">
        <v>326</v>
      </c>
      <c r="D5904" t="str">
        <f t="shared" si="93"/>
        <v>IDENE3906</v>
      </c>
      <c r="E5904" t="s">
        <v>2968</v>
      </c>
    </row>
    <row r="5905" spans="1:5" x14ac:dyDescent="0.25">
      <c r="A5905">
        <v>2421</v>
      </c>
      <c r="B5905" t="s">
        <v>1735</v>
      </c>
      <c r="C5905" t="s">
        <v>2989</v>
      </c>
      <c r="D5905" t="str">
        <f t="shared" si="93"/>
        <v>IDENE3908</v>
      </c>
      <c r="E5905" t="s">
        <v>2968</v>
      </c>
    </row>
    <row r="5906" spans="1:5" x14ac:dyDescent="0.25">
      <c r="A5906">
        <v>2421</v>
      </c>
      <c r="B5906" t="s">
        <v>1735</v>
      </c>
      <c r="C5906" t="s">
        <v>346</v>
      </c>
      <c r="D5906" t="str">
        <f t="shared" si="93"/>
        <v>IDENE3910</v>
      </c>
      <c r="E5906" t="s">
        <v>2968</v>
      </c>
    </row>
    <row r="5907" spans="1:5" x14ac:dyDescent="0.25">
      <c r="A5907">
        <v>2421</v>
      </c>
      <c r="B5907" t="s">
        <v>1735</v>
      </c>
      <c r="C5907" t="s">
        <v>2991</v>
      </c>
      <c r="D5907" t="str">
        <f t="shared" si="93"/>
        <v>IDENE3912</v>
      </c>
      <c r="E5907" t="s">
        <v>2992</v>
      </c>
    </row>
    <row r="5908" spans="1:5" x14ac:dyDescent="0.25">
      <c r="A5908">
        <v>2421</v>
      </c>
      <c r="B5908" t="s">
        <v>1735</v>
      </c>
      <c r="C5908" t="s">
        <v>2994</v>
      </c>
      <c r="D5908" t="str">
        <f t="shared" si="93"/>
        <v>IDENE3913</v>
      </c>
      <c r="E5908" t="s">
        <v>2992</v>
      </c>
    </row>
    <row r="5909" spans="1:5" x14ac:dyDescent="0.25">
      <c r="A5909">
        <v>2421</v>
      </c>
      <c r="B5909" t="s">
        <v>1735</v>
      </c>
      <c r="C5909" t="s">
        <v>384</v>
      </c>
      <c r="D5909" t="str">
        <f t="shared" si="93"/>
        <v>IDENE3915</v>
      </c>
      <c r="E5909" t="s">
        <v>2992</v>
      </c>
    </row>
    <row r="5910" spans="1:5" x14ac:dyDescent="0.25">
      <c r="A5910">
        <v>2421</v>
      </c>
      <c r="B5910" t="s">
        <v>1735</v>
      </c>
      <c r="C5910" t="s">
        <v>2996</v>
      </c>
      <c r="D5910" t="str">
        <f t="shared" si="93"/>
        <v>IDENE3917</v>
      </c>
      <c r="E5910" t="s">
        <v>2958</v>
      </c>
    </row>
    <row r="5911" spans="1:5" x14ac:dyDescent="0.25">
      <c r="A5911">
        <v>2421</v>
      </c>
      <c r="B5911" t="s">
        <v>1735</v>
      </c>
      <c r="C5911" t="s">
        <v>2998</v>
      </c>
      <c r="D5911" t="str">
        <f t="shared" si="93"/>
        <v>IDENE3918</v>
      </c>
      <c r="E5911" t="s">
        <v>2958</v>
      </c>
    </row>
    <row r="5912" spans="1:5" x14ac:dyDescent="0.25">
      <c r="A5912">
        <v>2421</v>
      </c>
      <c r="B5912" t="s">
        <v>1735</v>
      </c>
      <c r="C5912" t="s">
        <v>3000</v>
      </c>
      <c r="D5912" t="str">
        <f t="shared" si="93"/>
        <v>IDENE3919</v>
      </c>
      <c r="E5912" t="s">
        <v>3001</v>
      </c>
    </row>
    <row r="5913" spans="1:5" x14ac:dyDescent="0.25">
      <c r="A5913">
        <v>2421</v>
      </c>
      <c r="B5913" t="s">
        <v>1735</v>
      </c>
      <c r="C5913" t="s">
        <v>3077</v>
      </c>
      <c r="D5913" t="str">
        <f t="shared" si="93"/>
        <v>IDENE3920</v>
      </c>
      <c r="E5913" t="s">
        <v>3107</v>
      </c>
    </row>
    <row r="5914" spans="1:5" x14ac:dyDescent="0.25">
      <c r="A5914">
        <v>2421</v>
      </c>
      <c r="B5914" t="s">
        <v>1735</v>
      </c>
      <c r="C5914" t="s">
        <v>3002</v>
      </c>
      <c r="D5914" t="str">
        <f t="shared" si="93"/>
        <v>IDENE3921</v>
      </c>
      <c r="E5914" t="s">
        <v>3001</v>
      </c>
    </row>
    <row r="5915" spans="1:5" x14ac:dyDescent="0.25">
      <c r="A5915">
        <v>2421</v>
      </c>
      <c r="B5915" t="s">
        <v>1735</v>
      </c>
      <c r="C5915" t="s">
        <v>3003</v>
      </c>
      <c r="D5915" t="str">
        <f t="shared" si="93"/>
        <v>IDENE3922</v>
      </c>
      <c r="E5915" t="s">
        <v>2954</v>
      </c>
    </row>
    <row r="5916" spans="1:5" x14ac:dyDescent="0.25">
      <c r="A5916">
        <v>2421</v>
      </c>
      <c r="B5916" t="s">
        <v>1735</v>
      </c>
      <c r="C5916" t="s">
        <v>566</v>
      </c>
      <c r="D5916" t="str">
        <f t="shared" si="93"/>
        <v>IDENE3924</v>
      </c>
      <c r="E5916" t="s">
        <v>3004</v>
      </c>
    </row>
    <row r="5917" spans="1:5" x14ac:dyDescent="0.25">
      <c r="A5917">
        <v>2421</v>
      </c>
      <c r="B5917" t="s">
        <v>1735</v>
      </c>
      <c r="C5917" t="s">
        <v>438</v>
      </c>
      <c r="D5917" t="str">
        <f t="shared" si="93"/>
        <v>IDENE3925</v>
      </c>
      <c r="E5917" t="s">
        <v>3006</v>
      </c>
    </row>
    <row r="5918" spans="1:5" x14ac:dyDescent="0.25">
      <c r="A5918">
        <v>2421</v>
      </c>
      <c r="B5918" t="s">
        <v>1735</v>
      </c>
      <c r="C5918" t="s">
        <v>443</v>
      </c>
      <c r="D5918" t="str">
        <f t="shared" si="93"/>
        <v>IDENE3926</v>
      </c>
      <c r="E5918" t="s">
        <v>3006</v>
      </c>
    </row>
    <row r="5919" spans="1:5" x14ac:dyDescent="0.25">
      <c r="A5919">
        <v>2421</v>
      </c>
      <c r="B5919" t="s">
        <v>1735</v>
      </c>
      <c r="C5919" t="s">
        <v>3008</v>
      </c>
      <c r="D5919" t="str">
        <f t="shared" si="93"/>
        <v>IDENE3927</v>
      </c>
      <c r="E5919" t="s">
        <v>3009</v>
      </c>
    </row>
    <row r="5920" spans="1:5" x14ac:dyDescent="0.25">
      <c r="A5920">
        <v>2421</v>
      </c>
      <c r="B5920" t="s">
        <v>1735</v>
      </c>
      <c r="C5920" t="s">
        <v>458</v>
      </c>
      <c r="D5920" t="str">
        <f t="shared" si="93"/>
        <v>IDENE3930</v>
      </c>
      <c r="E5920" t="s">
        <v>3006</v>
      </c>
    </row>
    <row r="5921" spans="1:5" x14ac:dyDescent="0.25">
      <c r="A5921">
        <v>2421</v>
      </c>
      <c r="B5921" t="s">
        <v>1735</v>
      </c>
      <c r="C5921" t="s">
        <v>1481</v>
      </c>
      <c r="D5921" t="str">
        <f t="shared" si="93"/>
        <v>IDENE3931</v>
      </c>
      <c r="E5921" t="s">
        <v>2968</v>
      </c>
    </row>
    <row r="5922" spans="1:5" x14ac:dyDescent="0.25">
      <c r="A5922">
        <v>2421</v>
      </c>
      <c r="B5922" t="s">
        <v>1735</v>
      </c>
      <c r="C5922" t="s">
        <v>3017</v>
      </c>
      <c r="D5922" t="str">
        <f t="shared" si="93"/>
        <v>IDENE3936</v>
      </c>
      <c r="E5922" t="s">
        <v>94</v>
      </c>
    </row>
    <row r="5923" spans="1:5" x14ac:dyDescent="0.25">
      <c r="A5923">
        <v>2421</v>
      </c>
      <c r="B5923" t="s">
        <v>1735</v>
      </c>
      <c r="C5923" t="s">
        <v>3088</v>
      </c>
      <c r="D5923" t="str">
        <f t="shared" si="93"/>
        <v>IDENE3937</v>
      </c>
      <c r="E5923" t="s">
        <v>3107</v>
      </c>
    </row>
    <row r="5924" spans="1:5" x14ac:dyDescent="0.25">
      <c r="A5924">
        <v>2421</v>
      </c>
      <c r="B5924" t="s">
        <v>1735</v>
      </c>
      <c r="C5924" t="s">
        <v>3089</v>
      </c>
      <c r="D5924" t="str">
        <f t="shared" si="93"/>
        <v>IDENE3939</v>
      </c>
      <c r="E5924" t="s">
        <v>2968</v>
      </c>
    </row>
    <row r="5925" spans="1:5" x14ac:dyDescent="0.25">
      <c r="A5925">
        <v>2421</v>
      </c>
      <c r="B5925" t="s">
        <v>1735</v>
      </c>
      <c r="C5925" t="s">
        <v>3019</v>
      </c>
      <c r="D5925" t="str">
        <f t="shared" si="93"/>
        <v>IDENE3940</v>
      </c>
      <c r="E5925" t="s">
        <v>3009</v>
      </c>
    </row>
    <row r="5926" spans="1:5" x14ac:dyDescent="0.25">
      <c r="A5926">
        <v>2421</v>
      </c>
      <c r="B5926" t="s">
        <v>1735</v>
      </c>
      <c r="C5926" t="s">
        <v>482</v>
      </c>
      <c r="D5926" t="str">
        <f t="shared" si="93"/>
        <v>IDENE3942</v>
      </c>
      <c r="E5926" t="s">
        <v>2968</v>
      </c>
    </row>
    <row r="5927" spans="1:5" x14ac:dyDescent="0.25">
      <c r="A5927">
        <v>2421</v>
      </c>
      <c r="B5927" t="s">
        <v>1735</v>
      </c>
      <c r="C5927" t="s">
        <v>3020</v>
      </c>
      <c r="D5927" t="str">
        <f t="shared" si="93"/>
        <v>IDENE3943</v>
      </c>
      <c r="E5927" t="s">
        <v>2958</v>
      </c>
    </row>
    <row r="5928" spans="1:5" x14ac:dyDescent="0.25">
      <c r="A5928">
        <v>2421</v>
      </c>
      <c r="B5928" t="s">
        <v>1735</v>
      </c>
      <c r="C5928" t="s">
        <v>3098</v>
      </c>
      <c r="D5928" t="str">
        <f t="shared" si="93"/>
        <v>IDENE3952</v>
      </c>
      <c r="E5928" t="s">
        <v>65</v>
      </c>
    </row>
    <row r="5929" spans="1:5" x14ac:dyDescent="0.25">
      <c r="A5929">
        <v>2421</v>
      </c>
      <c r="B5929" t="s">
        <v>1735</v>
      </c>
      <c r="C5929" t="s">
        <v>498</v>
      </c>
      <c r="D5929" t="str">
        <f t="shared" si="93"/>
        <v>IDENE3955</v>
      </c>
      <c r="E5929" t="s">
        <v>3348</v>
      </c>
    </row>
    <row r="5930" spans="1:5" x14ac:dyDescent="0.25">
      <c r="A5930">
        <v>2421</v>
      </c>
      <c r="B5930" t="s">
        <v>1735</v>
      </c>
      <c r="C5930" t="s">
        <v>499</v>
      </c>
      <c r="D5930" t="str">
        <f t="shared" si="93"/>
        <v>IDENE3956</v>
      </c>
      <c r="E5930" t="s">
        <v>2968</v>
      </c>
    </row>
    <row r="5931" spans="1:5" x14ac:dyDescent="0.25">
      <c r="A5931">
        <v>2421</v>
      </c>
      <c r="B5931" t="s">
        <v>1735</v>
      </c>
      <c r="C5931" t="s">
        <v>3031</v>
      </c>
      <c r="D5931" t="str">
        <f t="shared" si="93"/>
        <v>IDENE3970</v>
      </c>
      <c r="E5931" t="s">
        <v>3009</v>
      </c>
    </row>
    <row r="5932" spans="1:5" x14ac:dyDescent="0.25">
      <c r="A5932">
        <v>2421</v>
      </c>
      <c r="B5932" t="s">
        <v>1735</v>
      </c>
      <c r="C5932" t="s">
        <v>521</v>
      </c>
      <c r="D5932" t="str">
        <f t="shared" si="93"/>
        <v>IDENE3981</v>
      </c>
      <c r="E5932" t="s">
        <v>2968</v>
      </c>
    </row>
    <row r="5933" spans="1:5" x14ac:dyDescent="0.25">
      <c r="A5933">
        <v>2421</v>
      </c>
      <c r="B5933" t="s">
        <v>1735</v>
      </c>
      <c r="C5933" t="s">
        <v>3036</v>
      </c>
      <c r="D5933" t="str">
        <f t="shared" si="93"/>
        <v>IDENE3987</v>
      </c>
      <c r="E5933" t="s">
        <v>2958</v>
      </c>
    </row>
    <row r="5934" spans="1:5" x14ac:dyDescent="0.25">
      <c r="A5934">
        <v>2421</v>
      </c>
      <c r="B5934" t="s">
        <v>1735</v>
      </c>
      <c r="C5934" t="s">
        <v>528</v>
      </c>
      <c r="D5934" t="str">
        <f t="shared" si="93"/>
        <v>IDENE3988</v>
      </c>
      <c r="E5934" t="s">
        <v>2968</v>
      </c>
    </row>
    <row r="5935" spans="1:5" x14ac:dyDescent="0.25">
      <c r="A5935">
        <v>2421</v>
      </c>
      <c r="B5935" t="s">
        <v>1735</v>
      </c>
      <c r="C5935" t="s">
        <v>3040</v>
      </c>
      <c r="D5935" t="str">
        <f t="shared" si="93"/>
        <v>IDENE3999</v>
      </c>
      <c r="E5935" t="s">
        <v>2968</v>
      </c>
    </row>
    <row r="5936" spans="1:5" x14ac:dyDescent="0.25">
      <c r="A5936">
        <v>2421</v>
      </c>
      <c r="B5936" t="s">
        <v>1735</v>
      </c>
      <c r="C5936" t="s">
        <v>3041</v>
      </c>
      <c r="D5936" t="str">
        <f t="shared" si="93"/>
        <v>IDENE4002</v>
      </c>
      <c r="E5936" t="s">
        <v>3009</v>
      </c>
    </row>
    <row r="5937" spans="1:5" x14ac:dyDescent="0.25">
      <c r="A5937">
        <v>2421</v>
      </c>
      <c r="B5937" t="s">
        <v>1735</v>
      </c>
      <c r="C5937" t="s">
        <v>3043</v>
      </c>
      <c r="D5937" t="str">
        <f t="shared" si="93"/>
        <v>IDENE4003</v>
      </c>
      <c r="E5937" t="s">
        <v>94</v>
      </c>
    </row>
    <row r="5938" spans="1:5" x14ac:dyDescent="0.25">
      <c r="A5938">
        <v>2421</v>
      </c>
      <c r="B5938" t="s">
        <v>1735</v>
      </c>
      <c r="C5938" t="s">
        <v>3045</v>
      </c>
      <c r="D5938" t="str">
        <f t="shared" si="93"/>
        <v>IDENE4004</v>
      </c>
      <c r="E5938" t="s">
        <v>3009</v>
      </c>
    </row>
    <row r="5939" spans="1:5" x14ac:dyDescent="0.25">
      <c r="A5939">
        <v>2421</v>
      </c>
      <c r="B5939" t="s">
        <v>1735</v>
      </c>
      <c r="C5939" t="s">
        <v>3047</v>
      </c>
      <c r="D5939" t="str">
        <f t="shared" si="93"/>
        <v>IDENE4005</v>
      </c>
      <c r="E5939" t="s">
        <v>3009</v>
      </c>
    </row>
    <row r="5940" spans="1:5" x14ac:dyDescent="0.25">
      <c r="A5940">
        <v>2421</v>
      </c>
      <c r="B5940" t="s">
        <v>1735</v>
      </c>
      <c r="C5940" t="s">
        <v>813</v>
      </c>
      <c r="D5940" t="str">
        <f t="shared" si="93"/>
        <v>IDENE4006</v>
      </c>
      <c r="E5940" t="s">
        <v>3057</v>
      </c>
    </row>
    <row r="5941" spans="1:5" x14ac:dyDescent="0.25">
      <c r="A5941">
        <v>2421</v>
      </c>
      <c r="B5941" t="s">
        <v>1735</v>
      </c>
      <c r="C5941" t="s">
        <v>3123</v>
      </c>
      <c r="D5941" t="str">
        <f t="shared" si="93"/>
        <v>IDENE4101</v>
      </c>
      <c r="E5941" t="s">
        <v>2968</v>
      </c>
    </row>
    <row r="5942" spans="1:5" x14ac:dyDescent="0.25">
      <c r="A5942">
        <v>2421</v>
      </c>
      <c r="B5942" t="s">
        <v>1735</v>
      </c>
      <c r="C5942" t="s">
        <v>3048</v>
      </c>
      <c r="D5942" t="str">
        <f t="shared" si="93"/>
        <v>IDENE4701</v>
      </c>
      <c r="E5942" t="s">
        <v>3049</v>
      </c>
    </row>
    <row r="5943" spans="1:5" x14ac:dyDescent="0.25">
      <c r="A5943">
        <v>2421</v>
      </c>
      <c r="B5943" t="s">
        <v>1735</v>
      </c>
      <c r="C5943" t="s">
        <v>265</v>
      </c>
      <c r="D5943" t="str">
        <f t="shared" si="93"/>
        <v>IDENE4703</v>
      </c>
      <c r="E5943" t="s">
        <v>3049</v>
      </c>
    </row>
    <row r="5944" spans="1:5" x14ac:dyDescent="0.25">
      <c r="A5944">
        <v>2421</v>
      </c>
      <c r="B5944" t="s">
        <v>1735</v>
      </c>
      <c r="C5944" t="s">
        <v>316</v>
      </c>
      <c r="D5944" t="str">
        <f t="shared" si="93"/>
        <v>IDENE4706</v>
      </c>
      <c r="E5944" t="s">
        <v>3049</v>
      </c>
    </row>
    <row r="5945" spans="1:5" x14ac:dyDescent="0.25">
      <c r="A5945">
        <v>2421</v>
      </c>
      <c r="B5945" t="s">
        <v>1735</v>
      </c>
      <c r="C5945" t="s">
        <v>328</v>
      </c>
      <c r="D5945" t="str">
        <f t="shared" si="93"/>
        <v>IDENE4707</v>
      </c>
      <c r="E5945" t="s">
        <v>3049</v>
      </c>
    </row>
    <row r="5946" spans="1:5" x14ac:dyDescent="0.25">
      <c r="A5946">
        <v>2421</v>
      </c>
      <c r="B5946" t="s">
        <v>1735</v>
      </c>
      <c r="C5946" t="s">
        <v>364</v>
      </c>
      <c r="D5946" t="str">
        <f t="shared" si="93"/>
        <v>IDENE4799</v>
      </c>
      <c r="E5946" t="s">
        <v>3049</v>
      </c>
    </row>
    <row r="5947" spans="1:5" x14ac:dyDescent="0.25">
      <c r="A5947">
        <v>2421</v>
      </c>
      <c r="B5947" t="s">
        <v>1735</v>
      </c>
      <c r="C5947" t="s">
        <v>173</v>
      </c>
      <c r="D5947" t="str">
        <f t="shared" si="93"/>
        <v>IDENE5107</v>
      </c>
      <c r="E5947" t="s">
        <v>3052</v>
      </c>
    </row>
    <row r="5948" spans="1:5" x14ac:dyDescent="0.25">
      <c r="A5948">
        <v>2421</v>
      </c>
      <c r="B5948" t="s">
        <v>1735</v>
      </c>
      <c r="C5948" t="s">
        <v>3054</v>
      </c>
      <c r="D5948" t="str">
        <f t="shared" si="93"/>
        <v>IDENE5204</v>
      </c>
      <c r="E5948" t="s">
        <v>3055</v>
      </c>
    </row>
    <row r="5949" spans="1:5" x14ac:dyDescent="0.25">
      <c r="A5949">
        <v>2421</v>
      </c>
      <c r="B5949" t="s">
        <v>1735</v>
      </c>
      <c r="C5949" t="s">
        <v>3058</v>
      </c>
      <c r="D5949" t="str">
        <f t="shared" si="93"/>
        <v>IDENE5207</v>
      </c>
      <c r="E5949" t="s">
        <v>3057</v>
      </c>
    </row>
    <row r="5950" spans="1:5" x14ac:dyDescent="0.25">
      <c r="A5950">
        <v>2421</v>
      </c>
      <c r="B5950" t="s">
        <v>1735</v>
      </c>
      <c r="C5950" t="s">
        <v>3060</v>
      </c>
      <c r="D5950" t="str">
        <f t="shared" si="93"/>
        <v>IDENE5208</v>
      </c>
      <c r="E5950" t="s">
        <v>3057</v>
      </c>
    </row>
    <row r="5951" spans="1:5" x14ac:dyDescent="0.25">
      <c r="A5951">
        <v>2421</v>
      </c>
      <c r="B5951" t="s">
        <v>1735</v>
      </c>
      <c r="C5951" t="s">
        <v>3063</v>
      </c>
      <c r="D5951" t="str">
        <f t="shared" si="93"/>
        <v>IDENE5210</v>
      </c>
      <c r="E5951" t="s">
        <v>3055</v>
      </c>
    </row>
    <row r="5952" spans="1:5" x14ac:dyDescent="0.25">
      <c r="A5952">
        <v>2421</v>
      </c>
      <c r="B5952" t="s">
        <v>1735</v>
      </c>
      <c r="C5952" t="s">
        <v>403</v>
      </c>
      <c r="D5952" t="str">
        <f t="shared" si="93"/>
        <v>IDENE5216</v>
      </c>
      <c r="E5952" t="s">
        <v>3067</v>
      </c>
    </row>
    <row r="5953" spans="1:5" x14ac:dyDescent="0.25">
      <c r="A5953">
        <v>2421</v>
      </c>
      <c r="B5953" t="s">
        <v>1735</v>
      </c>
      <c r="C5953" t="s">
        <v>409</v>
      </c>
      <c r="D5953" t="str">
        <f t="shared" si="93"/>
        <v>IDENE5217</v>
      </c>
      <c r="E5953" t="s">
        <v>3067</v>
      </c>
    </row>
    <row r="5954" spans="1:5" x14ac:dyDescent="0.25">
      <c r="A5954">
        <v>2421</v>
      </c>
      <c r="B5954" t="s">
        <v>1735</v>
      </c>
      <c r="C5954" t="s">
        <v>434</v>
      </c>
      <c r="D5954" t="str">
        <f t="shared" si="93"/>
        <v>IDENE5222</v>
      </c>
      <c r="E5954" t="s">
        <v>3055</v>
      </c>
    </row>
    <row r="5955" spans="1:5" x14ac:dyDescent="0.25">
      <c r="A5955">
        <v>2421</v>
      </c>
      <c r="B5955" t="s">
        <v>1735</v>
      </c>
      <c r="C5955" t="s">
        <v>3150</v>
      </c>
      <c r="D5955" t="str">
        <f t="shared" si="93"/>
        <v>IDENE5230</v>
      </c>
      <c r="E5955" t="s">
        <v>3055</v>
      </c>
    </row>
    <row r="5956" spans="1:5" x14ac:dyDescent="0.25">
      <c r="A5956">
        <v>2421</v>
      </c>
      <c r="B5956" t="s">
        <v>1735</v>
      </c>
      <c r="C5956" t="s">
        <v>459</v>
      </c>
      <c r="D5956" t="str">
        <f t="shared" si="93"/>
        <v>IDENE5299</v>
      </c>
      <c r="E5956" t="s">
        <v>3055</v>
      </c>
    </row>
    <row r="5957" spans="1:5" x14ac:dyDescent="0.25">
      <c r="A5957">
        <v>2421</v>
      </c>
      <c r="B5957" t="s">
        <v>1735</v>
      </c>
      <c r="C5957" t="s">
        <v>3166</v>
      </c>
      <c r="D5957" t="str">
        <f t="shared" ref="D5957:D6020" si="94">CONCATENATE(B5957,LEFT(C5957,4))</f>
        <v>IDENE6106</v>
      </c>
      <c r="E5957" t="s">
        <v>3219</v>
      </c>
    </row>
    <row r="5958" spans="1:5" x14ac:dyDescent="0.25">
      <c r="A5958">
        <v>2421</v>
      </c>
      <c r="B5958" t="s">
        <v>1735</v>
      </c>
      <c r="C5958" t="s">
        <v>3074</v>
      </c>
      <c r="D5958" t="str">
        <f t="shared" si="94"/>
        <v>IDENE9202</v>
      </c>
      <c r="E5958" t="s">
        <v>3075</v>
      </c>
    </row>
    <row r="5959" spans="1:5" x14ac:dyDescent="0.25">
      <c r="A5959">
        <v>2421</v>
      </c>
      <c r="B5959" t="s">
        <v>1735</v>
      </c>
      <c r="C5959" t="s">
        <v>331</v>
      </c>
      <c r="D5959" t="str">
        <f t="shared" si="94"/>
        <v>IDENE9306</v>
      </c>
      <c r="E5959" t="s">
        <v>3076</v>
      </c>
    </row>
    <row r="5960" spans="1:5" x14ac:dyDescent="0.25">
      <c r="A5960">
        <v>2421</v>
      </c>
      <c r="B5960" t="s">
        <v>1735</v>
      </c>
      <c r="C5960" t="s">
        <v>380</v>
      </c>
      <c r="D5960" t="str">
        <f t="shared" si="94"/>
        <v>IDENE9312</v>
      </c>
      <c r="E5960" t="s">
        <v>2968</v>
      </c>
    </row>
    <row r="5961" spans="1:5" x14ac:dyDescent="0.25">
      <c r="A5961">
        <v>2421</v>
      </c>
      <c r="B5961" t="s">
        <v>1735</v>
      </c>
      <c r="C5961" t="s">
        <v>3192</v>
      </c>
      <c r="D5961" t="str">
        <f t="shared" si="94"/>
        <v>IDENE9316</v>
      </c>
      <c r="E5961" t="s">
        <v>2968</v>
      </c>
    </row>
    <row r="5962" spans="1:5" x14ac:dyDescent="0.25">
      <c r="A5962">
        <v>2421</v>
      </c>
      <c r="B5962" t="s">
        <v>1735</v>
      </c>
      <c r="C5962" t="s">
        <v>3079</v>
      </c>
      <c r="D5962" t="str">
        <f t="shared" si="94"/>
        <v>IDENE9399</v>
      </c>
      <c r="E5962" t="s">
        <v>2968</v>
      </c>
    </row>
    <row r="5963" spans="1:5" x14ac:dyDescent="0.25">
      <c r="A5963">
        <v>2421</v>
      </c>
      <c r="B5963" t="s">
        <v>1735</v>
      </c>
      <c r="C5963" t="s">
        <v>3050</v>
      </c>
      <c r="D5963" t="str">
        <f t="shared" si="94"/>
        <v>IDENE3702</v>
      </c>
      <c r="E5963" t="s">
        <v>2981</v>
      </c>
    </row>
    <row r="5964" spans="1:5" x14ac:dyDescent="0.25">
      <c r="A5964">
        <v>2431</v>
      </c>
      <c r="B5964" t="s">
        <v>1707</v>
      </c>
      <c r="C5964" t="s">
        <v>332</v>
      </c>
      <c r="D5964" t="str">
        <f t="shared" si="94"/>
        <v>ARMBH1314</v>
      </c>
      <c r="E5964" t="s">
        <v>3081</v>
      </c>
    </row>
    <row r="5965" spans="1:5" x14ac:dyDescent="0.25">
      <c r="A5965">
        <v>2431</v>
      </c>
      <c r="B5965" t="s">
        <v>1707</v>
      </c>
      <c r="C5965" t="s">
        <v>399</v>
      </c>
      <c r="D5965" t="str">
        <f t="shared" si="94"/>
        <v>ARMBH1325</v>
      </c>
      <c r="E5965" t="s">
        <v>3081</v>
      </c>
    </row>
    <row r="5966" spans="1:5" x14ac:dyDescent="0.25">
      <c r="A5966">
        <v>2431</v>
      </c>
      <c r="B5966" t="s">
        <v>1707</v>
      </c>
      <c r="C5966" t="s">
        <v>2928</v>
      </c>
      <c r="D5966" t="str">
        <f t="shared" si="94"/>
        <v>ARMBH1401</v>
      </c>
      <c r="E5966" t="s">
        <v>44</v>
      </c>
    </row>
    <row r="5967" spans="1:5" x14ac:dyDescent="0.25">
      <c r="A5967">
        <v>2431</v>
      </c>
      <c r="B5967" t="s">
        <v>1707</v>
      </c>
      <c r="C5967" t="s">
        <v>2937</v>
      </c>
      <c r="D5967" t="str">
        <f t="shared" si="94"/>
        <v>ARMBH3004</v>
      </c>
      <c r="E5967" t="s">
        <v>2933</v>
      </c>
    </row>
    <row r="5968" spans="1:5" x14ac:dyDescent="0.25">
      <c r="A5968">
        <v>2431</v>
      </c>
      <c r="B5968" t="s">
        <v>1707</v>
      </c>
      <c r="C5968" t="s">
        <v>2939</v>
      </c>
      <c r="D5968" t="str">
        <f t="shared" si="94"/>
        <v>ARMBH3005</v>
      </c>
      <c r="E5968" t="s">
        <v>2933</v>
      </c>
    </row>
    <row r="5969" spans="1:5" x14ac:dyDescent="0.25">
      <c r="A5969">
        <v>2431</v>
      </c>
      <c r="B5969" t="s">
        <v>1707</v>
      </c>
      <c r="C5969" t="s">
        <v>406</v>
      </c>
      <c r="D5969" t="str">
        <f t="shared" si="94"/>
        <v>ARMBH3017</v>
      </c>
      <c r="E5969" t="s">
        <v>2933</v>
      </c>
    </row>
    <row r="5970" spans="1:5" x14ac:dyDescent="0.25">
      <c r="A5970">
        <v>2431</v>
      </c>
      <c r="B5970" t="s">
        <v>1707</v>
      </c>
      <c r="C5970" t="s">
        <v>2960</v>
      </c>
      <c r="D5970" t="str">
        <f t="shared" si="94"/>
        <v>ARMBH3026</v>
      </c>
      <c r="E5970" t="s">
        <v>2958</v>
      </c>
    </row>
    <row r="5971" spans="1:5" x14ac:dyDescent="0.25">
      <c r="A5971">
        <v>2431</v>
      </c>
      <c r="B5971" t="s">
        <v>1707</v>
      </c>
      <c r="C5971" t="s">
        <v>2993</v>
      </c>
      <c r="D5971" t="str">
        <f t="shared" si="94"/>
        <v>ARMBH3041</v>
      </c>
      <c r="E5971" t="s">
        <v>2933</v>
      </c>
    </row>
    <row r="5972" spans="1:5" x14ac:dyDescent="0.25">
      <c r="A5972">
        <v>2431</v>
      </c>
      <c r="B5972" t="s">
        <v>1707</v>
      </c>
      <c r="C5972" t="s">
        <v>2975</v>
      </c>
      <c r="D5972" t="str">
        <f t="shared" si="94"/>
        <v>ARMBH3302</v>
      </c>
      <c r="E5972" t="s">
        <v>44</v>
      </c>
    </row>
    <row r="5973" spans="1:5" x14ac:dyDescent="0.25">
      <c r="A5973">
        <v>2431</v>
      </c>
      <c r="B5973" t="s">
        <v>1707</v>
      </c>
      <c r="C5973" t="s">
        <v>2977</v>
      </c>
      <c r="D5973" t="str">
        <f t="shared" si="94"/>
        <v>ARMBH3304</v>
      </c>
      <c r="E5973" t="s">
        <v>44</v>
      </c>
    </row>
    <row r="5974" spans="1:5" x14ac:dyDescent="0.25">
      <c r="A5974">
        <v>2431</v>
      </c>
      <c r="B5974" t="s">
        <v>1707</v>
      </c>
      <c r="C5974" t="s">
        <v>3201</v>
      </c>
      <c r="D5974" t="str">
        <f t="shared" si="94"/>
        <v>ARMBH3502</v>
      </c>
      <c r="E5974" t="s">
        <v>1660</v>
      </c>
    </row>
    <row r="5975" spans="1:5" x14ac:dyDescent="0.25">
      <c r="A5975">
        <v>2431</v>
      </c>
      <c r="B5975" t="s">
        <v>1707</v>
      </c>
      <c r="C5975" t="s">
        <v>297</v>
      </c>
      <c r="D5975" t="str">
        <f t="shared" si="94"/>
        <v>ARMBH3604</v>
      </c>
      <c r="E5975" t="s">
        <v>44</v>
      </c>
    </row>
    <row r="5976" spans="1:5" x14ac:dyDescent="0.25">
      <c r="A5976">
        <v>2431</v>
      </c>
      <c r="B5976" t="s">
        <v>1707</v>
      </c>
      <c r="C5976" t="s">
        <v>355</v>
      </c>
      <c r="D5976" t="str">
        <f t="shared" si="94"/>
        <v>ARMBH3610</v>
      </c>
      <c r="E5976" t="s">
        <v>2968</v>
      </c>
    </row>
    <row r="5977" spans="1:5" x14ac:dyDescent="0.25">
      <c r="A5977">
        <v>2431</v>
      </c>
      <c r="B5977" t="s">
        <v>1707</v>
      </c>
      <c r="C5977" t="s">
        <v>2979</v>
      </c>
      <c r="D5977" t="str">
        <f t="shared" si="94"/>
        <v>ARMBH3612</v>
      </c>
      <c r="E5977" t="s">
        <v>2968</v>
      </c>
    </row>
    <row r="5978" spans="1:5" x14ac:dyDescent="0.25">
      <c r="A5978">
        <v>2431</v>
      </c>
      <c r="B5978" t="s">
        <v>1707</v>
      </c>
      <c r="C5978" t="s">
        <v>2985</v>
      </c>
      <c r="D5978" t="str">
        <f t="shared" si="94"/>
        <v>ARMBH3704</v>
      </c>
      <c r="E5978" t="s">
        <v>117</v>
      </c>
    </row>
    <row r="5979" spans="1:5" x14ac:dyDescent="0.25">
      <c r="A5979">
        <v>2431</v>
      </c>
      <c r="B5979" t="s">
        <v>1707</v>
      </c>
      <c r="C5979" t="s">
        <v>2986</v>
      </c>
      <c r="D5979" t="str">
        <f t="shared" si="94"/>
        <v>ARMBH3705</v>
      </c>
      <c r="E5979" t="s">
        <v>117</v>
      </c>
    </row>
    <row r="5980" spans="1:5" x14ac:dyDescent="0.25">
      <c r="A5980">
        <v>2431</v>
      </c>
      <c r="B5980" t="s">
        <v>1707</v>
      </c>
      <c r="C5980" t="s">
        <v>2988</v>
      </c>
      <c r="D5980" t="str">
        <f t="shared" si="94"/>
        <v>ARMBH3903</v>
      </c>
      <c r="E5980" t="s">
        <v>87</v>
      </c>
    </row>
    <row r="5981" spans="1:5" x14ac:dyDescent="0.25">
      <c r="A5981">
        <v>2431</v>
      </c>
      <c r="B5981" t="s">
        <v>1707</v>
      </c>
      <c r="C5981" t="s">
        <v>384</v>
      </c>
      <c r="D5981" t="str">
        <f t="shared" si="94"/>
        <v>ARMBH3915</v>
      </c>
      <c r="E5981" t="s">
        <v>2992</v>
      </c>
    </row>
    <row r="5982" spans="1:5" x14ac:dyDescent="0.25">
      <c r="A5982">
        <v>2431</v>
      </c>
      <c r="B5982" t="s">
        <v>1707</v>
      </c>
      <c r="C5982" t="s">
        <v>2996</v>
      </c>
      <c r="D5982" t="str">
        <f t="shared" si="94"/>
        <v>ARMBH3917</v>
      </c>
      <c r="E5982" t="s">
        <v>2958</v>
      </c>
    </row>
    <row r="5983" spans="1:5" x14ac:dyDescent="0.25">
      <c r="A5983">
        <v>2431</v>
      </c>
      <c r="B5983" t="s">
        <v>1707</v>
      </c>
      <c r="C5983" t="s">
        <v>2998</v>
      </c>
      <c r="D5983" t="str">
        <f t="shared" si="94"/>
        <v>ARMBH3918</v>
      </c>
      <c r="E5983" t="s">
        <v>2958</v>
      </c>
    </row>
    <row r="5984" spans="1:5" x14ac:dyDescent="0.25">
      <c r="A5984">
        <v>2431</v>
      </c>
      <c r="B5984" t="s">
        <v>1707</v>
      </c>
      <c r="C5984" t="s">
        <v>566</v>
      </c>
      <c r="D5984" t="str">
        <f t="shared" si="94"/>
        <v>ARMBH3924</v>
      </c>
      <c r="E5984" t="s">
        <v>3004</v>
      </c>
    </row>
    <row r="5985" spans="1:5" x14ac:dyDescent="0.25">
      <c r="A5985">
        <v>2431</v>
      </c>
      <c r="B5985" t="s">
        <v>1707</v>
      </c>
      <c r="C5985" t="s">
        <v>438</v>
      </c>
      <c r="D5985" t="str">
        <f t="shared" si="94"/>
        <v>ARMBH3925</v>
      </c>
      <c r="E5985" t="s">
        <v>3006</v>
      </c>
    </row>
    <row r="5986" spans="1:5" x14ac:dyDescent="0.25">
      <c r="A5986">
        <v>2431</v>
      </c>
      <c r="B5986" t="s">
        <v>1707</v>
      </c>
      <c r="C5986" t="s">
        <v>443</v>
      </c>
      <c r="D5986" t="str">
        <f t="shared" si="94"/>
        <v>ARMBH3926</v>
      </c>
      <c r="E5986" t="s">
        <v>3006</v>
      </c>
    </row>
    <row r="5987" spans="1:5" x14ac:dyDescent="0.25">
      <c r="A5987">
        <v>2431</v>
      </c>
      <c r="B5987" t="s">
        <v>1707</v>
      </c>
      <c r="C5987" t="s">
        <v>1481</v>
      </c>
      <c r="D5987" t="str">
        <f t="shared" si="94"/>
        <v>ARMBH3931</v>
      </c>
      <c r="E5987" t="s">
        <v>2968</v>
      </c>
    </row>
    <row r="5988" spans="1:5" x14ac:dyDescent="0.25">
      <c r="A5988">
        <v>2431</v>
      </c>
      <c r="B5988" t="s">
        <v>1707</v>
      </c>
      <c r="C5988" t="s">
        <v>3017</v>
      </c>
      <c r="D5988" t="str">
        <f t="shared" si="94"/>
        <v>ARMBH3936</v>
      </c>
      <c r="E5988" t="s">
        <v>94</v>
      </c>
    </row>
    <row r="5989" spans="1:5" x14ac:dyDescent="0.25">
      <c r="A5989">
        <v>2431</v>
      </c>
      <c r="B5989" t="s">
        <v>1707</v>
      </c>
      <c r="C5989" t="s">
        <v>3019</v>
      </c>
      <c r="D5989" t="str">
        <f t="shared" si="94"/>
        <v>ARMBH3940</v>
      </c>
      <c r="E5989" t="s">
        <v>3009</v>
      </c>
    </row>
    <row r="5990" spans="1:5" x14ac:dyDescent="0.25">
      <c r="A5990">
        <v>2431</v>
      </c>
      <c r="B5990" t="s">
        <v>1707</v>
      </c>
      <c r="C5990" t="s">
        <v>3020</v>
      </c>
      <c r="D5990" t="str">
        <f t="shared" si="94"/>
        <v>ARMBH3943</v>
      </c>
      <c r="E5990" t="s">
        <v>2958</v>
      </c>
    </row>
    <row r="5991" spans="1:5" x14ac:dyDescent="0.25">
      <c r="A5991">
        <v>2431</v>
      </c>
      <c r="B5991" t="s">
        <v>1707</v>
      </c>
      <c r="C5991" t="s">
        <v>492</v>
      </c>
      <c r="D5991" t="str">
        <f t="shared" si="94"/>
        <v>ARMBH3948</v>
      </c>
      <c r="E5991" t="s">
        <v>3004</v>
      </c>
    </row>
    <row r="5992" spans="1:5" x14ac:dyDescent="0.25">
      <c r="A5992">
        <v>2431</v>
      </c>
      <c r="B5992" t="s">
        <v>1707</v>
      </c>
      <c r="C5992" t="s">
        <v>3098</v>
      </c>
      <c r="D5992" t="str">
        <f t="shared" si="94"/>
        <v>ARMBH3952</v>
      </c>
      <c r="E5992" t="s">
        <v>65</v>
      </c>
    </row>
    <row r="5993" spans="1:5" x14ac:dyDescent="0.25">
      <c r="A5993">
        <v>2431</v>
      </c>
      <c r="B5993" t="s">
        <v>1707</v>
      </c>
      <c r="C5993" t="s">
        <v>526</v>
      </c>
      <c r="D5993" t="str">
        <f t="shared" si="94"/>
        <v>ARMBH3986</v>
      </c>
      <c r="E5993" t="s">
        <v>2968</v>
      </c>
    </row>
    <row r="5994" spans="1:5" x14ac:dyDescent="0.25">
      <c r="A5994">
        <v>2431</v>
      </c>
      <c r="B5994" t="s">
        <v>1707</v>
      </c>
      <c r="C5994" t="s">
        <v>3036</v>
      </c>
      <c r="D5994" t="str">
        <f t="shared" si="94"/>
        <v>ARMBH3987</v>
      </c>
      <c r="E5994" t="s">
        <v>2958</v>
      </c>
    </row>
    <row r="5995" spans="1:5" x14ac:dyDescent="0.25">
      <c r="A5995">
        <v>2431</v>
      </c>
      <c r="B5995" t="s">
        <v>1707</v>
      </c>
      <c r="C5995" t="s">
        <v>3040</v>
      </c>
      <c r="D5995" t="str">
        <f t="shared" si="94"/>
        <v>ARMBH3999</v>
      </c>
      <c r="E5995" t="s">
        <v>2968</v>
      </c>
    </row>
    <row r="5996" spans="1:5" x14ac:dyDescent="0.25">
      <c r="A5996">
        <v>2431</v>
      </c>
      <c r="B5996" t="s">
        <v>1707</v>
      </c>
      <c r="C5996" t="s">
        <v>3041</v>
      </c>
      <c r="D5996" t="str">
        <f t="shared" si="94"/>
        <v>ARMBH4002</v>
      </c>
      <c r="E5996" t="s">
        <v>3009</v>
      </c>
    </row>
    <row r="5997" spans="1:5" x14ac:dyDescent="0.25">
      <c r="A5997">
        <v>2431</v>
      </c>
      <c r="B5997" t="s">
        <v>1707</v>
      </c>
      <c r="C5997" t="s">
        <v>3043</v>
      </c>
      <c r="D5997" t="str">
        <f t="shared" si="94"/>
        <v>ARMBH4003</v>
      </c>
      <c r="E5997" t="s">
        <v>94</v>
      </c>
    </row>
    <row r="5998" spans="1:5" x14ac:dyDescent="0.25">
      <c r="A5998">
        <v>2431</v>
      </c>
      <c r="B5998" t="s">
        <v>1707</v>
      </c>
      <c r="C5998" t="s">
        <v>3045</v>
      </c>
      <c r="D5998" t="str">
        <f t="shared" si="94"/>
        <v>ARMBH4004</v>
      </c>
      <c r="E5998" t="s">
        <v>3009</v>
      </c>
    </row>
    <row r="5999" spans="1:5" x14ac:dyDescent="0.25">
      <c r="A5999">
        <v>2431</v>
      </c>
      <c r="B5999" t="s">
        <v>1707</v>
      </c>
      <c r="C5999" t="s">
        <v>813</v>
      </c>
      <c r="D5999" t="str">
        <f t="shared" si="94"/>
        <v>ARMBH4006</v>
      </c>
      <c r="E5999" t="s">
        <v>3057</v>
      </c>
    </row>
    <row r="6000" spans="1:5" x14ac:dyDescent="0.25">
      <c r="A6000">
        <v>2431</v>
      </c>
      <c r="B6000" t="s">
        <v>1707</v>
      </c>
      <c r="C6000" t="s">
        <v>3048</v>
      </c>
      <c r="D6000" t="str">
        <f t="shared" si="94"/>
        <v>ARMBH4701</v>
      </c>
      <c r="E6000" t="s">
        <v>3049</v>
      </c>
    </row>
    <row r="6001" spans="1:5" x14ac:dyDescent="0.25">
      <c r="A6001">
        <v>2431</v>
      </c>
      <c r="B6001" t="s">
        <v>1707</v>
      </c>
      <c r="C6001" t="s">
        <v>316</v>
      </c>
      <c r="D6001" t="str">
        <f t="shared" si="94"/>
        <v>ARMBH4706</v>
      </c>
      <c r="E6001" t="s">
        <v>3049</v>
      </c>
    </row>
    <row r="6002" spans="1:5" x14ac:dyDescent="0.25">
      <c r="A6002">
        <v>2431</v>
      </c>
      <c r="B6002" t="s">
        <v>1707</v>
      </c>
      <c r="C6002" t="s">
        <v>242</v>
      </c>
      <c r="D6002" t="str">
        <f t="shared" si="94"/>
        <v>ARMBH5201</v>
      </c>
      <c r="E6002" t="s">
        <v>2965</v>
      </c>
    </row>
    <row r="6003" spans="1:5" x14ac:dyDescent="0.25">
      <c r="A6003">
        <v>2431</v>
      </c>
      <c r="B6003" t="s">
        <v>1707</v>
      </c>
      <c r="C6003" t="s">
        <v>329</v>
      </c>
      <c r="D6003" t="str">
        <f t="shared" si="94"/>
        <v>ARMBH5206</v>
      </c>
      <c r="E6003" t="s">
        <v>3057</v>
      </c>
    </row>
    <row r="6004" spans="1:5" x14ac:dyDescent="0.25">
      <c r="A6004">
        <v>2431</v>
      </c>
      <c r="B6004" t="s">
        <v>1707</v>
      </c>
      <c r="C6004" t="s">
        <v>3058</v>
      </c>
      <c r="D6004" t="str">
        <f t="shared" si="94"/>
        <v>ARMBH5207</v>
      </c>
      <c r="E6004" t="s">
        <v>3057</v>
      </c>
    </row>
    <row r="6005" spans="1:5" x14ac:dyDescent="0.25">
      <c r="A6005">
        <v>2431</v>
      </c>
      <c r="B6005" t="s">
        <v>1707</v>
      </c>
      <c r="C6005" t="s">
        <v>3060</v>
      </c>
      <c r="D6005" t="str">
        <f t="shared" si="94"/>
        <v>ARMBH5208</v>
      </c>
      <c r="E6005" t="s">
        <v>3057</v>
      </c>
    </row>
    <row r="6006" spans="1:5" x14ac:dyDescent="0.25">
      <c r="A6006">
        <v>2431</v>
      </c>
      <c r="B6006" t="s">
        <v>1707</v>
      </c>
      <c r="C6006" t="s">
        <v>3074</v>
      </c>
      <c r="D6006" t="str">
        <f t="shared" si="94"/>
        <v>ARMBH9202</v>
      </c>
      <c r="E6006" t="s">
        <v>3075</v>
      </c>
    </row>
    <row r="6007" spans="1:5" x14ac:dyDescent="0.25">
      <c r="A6007">
        <v>2431</v>
      </c>
      <c r="B6007" t="s">
        <v>1707</v>
      </c>
      <c r="C6007" t="s">
        <v>54</v>
      </c>
      <c r="D6007" t="str">
        <f t="shared" si="94"/>
        <v>ARMBH3301</v>
      </c>
      <c r="E6007" t="s">
        <v>44</v>
      </c>
    </row>
    <row r="6008" spans="1:5" x14ac:dyDescent="0.25">
      <c r="A6008">
        <v>2431</v>
      </c>
      <c r="B6008" t="s">
        <v>1707</v>
      </c>
      <c r="C6008" t="s">
        <v>2950</v>
      </c>
      <c r="D6008" t="str">
        <f t="shared" si="94"/>
        <v>ARMBH3016</v>
      </c>
      <c r="E6008" t="s">
        <v>2933</v>
      </c>
    </row>
    <row r="6009" spans="1:5" x14ac:dyDescent="0.25">
      <c r="A6009">
        <v>2431</v>
      </c>
      <c r="B6009" t="s">
        <v>1707</v>
      </c>
      <c r="C6009" t="s">
        <v>469</v>
      </c>
      <c r="D6009" t="str">
        <f t="shared" si="94"/>
        <v>ARMBH3934</v>
      </c>
      <c r="E6009" t="s">
        <v>2968</v>
      </c>
    </row>
    <row r="6010" spans="1:5" x14ac:dyDescent="0.25">
      <c r="A6010">
        <v>2441</v>
      </c>
      <c r="B6010" t="s">
        <v>3349</v>
      </c>
      <c r="C6010" t="s">
        <v>332</v>
      </c>
      <c r="D6010" t="str">
        <f t="shared" si="94"/>
        <v>ARSAE-MG1314</v>
      </c>
      <c r="E6010" t="s">
        <v>2968</v>
      </c>
    </row>
    <row r="6011" spans="1:5" x14ac:dyDescent="0.25">
      <c r="A6011">
        <v>2441</v>
      </c>
      <c r="B6011" t="s">
        <v>3349</v>
      </c>
      <c r="C6011" t="s">
        <v>2942</v>
      </c>
      <c r="D6011" t="str">
        <f t="shared" si="94"/>
        <v>ARSAE-MG1317</v>
      </c>
      <c r="E6011" t="s">
        <v>3081</v>
      </c>
    </row>
    <row r="6012" spans="1:5" x14ac:dyDescent="0.25">
      <c r="A6012">
        <v>2441</v>
      </c>
      <c r="B6012" t="s">
        <v>3349</v>
      </c>
      <c r="C6012" t="s">
        <v>2928</v>
      </c>
      <c r="D6012" t="str">
        <f t="shared" si="94"/>
        <v>ARSAE-MG1401</v>
      </c>
      <c r="E6012" t="s">
        <v>44</v>
      </c>
    </row>
    <row r="6013" spans="1:5" x14ac:dyDescent="0.25">
      <c r="A6013">
        <v>2441</v>
      </c>
      <c r="B6013" t="s">
        <v>3349</v>
      </c>
      <c r="C6013" t="s">
        <v>2939</v>
      </c>
      <c r="D6013" t="str">
        <f t="shared" si="94"/>
        <v>ARSAE-MG3005</v>
      </c>
      <c r="E6013" t="s">
        <v>2933</v>
      </c>
    </row>
    <row r="6014" spans="1:5" x14ac:dyDescent="0.25">
      <c r="A6014">
        <v>2441</v>
      </c>
      <c r="B6014" t="s">
        <v>3349</v>
      </c>
      <c r="C6014" t="s">
        <v>2943</v>
      </c>
      <c r="D6014" t="str">
        <f t="shared" si="94"/>
        <v>ARSAE-MG3010</v>
      </c>
      <c r="E6014" t="s">
        <v>2944</v>
      </c>
    </row>
    <row r="6015" spans="1:5" x14ac:dyDescent="0.25">
      <c r="A6015">
        <v>2441</v>
      </c>
      <c r="B6015" t="s">
        <v>3349</v>
      </c>
      <c r="C6015" t="s">
        <v>2948</v>
      </c>
      <c r="D6015" t="str">
        <f t="shared" si="94"/>
        <v>ARSAE-MG3015</v>
      </c>
      <c r="E6015" t="s">
        <v>2933</v>
      </c>
    </row>
    <row r="6016" spans="1:5" x14ac:dyDescent="0.25">
      <c r="A6016">
        <v>2441</v>
      </c>
      <c r="B6016" t="s">
        <v>3349</v>
      </c>
      <c r="C6016" t="s">
        <v>2950</v>
      </c>
      <c r="D6016" t="str">
        <f t="shared" si="94"/>
        <v>ARSAE-MG3016</v>
      </c>
      <c r="E6016" t="s">
        <v>2933</v>
      </c>
    </row>
    <row r="6017" spans="1:5" x14ac:dyDescent="0.25">
      <c r="A6017">
        <v>2441</v>
      </c>
      <c r="B6017" t="s">
        <v>3349</v>
      </c>
      <c r="C6017" t="s">
        <v>406</v>
      </c>
      <c r="D6017" t="str">
        <f t="shared" si="94"/>
        <v>ARSAE-MG3017</v>
      </c>
      <c r="E6017" t="s">
        <v>2933</v>
      </c>
    </row>
    <row r="6018" spans="1:5" x14ac:dyDescent="0.25">
      <c r="A6018">
        <v>2441</v>
      </c>
      <c r="B6018" t="s">
        <v>3349</v>
      </c>
      <c r="C6018" t="s">
        <v>2955</v>
      </c>
      <c r="D6018" t="str">
        <f t="shared" si="94"/>
        <v>ARSAE-MG3020</v>
      </c>
      <c r="E6018" t="s">
        <v>2933</v>
      </c>
    </row>
    <row r="6019" spans="1:5" x14ac:dyDescent="0.25">
      <c r="A6019">
        <v>2441</v>
      </c>
      <c r="B6019" t="s">
        <v>3349</v>
      </c>
      <c r="C6019" t="s">
        <v>2957</v>
      </c>
      <c r="D6019" t="str">
        <f t="shared" si="94"/>
        <v>ARSAE-MG3023</v>
      </c>
      <c r="E6019" t="s">
        <v>2958</v>
      </c>
    </row>
    <row r="6020" spans="1:5" x14ac:dyDescent="0.25">
      <c r="A6020">
        <v>2441</v>
      </c>
      <c r="B6020" t="s">
        <v>3349</v>
      </c>
      <c r="C6020" t="s">
        <v>2959</v>
      </c>
      <c r="D6020" t="str">
        <f t="shared" si="94"/>
        <v>ARSAE-MG3025</v>
      </c>
      <c r="E6020" t="s">
        <v>2933</v>
      </c>
    </row>
    <row r="6021" spans="1:5" x14ac:dyDescent="0.25">
      <c r="A6021">
        <v>2441</v>
      </c>
      <c r="B6021" t="s">
        <v>3349</v>
      </c>
      <c r="C6021" t="s">
        <v>2960</v>
      </c>
      <c r="D6021" t="str">
        <f t="shared" ref="D6021:D6084" si="95">CONCATENATE(B6021,LEFT(C6021,4))</f>
        <v>ARSAE-MG3026</v>
      </c>
      <c r="E6021" t="s">
        <v>2958</v>
      </c>
    </row>
    <row r="6022" spans="1:5" x14ac:dyDescent="0.25">
      <c r="A6022">
        <v>2441</v>
      </c>
      <c r="B6022" t="s">
        <v>3349</v>
      </c>
      <c r="C6022" t="s">
        <v>467</v>
      </c>
      <c r="D6022" t="str">
        <f t="shared" si="95"/>
        <v>ARSAE-MG3030</v>
      </c>
      <c r="E6022" t="s">
        <v>2933</v>
      </c>
    </row>
    <row r="6023" spans="1:5" x14ac:dyDescent="0.25">
      <c r="A6023">
        <v>2441</v>
      </c>
      <c r="B6023" t="s">
        <v>3349</v>
      </c>
      <c r="C6023" t="s">
        <v>2975</v>
      </c>
      <c r="D6023" t="str">
        <f t="shared" si="95"/>
        <v>ARSAE-MG3302</v>
      </c>
      <c r="E6023" t="s">
        <v>44</v>
      </c>
    </row>
    <row r="6024" spans="1:5" x14ac:dyDescent="0.25">
      <c r="A6024">
        <v>2441</v>
      </c>
      <c r="B6024" t="s">
        <v>3349</v>
      </c>
      <c r="C6024" t="s">
        <v>2977</v>
      </c>
      <c r="D6024" t="str">
        <f t="shared" si="95"/>
        <v>ARSAE-MG3304</v>
      </c>
      <c r="E6024" t="s">
        <v>44</v>
      </c>
    </row>
    <row r="6025" spans="1:5" x14ac:dyDescent="0.25">
      <c r="A6025">
        <v>2441</v>
      </c>
      <c r="B6025" t="s">
        <v>3349</v>
      </c>
      <c r="C6025" t="s">
        <v>3201</v>
      </c>
      <c r="D6025" t="str">
        <f t="shared" si="95"/>
        <v>ARSAE-MG3502</v>
      </c>
      <c r="E6025" t="s">
        <v>1660</v>
      </c>
    </row>
    <row r="6026" spans="1:5" x14ac:dyDescent="0.25">
      <c r="A6026">
        <v>2441</v>
      </c>
      <c r="B6026" t="s">
        <v>3349</v>
      </c>
      <c r="C6026" t="s">
        <v>297</v>
      </c>
      <c r="D6026" t="str">
        <f t="shared" si="95"/>
        <v>ARSAE-MG3604</v>
      </c>
      <c r="E6026" t="s">
        <v>44</v>
      </c>
    </row>
    <row r="6027" spans="1:5" x14ac:dyDescent="0.25">
      <c r="A6027">
        <v>2441</v>
      </c>
      <c r="B6027" t="s">
        <v>3349</v>
      </c>
      <c r="C6027" t="s">
        <v>2979</v>
      </c>
      <c r="D6027" t="str">
        <f t="shared" si="95"/>
        <v>ARSAE-MG3612</v>
      </c>
      <c r="E6027" t="s">
        <v>2968</v>
      </c>
    </row>
    <row r="6028" spans="1:5" x14ac:dyDescent="0.25">
      <c r="A6028">
        <v>2441</v>
      </c>
      <c r="B6028" t="s">
        <v>3349</v>
      </c>
      <c r="C6028" t="s">
        <v>2985</v>
      </c>
      <c r="D6028" t="str">
        <f t="shared" si="95"/>
        <v>ARSAE-MG3704</v>
      </c>
      <c r="E6028" t="s">
        <v>117</v>
      </c>
    </row>
    <row r="6029" spans="1:5" x14ac:dyDescent="0.25">
      <c r="A6029">
        <v>2441</v>
      </c>
      <c r="B6029" t="s">
        <v>3349</v>
      </c>
      <c r="C6029" t="s">
        <v>2986</v>
      </c>
      <c r="D6029" t="str">
        <f t="shared" si="95"/>
        <v>ARSAE-MG3705</v>
      </c>
      <c r="E6029" t="s">
        <v>117</v>
      </c>
    </row>
    <row r="6030" spans="1:5" x14ac:dyDescent="0.25">
      <c r="A6030">
        <v>2441</v>
      </c>
      <c r="B6030" t="s">
        <v>3349</v>
      </c>
      <c r="C6030" t="s">
        <v>299</v>
      </c>
      <c r="D6030" t="str">
        <f t="shared" si="95"/>
        <v>ARSAE-MG3904</v>
      </c>
      <c r="E6030" t="s">
        <v>2968</v>
      </c>
    </row>
    <row r="6031" spans="1:5" x14ac:dyDescent="0.25">
      <c r="A6031">
        <v>2441</v>
      </c>
      <c r="B6031" t="s">
        <v>3349</v>
      </c>
      <c r="C6031" t="s">
        <v>336</v>
      </c>
      <c r="D6031" t="str">
        <f t="shared" si="95"/>
        <v>ARSAE-MG3909</v>
      </c>
      <c r="E6031" t="s">
        <v>3292</v>
      </c>
    </row>
    <row r="6032" spans="1:5" x14ac:dyDescent="0.25">
      <c r="A6032">
        <v>2441</v>
      </c>
      <c r="B6032" t="s">
        <v>3349</v>
      </c>
      <c r="C6032" t="s">
        <v>346</v>
      </c>
      <c r="D6032" t="str">
        <f t="shared" si="95"/>
        <v>ARSAE-MG3910</v>
      </c>
      <c r="E6032" t="s">
        <v>3264</v>
      </c>
    </row>
    <row r="6033" spans="1:5" x14ac:dyDescent="0.25">
      <c r="A6033">
        <v>2441</v>
      </c>
      <c r="B6033" t="s">
        <v>3349</v>
      </c>
      <c r="C6033" t="s">
        <v>2996</v>
      </c>
      <c r="D6033" t="str">
        <f t="shared" si="95"/>
        <v>ARSAE-MG3917</v>
      </c>
      <c r="E6033" t="s">
        <v>2958</v>
      </c>
    </row>
    <row r="6034" spans="1:5" x14ac:dyDescent="0.25">
      <c r="A6034">
        <v>2441</v>
      </c>
      <c r="B6034" t="s">
        <v>3349</v>
      </c>
      <c r="C6034" t="s">
        <v>2998</v>
      </c>
      <c r="D6034" t="str">
        <f t="shared" si="95"/>
        <v>ARSAE-MG3918</v>
      </c>
      <c r="E6034" t="s">
        <v>2958</v>
      </c>
    </row>
    <row r="6035" spans="1:5" x14ac:dyDescent="0.25">
      <c r="A6035">
        <v>2441</v>
      </c>
      <c r="B6035" t="s">
        <v>3349</v>
      </c>
      <c r="C6035" t="s">
        <v>3000</v>
      </c>
      <c r="D6035" t="str">
        <f t="shared" si="95"/>
        <v>ARSAE-MG3919</v>
      </c>
      <c r="E6035" t="s">
        <v>3001</v>
      </c>
    </row>
    <row r="6036" spans="1:5" x14ac:dyDescent="0.25">
      <c r="A6036">
        <v>2441</v>
      </c>
      <c r="B6036" t="s">
        <v>3349</v>
      </c>
      <c r="C6036" t="s">
        <v>3002</v>
      </c>
      <c r="D6036" t="str">
        <f t="shared" si="95"/>
        <v>ARSAE-MG3921</v>
      </c>
      <c r="E6036" t="s">
        <v>3001</v>
      </c>
    </row>
    <row r="6037" spans="1:5" x14ac:dyDescent="0.25">
      <c r="A6037">
        <v>2441</v>
      </c>
      <c r="B6037" t="s">
        <v>3349</v>
      </c>
      <c r="C6037" t="s">
        <v>566</v>
      </c>
      <c r="D6037" t="str">
        <f t="shared" si="95"/>
        <v>ARSAE-MG3924</v>
      </c>
      <c r="E6037" t="s">
        <v>3004</v>
      </c>
    </row>
    <row r="6038" spans="1:5" x14ac:dyDescent="0.25">
      <c r="A6038">
        <v>2441</v>
      </c>
      <c r="B6038" t="s">
        <v>3349</v>
      </c>
      <c r="C6038" t="s">
        <v>443</v>
      </c>
      <c r="D6038" t="str">
        <f t="shared" si="95"/>
        <v>ARSAE-MG3926</v>
      </c>
      <c r="E6038" t="s">
        <v>2968</v>
      </c>
    </row>
    <row r="6039" spans="1:5" x14ac:dyDescent="0.25">
      <c r="A6039">
        <v>2441</v>
      </c>
      <c r="B6039" t="s">
        <v>3349</v>
      </c>
      <c r="C6039" t="s">
        <v>1481</v>
      </c>
      <c r="D6039" t="str">
        <f t="shared" si="95"/>
        <v>ARSAE-MG3931</v>
      </c>
      <c r="E6039" t="s">
        <v>3265</v>
      </c>
    </row>
    <row r="6040" spans="1:5" x14ac:dyDescent="0.25">
      <c r="A6040">
        <v>2441</v>
      </c>
      <c r="B6040" t="s">
        <v>3349</v>
      </c>
      <c r="C6040" t="s">
        <v>3017</v>
      </c>
      <c r="D6040" t="str">
        <f t="shared" si="95"/>
        <v>ARSAE-MG3936</v>
      </c>
      <c r="E6040" t="s">
        <v>94</v>
      </c>
    </row>
    <row r="6041" spans="1:5" x14ac:dyDescent="0.25">
      <c r="A6041">
        <v>2441</v>
      </c>
      <c r="B6041" t="s">
        <v>3349</v>
      </c>
      <c r="C6041" t="s">
        <v>3019</v>
      </c>
      <c r="D6041" t="str">
        <f t="shared" si="95"/>
        <v>ARSAE-MG3940</v>
      </c>
      <c r="E6041" t="s">
        <v>3009</v>
      </c>
    </row>
    <row r="6042" spans="1:5" x14ac:dyDescent="0.25">
      <c r="A6042">
        <v>2441</v>
      </c>
      <c r="B6042" t="s">
        <v>3349</v>
      </c>
      <c r="C6042" t="s">
        <v>480</v>
      </c>
      <c r="D6042" t="str">
        <f t="shared" si="95"/>
        <v>ARSAE-MG3941</v>
      </c>
      <c r="E6042" t="s">
        <v>3267</v>
      </c>
    </row>
    <row r="6043" spans="1:5" x14ac:dyDescent="0.25">
      <c r="A6043">
        <v>2441</v>
      </c>
      <c r="B6043" t="s">
        <v>3349</v>
      </c>
      <c r="C6043" t="s">
        <v>3020</v>
      </c>
      <c r="D6043" t="str">
        <f t="shared" si="95"/>
        <v>ARSAE-MG3943</v>
      </c>
      <c r="E6043" t="s">
        <v>2958</v>
      </c>
    </row>
    <row r="6044" spans="1:5" x14ac:dyDescent="0.25">
      <c r="A6044">
        <v>2441</v>
      </c>
      <c r="B6044" t="s">
        <v>3349</v>
      </c>
      <c r="C6044" t="s">
        <v>492</v>
      </c>
      <c r="D6044" t="str">
        <f t="shared" si="95"/>
        <v>ARSAE-MG3948</v>
      </c>
      <c r="E6044" t="s">
        <v>3004</v>
      </c>
    </row>
    <row r="6045" spans="1:5" x14ac:dyDescent="0.25">
      <c r="A6045">
        <v>2441</v>
      </c>
      <c r="B6045" t="s">
        <v>3349</v>
      </c>
      <c r="C6045" t="s">
        <v>3098</v>
      </c>
      <c r="D6045" t="str">
        <f t="shared" si="95"/>
        <v>ARSAE-MG3952</v>
      </c>
      <c r="E6045" t="s">
        <v>65</v>
      </c>
    </row>
    <row r="6046" spans="1:5" x14ac:dyDescent="0.25">
      <c r="A6046">
        <v>2441</v>
      </c>
      <c r="B6046" t="s">
        <v>3349</v>
      </c>
      <c r="C6046" t="s">
        <v>501</v>
      </c>
      <c r="D6046" t="str">
        <f t="shared" si="95"/>
        <v>ARSAE-MG3958</v>
      </c>
      <c r="E6046" t="s">
        <v>3314</v>
      </c>
    </row>
    <row r="6047" spans="1:5" x14ac:dyDescent="0.25">
      <c r="A6047">
        <v>2441</v>
      </c>
      <c r="B6047" t="s">
        <v>3349</v>
      </c>
      <c r="C6047" t="s">
        <v>3102</v>
      </c>
      <c r="D6047" t="str">
        <f t="shared" si="95"/>
        <v>ARSAE-MG3960</v>
      </c>
      <c r="E6047" t="s">
        <v>3270</v>
      </c>
    </row>
    <row r="6048" spans="1:5" x14ac:dyDescent="0.25">
      <c r="A6048">
        <v>2441</v>
      </c>
      <c r="B6048" t="s">
        <v>3349</v>
      </c>
      <c r="C6048" t="s">
        <v>3036</v>
      </c>
      <c r="D6048" t="str">
        <f t="shared" si="95"/>
        <v>ARSAE-MG3987</v>
      </c>
      <c r="E6048" t="s">
        <v>2958</v>
      </c>
    </row>
    <row r="6049" spans="1:5" x14ac:dyDescent="0.25">
      <c r="A6049">
        <v>2441</v>
      </c>
      <c r="B6049" t="s">
        <v>3349</v>
      </c>
      <c r="C6049" t="s">
        <v>3040</v>
      </c>
      <c r="D6049" t="str">
        <f t="shared" si="95"/>
        <v>ARSAE-MG3999</v>
      </c>
      <c r="E6049" t="s">
        <v>3275</v>
      </c>
    </row>
    <row r="6050" spans="1:5" x14ac:dyDescent="0.25">
      <c r="A6050">
        <v>2441</v>
      </c>
      <c r="B6050" t="s">
        <v>3349</v>
      </c>
      <c r="C6050" t="s">
        <v>3041</v>
      </c>
      <c r="D6050" t="str">
        <f t="shared" si="95"/>
        <v>ARSAE-MG4002</v>
      </c>
      <c r="E6050" t="s">
        <v>3009</v>
      </c>
    </row>
    <row r="6051" spans="1:5" x14ac:dyDescent="0.25">
      <c r="A6051">
        <v>2441</v>
      </c>
      <c r="B6051" t="s">
        <v>3349</v>
      </c>
      <c r="C6051" t="s">
        <v>3043</v>
      </c>
      <c r="D6051" t="str">
        <f t="shared" si="95"/>
        <v>ARSAE-MG4003</v>
      </c>
      <c r="E6051" t="s">
        <v>94</v>
      </c>
    </row>
    <row r="6052" spans="1:5" x14ac:dyDescent="0.25">
      <c r="A6052">
        <v>2441</v>
      </c>
      <c r="B6052" t="s">
        <v>3349</v>
      </c>
      <c r="C6052" t="s">
        <v>3045</v>
      </c>
      <c r="D6052" t="str">
        <f t="shared" si="95"/>
        <v>ARSAE-MG4004</v>
      </c>
      <c r="E6052" t="s">
        <v>3009</v>
      </c>
    </row>
    <row r="6053" spans="1:5" x14ac:dyDescent="0.25">
      <c r="A6053">
        <v>2441</v>
      </c>
      <c r="B6053" t="s">
        <v>3349</v>
      </c>
      <c r="C6053" t="s">
        <v>813</v>
      </c>
      <c r="D6053" t="str">
        <f t="shared" si="95"/>
        <v>ARSAE-MG4006</v>
      </c>
      <c r="E6053" t="s">
        <v>3057</v>
      </c>
    </row>
    <row r="6054" spans="1:5" x14ac:dyDescent="0.25">
      <c r="A6054">
        <v>2441</v>
      </c>
      <c r="B6054" t="s">
        <v>3349</v>
      </c>
      <c r="C6054" t="s">
        <v>3138</v>
      </c>
      <c r="D6054" t="str">
        <f t="shared" si="95"/>
        <v>ARSAE-MG4007</v>
      </c>
      <c r="E6054" t="s">
        <v>94</v>
      </c>
    </row>
    <row r="6055" spans="1:5" x14ac:dyDescent="0.25">
      <c r="A6055">
        <v>2441</v>
      </c>
      <c r="B6055" t="s">
        <v>3349</v>
      </c>
      <c r="C6055" t="s">
        <v>3048</v>
      </c>
      <c r="D6055" t="str">
        <f t="shared" si="95"/>
        <v>ARSAE-MG4701</v>
      </c>
      <c r="E6055" t="s">
        <v>3049</v>
      </c>
    </row>
    <row r="6056" spans="1:5" x14ac:dyDescent="0.25">
      <c r="A6056">
        <v>2441</v>
      </c>
      <c r="B6056" t="s">
        <v>3349</v>
      </c>
      <c r="C6056" t="s">
        <v>316</v>
      </c>
      <c r="D6056" t="str">
        <f t="shared" si="95"/>
        <v>ARSAE-MG4706</v>
      </c>
      <c r="E6056" t="s">
        <v>3049</v>
      </c>
    </row>
    <row r="6057" spans="1:5" x14ac:dyDescent="0.25">
      <c r="A6057">
        <v>2441</v>
      </c>
      <c r="B6057" t="s">
        <v>3349</v>
      </c>
      <c r="C6057" t="s">
        <v>3058</v>
      </c>
      <c r="D6057" t="str">
        <f t="shared" si="95"/>
        <v>ARSAE-MG5207</v>
      </c>
      <c r="E6057" t="s">
        <v>3057</v>
      </c>
    </row>
    <row r="6058" spans="1:5" x14ac:dyDescent="0.25">
      <c r="A6058">
        <v>2441</v>
      </c>
      <c r="B6058" t="s">
        <v>3349</v>
      </c>
      <c r="C6058" t="s">
        <v>3060</v>
      </c>
      <c r="D6058" t="str">
        <f t="shared" si="95"/>
        <v>ARSAE-MG5208</v>
      </c>
      <c r="E6058" t="s">
        <v>3057</v>
      </c>
    </row>
    <row r="6059" spans="1:5" x14ac:dyDescent="0.25">
      <c r="A6059">
        <v>2441</v>
      </c>
      <c r="B6059" t="s">
        <v>3349</v>
      </c>
      <c r="C6059" t="s">
        <v>409</v>
      </c>
      <c r="D6059" t="str">
        <f t="shared" si="95"/>
        <v>ARSAE-MG5217</v>
      </c>
      <c r="E6059" t="s">
        <v>3067</v>
      </c>
    </row>
    <row r="6060" spans="1:5" x14ac:dyDescent="0.25">
      <c r="A6060">
        <v>2441</v>
      </c>
      <c r="B6060" t="s">
        <v>3349</v>
      </c>
      <c r="C6060" t="s">
        <v>3074</v>
      </c>
      <c r="D6060" t="str">
        <f t="shared" si="95"/>
        <v>ARSAE-MG9202</v>
      </c>
      <c r="E6060" t="s">
        <v>3075</v>
      </c>
    </row>
    <row r="6061" spans="1:5" x14ac:dyDescent="0.25">
      <c r="A6061">
        <v>2441</v>
      </c>
      <c r="B6061" t="s">
        <v>3349</v>
      </c>
      <c r="C6061" t="s">
        <v>498</v>
      </c>
      <c r="D6061" t="str">
        <f t="shared" si="95"/>
        <v>ARSAE-MG3955</v>
      </c>
      <c r="E6061" t="s">
        <v>2968</v>
      </c>
    </row>
    <row r="6062" spans="1:5" x14ac:dyDescent="0.25">
      <c r="A6062">
        <v>2441</v>
      </c>
      <c r="B6062" t="s">
        <v>3349</v>
      </c>
      <c r="C6062" t="s">
        <v>3079</v>
      </c>
      <c r="D6062" t="str">
        <f t="shared" si="95"/>
        <v>ARSAE-MG9399</v>
      </c>
      <c r="E6062" t="s">
        <v>3330</v>
      </c>
    </row>
    <row r="6063" spans="1:5" x14ac:dyDescent="0.25">
      <c r="A6063">
        <v>2441</v>
      </c>
      <c r="B6063" t="s">
        <v>3349</v>
      </c>
      <c r="C6063" t="s">
        <v>3063</v>
      </c>
      <c r="D6063" t="str">
        <f t="shared" si="95"/>
        <v>ARSAE-MG5210</v>
      </c>
      <c r="E6063" t="s">
        <v>3055</v>
      </c>
    </row>
    <row r="6064" spans="1:5" x14ac:dyDescent="0.25">
      <c r="A6064">
        <v>2461</v>
      </c>
      <c r="B6064" t="s">
        <v>1708</v>
      </c>
      <c r="C6064" t="s">
        <v>332</v>
      </c>
      <c r="D6064" t="str">
        <f t="shared" si="95"/>
        <v>ARMVA1314</v>
      </c>
      <c r="E6064" t="s">
        <v>3081</v>
      </c>
    </row>
    <row r="6065" spans="1:5" x14ac:dyDescent="0.25">
      <c r="A6065">
        <v>2461</v>
      </c>
      <c r="B6065" t="s">
        <v>1708</v>
      </c>
      <c r="C6065" t="s">
        <v>2928</v>
      </c>
      <c r="D6065" t="str">
        <f t="shared" si="95"/>
        <v>ARMVA1401</v>
      </c>
      <c r="E6065" t="s">
        <v>44</v>
      </c>
    </row>
    <row r="6066" spans="1:5" x14ac:dyDescent="0.25">
      <c r="A6066">
        <v>2461</v>
      </c>
      <c r="B6066" t="s">
        <v>1708</v>
      </c>
      <c r="C6066" t="s">
        <v>2932</v>
      </c>
      <c r="D6066" t="str">
        <f t="shared" si="95"/>
        <v>ARMVA3001</v>
      </c>
      <c r="E6066" t="s">
        <v>2933</v>
      </c>
    </row>
    <row r="6067" spans="1:5" x14ac:dyDescent="0.25">
      <c r="A6067">
        <v>2461</v>
      </c>
      <c r="B6067" t="s">
        <v>1708</v>
      </c>
      <c r="C6067" t="s">
        <v>979</v>
      </c>
      <c r="D6067" t="str">
        <f t="shared" si="95"/>
        <v>ARMVA3003</v>
      </c>
      <c r="E6067" t="s">
        <v>2933</v>
      </c>
    </row>
    <row r="6068" spans="1:5" x14ac:dyDescent="0.25">
      <c r="A6068">
        <v>2461</v>
      </c>
      <c r="B6068" t="s">
        <v>1708</v>
      </c>
      <c r="C6068" t="s">
        <v>2939</v>
      </c>
      <c r="D6068" t="str">
        <f t="shared" si="95"/>
        <v>ARMVA3005</v>
      </c>
      <c r="E6068" t="s">
        <v>2933</v>
      </c>
    </row>
    <row r="6069" spans="1:5" x14ac:dyDescent="0.25">
      <c r="A6069">
        <v>2461</v>
      </c>
      <c r="B6069" t="s">
        <v>1708</v>
      </c>
      <c r="C6069" t="s">
        <v>2941</v>
      </c>
      <c r="D6069" t="str">
        <f t="shared" si="95"/>
        <v>ARMVA3008</v>
      </c>
      <c r="E6069" t="s">
        <v>2933</v>
      </c>
    </row>
    <row r="6070" spans="1:5" x14ac:dyDescent="0.25">
      <c r="A6070">
        <v>2461</v>
      </c>
      <c r="B6070" t="s">
        <v>1708</v>
      </c>
      <c r="C6070" t="s">
        <v>2943</v>
      </c>
      <c r="D6070" t="str">
        <f t="shared" si="95"/>
        <v>ARMVA3010</v>
      </c>
      <c r="E6070" t="s">
        <v>2944</v>
      </c>
    </row>
    <row r="6071" spans="1:5" x14ac:dyDescent="0.25">
      <c r="A6071">
        <v>2461</v>
      </c>
      <c r="B6071" t="s">
        <v>1708</v>
      </c>
      <c r="C6071" t="s">
        <v>138</v>
      </c>
      <c r="D6071" t="str">
        <f t="shared" si="95"/>
        <v>ARMVA3012</v>
      </c>
      <c r="E6071" t="s">
        <v>2944</v>
      </c>
    </row>
    <row r="6072" spans="1:5" x14ac:dyDescent="0.25">
      <c r="A6072">
        <v>2461</v>
      </c>
      <c r="B6072" t="s">
        <v>1708</v>
      </c>
      <c r="C6072" t="s">
        <v>2948</v>
      </c>
      <c r="D6072" t="str">
        <f t="shared" si="95"/>
        <v>ARMVA3015</v>
      </c>
      <c r="E6072" t="s">
        <v>2933</v>
      </c>
    </row>
    <row r="6073" spans="1:5" x14ac:dyDescent="0.25">
      <c r="A6073">
        <v>2461</v>
      </c>
      <c r="B6073" t="s">
        <v>1708</v>
      </c>
      <c r="C6073" t="s">
        <v>2950</v>
      </c>
      <c r="D6073" t="str">
        <f t="shared" si="95"/>
        <v>ARMVA3016</v>
      </c>
      <c r="E6073" t="s">
        <v>2933</v>
      </c>
    </row>
    <row r="6074" spans="1:5" x14ac:dyDescent="0.25">
      <c r="A6074">
        <v>2461</v>
      </c>
      <c r="B6074" t="s">
        <v>1708</v>
      </c>
      <c r="C6074" t="s">
        <v>406</v>
      </c>
      <c r="D6074" t="str">
        <f t="shared" si="95"/>
        <v>ARMVA3017</v>
      </c>
      <c r="E6074" t="s">
        <v>2933</v>
      </c>
    </row>
    <row r="6075" spans="1:5" x14ac:dyDescent="0.25">
      <c r="A6075">
        <v>2461</v>
      </c>
      <c r="B6075" t="s">
        <v>1708</v>
      </c>
      <c r="C6075" t="s">
        <v>2955</v>
      </c>
      <c r="D6075" t="str">
        <f t="shared" si="95"/>
        <v>ARMVA3020</v>
      </c>
      <c r="E6075" t="s">
        <v>2933</v>
      </c>
    </row>
    <row r="6076" spans="1:5" x14ac:dyDescent="0.25">
      <c r="A6076">
        <v>2461</v>
      </c>
      <c r="B6076" t="s">
        <v>1708</v>
      </c>
      <c r="C6076" t="s">
        <v>431</v>
      </c>
      <c r="D6076" t="str">
        <f t="shared" si="95"/>
        <v>ARMVA3022</v>
      </c>
      <c r="E6076" t="s">
        <v>2933</v>
      </c>
    </row>
    <row r="6077" spans="1:5" x14ac:dyDescent="0.25">
      <c r="A6077">
        <v>2461</v>
      </c>
      <c r="B6077" t="s">
        <v>1708</v>
      </c>
      <c r="C6077" t="s">
        <v>441</v>
      </c>
      <c r="D6077" t="str">
        <f t="shared" si="95"/>
        <v>ARMVA3024</v>
      </c>
      <c r="E6077" t="s">
        <v>2933</v>
      </c>
    </row>
    <row r="6078" spans="1:5" x14ac:dyDescent="0.25">
      <c r="A6078">
        <v>2461</v>
      </c>
      <c r="B6078" t="s">
        <v>1708</v>
      </c>
      <c r="C6078" t="s">
        <v>2959</v>
      </c>
      <c r="D6078" t="str">
        <f t="shared" si="95"/>
        <v>ARMVA3025</v>
      </c>
      <c r="E6078" t="s">
        <v>2933</v>
      </c>
    </row>
    <row r="6079" spans="1:5" x14ac:dyDescent="0.25">
      <c r="A6079">
        <v>2461</v>
      </c>
      <c r="B6079" t="s">
        <v>1708</v>
      </c>
      <c r="C6079" t="s">
        <v>2960</v>
      </c>
      <c r="D6079" t="str">
        <f t="shared" si="95"/>
        <v>ARMVA3026</v>
      </c>
      <c r="E6079" t="s">
        <v>2958</v>
      </c>
    </row>
    <row r="6080" spans="1:5" x14ac:dyDescent="0.25">
      <c r="A6080">
        <v>2461</v>
      </c>
      <c r="B6080" t="s">
        <v>1708</v>
      </c>
      <c r="C6080" t="s">
        <v>477</v>
      </c>
      <c r="D6080" t="str">
        <f t="shared" si="95"/>
        <v>ARMVA3034</v>
      </c>
      <c r="E6080" t="s">
        <v>2965</v>
      </c>
    </row>
    <row r="6081" spans="1:5" x14ac:dyDescent="0.25">
      <c r="A6081">
        <v>2461</v>
      </c>
      <c r="B6081" t="s">
        <v>1708</v>
      </c>
      <c r="C6081" t="s">
        <v>487</v>
      </c>
      <c r="D6081" t="str">
        <f t="shared" si="95"/>
        <v>ARMVA3040</v>
      </c>
      <c r="E6081" t="s">
        <v>2933</v>
      </c>
    </row>
    <row r="6082" spans="1:5" x14ac:dyDescent="0.25">
      <c r="A6082">
        <v>2461</v>
      </c>
      <c r="B6082" t="s">
        <v>1708</v>
      </c>
      <c r="C6082" t="s">
        <v>2993</v>
      </c>
      <c r="D6082" t="str">
        <f t="shared" si="95"/>
        <v>ARMVA3041</v>
      </c>
      <c r="E6082" t="s">
        <v>2968</v>
      </c>
    </row>
    <row r="6083" spans="1:5" x14ac:dyDescent="0.25">
      <c r="A6083">
        <v>2461</v>
      </c>
      <c r="B6083" t="s">
        <v>1708</v>
      </c>
      <c r="C6083" t="s">
        <v>491</v>
      </c>
      <c r="D6083" t="str">
        <f t="shared" si="95"/>
        <v>ARMVA3099</v>
      </c>
      <c r="E6083" t="s">
        <v>2933</v>
      </c>
    </row>
    <row r="6084" spans="1:5" x14ac:dyDescent="0.25">
      <c r="A6084">
        <v>2461</v>
      </c>
      <c r="B6084" t="s">
        <v>1708</v>
      </c>
      <c r="C6084" t="s">
        <v>294</v>
      </c>
      <c r="D6084" t="str">
        <f t="shared" si="95"/>
        <v>ARMVA3104</v>
      </c>
      <c r="E6084" t="s">
        <v>2968</v>
      </c>
    </row>
    <row r="6085" spans="1:5" x14ac:dyDescent="0.25">
      <c r="A6085">
        <v>2461</v>
      </c>
      <c r="B6085" t="s">
        <v>1708</v>
      </c>
      <c r="C6085" t="s">
        <v>54</v>
      </c>
      <c r="D6085" t="str">
        <f t="shared" ref="D6085:D6144" si="96">CONCATENATE(B6085,LEFT(C6085,4))</f>
        <v>ARMVA3301</v>
      </c>
      <c r="E6085" t="s">
        <v>44</v>
      </c>
    </row>
    <row r="6086" spans="1:5" x14ac:dyDescent="0.25">
      <c r="A6086">
        <v>2461</v>
      </c>
      <c r="B6086" t="s">
        <v>1708</v>
      </c>
      <c r="C6086" t="s">
        <v>2975</v>
      </c>
      <c r="D6086" t="str">
        <f t="shared" si="96"/>
        <v>ARMVA3302</v>
      </c>
      <c r="E6086" t="s">
        <v>44</v>
      </c>
    </row>
    <row r="6087" spans="1:5" x14ac:dyDescent="0.25">
      <c r="A6087">
        <v>2461</v>
      </c>
      <c r="B6087" t="s">
        <v>1708</v>
      </c>
      <c r="C6087" t="s">
        <v>2977</v>
      </c>
      <c r="D6087" t="str">
        <f t="shared" si="96"/>
        <v>ARMVA3304</v>
      </c>
      <c r="E6087" t="s">
        <v>44</v>
      </c>
    </row>
    <row r="6088" spans="1:5" x14ac:dyDescent="0.25">
      <c r="A6088">
        <v>2461</v>
      </c>
      <c r="B6088" t="s">
        <v>1708</v>
      </c>
      <c r="C6088" t="s">
        <v>3201</v>
      </c>
      <c r="D6088" t="str">
        <f t="shared" si="96"/>
        <v>ARMVA3502</v>
      </c>
      <c r="E6088" t="s">
        <v>1660</v>
      </c>
    </row>
    <row r="6089" spans="1:5" x14ac:dyDescent="0.25">
      <c r="A6089">
        <v>2461</v>
      </c>
      <c r="B6089" t="s">
        <v>1708</v>
      </c>
      <c r="C6089" t="s">
        <v>297</v>
      </c>
      <c r="D6089" t="str">
        <f t="shared" si="96"/>
        <v>ARMVA3604</v>
      </c>
      <c r="E6089" t="s">
        <v>44</v>
      </c>
    </row>
    <row r="6090" spans="1:5" x14ac:dyDescent="0.25">
      <c r="A6090">
        <v>2461</v>
      </c>
      <c r="B6090" t="s">
        <v>1708</v>
      </c>
      <c r="C6090" t="s">
        <v>355</v>
      </c>
      <c r="D6090" t="str">
        <f t="shared" si="96"/>
        <v>ARMVA3610</v>
      </c>
      <c r="E6090" t="s">
        <v>2968</v>
      </c>
    </row>
    <row r="6091" spans="1:5" x14ac:dyDescent="0.25">
      <c r="A6091">
        <v>2461</v>
      </c>
      <c r="B6091" t="s">
        <v>1708</v>
      </c>
      <c r="C6091" t="s">
        <v>2979</v>
      </c>
      <c r="D6091" t="str">
        <f t="shared" si="96"/>
        <v>ARMVA3612</v>
      </c>
      <c r="E6091" t="s">
        <v>2968</v>
      </c>
    </row>
    <row r="6092" spans="1:5" x14ac:dyDescent="0.25">
      <c r="A6092">
        <v>2461</v>
      </c>
      <c r="B6092" t="s">
        <v>1708</v>
      </c>
      <c r="C6092" t="s">
        <v>471</v>
      </c>
      <c r="D6092" t="str">
        <f t="shared" si="96"/>
        <v>ARMVA3699</v>
      </c>
      <c r="E6092" t="s">
        <v>2968</v>
      </c>
    </row>
    <row r="6093" spans="1:5" x14ac:dyDescent="0.25">
      <c r="A6093">
        <v>2461</v>
      </c>
      <c r="B6093" t="s">
        <v>1708</v>
      </c>
      <c r="C6093" t="s">
        <v>3050</v>
      </c>
      <c r="D6093" t="str">
        <f t="shared" si="96"/>
        <v>ARMVA3702</v>
      </c>
      <c r="E6093" t="s">
        <v>2981</v>
      </c>
    </row>
    <row r="6094" spans="1:5" x14ac:dyDescent="0.25">
      <c r="A6094">
        <v>2461</v>
      </c>
      <c r="B6094" t="s">
        <v>1708</v>
      </c>
      <c r="C6094" t="s">
        <v>2983</v>
      </c>
      <c r="D6094" t="str">
        <f t="shared" si="96"/>
        <v>ARMVA3703</v>
      </c>
      <c r="E6094" t="s">
        <v>117</v>
      </c>
    </row>
    <row r="6095" spans="1:5" x14ac:dyDescent="0.25">
      <c r="A6095">
        <v>2461</v>
      </c>
      <c r="B6095" t="s">
        <v>1708</v>
      </c>
      <c r="C6095" t="s">
        <v>2985</v>
      </c>
      <c r="D6095" t="str">
        <f t="shared" si="96"/>
        <v>ARMVA3704</v>
      </c>
      <c r="E6095" t="s">
        <v>117</v>
      </c>
    </row>
    <row r="6096" spans="1:5" x14ac:dyDescent="0.25">
      <c r="A6096">
        <v>2461</v>
      </c>
      <c r="B6096" t="s">
        <v>1708</v>
      </c>
      <c r="C6096" t="s">
        <v>2986</v>
      </c>
      <c r="D6096" t="str">
        <f t="shared" si="96"/>
        <v>ARMVA3705</v>
      </c>
      <c r="E6096" t="s">
        <v>117</v>
      </c>
    </row>
    <row r="6097" spans="1:5" x14ac:dyDescent="0.25">
      <c r="A6097">
        <v>2461</v>
      </c>
      <c r="B6097" t="s">
        <v>1708</v>
      </c>
      <c r="C6097" t="s">
        <v>2988</v>
      </c>
      <c r="D6097" t="str">
        <f t="shared" si="96"/>
        <v>ARMVA3903</v>
      </c>
      <c r="E6097" t="s">
        <v>87</v>
      </c>
    </row>
    <row r="6098" spans="1:5" x14ac:dyDescent="0.25">
      <c r="A6098">
        <v>2461</v>
      </c>
      <c r="B6098" t="s">
        <v>1708</v>
      </c>
      <c r="C6098" t="s">
        <v>336</v>
      </c>
      <c r="D6098" t="str">
        <f t="shared" si="96"/>
        <v>ARMVA3909</v>
      </c>
      <c r="E6098" t="s">
        <v>2968</v>
      </c>
    </row>
    <row r="6099" spans="1:5" x14ac:dyDescent="0.25">
      <c r="A6099">
        <v>2461</v>
      </c>
      <c r="B6099" t="s">
        <v>1708</v>
      </c>
      <c r="C6099" t="s">
        <v>346</v>
      </c>
      <c r="D6099" t="str">
        <f t="shared" si="96"/>
        <v>ARMVA3910</v>
      </c>
      <c r="E6099" t="s">
        <v>2968</v>
      </c>
    </row>
    <row r="6100" spans="1:5" x14ac:dyDescent="0.25">
      <c r="A6100">
        <v>2461</v>
      </c>
      <c r="B6100" t="s">
        <v>1708</v>
      </c>
      <c r="C6100" t="s">
        <v>2991</v>
      </c>
      <c r="D6100" t="str">
        <f t="shared" si="96"/>
        <v>ARMVA3912</v>
      </c>
      <c r="E6100" t="s">
        <v>2992</v>
      </c>
    </row>
    <row r="6101" spans="1:5" x14ac:dyDescent="0.25">
      <c r="A6101">
        <v>2461</v>
      </c>
      <c r="B6101" t="s">
        <v>1708</v>
      </c>
      <c r="C6101" t="s">
        <v>384</v>
      </c>
      <c r="D6101" t="str">
        <f t="shared" si="96"/>
        <v>ARMVA3915</v>
      </c>
      <c r="E6101" t="s">
        <v>2992</v>
      </c>
    </row>
    <row r="6102" spans="1:5" x14ac:dyDescent="0.25">
      <c r="A6102">
        <v>2461</v>
      </c>
      <c r="B6102" t="s">
        <v>1708</v>
      </c>
      <c r="C6102" t="s">
        <v>2996</v>
      </c>
      <c r="D6102" t="str">
        <f t="shared" si="96"/>
        <v>ARMVA3917</v>
      </c>
      <c r="E6102" t="s">
        <v>2958</v>
      </c>
    </row>
    <row r="6103" spans="1:5" x14ac:dyDescent="0.25">
      <c r="A6103">
        <v>2461</v>
      </c>
      <c r="B6103" t="s">
        <v>1708</v>
      </c>
      <c r="C6103" t="s">
        <v>2998</v>
      </c>
      <c r="D6103" t="str">
        <f t="shared" si="96"/>
        <v>ARMVA3918</v>
      </c>
      <c r="E6103" t="s">
        <v>2958</v>
      </c>
    </row>
    <row r="6104" spans="1:5" x14ac:dyDescent="0.25">
      <c r="A6104">
        <v>2461</v>
      </c>
      <c r="B6104" t="s">
        <v>1708</v>
      </c>
      <c r="C6104" t="s">
        <v>3000</v>
      </c>
      <c r="D6104" t="str">
        <f t="shared" si="96"/>
        <v>ARMVA3919</v>
      </c>
      <c r="E6104" t="s">
        <v>3001</v>
      </c>
    </row>
    <row r="6105" spans="1:5" x14ac:dyDescent="0.25">
      <c r="A6105">
        <v>2461</v>
      </c>
      <c r="B6105" t="s">
        <v>1708</v>
      </c>
      <c r="C6105" t="s">
        <v>3077</v>
      </c>
      <c r="D6105" t="str">
        <f t="shared" si="96"/>
        <v>ARMVA3920</v>
      </c>
      <c r="E6105" t="s">
        <v>3107</v>
      </c>
    </row>
    <row r="6106" spans="1:5" x14ac:dyDescent="0.25">
      <c r="A6106">
        <v>2461</v>
      </c>
      <c r="B6106" t="s">
        <v>1708</v>
      </c>
      <c r="C6106" t="s">
        <v>3002</v>
      </c>
      <c r="D6106" t="str">
        <f t="shared" si="96"/>
        <v>ARMVA3921</v>
      </c>
      <c r="E6106" t="s">
        <v>3001</v>
      </c>
    </row>
    <row r="6107" spans="1:5" x14ac:dyDescent="0.25">
      <c r="A6107">
        <v>2461</v>
      </c>
      <c r="B6107" t="s">
        <v>1708</v>
      </c>
      <c r="C6107" t="s">
        <v>3003</v>
      </c>
      <c r="D6107" t="str">
        <f t="shared" si="96"/>
        <v>ARMVA3922</v>
      </c>
      <c r="E6107" t="s">
        <v>2954</v>
      </c>
    </row>
    <row r="6108" spans="1:5" x14ac:dyDescent="0.25">
      <c r="A6108">
        <v>2461</v>
      </c>
      <c r="B6108" t="s">
        <v>1708</v>
      </c>
      <c r="C6108" t="s">
        <v>443</v>
      </c>
      <c r="D6108" t="str">
        <f t="shared" si="96"/>
        <v>ARMVA3926</v>
      </c>
      <c r="E6108" t="s">
        <v>3006</v>
      </c>
    </row>
    <row r="6109" spans="1:5" x14ac:dyDescent="0.25">
      <c r="A6109">
        <v>2461</v>
      </c>
      <c r="B6109" t="s">
        <v>1708</v>
      </c>
      <c r="C6109" t="s">
        <v>1481</v>
      </c>
      <c r="D6109" t="str">
        <f t="shared" si="96"/>
        <v>ARMVA3931</v>
      </c>
      <c r="E6109" t="s">
        <v>2968</v>
      </c>
    </row>
    <row r="6110" spans="1:5" x14ac:dyDescent="0.25">
      <c r="A6110">
        <v>2461</v>
      </c>
      <c r="B6110" t="s">
        <v>1708</v>
      </c>
      <c r="C6110" t="s">
        <v>3015</v>
      </c>
      <c r="D6110" t="str">
        <f t="shared" si="96"/>
        <v>ARMVA3935</v>
      </c>
      <c r="E6110" t="s">
        <v>2965</v>
      </c>
    </row>
    <row r="6111" spans="1:5" x14ac:dyDescent="0.25">
      <c r="A6111">
        <v>2461</v>
      </c>
      <c r="B6111" t="s">
        <v>1708</v>
      </c>
      <c r="C6111" t="s">
        <v>3017</v>
      </c>
      <c r="D6111" t="str">
        <f t="shared" si="96"/>
        <v>ARMVA3936</v>
      </c>
      <c r="E6111" t="s">
        <v>94</v>
      </c>
    </row>
    <row r="6112" spans="1:5" x14ac:dyDescent="0.25">
      <c r="A6112">
        <v>2461</v>
      </c>
      <c r="B6112" t="s">
        <v>1708</v>
      </c>
      <c r="C6112" t="s">
        <v>3088</v>
      </c>
      <c r="D6112" t="str">
        <f t="shared" si="96"/>
        <v>ARMVA3937</v>
      </c>
      <c r="E6112" t="s">
        <v>3107</v>
      </c>
    </row>
    <row r="6113" spans="1:5" x14ac:dyDescent="0.25">
      <c r="A6113">
        <v>2461</v>
      </c>
      <c r="B6113" t="s">
        <v>1708</v>
      </c>
      <c r="C6113" t="s">
        <v>3089</v>
      </c>
      <c r="D6113" t="str">
        <f t="shared" si="96"/>
        <v>ARMVA3939</v>
      </c>
      <c r="E6113" t="s">
        <v>2968</v>
      </c>
    </row>
    <row r="6114" spans="1:5" x14ac:dyDescent="0.25">
      <c r="A6114">
        <v>2461</v>
      </c>
      <c r="B6114" t="s">
        <v>1708</v>
      </c>
      <c r="C6114" t="s">
        <v>3019</v>
      </c>
      <c r="D6114" t="str">
        <f t="shared" si="96"/>
        <v>ARMVA3940</v>
      </c>
      <c r="E6114" t="s">
        <v>3009</v>
      </c>
    </row>
    <row r="6115" spans="1:5" x14ac:dyDescent="0.25">
      <c r="A6115">
        <v>2461</v>
      </c>
      <c r="B6115" t="s">
        <v>1708</v>
      </c>
      <c r="C6115" t="s">
        <v>3020</v>
      </c>
      <c r="D6115" t="str">
        <f t="shared" si="96"/>
        <v>ARMVA3943</v>
      </c>
      <c r="E6115" t="s">
        <v>2958</v>
      </c>
    </row>
    <row r="6116" spans="1:5" x14ac:dyDescent="0.25">
      <c r="A6116">
        <v>2461</v>
      </c>
      <c r="B6116" t="s">
        <v>1708</v>
      </c>
      <c r="C6116" t="s">
        <v>492</v>
      </c>
      <c r="D6116" t="str">
        <f t="shared" si="96"/>
        <v>ARMVA3948</v>
      </c>
      <c r="E6116" t="s">
        <v>3004</v>
      </c>
    </row>
    <row r="6117" spans="1:5" x14ac:dyDescent="0.25">
      <c r="A6117">
        <v>2461</v>
      </c>
      <c r="B6117" t="s">
        <v>1708</v>
      </c>
      <c r="C6117" t="s">
        <v>3098</v>
      </c>
      <c r="D6117" t="str">
        <f t="shared" si="96"/>
        <v>ARMVA3952</v>
      </c>
      <c r="E6117" t="s">
        <v>65</v>
      </c>
    </row>
    <row r="6118" spans="1:5" x14ac:dyDescent="0.25">
      <c r="A6118">
        <v>2461</v>
      </c>
      <c r="B6118" t="s">
        <v>1708</v>
      </c>
      <c r="C6118" t="s">
        <v>498</v>
      </c>
      <c r="D6118" t="str">
        <f t="shared" si="96"/>
        <v>ARMVA3955</v>
      </c>
      <c r="E6118" t="s">
        <v>2968</v>
      </c>
    </row>
    <row r="6119" spans="1:5" x14ac:dyDescent="0.25">
      <c r="A6119">
        <v>2461</v>
      </c>
      <c r="B6119" t="s">
        <v>1708</v>
      </c>
      <c r="C6119" t="s">
        <v>499</v>
      </c>
      <c r="D6119" t="str">
        <f t="shared" si="96"/>
        <v>ARMVA3956</v>
      </c>
      <c r="E6119" t="s">
        <v>2968</v>
      </c>
    </row>
    <row r="6120" spans="1:5" x14ac:dyDescent="0.25">
      <c r="A6120">
        <v>2461</v>
      </c>
      <c r="B6120" t="s">
        <v>1708</v>
      </c>
      <c r="C6120" t="s">
        <v>3206</v>
      </c>
      <c r="D6120" t="str">
        <f t="shared" si="96"/>
        <v>ARMVA3963</v>
      </c>
      <c r="E6120" t="s">
        <v>2968</v>
      </c>
    </row>
    <row r="6121" spans="1:5" x14ac:dyDescent="0.25">
      <c r="A6121">
        <v>2461</v>
      </c>
      <c r="B6121" t="s">
        <v>1708</v>
      </c>
      <c r="C6121" t="s">
        <v>3104</v>
      </c>
      <c r="D6121" t="str">
        <f t="shared" si="96"/>
        <v>ARMVA3964</v>
      </c>
      <c r="E6121" t="s">
        <v>2968</v>
      </c>
    </row>
    <row r="6122" spans="1:5" x14ac:dyDescent="0.25">
      <c r="A6122">
        <v>2461</v>
      </c>
      <c r="B6122" t="s">
        <v>1708</v>
      </c>
      <c r="C6122" t="s">
        <v>3031</v>
      </c>
      <c r="D6122" t="str">
        <f t="shared" si="96"/>
        <v>ARMVA3970</v>
      </c>
      <c r="E6122" t="s">
        <v>3009</v>
      </c>
    </row>
    <row r="6123" spans="1:5" x14ac:dyDescent="0.25">
      <c r="A6123">
        <v>2461</v>
      </c>
      <c r="B6123" t="s">
        <v>1708</v>
      </c>
      <c r="C6123" t="s">
        <v>3036</v>
      </c>
      <c r="D6123" t="str">
        <f t="shared" si="96"/>
        <v>ARMVA3987</v>
      </c>
      <c r="E6123" t="s">
        <v>2958</v>
      </c>
    </row>
    <row r="6124" spans="1:5" x14ac:dyDescent="0.25">
      <c r="A6124">
        <v>2461</v>
      </c>
      <c r="B6124" t="s">
        <v>1708</v>
      </c>
      <c r="C6124" t="s">
        <v>3040</v>
      </c>
      <c r="D6124" t="str">
        <f t="shared" si="96"/>
        <v>ARMVA3999</v>
      </c>
      <c r="E6124" t="s">
        <v>2968</v>
      </c>
    </row>
    <row r="6125" spans="1:5" x14ac:dyDescent="0.25">
      <c r="A6125">
        <v>2461</v>
      </c>
      <c r="B6125" t="s">
        <v>1708</v>
      </c>
      <c r="C6125" t="s">
        <v>3041</v>
      </c>
      <c r="D6125" t="str">
        <f t="shared" si="96"/>
        <v>ARMVA4002</v>
      </c>
      <c r="E6125" t="s">
        <v>3009</v>
      </c>
    </row>
    <row r="6126" spans="1:5" x14ac:dyDescent="0.25">
      <c r="A6126">
        <v>2461</v>
      </c>
      <c r="B6126" t="s">
        <v>1708</v>
      </c>
      <c r="C6126" t="s">
        <v>3043</v>
      </c>
      <c r="D6126" t="str">
        <f t="shared" si="96"/>
        <v>ARMVA4003</v>
      </c>
      <c r="E6126" t="s">
        <v>94</v>
      </c>
    </row>
    <row r="6127" spans="1:5" x14ac:dyDescent="0.25">
      <c r="A6127">
        <v>2461</v>
      </c>
      <c r="B6127" t="s">
        <v>1708</v>
      </c>
      <c r="C6127" t="s">
        <v>3045</v>
      </c>
      <c r="D6127" t="str">
        <f t="shared" si="96"/>
        <v>ARMVA4004</v>
      </c>
      <c r="E6127" t="s">
        <v>3009</v>
      </c>
    </row>
    <row r="6128" spans="1:5" x14ac:dyDescent="0.25">
      <c r="A6128">
        <v>2461</v>
      </c>
      <c r="B6128" t="s">
        <v>1708</v>
      </c>
      <c r="C6128" t="s">
        <v>3047</v>
      </c>
      <c r="D6128" t="str">
        <f t="shared" si="96"/>
        <v>ARMVA4005</v>
      </c>
      <c r="E6128" t="s">
        <v>3009</v>
      </c>
    </row>
    <row r="6129" spans="1:5" x14ac:dyDescent="0.25">
      <c r="A6129">
        <v>2461</v>
      </c>
      <c r="B6129" t="s">
        <v>1708</v>
      </c>
      <c r="C6129" t="s">
        <v>813</v>
      </c>
      <c r="D6129" t="str">
        <f t="shared" si="96"/>
        <v>ARMVA4006</v>
      </c>
      <c r="E6129" t="s">
        <v>3057</v>
      </c>
    </row>
    <row r="6130" spans="1:5" x14ac:dyDescent="0.25">
      <c r="A6130">
        <v>2461</v>
      </c>
      <c r="B6130" t="s">
        <v>1708</v>
      </c>
      <c r="C6130" t="s">
        <v>3138</v>
      </c>
      <c r="D6130" t="str">
        <f t="shared" si="96"/>
        <v>ARMVA4007</v>
      </c>
      <c r="E6130" t="s">
        <v>94</v>
      </c>
    </row>
    <row r="6131" spans="1:5" x14ac:dyDescent="0.25">
      <c r="A6131">
        <v>2461</v>
      </c>
      <c r="B6131" t="s">
        <v>1708</v>
      </c>
      <c r="C6131" t="s">
        <v>3048</v>
      </c>
      <c r="D6131" t="str">
        <f t="shared" si="96"/>
        <v>ARMVA4701</v>
      </c>
      <c r="E6131" t="s">
        <v>3049</v>
      </c>
    </row>
    <row r="6132" spans="1:5" x14ac:dyDescent="0.25">
      <c r="A6132">
        <v>2461</v>
      </c>
      <c r="B6132" t="s">
        <v>1708</v>
      </c>
      <c r="C6132" t="s">
        <v>265</v>
      </c>
      <c r="D6132" t="str">
        <f t="shared" si="96"/>
        <v>ARMVA4703</v>
      </c>
      <c r="E6132" t="s">
        <v>3049</v>
      </c>
    </row>
    <row r="6133" spans="1:5" x14ac:dyDescent="0.25">
      <c r="A6133">
        <v>2461</v>
      </c>
      <c r="B6133" t="s">
        <v>1708</v>
      </c>
      <c r="C6133" t="s">
        <v>316</v>
      </c>
      <c r="D6133" t="str">
        <f t="shared" si="96"/>
        <v>ARMVA4706</v>
      </c>
      <c r="E6133" t="s">
        <v>3049</v>
      </c>
    </row>
    <row r="6134" spans="1:5" x14ac:dyDescent="0.25">
      <c r="A6134">
        <v>2461</v>
      </c>
      <c r="B6134" t="s">
        <v>1708</v>
      </c>
      <c r="C6134" t="s">
        <v>328</v>
      </c>
      <c r="D6134" t="str">
        <f t="shared" si="96"/>
        <v>ARMVA4707</v>
      </c>
      <c r="E6134" t="s">
        <v>3049</v>
      </c>
    </row>
    <row r="6135" spans="1:5" x14ac:dyDescent="0.25">
      <c r="A6135">
        <v>2461</v>
      </c>
      <c r="B6135" t="s">
        <v>1708</v>
      </c>
      <c r="C6135" t="s">
        <v>364</v>
      </c>
      <c r="D6135" t="str">
        <f t="shared" si="96"/>
        <v>ARMVA4799</v>
      </c>
      <c r="E6135" t="s">
        <v>3049</v>
      </c>
    </row>
    <row r="6136" spans="1:5" x14ac:dyDescent="0.25">
      <c r="A6136">
        <v>2461</v>
      </c>
      <c r="B6136" t="s">
        <v>1708</v>
      </c>
      <c r="C6136" t="s">
        <v>329</v>
      </c>
      <c r="D6136" t="str">
        <f t="shared" si="96"/>
        <v>ARMVA5206</v>
      </c>
      <c r="E6136" t="s">
        <v>3057</v>
      </c>
    </row>
    <row r="6137" spans="1:5" x14ac:dyDescent="0.25">
      <c r="A6137">
        <v>2461</v>
      </c>
      <c r="B6137" t="s">
        <v>1708</v>
      </c>
      <c r="C6137" t="s">
        <v>3058</v>
      </c>
      <c r="D6137" t="str">
        <f t="shared" si="96"/>
        <v>ARMVA5207</v>
      </c>
      <c r="E6137" t="s">
        <v>3057</v>
      </c>
    </row>
    <row r="6138" spans="1:5" x14ac:dyDescent="0.25">
      <c r="A6138">
        <v>2461</v>
      </c>
      <c r="B6138" t="s">
        <v>1708</v>
      </c>
      <c r="C6138" t="s">
        <v>3060</v>
      </c>
      <c r="D6138" t="str">
        <f t="shared" si="96"/>
        <v>ARMVA5208</v>
      </c>
      <c r="E6138" t="s">
        <v>3057</v>
      </c>
    </row>
    <row r="6139" spans="1:5" x14ac:dyDescent="0.25">
      <c r="A6139">
        <v>2461</v>
      </c>
      <c r="B6139" t="s">
        <v>1708</v>
      </c>
      <c r="C6139" t="s">
        <v>3064</v>
      </c>
      <c r="D6139" t="str">
        <f t="shared" si="96"/>
        <v>ARMVA5212</v>
      </c>
      <c r="E6139" t="s">
        <v>3055</v>
      </c>
    </row>
    <row r="6140" spans="1:5" x14ac:dyDescent="0.25">
      <c r="A6140">
        <v>2461</v>
      </c>
      <c r="B6140" t="s">
        <v>1708</v>
      </c>
      <c r="C6140" t="s">
        <v>449</v>
      </c>
      <c r="D6140" t="str">
        <f t="shared" si="96"/>
        <v>ARMVA5225</v>
      </c>
      <c r="E6140" t="s">
        <v>3055</v>
      </c>
    </row>
    <row r="6141" spans="1:5" x14ac:dyDescent="0.25">
      <c r="A6141">
        <v>2461</v>
      </c>
      <c r="B6141" t="s">
        <v>1708</v>
      </c>
      <c r="C6141" t="s">
        <v>3150</v>
      </c>
      <c r="D6141" t="str">
        <f t="shared" si="96"/>
        <v>ARMVA5230</v>
      </c>
      <c r="E6141" t="s">
        <v>3055</v>
      </c>
    </row>
    <row r="6142" spans="1:5" x14ac:dyDescent="0.25">
      <c r="A6142">
        <v>2461</v>
      </c>
      <c r="B6142" t="s">
        <v>1708</v>
      </c>
      <c r="C6142" t="s">
        <v>3074</v>
      </c>
      <c r="D6142" t="str">
        <f t="shared" si="96"/>
        <v>ARMVA9202</v>
      </c>
      <c r="E6142" t="s">
        <v>3075</v>
      </c>
    </row>
    <row r="6143" spans="1:5" x14ac:dyDescent="0.25">
      <c r="A6143">
        <v>2461</v>
      </c>
      <c r="B6143" t="s">
        <v>1708</v>
      </c>
      <c r="C6143" t="s">
        <v>3079</v>
      </c>
      <c r="D6143" t="str">
        <f t="shared" si="96"/>
        <v>ARMVA9399</v>
      </c>
      <c r="E6143" t="s">
        <v>2968</v>
      </c>
    </row>
    <row r="6144" spans="1:5" x14ac:dyDescent="0.25">
      <c r="A6144">
        <v>2471</v>
      </c>
      <c r="B6144" t="s">
        <v>1710</v>
      </c>
      <c r="C6144" t="s">
        <v>3350</v>
      </c>
      <c r="D6144" t="str">
        <f t="shared" si="96"/>
        <v>ARTEMIG3502</v>
      </c>
      <c r="E6144" t="s">
        <v>1660</v>
      </c>
    </row>
    <row r="6145" spans="1:5" x14ac:dyDescent="0.25">
      <c r="A6145">
        <v>2471</v>
      </c>
      <c r="B6145" t="s">
        <v>1710</v>
      </c>
      <c r="C6145" t="s">
        <v>3351</v>
      </c>
      <c r="D6145" t="str">
        <f t="shared" ref="D6145:D6151" si="97">CONCATENATE(B6145,LEFT(C6145,4))</f>
        <v>ARTEMIG3951</v>
      </c>
      <c r="E6145" t="s">
        <v>3052</v>
      </c>
    </row>
    <row r="6146" spans="1:5" x14ac:dyDescent="0.25">
      <c r="A6146">
        <v>2471</v>
      </c>
      <c r="B6146" t="s">
        <v>1710</v>
      </c>
      <c r="C6146" t="s">
        <v>3352</v>
      </c>
      <c r="D6146" t="str">
        <f t="shared" si="97"/>
        <v>ARTEMIG3975</v>
      </c>
      <c r="E6146" t="s">
        <v>3247</v>
      </c>
    </row>
    <row r="6147" spans="1:5" x14ac:dyDescent="0.25">
      <c r="A6147">
        <v>2471</v>
      </c>
      <c r="B6147" t="s">
        <v>1710</v>
      </c>
      <c r="C6147" t="s">
        <v>3353</v>
      </c>
      <c r="D6147" t="str">
        <f t="shared" si="97"/>
        <v>ARTEMIG3981</v>
      </c>
      <c r="E6147" t="s">
        <v>3248</v>
      </c>
    </row>
    <row r="6148" spans="1:5" x14ac:dyDescent="0.25">
      <c r="A6148">
        <v>2471</v>
      </c>
      <c r="B6148" t="s">
        <v>1710</v>
      </c>
      <c r="C6148" t="s">
        <v>3354</v>
      </c>
      <c r="D6148" t="str">
        <f t="shared" si="97"/>
        <v>ARTEMIG4601</v>
      </c>
      <c r="E6148" t="s">
        <v>2926</v>
      </c>
    </row>
    <row r="6149" spans="1:5" x14ac:dyDescent="0.25">
      <c r="A6149">
        <v>2471</v>
      </c>
      <c r="B6149" t="s">
        <v>1710</v>
      </c>
      <c r="C6149" t="s">
        <v>3355</v>
      </c>
      <c r="D6149" t="str">
        <f t="shared" si="97"/>
        <v>ARTEMIG4901</v>
      </c>
      <c r="E6149" t="s">
        <v>2926</v>
      </c>
    </row>
    <row r="6150" spans="1:5" x14ac:dyDescent="0.25">
      <c r="A6150">
        <v>2471</v>
      </c>
      <c r="B6150" t="s">
        <v>1710</v>
      </c>
      <c r="C6150" t="s">
        <v>3356</v>
      </c>
      <c r="D6150" t="str">
        <f t="shared" si="97"/>
        <v>ARTEMIG5103</v>
      </c>
      <c r="E6150" t="s">
        <v>3052</v>
      </c>
    </row>
    <row r="6151" spans="1:5" x14ac:dyDescent="0.25">
      <c r="A6151">
        <v>2471</v>
      </c>
      <c r="B6151" t="s">
        <v>1710</v>
      </c>
      <c r="C6151" t="s">
        <v>3357</v>
      </c>
      <c r="D6151" t="str">
        <f t="shared" si="97"/>
        <v>ARTEMIG5115</v>
      </c>
      <c r="E6151" t="s">
        <v>3052</v>
      </c>
    </row>
    <row r="6152" spans="1:5" x14ac:dyDescent="0.25">
      <c r="A6152">
        <v>3041</v>
      </c>
      <c r="B6152" t="s">
        <v>1713</v>
      </c>
      <c r="C6152" t="s">
        <v>2928</v>
      </c>
      <c r="D6152" t="str">
        <f t="shared" ref="D6152:D6215" si="98">CONCATENATE(B6152,LEFT(C6152,4))</f>
        <v>EMATER1401</v>
      </c>
      <c r="E6152" t="s">
        <v>44</v>
      </c>
    </row>
    <row r="6153" spans="1:5" x14ac:dyDescent="0.25">
      <c r="A6153">
        <v>3041</v>
      </c>
      <c r="B6153" t="s">
        <v>1713</v>
      </c>
      <c r="C6153" t="s">
        <v>2932</v>
      </c>
      <c r="D6153" t="str">
        <f t="shared" si="98"/>
        <v>EMATER3001</v>
      </c>
      <c r="E6153" t="s">
        <v>2933</v>
      </c>
    </row>
    <row r="6154" spans="1:5" x14ac:dyDescent="0.25">
      <c r="A6154">
        <v>3041</v>
      </c>
      <c r="B6154" t="s">
        <v>1713</v>
      </c>
      <c r="C6154" t="s">
        <v>2939</v>
      </c>
      <c r="D6154" t="str">
        <f t="shared" si="98"/>
        <v>EMATER3005</v>
      </c>
      <c r="E6154" t="s">
        <v>2933</v>
      </c>
    </row>
    <row r="6155" spans="1:5" x14ac:dyDescent="0.25">
      <c r="A6155">
        <v>3041</v>
      </c>
      <c r="B6155" t="s">
        <v>1713</v>
      </c>
      <c r="C6155" t="s">
        <v>2960</v>
      </c>
      <c r="D6155" t="str">
        <f t="shared" si="98"/>
        <v>EMATER3026</v>
      </c>
      <c r="E6155" t="s">
        <v>2958</v>
      </c>
    </row>
    <row r="6156" spans="1:5" x14ac:dyDescent="0.25">
      <c r="A6156">
        <v>3041</v>
      </c>
      <c r="B6156" t="s">
        <v>1713</v>
      </c>
      <c r="C6156" t="s">
        <v>2977</v>
      </c>
      <c r="D6156" t="str">
        <f t="shared" si="98"/>
        <v>EMATER3304</v>
      </c>
      <c r="E6156" t="s">
        <v>44</v>
      </c>
    </row>
    <row r="6157" spans="1:5" x14ac:dyDescent="0.25">
      <c r="A6157">
        <v>3041</v>
      </c>
      <c r="B6157" t="s">
        <v>1713</v>
      </c>
      <c r="C6157" t="s">
        <v>3021</v>
      </c>
      <c r="D6157" t="str">
        <f t="shared" si="98"/>
        <v>EMATER3611</v>
      </c>
      <c r="E6157" t="s">
        <v>3107</v>
      </c>
    </row>
    <row r="6158" spans="1:5" x14ac:dyDescent="0.25">
      <c r="A6158">
        <v>3041</v>
      </c>
      <c r="B6158" t="s">
        <v>1713</v>
      </c>
      <c r="C6158" t="s">
        <v>2998</v>
      </c>
      <c r="D6158" t="str">
        <f t="shared" si="98"/>
        <v>EMATER3918</v>
      </c>
      <c r="E6158" t="s">
        <v>2958</v>
      </c>
    </row>
    <row r="6159" spans="1:5" x14ac:dyDescent="0.25">
      <c r="A6159">
        <v>3041</v>
      </c>
      <c r="B6159" t="s">
        <v>1713</v>
      </c>
      <c r="C6159" t="s">
        <v>3077</v>
      </c>
      <c r="D6159" t="str">
        <f t="shared" si="98"/>
        <v>EMATER3920</v>
      </c>
      <c r="E6159" t="s">
        <v>3107</v>
      </c>
    </row>
    <row r="6160" spans="1:5" x14ac:dyDescent="0.25">
      <c r="A6160">
        <v>3041</v>
      </c>
      <c r="B6160" t="s">
        <v>1713</v>
      </c>
      <c r="C6160" t="s">
        <v>443</v>
      </c>
      <c r="D6160" t="str">
        <f t="shared" si="98"/>
        <v>EMATER3926</v>
      </c>
      <c r="E6160" t="s">
        <v>3006</v>
      </c>
    </row>
    <row r="6161" spans="1:5" x14ac:dyDescent="0.25">
      <c r="A6161">
        <v>3041</v>
      </c>
      <c r="B6161" t="s">
        <v>1713</v>
      </c>
      <c r="C6161" t="s">
        <v>1481</v>
      </c>
      <c r="D6161" t="str">
        <f t="shared" si="98"/>
        <v>EMATER3931</v>
      </c>
      <c r="E6161" t="s">
        <v>2968</v>
      </c>
    </row>
    <row r="6162" spans="1:5" x14ac:dyDescent="0.25">
      <c r="A6162">
        <v>3041</v>
      </c>
      <c r="B6162" t="s">
        <v>1713</v>
      </c>
      <c r="C6162" t="s">
        <v>3045</v>
      </c>
      <c r="D6162" t="str">
        <f t="shared" si="98"/>
        <v>EMATER4004</v>
      </c>
      <c r="E6162" t="s">
        <v>3009</v>
      </c>
    </row>
    <row r="6163" spans="1:5" x14ac:dyDescent="0.25">
      <c r="A6163">
        <v>3041</v>
      </c>
      <c r="B6163" t="s">
        <v>1713</v>
      </c>
      <c r="C6163" t="s">
        <v>364</v>
      </c>
      <c r="D6163" t="str">
        <f t="shared" si="98"/>
        <v>EMATER4799</v>
      </c>
      <c r="E6163" t="s">
        <v>3049</v>
      </c>
    </row>
    <row r="6164" spans="1:5" x14ac:dyDescent="0.25">
      <c r="A6164">
        <v>3051</v>
      </c>
      <c r="B6164" t="s">
        <v>1715</v>
      </c>
      <c r="C6164" t="s">
        <v>2928</v>
      </c>
      <c r="D6164" t="str">
        <f t="shared" si="98"/>
        <v>EPAMIG1401</v>
      </c>
      <c r="E6164" t="s">
        <v>44</v>
      </c>
    </row>
    <row r="6165" spans="1:5" x14ac:dyDescent="0.25">
      <c r="A6165">
        <v>3051</v>
      </c>
      <c r="B6165" t="s">
        <v>1715</v>
      </c>
      <c r="C6165" t="s">
        <v>222</v>
      </c>
      <c r="D6165" t="str">
        <f t="shared" si="98"/>
        <v>EPAMIG1801</v>
      </c>
      <c r="E6165" t="s">
        <v>3230</v>
      </c>
    </row>
    <row r="6166" spans="1:5" x14ac:dyDescent="0.25">
      <c r="A6166">
        <v>3051</v>
      </c>
      <c r="B6166" t="s">
        <v>1715</v>
      </c>
      <c r="C6166" t="s">
        <v>2932</v>
      </c>
      <c r="D6166" t="str">
        <f t="shared" si="98"/>
        <v>EPAMIG3001</v>
      </c>
      <c r="E6166" t="s">
        <v>2933</v>
      </c>
    </row>
    <row r="6167" spans="1:5" x14ac:dyDescent="0.25">
      <c r="A6167">
        <v>3051</v>
      </c>
      <c r="B6167" t="s">
        <v>1715</v>
      </c>
      <c r="C6167" t="s">
        <v>2937</v>
      </c>
      <c r="D6167" t="str">
        <f t="shared" si="98"/>
        <v>EPAMIG3004</v>
      </c>
      <c r="E6167" t="s">
        <v>2933</v>
      </c>
    </row>
    <row r="6168" spans="1:5" x14ac:dyDescent="0.25">
      <c r="A6168">
        <v>3051</v>
      </c>
      <c r="B6168" t="s">
        <v>1715</v>
      </c>
      <c r="C6168" t="s">
        <v>2939</v>
      </c>
      <c r="D6168" t="str">
        <f t="shared" si="98"/>
        <v>EPAMIG3005</v>
      </c>
      <c r="E6168" t="s">
        <v>2933</v>
      </c>
    </row>
    <row r="6169" spans="1:5" x14ac:dyDescent="0.25">
      <c r="A6169">
        <v>3051</v>
      </c>
      <c r="B6169" t="s">
        <v>1715</v>
      </c>
      <c r="C6169" t="s">
        <v>2941</v>
      </c>
      <c r="D6169" t="str">
        <f t="shared" si="98"/>
        <v>EPAMIG3008</v>
      </c>
      <c r="E6169" t="s">
        <v>2933</v>
      </c>
    </row>
    <row r="6170" spans="1:5" x14ac:dyDescent="0.25">
      <c r="A6170">
        <v>3051</v>
      </c>
      <c r="B6170" t="s">
        <v>1715</v>
      </c>
      <c r="C6170" t="s">
        <v>354</v>
      </c>
      <c r="D6170" t="str">
        <f t="shared" si="98"/>
        <v>EPAMIG3009</v>
      </c>
      <c r="E6170" t="s">
        <v>2933</v>
      </c>
    </row>
    <row r="6171" spans="1:5" x14ac:dyDescent="0.25">
      <c r="A6171">
        <v>3051</v>
      </c>
      <c r="B6171" t="s">
        <v>1715</v>
      </c>
      <c r="C6171" t="s">
        <v>2943</v>
      </c>
      <c r="D6171" t="str">
        <f t="shared" si="98"/>
        <v>EPAMIG3010</v>
      </c>
      <c r="E6171" t="s">
        <v>2944</v>
      </c>
    </row>
    <row r="6172" spans="1:5" x14ac:dyDescent="0.25">
      <c r="A6172">
        <v>3051</v>
      </c>
      <c r="B6172" t="s">
        <v>1715</v>
      </c>
      <c r="C6172" t="s">
        <v>138</v>
      </c>
      <c r="D6172" t="str">
        <f t="shared" si="98"/>
        <v>EPAMIG3012</v>
      </c>
      <c r="E6172" t="s">
        <v>2944</v>
      </c>
    </row>
    <row r="6173" spans="1:5" x14ac:dyDescent="0.25">
      <c r="A6173">
        <v>3051</v>
      </c>
      <c r="B6173" t="s">
        <v>1715</v>
      </c>
      <c r="C6173" t="s">
        <v>2946</v>
      </c>
      <c r="D6173" t="str">
        <f t="shared" si="98"/>
        <v>EPAMIG3013</v>
      </c>
      <c r="E6173" t="s">
        <v>2933</v>
      </c>
    </row>
    <row r="6174" spans="1:5" x14ac:dyDescent="0.25">
      <c r="A6174">
        <v>3051</v>
      </c>
      <c r="B6174" t="s">
        <v>1715</v>
      </c>
      <c r="C6174" t="s">
        <v>2950</v>
      </c>
      <c r="D6174" t="str">
        <f t="shared" si="98"/>
        <v>EPAMIG3016</v>
      </c>
      <c r="E6174" t="s">
        <v>2933</v>
      </c>
    </row>
    <row r="6175" spans="1:5" x14ac:dyDescent="0.25">
      <c r="A6175">
        <v>3051</v>
      </c>
      <c r="B6175" t="s">
        <v>1715</v>
      </c>
      <c r="C6175" t="s">
        <v>406</v>
      </c>
      <c r="D6175" t="str">
        <f t="shared" si="98"/>
        <v>EPAMIG3017</v>
      </c>
      <c r="E6175" t="s">
        <v>2933</v>
      </c>
    </row>
    <row r="6176" spans="1:5" x14ac:dyDescent="0.25">
      <c r="A6176">
        <v>3051</v>
      </c>
      <c r="B6176" t="s">
        <v>1715</v>
      </c>
      <c r="C6176" t="s">
        <v>411</v>
      </c>
      <c r="D6176" t="str">
        <f t="shared" si="98"/>
        <v>EPAMIG3018</v>
      </c>
      <c r="E6176" t="s">
        <v>2933</v>
      </c>
    </row>
    <row r="6177" spans="1:5" x14ac:dyDescent="0.25">
      <c r="A6177">
        <v>3051</v>
      </c>
      <c r="B6177" t="s">
        <v>1715</v>
      </c>
      <c r="C6177" t="s">
        <v>2953</v>
      </c>
      <c r="D6177" t="str">
        <f t="shared" si="98"/>
        <v>EPAMIG3019</v>
      </c>
      <c r="E6177" t="s">
        <v>2954</v>
      </c>
    </row>
    <row r="6178" spans="1:5" x14ac:dyDescent="0.25">
      <c r="A6178">
        <v>3051</v>
      </c>
      <c r="B6178" t="s">
        <v>1715</v>
      </c>
      <c r="C6178" t="s">
        <v>2955</v>
      </c>
      <c r="D6178" t="str">
        <f t="shared" si="98"/>
        <v>EPAMIG3020</v>
      </c>
      <c r="E6178" t="s">
        <v>2933</v>
      </c>
    </row>
    <row r="6179" spans="1:5" x14ac:dyDescent="0.25">
      <c r="A6179">
        <v>3051</v>
      </c>
      <c r="B6179" t="s">
        <v>1715</v>
      </c>
      <c r="C6179" t="s">
        <v>431</v>
      </c>
      <c r="D6179" t="str">
        <f t="shared" si="98"/>
        <v>EPAMIG3022</v>
      </c>
      <c r="E6179" t="s">
        <v>2933</v>
      </c>
    </row>
    <row r="6180" spans="1:5" x14ac:dyDescent="0.25">
      <c r="A6180">
        <v>3051</v>
      </c>
      <c r="B6180" t="s">
        <v>1715</v>
      </c>
      <c r="C6180" t="s">
        <v>2957</v>
      </c>
      <c r="D6180" t="str">
        <f t="shared" si="98"/>
        <v>EPAMIG3023</v>
      </c>
      <c r="E6180" t="s">
        <v>2958</v>
      </c>
    </row>
    <row r="6181" spans="1:5" x14ac:dyDescent="0.25">
      <c r="A6181">
        <v>3051</v>
      </c>
      <c r="B6181" t="s">
        <v>1715</v>
      </c>
      <c r="C6181" t="s">
        <v>441</v>
      </c>
      <c r="D6181" t="str">
        <f t="shared" si="98"/>
        <v>EPAMIG3024</v>
      </c>
      <c r="E6181" t="s">
        <v>2933</v>
      </c>
    </row>
    <row r="6182" spans="1:5" x14ac:dyDescent="0.25">
      <c r="A6182">
        <v>3051</v>
      </c>
      <c r="B6182" t="s">
        <v>1715</v>
      </c>
      <c r="C6182" t="s">
        <v>2959</v>
      </c>
      <c r="D6182" t="str">
        <f t="shared" si="98"/>
        <v>EPAMIG3025</v>
      </c>
      <c r="E6182" t="s">
        <v>2933</v>
      </c>
    </row>
    <row r="6183" spans="1:5" x14ac:dyDescent="0.25">
      <c r="A6183">
        <v>3051</v>
      </c>
      <c r="B6183" t="s">
        <v>1715</v>
      </c>
      <c r="C6183" t="s">
        <v>2960</v>
      </c>
      <c r="D6183" t="str">
        <f t="shared" si="98"/>
        <v>EPAMIG3026</v>
      </c>
      <c r="E6183" t="s">
        <v>2958</v>
      </c>
    </row>
    <row r="6184" spans="1:5" x14ac:dyDescent="0.25">
      <c r="A6184">
        <v>3051</v>
      </c>
      <c r="B6184" t="s">
        <v>1715</v>
      </c>
      <c r="C6184" t="s">
        <v>2961</v>
      </c>
      <c r="D6184" t="str">
        <f t="shared" si="98"/>
        <v>EPAMIG3027</v>
      </c>
      <c r="E6184" t="s">
        <v>2933</v>
      </c>
    </row>
    <row r="6185" spans="1:5" x14ac:dyDescent="0.25">
      <c r="A6185">
        <v>3051</v>
      </c>
      <c r="B6185" t="s">
        <v>1715</v>
      </c>
      <c r="C6185" t="s">
        <v>2984</v>
      </c>
      <c r="D6185" t="str">
        <f t="shared" si="98"/>
        <v>EPAMIG3029</v>
      </c>
      <c r="E6185" t="s">
        <v>2933</v>
      </c>
    </row>
    <row r="6186" spans="1:5" x14ac:dyDescent="0.25">
      <c r="A6186">
        <v>3051</v>
      </c>
      <c r="B6186" t="s">
        <v>1715</v>
      </c>
      <c r="C6186" t="s">
        <v>467</v>
      </c>
      <c r="D6186" t="str">
        <f t="shared" si="98"/>
        <v>EPAMIG3030</v>
      </c>
      <c r="E6186" t="s">
        <v>2933</v>
      </c>
    </row>
    <row r="6187" spans="1:5" x14ac:dyDescent="0.25">
      <c r="A6187">
        <v>3051</v>
      </c>
      <c r="B6187" t="s">
        <v>1715</v>
      </c>
      <c r="C6187" t="s">
        <v>470</v>
      </c>
      <c r="D6187" t="str">
        <f t="shared" si="98"/>
        <v>EPAMIG3031</v>
      </c>
      <c r="E6187" t="s">
        <v>2933</v>
      </c>
    </row>
    <row r="6188" spans="1:5" x14ac:dyDescent="0.25">
      <c r="A6188">
        <v>3051</v>
      </c>
      <c r="B6188" t="s">
        <v>1715</v>
      </c>
      <c r="C6188" t="s">
        <v>491</v>
      </c>
      <c r="D6188" t="str">
        <f t="shared" si="98"/>
        <v>EPAMIG3099</v>
      </c>
      <c r="E6188" t="s">
        <v>2933</v>
      </c>
    </row>
    <row r="6189" spans="1:5" x14ac:dyDescent="0.25">
      <c r="A6189">
        <v>3051</v>
      </c>
      <c r="B6189" t="s">
        <v>1715</v>
      </c>
      <c r="C6189" t="s">
        <v>2975</v>
      </c>
      <c r="D6189" t="str">
        <f t="shared" si="98"/>
        <v>EPAMIG3302</v>
      </c>
      <c r="E6189" t="s">
        <v>44</v>
      </c>
    </row>
    <row r="6190" spans="1:5" x14ac:dyDescent="0.25">
      <c r="A6190">
        <v>3051</v>
      </c>
      <c r="B6190" t="s">
        <v>1715</v>
      </c>
      <c r="C6190" t="s">
        <v>3200</v>
      </c>
      <c r="D6190" t="str">
        <f t="shared" si="98"/>
        <v>EPAMIG3303</v>
      </c>
      <c r="E6190" t="s">
        <v>44</v>
      </c>
    </row>
    <row r="6191" spans="1:5" x14ac:dyDescent="0.25">
      <c r="A6191">
        <v>3051</v>
      </c>
      <c r="B6191" t="s">
        <v>1715</v>
      </c>
      <c r="C6191" t="s">
        <v>2977</v>
      </c>
      <c r="D6191" t="str">
        <f t="shared" si="98"/>
        <v>EPAMIG3304</v>
      </c>
      <c r="E6191" t="s">
        <v>44</v>
      </c>
    </row>
    <row r="6192" spans="1:5" x14ac:dyDescent="0.25">
      <c r="A6192">
        <v>3051</v>
      </c>
      <c r="B6192" t="s">
        <v>1715</v>
      </c>
      <c r="C6192" t="s">
        <v>3201</v>
      </c>
      <c r="D6192" t="str">
        <f t="shared" si="98"/>
        <v>EPAMIG3502</v>
      </c>
      <c r="E6192" t="s">
        <v>1660</v>
      </c>
    </row>
    <row r="6193" spans="1:5" x14ac:dyDescent="0.25">
      <c r="A6193">
        <v>3051</v>
      </c>
      <c r="B6193" t="s">
        <v>1715</v>
      </c>
      <c r="C6193" t="s">
        <v>401</v>
      </c>
      <c r="D6193" t="str">
        <f t="shared" si="98"/>
        <v>EPAMIG3617</v>
      </c>
      <c r="E6193" t="s">
        <v>2968</v>
      </c>
    </row>
    <row r="6194" spans="1:5" x14ac:dyDescent="0.25">
      <c r="A6194">
        <v>3051</v>
      </c>
      <c r="B6194" t="s">
        <v>1715</v>
      </c>
      <c r="C6194" t="s">
        <v>471</v>
      </c>
      <c r="D6194" t="str">
        <f t="shared" si="98"/>
        <v>EPAMIG3699</v>
      </c>
      <c r="E6194" t="s">
        <v>2968</v>
      </c>
    </row>
    <row r="6195" spans="1:5" x14ac:dyDescent="0.25">
      <c r="A6195">
        <v>3051</v>
      </c>
      <c r="B6195" t="s">
        <v>1715</v>
      </c>
      <c r="C6195" t="s">
        <v>3050</v>
      </c>
      <c r="D6195" t="str">
        <f t="shared" si="98"/>
        <v>EPAMIG3702</v>
      </c>
      <c r="E6195" t="s">
        <v>2981</v>
      </c>
    </row>
    <row r="6196" spans="1:5" x14ac:dyDescent="0.25">
      <c r="A6196">
        <v>3051</v>
      </c>
      <c r="B6196" t="s">
        <v>1715</v>
      </c>
      <c r="C6196" t="s">
        <v>2985</v>
      </c>
      <c r="D6196" t="str">
        <f t="shared" si="98"/>
        <v>EPAMIG3704</v>
      </c>
      <c r="E6196" t="s">
        <v>117</v>
      </c>
    </row>
    <row r="6197" spans="1:5" x14ac:dyDescent="0.25">
      <c r="A6197">
        <v>3051</v>
      </c>
      <c r="B6197" t="s">
        <v>1715</v>
      </c>
      <c r="C6197" t="s">
        <v>233</v>
      </c>
      <c r="D6197" t="str">
        <f t="shared" si="98"/>
        <v>EPAMIG3901</v>
      </c>
      <c r="E6197" t="s">
        <v>2926</v>
      </c>
    </row>
    <row r="6198" spans="1:5" x14ac:dyDescent="0.25">
      <c r="A6198">
        <v>3051</v>
      </c>
      <c r="B6198" t="s">
        <v>1715</v>
      </c>
      <c r="C6198" t="s">
        <v>2988</v>
      </c>
      <c r="D6198" t="str">
        <f t="shared" si="98"/>
        <v>EPAMIG3903</v>
      </c>
      <c r="E6198" t="s">
        <v>87</v>
      </c>
    </row>
    <row r="6199" spans="1:5" x14ac:dyDescent="0.25">
      <c r="A6199">
        <v>3051</v>
      </c>
      <c r="B6199" t="s">
        <v>1715</v>
      </c>
      <c r="C6199" t="s">
        <v>299</v>
      </c>
      <c r="D6199" t="str">
        <f t="shared" si="98"/>
        <v>EPAMIG3904</v>
      </c>
      <c r="E6199" t="s">
        <v>2968</v>
      </c>
    </row>
    <row r="6200" spans="1:5" x14ac:dyDescent="0.25">
      <c r="A6200">
        <v>3051</v>
      </c>
      <c r="B6200" t="s">
        <v>1715</v>
      </c>
      <c r="C6200" t="s">
        <v>326</v>
      </c>
      <c r="D6200" t="str">
        <f t="shared" si="98"/>
        <v>EPAMIG3906</v>
      </c>
      <c r="E6200" t="s">
        <v>2968</v>
      </c>
    </row>
    <row r="6201" spans="1:5" x14ac:dyDescent="0.25">
      <c r="A6201">
        <v>3051</v>
      </c>
      <c r="B6201" t="s">
        <v>1715</v>
      </c>
      <c r="C6201" t="s">
        <v>336</v>
      </c>
      <c r="D6201" t="str">
        <f t="shared" si="98"/>
        <v>EPAMIG3909</v>
      </c>
      <c r="E6201" t="s">
        <v>2968</v>
      </c>
    </row>
    <row r="6202" spans="1:5" x14ac:dyDescent="0.25">
      <c r="A6202">
        <v>3051</v>
      </c>
      <c r="B6202" t="s">
        <v>1715</v>
      </c>
      <c r="C6202" t="s">
        <v>346</v>
      </c>
      <c r="D6202" t="str">
        <f t="shared" si="98"/>
        <v>EPAMIG3910</v>
      </c>
      <c r="E6202" t="s">
        <v>2968</v>
      </c>
    </row>
    <row r="6203" spans="1:5" x14ac:dyDescent="0.25">
      <c r="A6203">
        <v>3051</v>
      </c>
      <c r="B6203" t="s">
        <v>1715</v>
      </c>
      <c r="C6203" t="s">
        <v>2991</v>
      </c>
      <c r="D6203" t="str">
        <f t="shared" si="98"/>
        <v>EPAMIG3912</v>
      </c>
      <c r="E6203" t="s">
        <v>2992</v>
      </c>
    </row>
    <row r="6204" spans="1:5" x14ac:dyDescent="0.25">
      <c r="A6204">
        <v>3051</v>
      </c>
      <c r="B6204" t="s">
        <v>1715</v>
      </c>
      <c r="C6204" t="s">
        <v>2994</v>
      </c>
      <c r="D6204" t="str">
        <f t="shared" si="98"/>
        <v>EPAMIG3913</v>
      </c>
      <c r="E6204" t="s">
        <v>2992</v>
      </c>
    </row>
    <row r="6205" spans="1:5" x14ac:dyDescent="0.25">
      <c r="A6205">
        <v>3051</v>
      </c>
      <c r="B6205" t="s">
        <v>1715</v>
      </c>
      <c r="C6205" t="s">
        <v>377</v>
      </c>
      <c r="D6205" t="str">
        <f t="shared" si="98"/>
        <v>EPAMIG3914</v>
      </c>
      <c r="E6205" t="s">
        <v>3009</v>
      </c>
    </row>
    <row r="6206" spans="1:5" x14ac:dyDescent="0.25">
      <c r="A6206">
        <v>3051</v>
      </c>
      <c r="B6206" t="s">
        <v>1715</v>
      </c>
      <c r="C6206" t="s">
        <v>384</v>
      </c>
      <c r="D6206" t="str">
        <f t="shared" si="98"/>
        <v>EPAMIG3915</v>
      </c>
      <c r="E6206" t="s">
        <v>2992</v>
      </c>
    </row>
    <row r="6207" spans="1:5" x14ac:dyDescent="0.25">
      <c r="A6207">
        <v>3051</v>
      </c>
      <c r="B6207" t="s">
        <v>1715</v>
      </c>
      <c r="C6207" t="s">
        <v>2996</v>
      </c>
      <c r="D6207" t="str">
        <f t="shared" si="98"/>
        <v>EPAMIG3917</v>
      </c>
      <c r="E6207" t="s">
        <v>2958</v>
      </c>
    </row>
    <row r="6208" spans="1:5" x14ac:dyDescent="0.25">
      <c r="A6208">
        <v>3051</v>
      </c>
      <c r="B6208" t="s">
        <v>1715</v>
      </c>
      <c r="C6208" t="s">
        <v>2998</v>
      </c>
      <c r="D6208" t="str">
        <f t="shared" si="98"/>
        <v>EPAMIG3918</v>
      </c>
      <c r="E6208" t="s">
        <v>2958</v>
      </c>
    </row>
    <row r="6209" spans="1:5" x14ac:dyDescent="0.25">
      <c r="A6209">
        <v>3051</v>
      </c>
      <c r="B6209" t="s">
        <v>1715</v>
      </c>
      <c r="C6209" t="s">
        <v>3000</v>
      </c>
      <c r="D6209" t="str">
        <f t="shared" si="98"/>
        <v>EPAMIG3919</v>
      </c>
      <c r="E6209" t="s">
        <v>3001</v>
      </c>
    </row>
    <row r="6210" spans="1:5" x14ac:dyDescent="0.25">
      <c r="A6210">
        <v>3051</v>
      </c>
      <c r="B6210" t="s">
        <v>1715</v>
      </c>
      <c r="C6210" t="s">
        <v>3002</v>
      </c>
      <c r="D6210" t="str">
        <f t="shared" si="98"/>
        <v>EPAMIG3921</v>
      </c>
      <c r="E6210" t="s">
        <v>3001</v>
      </c>
    </row>
    <row r="6211" spans="1:5" x14ac:dyDescent="0.25">
      <c r="A6211">
        <v>3051</v>
      </c>
      <c r="B6211" t="s">
        <v>1715</v>
      </c>
      <c r="C6211" t="s">
        <v>3003</v>
      </c>
      <c r="D6211" t="str">
        <f t="shared" si="98"/>
        <v>EPAMIG3922</v>
      </c>
      <c r="E6211" t="s">
        <v>2954</v>
      </c>
    </row>
    <row r="6212" spans="1:5" x14ac:dyDescent="0.25">
      <c r="A6212">
        <v>3051</v>
      </c>
      <c r="B6212" t="s">
        <v>1715</v>
      </c>
      <c r="C6212" t="s">
        <v>428</v>
      </c>
      <c r="D6212" t="str">
        <f t="shared" si="98"/>
        <v>EPAMIG3923</v>
      </c>
      <c r="E6212" t="s">
        <v>2968</v>
      </c>
    </row>
    <row r="6213" spans="1:5" x14ac:dyDescent="0.25">
      <c r="A6213">
        <v>3051</v>
      </c>
      <c r="B6213" t="s">
        <v>1715</v>
      </c>
      <c r="C6213" t="s">
        <v>566</v>
      </c>
      <c r="D6213" t="str">
        <f t="shared" si="98"/>
        <v>EPAMIG3924</v>
      </c>
      <c r="E6213" t="s">
        <v>3004</v>
      </c>
    </row>
    <row r="6214" spans="1:5" x14ac:dyDescent="0.25">
      <c r="A6214">
        <v>3051</v>
      </c>
      <c r="B6214" t="s">
        <v>1715</v>
      </c>
      <c r="C6214" t="s">
        <v>438</v>
      </c>
      <c r="D6214" t="str">
        <f t="shared" si="98"/>
        <v>EPAMIG3925</v>
      </c>
      <c r="E6214" t="s">
        <v>2968</v>
      </c>
    </row>
    <row r="6215" spans="1:5" x14ac:dyDescent="0.25">
      <c r="A6215">
        <v>3051</v>
      </c>
      <c r="B6215" t="s">
        <v>1715</v>
      </c>
      <c r="C6215" t="s">
        <v>3011</v>
      </c>
      <c r="D6215" t="str">
        <f t="shared" si="98"/>
        <v>EPAMIG3929</v>
      </c>
      <c r="E6215" t="s">
        <v>2944</v>
      </c>
    </row>
    <row r="6216" spans="1:5" x14ac:dyDescent="0.25">
      <c r="A6216">
        <v>3051</v>
      </c>
      <c r="B6216" t="s">
        <v>1715</v>
      </c>
      <c r="C6216" t="s">
        <v>1481</v>
      </c>
      <c r="D6216" t="str">
        <f t="shared" ref="D6216:D6279" si="99">CONCATENATE(B6216,LEFT(C6216,4))</f>
        <v>EPAMIG3931</v>
      </c>
      <c r="E6216" t="s">
        <v>2968</v>
      </c>
    </row>
    <row r="6217" spans="1:5" x14ac:dyDescent="0.25">
      <c r="A6217">
        <v>3051</v>
      </c>
      <c r="B6217" t="s">
        <v>1715</v>
      </c>
      <c r="C6217" t="s">
        <v>3015</v>
      </c>
      <c r="D6217" t="str">
        <f t="shared" si="99"/>
        <v>EPAMIG3935</v>
      </c>
      <c r="E6217" t="s">
        <v>2965</v>
      </c>
    </row>
    <row r="6218" spans="1:5" x14ac:dyDescent="0.25">
      <c r="A6218">
        <v>3051</v>
      </c>
      <c r="B6218" t="s">
        <v>1715</v>
      </c>
      <c r="C6218" t="s">
        <v>3202</v>
      </c>
      <c r="D6218" t="str">
        <f t="shared" si="99"/>
        <v>EPAMIG3938</v>
      </c>
      <c r="E6218" t="s">
        <v>3291</v>
      </c>
    </row>
    <row r="6219" spans="1:5" x14ac:dyDescent="0.25">
      <c r="A6219">
        <v>3051</v>
      </c>
      <c r="B6219" t="s">
        <v>1715</v>
      </c>
      <c r="C6219" t="s">
        <v>3089</v>
      </c>
      <c r="D6219" t="str">
        <f t="shared" si="99"/>
        <v>EPAMIG3939</v>
      </c>
      <c r="E6219" t="s">
        <v>2968</v>
      </c>
    </row>
    <row r="6220" spans="1:5" x14ac:dyDescent="0.25">
      <c r="A6220">
        <v>3051</v>
      </c>
      <c r="B6220" t="s">
        <v>1715</v>
      </c>
      <c r="C6220" t="s">
        <v>480</v>
      </c>
      <c r="D6220" t="str">
        <f t="shared" si="99"/>
        <v>EPAMIG3941</v>
      </c>
      <c r="E6220" t="s">
        <v>2968</v>
      </c>
    </row>
    <row r="6221" spans="1:5" x14ac:dyDescent="0.25">
      <c r="A6221">
        <v>3051</v>
      </c>
      <c r="B6221" t="s">
        <v>1715</v>
      </c>
      <c r="C6221" t="s">
        <v>3020</v>
      </c>
      <c r="D6221" t="str">
        <f t="shared" si="99"/>
        <v>EPAMIG3943</v>
      </c>
      <c r="E6221" t="s">
        <v>2958</v>
      </c>
    </row>
    <row r="6222" spans="1:5" x14ac:dyDescent="0.25">
      <c r="A6222">
        <v>3051</v>
      </c>
      <c r="B6222" t="s">
        <v>1715</v>
      </c>
      <c r="C6222" t="s">
        <v>498</v>
      </c>
      <c r="D6222" t="str">
        <f t="shared" si="99"/>
        <v>EPAMIG3955</v>
      </c>
      <c r="E6222" t="s">
        <v>2968</v>
      </c>
    </row>
    <row r="6223" spans="1:5" x14ac:dyDescent="0.25">
      <c r="A6223">
        <v>3051</v>
      </c>
      <c r="B6223" t="s">
        <v>1715</v>
      </c>
      <c r="C6223" t="s">
        <v>3027</v>
      </c>
      <c r="D6223" t="str">
        <f t="shared" si="99"/>
        <v>EPAMIG3961</v>
      </c>
      <c r="E6223" t="s">
        <v>2981</v>
      </c>
    </row>
    <row r="6224" spans="1:5" x14ac:dyDescent="0.25">
      <c r="A6224">
        <v>3051</v>
      </c>
      <c r="B6224" t="s">
        <v>1715</v>
      </c>
      <c r="C6224" t="s">
        <v>3103</v>
      </c>
      <c r="D6224" t="str">
        <f t="shared" si="99"/>
        <v>EPAMIG3962</v>
      </c>
      <c r="E6224" t="s">
        <v>3033</v>
      </c>
    </row>
    <row r="6225" spans="1:5" x14ac:dyDescent="0.25">
      <c r="A6225">
        <v>3051</v>
      </c>
      <c r="B6225" t="s">
        <v>1715</v>
      </c>
      <c r="C6225" t="s">
        <v>1154</v>
      </c>
      <c r="D6225" t="str">
        <f t="shared" si="99"/>
        <v>EPAMIG3969</v>
      </c>
      <c r="E6225" t="s">
        <v>2992</v>
      </c>
    </row>
    <row r="6226" spans="1:5" x14ac:dyDescent="0.25">
      <c r="A6226">
        <v>3051</v>
      </c>
      <c r="B6226" t="s">
        <v>1715</v>
      </c>
      <c r="C6226" t="s">
        <v>520</v>
      </c>
      <c r="D6226" t="str">
        <f t="shared" si="99"/>
        <v>EPAMIG3978</v>
      </c>
      <c r="E6226" t="s">
        <v>2981</v>
      </c>
    </row>
    <row r="6227" spans="1:5" x14ac:dyDescent="0.25">
      <c r="A6227">
        <v>3051</v>
      </c>
      <c r="B6227" t="s">
        <v>1715</v>
      </c>
      <c r="C6227" t="s">
        <v>521</v>
      </c>
      <c r="D6227" t="str">
        <f t="shared" si="99"/>
        <v>EPAMIG3981</v>
      </c>
      <c r="E6227" t="s">
        <v>2968</v>
      </c>
    </row>
    <row r="6228" spans="1:5" x14ac:dyDescent="0.25">
      <c r="A6228">
        <v>3051</v>
      </c>
      <c r="B6228" t="s">
        <v>1715</v>
      </c>
      <c r="C6228" t="s">
        <v>3040</v>
      </c>
      <c r="D6228" t="str">
        <f t="shared" si="99"/>
        <v>EPAMIG3999</v>
      </c>
      <c r="E6228" t="s">
        <v>2968</v>
      </c>
    </row>
    <row r="6229" spans="1:5" x14ac:dyDescent="0.25">
      <c r="A6229">
        <v>3051</v>
      </c>
      <c r="B6229" t="s">
        <v>1715</v>
      </c>
      <c r="C6229" t="s">
        <v>3041</v>
      </c>
      <c r="D6229" t="str">
        <f t="shared" si="99"/>
        <v>EPAMIG4002</v>
      </c>
      <c r="E6229" t="s">
        <v>3009</v>
      </c>
    </row>
    <row r="6230" spans="1:5" x14ac:dyDescent="0.25">
      <c r="A6230">
        <v>3051</v>
      </c>
      <c r="B6230" t="s">
        <v>1715</v>
      </c>
      <c r="C6230" t="s">
        <v>3043</v>
      </c>
      <c r="D6230" t="str">
        <f t="shared" si="99"/>
        <v>EPAMIG4003</v>
      </c>
      <c r="E6230" t="s">
        <v>94</v>
      </c>
    </row>
    <row r="6231" spans="1:5" x14ac:dyDescent="0.25">
      <c r="A6231">
        <v>3051</v>
      </c>
      <c r="B6231" t="s">
        <v>1715</v>
      </c>
      <c r="C6231" t="s">
        <v>3045</v>
      </c>
      <c r="D6231" t="str">
        <f t="shared" si="99"/>
        <v>EPAMIG4004</v>
      </c>
      <c r="E6231" t="s">
        <v>3009</v>
      </c>
    </row>
    <row r="6232" spans="1:5" x14ac:dyDescent="0.25">
      <c r="A6232">
        <v>3051</v>
      </c>
      <c r="B6232" t="s">
        <v>1715</v>
      </c>
      <c r="C6232" t="s">
        <v>813</v>
      </c>
      <c r="D6232" t="str">
        <f t="shared" si="99"/>
        <v>EPAMIG4006</v>
      </c>
      <c r="E6232" t="s">
        <v>3057</v>
      </c>
    </row>
    <row r="6233" spans="1:5" x14ac:dyDescent="0.25">
      <c r="A6233">
        <v>3051</v>
      </c>
      <c r="B6233" t="s">
        <v>1715</v>
      </c>
      <c r="C6233" t="s">
        <v>364</v>
      </c>
      <c r="D6233" t="str">
        <f t="shared" si="99"/>
        <v>EPAMIG4799</v>
      </c>
      <c r="E6233" t="s">
        <v>3049</v>
      </c>
    </row>
    <row r="6234" spans="1:5" x14ac:dyDescent="0.25">
      <c r="A6234">
        <v>3051</v>
      </c>
      <c r="B6234" t="s">
        <v>1715</v>
      </c>
      <c r="C6234" t="s">
        <v>3284</v>
      </c>
      <c r="D6234" t="str">
        <f t="shared" si="99"/>
        <v>EPAMIG5102</v>
      </c>
      <c r="E6234" t="s">
        <v>3052</v>
      </c>
    </row>
    <row r="6235" spans="1:5" x14ac:dyDescent="0.25">
      <c r="A6235">
        <v>3051</v>
      </c>
      <c r="B6235" t="s">
        <v>1715</v>
      </c>
      <c r="C6235" t="s">
        <v>3053</v>
      </c>
      <c r="D6235" t="str">
        <f t="shared" si="99"/>
        <v>EPAMIG5103</v>
      </c>
      <c r="E6235" t="s">
        <v>3052</v>
      </c>
    </row>
    <row r="6236" spans="1:5" x14ac:dyDescent="0.25">
      <c r="A6236">
        <v>3051</v>
      </c>
      <c r="B6236" t="s">
        <v>1715</v>
      </c>
      <c r="C6236" t="s">
        <v>303</v>
      </c>
      <c r="D6236" t="str">
        <f t="shared" si="99"/>
        <v>EPAMIG5104</v>
      </c>
      <c r="E6236" t="s">
        <v>3052</v>
      </c>
    </row>
    <row r="6237" spans="1:5" x14ac:dyDescent="0.25">
      <c r="A6237">
        <v>3051</v>
      </c>
      <c r="B6237" t="s">
        <v>1715</v>
      </c>
      <c r="C6237" t="s">
        <v>3054</v>
      </c>
      <c r="D6237" t="str">
        <f t="shared" si="99"/>
        <v>EPAMIG5204</v>
      </c>
      <c r="E6237" t="s">
        <v>3055</v>
      </c>
    </row>
    <row r="6238" spans="1:5" x14ac:dyDescent="0.25">
      <c r="A6238">
        <v>3051</v>
      </c>
      <c r="B6238" t="s">
        <v>1715</v>
      </c>
      <c r="C6238" t="s">
        <v>329</v>
      </c>
      <c r="D6238" t="str">
        <f t="shared" si="99"/>
        <v>EPAMIG5206</v>
      </c>
      <c r="E6238" t="s">
        <v>3057</v>
      </c>
    </row>
    <row r="6239" spans="1:5" x14ac:dyDescent="0.25">
      <c r="A6239">
        <v>3051</v>
      </c>
      <c r="B6239" t="s">
        <v>1715</v>
      </c>
      <c r="C6239" t="s">
        <v>3058</v>
      </c>
      <c r="D6239" t="str">
        <f t="shared" si="99"/>
        <v>EPAMIG5207</v>
      </c>
      <c r="E6239" t="s">
        <v>3057</v>
      </c>
    </row>
    <row r="6240" spans="1:5" x14ac:dyDescent="0.25">
      <c r="A6240">
        <v>3051</v>
      </c>
      <c r="B6240" t="s">
        <v>1715</v>
      </c>
      <c r="C6240" t="s">
        <v>3060</v>
      </c>
      <c r="D6240" t="str">
        <f t="shared" si="99"/>
        <v>EPAMIG5208</v>
      </c>
      <c r="E6240" t="s">
        <v>3057</v>
      </c>
    </row>
    <row r="6241" spans="1:5" x14ac:dyDescent="0.25">
      <c r="A6241">
        <v>3051</v>
      </c>
      <c r="B6241" t="s">
        <v>1715</v>
      </c>
      <c r="C6241" t="s">
        <v>359</v>
      </c>
      <c r="D6241" t="str">
        <f t="shared" si="99"/>
        <v>EPAMIG5209</v>
      </c>
      <c r="E6241" t="s">
        <v>3055</v>
      </c>
    </row>
    <row r="6242" spans="1:5" x14ac:dyDescent="0.25">
      <c r="A6242">
        <v>3051</v>
      </c>
      <c r="B6242" t="s">
        <v>1715</v>
      </c>
      <c r="C6242" t="s">
        <v>3155</v>
      </c>
      <c r="D6242" t="str">
        <f t="shared" si="99"/>
        <v>EPAMIG5211</v>
      </c>
      <c r="E6242" t="s">
        <v>2944</v>
      </c>
    </row>
    <row r="6243" spans="1:5" x14ac:dyDescent="0.25">
      <c r="A6243">
        <v>3051</v>
      </c>
      <c r="B6243" t="s">
        <v>1715</v>
      </c>
      <c r="C6243" t="s">
        <v>3064</v>
      </c>
      <c r="D6243" t="str">
        <f t="shared" si="99"/>
        <v>EPAMIG5212</v>
      </c>
      <c r="E6243" t="s">
        <v>3055</v>
      </c>
    </row>
    <row r="6244" spans="1:5" x14ac:dyDescent="0.25">
      <c r="A6244">
        <v>3051</v>
      </c>
      <c r="B6244" t="s">
        <v>1715</v>
      </c>
      <c r="C6244" t="s">
        <v>391</v>
      </c>
      <c r="D6244" t="str">
        <f t="shared" si="99"/>
        <v>EPAMIG5214</v>
      </c>
      <c r="E6244" t="s">
        <v>3055</v>
      </c>
    </row>
    <row r="6245" spans="1:5" x14ac:dyDescent="0.25">
      <c r="A6245">
        <v>3051</v>
      </c>
      <c r="B6245" t="s">
        <v>1715</v>
      </c>
      <c r="C6245" t="s">
        <v>403</v>
      </c>
      <c r="D6245" t="str">
        <f t="shared" si="99"/>
        <v>EPAMIG5216</v>
      </c>
      <c r="E6245" t="s">
        <v>3055</v>
      </c>
    </row>
    <row r="6246" spans="1:5" x14ac:dyDescent="0.25">
      <c r="A6246">
        <v>3051</v>
      </c>
      <c r="B6246" t="s">
        <v>1715</v>
      </c>
      <c r="C6246" t="s">
        <v>409</v>
      </c>
      <c r="D6246" t="str">
        <f t="shared" si="99"/>
        <v>EPAMIG5217</v>
      </c>
      <c r="E6246" t="s">
        <v>3055</v>
      </c>
    </row>
    <row r="6247" spans="1:5" x14ac:dyDescent="0.25">
      <c r="A6247">
        <v>3051</v>
      </c>
      <c r="B6247" t="s">
        <v>1715</v>
      </c>
      <c r="C6247" t="s">
        <v>459</v>
      </c>
      <c r="D6247" t="str">
        <f t="shared" si="99"/>
        <v>EPAMIG5299</v>
      </c>
      <c r="E6247" t="s">
        <v>3055</v>
      </c>
    </row>
    <row r="6248" spans="1:5" x14ac:dyDescent="0.25">
      <c r="A6248">
        <v>3151</v>
      </c>
      <c r="B6248" t="s">
        <v>1714</v>
      </c>
      <c r="C6248" t="s">
        <v>2928</v>
      </c>
      <c r="D6248" t="str">
        <f t="shared" si="99"/>
        <v>EMC1401</v>
      </c>
      <c r="E6248" t="s">
        <v>44</v>
      </c>
    </row>
    <row r="6249" spans="1:5" x14ac:dyDescent="0.25">
      <c r="A6249">
        <v>3151</v>
      </c>
      <c r="B6249" t="s">
        <v>1714</v>
      </c>
      <c r="C6249" t="s">
        <v>2941</v>
      </c>
      <c r="D6249" t="str">
        <f t="shared" si="99"/>
        <v>EMC3008</v>
      </c>
      <c r="E6249" t="s">
        <v>2933</v>
      </c>
    </row>
    <row r="6250" spans="1:5" x14ac:dyDescent="0.25">
      <c r="A6250">
        <v>3151</v>
      </c>
      <c r="B6250" t="s">
        <v>1714</v>
      </c>
      <c r="C6250" t="s">
        <v>406</v>
      </c>
      <c r="D6250" t="str">
        <f t="shared" si="99"/>
        <v>EMC3017</v>
      </c>
      <c r="E6250" t="s">
        <v>2933</v>
      </c>
    </row>
    <row r="6251" spans="1:5" x14ac:dyDescent="0.25">
      <c r="A6251">
        <v>3151</v>
      </c>
      <c r="B6251" t="s">
        <v>1714</v>
      </c>
      <c r="C6251" t="s">
        <v>2956</v>
      </c>
      <c r="D6251" t="str">
        <f t="shared" si="99"/>
        <v>EMC3021</v>
      </c>
      <c r="E6251" t="s">
        <v>2933</v>
      </c>
    </row>
    <row r="6252" spans="1:5" x14ac:dyDescent="0.25">
      <c r="A6252">
        <v>3151</v>
      </c>
      <c r="B6252" t="s">
        <v>1714</v>
      </c>
      <c r="C6252" t="s">
        <v>441</v>
      </c>
      <c r="D6252" t="str">
        <f t="shared" si="99"/>
        <v>EMC3024</v>
      </c>
      <c r="E6252" t="s">
        <v>2933</v>
      </c>
    </row>
    <row r="6253" spans="1:5" x14ac:dyDescent="0.25">
      <c r="A6253">
        <v>3151</v>
      </c>
      <c r="B6253" t="s">
        <v>1714</v>
      </c>
      <c r="C6253" t="s">
        <v>2960</v>
      </c>
      <c r="D6253" t="str">
        <f t="shared" si="99"/>
        <v>EMC3026</v>
      </c>
      <c r="E6253" t="s">
        <v>2958</v>
      </c>
    </row>
    <row r="6254" spans="1:5" x14ac:dyDescent="0.25">
      <c r="A6254">
        <v>3151</v>
      </c>
      <c r="B6254" t="s">
        <v>1714</v>
      </c>
      <c r="C6254" t="s">
        <v>491</v>
      </c>
      <c r="D6254" t="str">
        <f t="shared" si="99"/>
        <v>EMC3099</v>
      </c>
      <c r="E6254" t="s">
        <v>2933</v>
      </c>
    </row>
    <row r="6255" spans="1:5" x14ac:dyDescent="0.25">
      <c r="A6255">
        <v>3151</v>
      </c>
      <c r="B6255" t="s">
        <v>1714</v>
      </c>
      <c r="C6255" t="s">
        <v>2975</v>
      </c>
      <c r="D6255" t="str">
        <f t="shared" si="99"/>
        <v>EMC3302</v>
      </c>
      <c r="E6255" t="s">
        <v>44</v>
      </c>
    </row>
    <row r="6256" spans="1:5" x14ac:dyDescent="0.25">
      <c r="A6256">
        <v>3151</v>
      </c>
      <c r="B6256" t="s">
        <v>1714</v>
      </c>
      <c r="C6256" t="s">
        <v>3201</v>
      </c>
      <c r="D6256" t="str">
        <f t="shared" si="99"/>
        <v>EMC3502</v>
      </c>
      <c r="E6256" t="s">
        <v>1660</v>
      </c>
    </row>
    <row r="6257" spans="1:5" x14ac:dyDescent="0.25">
      <c r="A6257">
        <v>3151</v>
      </c>
      <c r="B6257" t="s">
        <v>1714</v>
      </c>
      <c r="C6257" t="s">
        <v>297</v>
      </c>
      <c r="D6257" t="str">
        <f t="shared" si="99"/>
        <v>EMC3604</v>
      </c>
      <c r="E6257" t="s">
        <v>44</v>
      </c>
    </row>
    <row r="6258" spans="1:5" x14ac:dyDescent="0.25">
      <c r="A6258">
        <v>3151</v>
      </c>
      <c r="B6258" t="s">
        <v>1714</v>
      </c>
      <c r="C6258" t="s">
        <v>355</v>
      </c>
      <c r="D6258" t="str">
        <f t="shared" si="99"/>
        <v>EMC3610</v>
      </c>
      <c r="E6258" t="s">
        <v>2968</v>
      </c>
    </row>
    <row r="6259" spans="1:5" x14ac:dyDescent="0.25">
      <c r="A6259">
        <v>3151</v>
      </c>
      <c r="B6259" t="s">
        <v>1714</v>
      </c>
      <c r="C6259" t="s">
        <v>2979</v>
      </c>
      <c r="D6259" t="str">
        <f t="shared" si="99"/>
        <v>EMC3612</v>
      </c>
      <c r="E6259" t="s">
        <v>2968</v>
      </c>
    </row>
    <row r="6260" spans="1:5" x14ac:dyDescent="0.25">
      <c r="A6260">
        <v>3151</v>
      </c>
      <c r="B6260" t="s">
        <v>1714</v>
      </c>
      <c r="C6260" t="s">
        <v>417</v>
      </c>
      <c r="D6260" t="str">
        <f t="shared" si="99"/>
        <v>EMC3620</v>
      </c>
      <c r="E6260" t="s">
        <v>2968</v>
      </c>
    </row>
    <row r="6261" spans="1:5" x14ac:dyDescent="0.25">
      <c r="A6261">
        <v>3151</v>
      </c>
      <c r="B6261" t="s">
        <v>1714</v>
      </c>
      <c r="C6261" t="s">
        <v>3050</v>
      </c>
      <c r="D6261" t="str">
        <f t="shared" si="99"/>
        <v>EMC3702</v>
      </c>
      <c r="E6261" t="s">
        <v>2981</v>
      </c>
    </row>
    <row r="6262" spans="1:5" x14ac:dyDescent="0.25">
      <c r="A6262">
        <v>3151</v>
      </c>
      <c r="B6262" t="s">
        <v>1714</v>
      </c>
      <c r="C6262" t="s">
        <v>299</v>
      </c>
      <c r="D6262" t="str">
        <f t="shared" si="99"/>
        <v>EMC3904</v>
      </c>
      <c r="E6262" t="s">
        <v>2968</v>
      </c>
    </row>
    <row r="6263" spans="1:5" x14ac:dyDescent="0.25">
      <c r="A6263">
        <v>3151</v>
      </c>
      <c r="B6263" t="s">
        <v>1714</v>
      </c>
      <c r="C6263" t="s">
        <v>346</v>
      </c>
      <c r="D6263" t="str">
        <f t="shared" si="99"/>
        <v>EMC3910</v>
      </c>
      <c r="E6263" t="s">
        <v>2968</v>
      </c>
    </row>
    <row r="6264" spans="1:5" x14ac:dyDescent="0.25">
      <c r="A6264">
        <v>3151</v>
      </c>
      <c r="B6264" t="s">
        <v>1714</v>
      </c>
      <c r="C6264" t="s">
        <v>2991</v>
      </c>
      <c r="D6264" t="str">
        <f t="shared" si="99"/>
        <v>EMC3912</v>
      </c>
      <c r="E6264" t="s">
        <v>2992</v>
      </c>
    </row>
    <row r="6265" spans="1:5" x14ac:dyDescent="0.25">
      <c r="A6265">
        <v>3151</v>
      </c>
      <c r="B6265" t="s">
        <v>1714</v>
      </c>
      <c r="C6265" t="s">
        <v>2994</v>
      </c>
      <c r="D6265" t="str">
        <f t="shared" si="99"/>
        <v>EMC3913</v>
      </c>
      <c r="E6265" t="s">
        <v>2992</v>
      </c>
    </row>
    <row r="6266" spans="1:5" x14ac:dyDescent="0.25">
      <c r="A6266">
        <v>3151</v>
      </c>
      <c r="B6266" t="s">
        <v>1714</v>
      </c>
      <c r="C6266" t="s">
        <v>390</v>
      </c>
      <c r="D6266" t="str">
        <f t="shared" si="99"/>
        <v>EMC3916</v>
      </c>
      <c r="E6266" t="s">
        <v>2968</v>
      </c>
    </row>
    <row r="6267" spans="1:5" x14ac:dyDescent="0.25">
      <c r="A6267">
        <v>3151</v>
      </c>
      <c r="B6267" t="s">
        <v>1714</v>
      </c>
      <c r="C6267" t="s">
        <v>3000</v>
      </c>
      <c r="D6267" t="str">
        <f t="shared" si="99"/>
        <v>EMC3919</v>
      </c>
      <c r="E6267" t="s">
        <v>3001</v>
      </c>
    </row>
    <row r="6268" spans="1:5" x14ac:dyDescent="0.25">
      <c r="A6268">
        <v>3151</v>
      </c>
      <c r="B6268" t="s">
        <v>1714</v>
      </c>
      <c r="C6268" t="s">
        <v>3077</v>
      </c>
      <c r="D6268" t="str">
        <f t="shared" si="99"/>
        <v>EMC3920</v>
      </c>
      <c r="E6268" t="s">
        <v>3107</v>
      </c>
    </row>
    <row r="6269" spans="1:5" x14ac:dyDescent="0.25">
      <c r="A6269">
        <v>3151</v>
      </c>
      <c r="B6269" t="s">
        <v>1714</v>
      </c>
      <c r="C6269" t="s">
        <v>3002</v>
      </c>
      <c r="D6269" t="str">
        <f t="shared" si="99"/>
        <v>EMC3921</v>
      </c>
      <c r="E6269" t="s">
        <v>3001</v>
      </c>
    </row>
    <row r="6270" spans="1:5" x14ac:dyDescent="0.25">
      <c r="A6270">
        <v>3151</v>
      </c>
      <c r="B6270" t="s">
        <v>1714</v>
      </c>
      <c r="C6270" t="s">
        <v>566</v>
      </c>
      <c r="D6270" t="str">
        <f t="shared" si="99"/>
        <v>EMC3924</v>
      </c>
      <c r="E6270" t="s">
        <v>3004</v>
      </c>
    </row>
    <row r="6271" spans="1:5" x14ac:dyDescent="0.25">
      <c r="A6271">
        <v>3151</v>
      </c>
      <c r="B6271" t="s">
        <v>1714</v>
      </c>
      <c r="C6271" t="s">
        <v>3011</v>
      </c>
      <c r="D6271" t="str">
        <f t="shared" si="99"/>
        <v>EMC3929</v>
      </c>
      <c r="E6271" t="s">
        <v>2944</v>
      </c>
    </row>
    <row r="6272" spans="1:5" x14ac:dyDescent="0.25">
      <c r="A6272">
        <v>3151</v>
      </c>
      <c r="B6272" t="s">
        <v>1714</v>
      </c>
      <c r="C6272" t="s">
        <v>1481</v>
      </c>
      <c r="D6272" t="str">
        <f t="shared" si="99"/>
        <v>EMC3931</v>
      </c>
      <c r="E6272" t="s">
        <v>2968</v>
      </c>
    </row>
    <row r="6273" spans="1:5" x14ac:dyDescent="0.25">
      <c r="A6273">
        <v>3151</v>
      </c>
      <c r="B6273" t="s">
        <v>1714</v>
      </c>
      <c r="C6273" t="s">
        <v>3088</v>
      </c>
      <c r="D6273" t="str">
        <f t="shared" si="99"/>
        <v>EMC3937</v>
      </c>
      <c r="E6273" t="s">
        <v>3107</v>
      </c>
    </row>
    <row r="6274" spans="1:5" x14ac:dyDescent="0.25">
      <c r="A6274">
        <v>3151</v>
      </c>
      <c r="B6274" t="s">
        <v>1714</v>
      </c>
      <c r="C6274" t="s">
        <v>3089</v>
      </c>
      <c r="D6274" t="str">
        <f t="shared" si="99"/>
        <v>EMC3939</v>
      </c>
      <c r="E6274" t="s">
        <v>2968</v>
      </c>
    </row>
    <row r="6275" spans="1:5" x14ac:dyDescent="0.25">
      <c r="A6275">
        <v>3151</v>
      </c>
      <c r="B6275" t="s">
        <v>1714</v>
      </c>
      <c r="C6275" t="s">
        <v>480</v>
      </c>
      <c r="D6275" t="str">
        <f t="shared" si="99"/>
        <v>EMC3941</v>
      </c>
      <c r="E6275" t="s">
        <v>2968</v>
      </c>
    </row>
    <row r="6276" spans="1:5" x14ac:dyDescent="0.25">
      <c r="A6276">
        <v>3151</v>
      </c>
      <c r="B6276" t="s">
        <v>1714</v>
      </c>
      <c r="C6276" t="s">
        <v>3020</v>
      </c>
      <c r="D6276" t="str">
        <f t="shared" si="99"/>
        <v>EMC3943</v>
      </c>
      <c r="E6276" t="s">
        <v>2958</v>
      </c>
    </row>
    <row r="6277" spans="1:5" x14ac:dyDescent="0.25">
      <c r="A6277">
        <v>3151</v>
      </c>
      <c r="B6277" t="s">
        <v>1714</v>
      </c>
      <c r="C6277" t="s">
        <v>3096</v>
      </c>
      <c r="D6277" t="str">
        <f t="shared" si="99"/>
        <v>EMC3949</v>
      </c>
      <c r="E6277" t="s">
        <v>3004</v>
      </c>
    </row>
    <row r="6278" spans="1:5" x14ac:dyDescent="0.25">
      <c r="A6278">
        <v>3151</v>
      </c>
      <c r="B6278" t="s">
        <v>1714</v>
      </c>
      <c r="C6278" t="s">
        <v>3098</v>
      </c>
      <c r="D6278" t="str">
        <f t="shared" si="99"/>
        <v>EMC3952</v>
      </c>
      <c r="E6278" t="s">
        <v>65</v>
      </c>
    </row>
    <row r="6279" spans="1:5" x14ac:dyDescent="0.25">
      <c r="A6279">
        <v>3151</v>
      </c>
      <c r="B6279" t="s">
        <v>1714</v>
      </c>
      <c r="C6279" t="s">
        <v>498</v>
      </c>
      <c r="D6279" t="str">
        <f t="shared" si="99"/>
        <v>EMC3955</v>
      </c>
      <c r="E6279" t="s">
        <v>2968</v>
      </c>
    </row>
    <row r="6280" spans="1:5" x14ac:dyDescent="0.25">
      <c r="A6280">
        <v>3151</v>
      </c>
      <c r="B6280" t="s">
        <v>1714</v>
      </c>
      <c r="C6280" t="s">
        <v>499</v>
      </c>
      <c r="D6280" t="str">
        <f t="shared" ref="D6280:D6343" si="100">CONCATENATE(B6280,LEFT(C6280,4))</f>
        <v>EMC3956</v>
      </c>
      <c r="E6280" t="s">
        <v>2968</v>
      </c>
    </row>
    <row r="6281" spans="1:5" x14ac:dyDescent="0.25">
      <c r="A6281">
        <v>3151</v>
      </c>
      <c r="B6281" t="s">
        <v>1714</v>
      </c>
      <c r="C6281" t="s">
        <v>3027</v>
      </c>
      <c r="D6281" t="str">
        <f t="shared" si="100"/>
        <v>EMC3961</v>
      </c>
      <c r="E6281" t="s">
        <v>2981</v>
      </c>
    </row>
    <row r="6282" spans="1:5" x14ac:dyDescent="0.25">
      <c r="A6282">
        <v>3151</v>
      </c>
      <c r="B6282" t="s">
        <v>1714</v>
      </c>
      <c r="C6282" t="s">
        <v>3103</v>
      </c>
      <c r="D6282" t="str">
        <f t="shared" si="100"/>
        <v>EMC3962</v>
      </c>
      <c r="E6282" t="s">
        <v>3033</v>
      </c>
    </row>
    <row r="6283" spans="1:5" x14ac:dyDescent="0.25">
      <c r="A6283">
        <v>3151</v>
      </c>
      <c r="B6283" t="s">
        <v>1714</v>
      </c>
      <c r="C6283" t="s">
        <v>526</v>
      </c>
      <c r="D6283" t="str">
        <f t="shared" si="100"/>
        <v>EMC3986</v>
      </c>
      <c r="E6283" t="s">
        <v>2968</v>
      </c>
    </row>
    <row r="6284" spans="1:5" x14ac:dyDescent="0.25">
      <c r="A6284">
        <v>3151</v>
      </c>
      <c r="B6284" t="s">
        <v>1714</v>
      </c>
      <c r="C6284" t="s">
        <v>3040</v>
      </c>
      <c r="D6284" t="str">
        <f t="shared" si="100"/>
        <v>EMC3999</v>
      </c>
      <c r="E6284" t="s">
        <v>2968</v>
      </c>
    </row>
    <row r="6285" spans="1:5" x14ac:dyDescent="0.25">
      <c r="A6285">
        <v>3151</v>
      </c>
      <c r="B6285" t="s">
        <v>1714</v>
      </c>
      <c r="C6285" t="s">
        <v>3041</v>
      </c>
      <c r="D6285" t="str">
        <f t="shared" si="100"/>
        <v>EMC4002</v>
      </c>
      <c r="E6285" t="s">
        <v>3009</v>
      </c>
    </row>
    <row r="6286" spans="1:5" x14ac:dyDescent="0.25">
      <c r="A6286">
        <v>3151</v>
      </c>
      <c r="B6286" t="s">
        <v>1714</v>
      </c>
      <c r="C6286" t="s">
        <v>3043</v>
      </c>
      <c r="D6286" t="str">
        <f t="shared" si="100"/>
        <v>EMC4003</v>
      </c>
      <c r="E6286" t="s">
        <v>94</v>
      </c>
    </row>
    <row r="6287" spans="1:5" x14ac:dyDescent="0.25">
      <c r="A6287">
        <v>3151</v>
      </c>
      <c r="B6287" t="s">
        <v>1714</v>
      </c>
      <c r="C6287" t="s">
        <v>3045</v>
      </c>
      <c r="D6287" t="str">
        <f t="shared" si="100"/>
        <v>EMC4004</v>
      </c>
      <c r="E6287" t="s">
        <v>3009</v>
      </c>
    </row>
    <row r="6288" spans="1:5" x14ac:dyDescent="0.25">
      <c r="A6288">
        <v>3151</v>
      </c>
      <c r="B6288" t="s">
        <v>1714</v>
      </c>
      <c r="C6288" t="s">
        <v>3047</v>
      </c>
      <c r="D6288" t="str">
        <f t="shared" si="100"/>
        <v>EMC4005</v>
      </c>
      <c r="E6288" t="s">
        <v>3009</v>
      </c>
    </row>
    <row r="6289" spans="1:5" x14ac:dyDescent="0.25">
      <c r="A6289">
        <v>3151</v>
      </c>
      <c r="B6289" t="s">
        <v>1714</v>
      </c>
      <c r="C6289" t="s">
        <v>813</v>
      </c>
      <c r="D6289" t="str">
        <f t="shared" si="100"/>
        <v>EMC4006</v>
      </c>
      <c r="E6289" t="s">
        <v>3057</v>
      </c>
    </row>
    <row r="6290" spans="1:5" x14ac:dyDescent="0.25">
      <c r="A6290">
        <v>3151</v>
      </c>
      <c r="B6290" t="s">
        <v>1714</v>
      </c>
      <c r="C6290" t="s">
        <v>3280</v>
      </c>
      <c r="D6290" t="str">
        <f t="shared" si="100"/>
        <v>EMC4602</v>
      </c>
      <c r="E6290" t="s">
        <v>2926</v>
      </c>
    </row>
    <row r="6291" spans="1:5" x14ac:dyDescent="0.25">
      <c r="A6291">
        <v>3151</v>
      </c>
      <c r="B6291" t="s">
        <v>1714</v>
      </c>
      <c r="C6291" t="s">
        <v>364</v>
      </c>
      <c r="D6291" t="str">
        <f t="shared" si="100"/>
        <v>EMC4799</v>
      </c>
      <c r="E6291" t="s">
        <v>3049</v>
      </c>
    </row>
    <row r="6292" spans="1:5" x14ac:dyDescent="0.25">
      <c r="A6292">
        <v>3151</v>
      </c>
      <c r="B6292" t="s">
        <v>1714</v>
      </c>
      <c r="C6292" t="s">
        <v>3358</v>
      </c>
      <c r="D6292" t="str">
        <f t="shared" si="100"/>
        <v>EMC4901</v>
      </c>
      <c r="E6292" t="s">
        <v>2926</v>
      </c>
    </row>
    <row r="6293" spans="1:5" x14ac:dyDescent="0.25">
      <c r="A6293">
        <v>3151</v>
      </c>
      <c r="B6293" t="s">
        <v>1714</v>
      </c>
      <c r="C6293" t="s">
        <v>317</v>
      </c>
      <c r="D6293" t="str">
        <f t="shared" si="100"/>
        <v>EMC5106</v>
      </c>
      <c r="E6293" t="s">
        <v>3052</v>
      </c>
    </row>
    <row r="6294" spans="1:5" x14ac:dyDescent="0.25">
      <c r="A6294">
        <v>3151</v>
      </c>
      <c r="B6294" t="s">
        <v>1714</v>
      </c>
      <c r="C6294" t="s">
        <v>329</v>
      </c>
      <c r="D6294" t="str">
        <f t="shared" si="100"/>
        <v>EMC5206</v>
      </c>
      <c r="E6294" t="s">
        <v>3057</v>
      </c>
    </row>
    <row r="6295" spans="1:5" x14ac:dyDescent="0.25">
      <c r="A6295">
        <v>3151</v>
      </c>
      <c r="B6295" t="s">
        <v>1714</v>
      </c>
      <c r="C6295" t="s">
        <v>3058</v>
      </c>
      <c r="D6295" t="str">
        <f t="shared" si="100"/>
        <v>EMC5207</v>
      </c>
      <c r="E6295" t="s">
        <v>3057</v>
      </c>
    </row>
    <row r="6296" spans="1:5" x14ac:dyDescent="0.25">
      <c r="A6296">
        <v>3151</v>
      </c>
      <c r="B6296" t="s">
        <v>1714</v>
      </c>
      <c r="C6296" t="s">
        <v>3060</v>
      </c>
      <c r="D6296" t="str">
        <f t="shared" si="100"/>
        <v>EMC5208</v>
      </c>
      <c r="E6296" t="s">
        <v>3057</v>
      </c>
    </row>
    <row r="6297" spans="1:5" x14ac:dyDescent="0.25">
      <c r="A6297">
        <v>4091</v>
      </c>
      <c r="B6297" t="s">
        <v>3359</v>
      </c>
      <c r="C6297" t="s">
        <v>336</v>
      </c>
      <c r="D6297" t="str">
        <f t="shared" si="100"/>
        <v>FIA3909</v>
      </c>
      <c r="E6297" t="s">
        <v>2968</v>
      </c>
    </row>
    <row r="6298" spans="1:5" x14ac:dyDescent="0.25">
      <c r="A6298">
        <v>4091</v>
      </c>
      <c r="B6298" t="s">
        <v>3359</v>
      </c>
      <c r="C6298" t="s">
        <v>496</v>
      </c>
      <c r="D6298" t="str">
        <f t="shared" si="100"/>
        <v>FIA3953</v>
      </c>
      <c r="E6298" t="s">
        <v>3004</v>
      </c>
    </row>
    <row r="6299" spans="1:5" x14ac:dyDescent="0.25">
      <c r="A6299">
        <v>4091</v>
      </c>
      <c r="B6299" t="s">
        <v>3359</v>
      </c>
      <c r="C6299" t="s">
        <v>498</v>
      </c>
      <c r="D6299" t="str">
        <f t="shared" si="100"/>
        <v>FIA3955</v>
      </c>
      <c r="E6299" t="s">
        <v>2968</v>
      </c>
    </row>
    <row r="6300" spans="1:5" x14ac:dyDescent="0.25">
      <c r="A6300">
        <v>4091</v>
      </c>
      <c r="B6300" t="s">
        <v>3359</v>
      </c>
      <c r="C6300" t="s">
        <v>3127</v>
      </c>
      <c r="D6300" t="str">
        <f t="shared" si="100"/>
        <v>FIA4201</v>
      </c>
      <c r="E6300" t="s">
        <v>3218</v>
      </c>
    </row>
    <row r="6301" spans="1:5" x14ac:dyDescent="0.25">
      <c r="A6301">
        <v>4091</v>
      </c>
      <c r="B6301" t="s">
        <v>3359</v>
      </c>
      <c r="C6301" t="s">
        <v>3128</v>
      </c>
      <c r="D6301" t="str">
        <f t="shared" si="100"/>
        <v>FIA4301</v>
      </c>
      <c r="E6301" t="s">
        <v>3239</v>
      </c>
    </row>
    <row r="6302" spans="1:5" x14ac:dyDescent="0.25">
      <c r="A6302">
        <v>4091</v>
      </c>
      <c r="B6302" t="s">
        <v>3359</v>
      </c>
      <c r="C6302" t="s">
        <v>3053</v>
      </c>
      <c r="D6302" t="str">
        <f t="shared" si="100"/>
        <v>FIA5103</v>
      </c>
      <c r="E6302" t="s">
        <v>3052</v>
      </c>
    </row>
    <row r="6303" spans="1:5" x14ac:dyDescent="0.25">
      <c r="A6303">
        <v>4091</v>
      </c>
      <c r="B6303" t="s">
        <v>3359</v>
      </c>
      <c r="C6303" t="s">
        <v>331</v>
      </c>
      <c r="D6303" t="str">
        <f t="shared" si="100"/>
        <v>FIA9306</v>
      </c>
      <c r="E6303" t="s">
        <v>3076</v>
      </c>
    </row>
    <row r="6304" spans="1:5" x14ac:dyDescent="0.25">
      <c r="A6304">
        <v>4101</v>
      </c>
      <c r="B6304" t="s">
        <v>3360</v>
      </c>
      <c r="C6304" t="s">
        <v>438</v>
      </c>
      <c r="D6304" t="str">
        <f t="shared" si="100"/>
        <v>FEH3925</v>
      </c>
      <c r="E6304" t="s">
        <v>3006</v>
      </c>
    </row>
    <row r="6305" spans="1:5" x14ac:dyDescent="0.25">
      <c r="A6305">
        <v>4101</v>
      </c>
      <c r="B6305" t="s">
        <v>3360</v>
      </c>
      <c r="C6305" t="s">
        <v>466</v>
      </c>
      <c r="D6305" t="str">
        <f t="shared" si="100"/>
        <v>FEH3933</v>
      </c>
      <c r="E6305" t="s">
        <v>2968</v>
      </c>
    </row>
    <row r="6306" spans="1:5" x14ac:dyDescent="0.25">
      <c r="A6306">
        <v>4101</v>
      </c>
      <c r="B6306" t="s">
        <v>3360</v>
      </c>
      <c r="C6306" t="s">
        <v>490</v>
      </c>
      <c r="D6306" t="str">
        <f t="shared" si="100"/>
        <v>FEH3947</v>
      </c>
      <c r="E6306" t="s">
        <v>2968</v>
      </c>
    </row>
    <row r="6307" spans="1:5" x14ac:dyDescent="0.25">
      <c r="A6307">
        <v>4101</v>
      </c>
      <c r="B6307" t="s">
        <v>3360</v>
      </c>
      <c r="C6307" t="s">
        <v>500</v>
      </c>
      <c r="D6307" t="str">
        <f t="shared" si="100"/>
        <v>FEH3957</v>
      </c>
      <c r="E6307" t="s">
        <v>2968</v>
      </c>
    </row>
    <row r="6308" spans="1:5" x14ac:dyDescent="0.25">
      <c r="A6308">
        <v>4101</v>
      </c>
      <c r="B6308" t="s">
        <v>3360</v>
      </c>
      <c r="C6308" t="s">
        <v>3048</v>
      </c>
      <c r="D6308" t="str">
        <f t="shared" si="100"/>
        <v>FEH4701</v>
      </c>
      <c r="E6308" t="s">
        <v>3049</v>
      </c>
    </row>
    <row r="6309" spans="1:5" x14ac:dyDescent="0.25">
      <c r="A6309">
        <v>4101</v>
      </c>
      <c r="B6309" t="s">
        <v>3360</v>
      </c>
      <c r="C6309" t="s">
        <v>364</v>
      </c>
      <c r="D6309" t="str">
        <f t="shared" si="100"/>
        <v>FEH4799</v>
      </c>
      <c r="E6309" t="s">
        <v>3049</v>
      </c>
    </row>
    <row r="6310" spans="1:5" x14ac:dyDescent="0.25">
      <c r="A6310">
        <v>4101</v>
      </c>
      <c r="B6310" t="s">
        <v>3360</v>
      </c>
      <c r="C6310" t="s">
        <v>240</v>
      </c>
      <c r="D6310" t="str">
        <f t="shared" si="100"/>
        <v>FEH4801</v>
      </c>
      <c r="E6310" t="s">
        <v>2968</v>
      </c>
    </row>
    <row r="6311" spans="1:5" x14ac:dyDescent="0.25">
      <c r="A6311">
        <v>4101</v>
      </c>
      <c r="B6311" t="s">
        <v>3360</v>
      </c>
      <c r="C6311" t="s">
        <v>358</v>
      </c>
      <c r="D6311" t="str">
        <f t="shared" si="100"/>
        <v>FEH5111</v>
      </c>
      <c r="E6311" t="s">
        <v>3052</v>
      </c>
    </row>
    <row r="6312" spans="1:5" x14ac:dyDescent="0.25">
      <c r="A6312">
        <v>4101</v>
      </c>
      <c r="B6312" t="s">
        <v>3360</v>
      </c>
      <c r="C6312" t="s">
        <v>290</v>
      </c>
      <c r="D6312" t="str">
        <f t="shared" si="100"/>
        <v>FEH6603</v>
      </c>
      <c r="E6312" t="s">
        <v>2968</v>
      </c>
    </row>
    <row r="6313" spans="1:5" x14ac:dyDescent="0.25">
      <c r="A6313">
        <v>4101</v>
      </c>
      <c r="B6313" t="s">
        <v>3360</v>
      </c>
      <c r="C6313" t="s">
        <v>3285</v>
      </c>
      <c r="D6313" t="str">
        <f t="shared" si="100"/>
        <v>FEH9113</v>
      </c>
      <c r="E6313" t="s">
        <v>3212</v>
      </c>
    </row>
    <row r="6314" spans="1:5" x14ac:dyDescent="0.25">
      <c r="A6314">
        <v>4101</v>
      </c>
      <c r="B6314" t="s">
        <v>3360</v>
      </c>
      <c r="C6314" t="s">
        <v>3074</v>
      </c>
      <c r="D6314" t="str">
        <f t="shared" si="100"/>
        <v>FEH9202</v>
      </c>
      <c r="E6314" t="s">
        <v>3075</v>
      </c>
    </row>
    <row r="6315" spans="1:5" x14ac:dyDescent="0.25">
      <c r="A6315">
        <v>4101</v>
      </c>
      <c r="B6315" t="s">
        <v>3360</v>
      </c>
      <c r="C6315" t="s">
        <v>392</v>
      </c>
      <c r="D6315" t="str">
        <f t="shared" si="100"/>
        <v>FEH9314</v>
      </c>
      <c r="E6315" t="s">
        <v>2968</v>
      </c>
    </row>
    <row r="6316" spans="1:5" x14ac:dyDescent="0.25">
      <c r="A6316">
        <v>4141</v>
      </c>
      <c r="B6316" t="s">
        <v>3361</v>
      </c>
      <c r="C6316" t="s">
        <v>2932</v>
      </c>
      <c r="D6316" t="str">
        <f t="shared" si="100"/>
        <v>FPE3001</v>
      </c>
      <c r="E6316" t="s">
        <v>2933</v>
      </c>
    </row>
    <row r="6317" spans="1:5" x14ac:dyDescent="0.25">
      <c r="A6317">
        <v>4141</v>
      </c>
      <c r="B6317" t="s">
        <v>3361</v>
      </c>
      <c r="C6317" t="s">
        <v>2959</v>
      </c>
      <c r="D6317" t="str">
        <f t="shared" si="100"/>
        <v>FPE3025</v>
      </c>
      <c r="E6317" t="s">
        <v>2933</v>
      </c>
    </row>
    <row r="6318" spans="1:5" x14ac:dyDescent="0.25">
      <c r="A6318">
        <v>4141</v>
      </c>
      <c r="B6318" t="s">
        <v>3361</v>
      </c>
      <c r="C6318" t="s">
        <v>3012</v>
      </c>
      <c r="D6318" t="str">
        <f t="shared" si="100"/>
        <v>FPE3601</v>
      </c>
      <c r="E6318" t="s">
        <v>65</v>
      </c>
    </row>
    <row r="6319" spans="1:5" x14ac:dyDescent="0.25">
      <c r="A6319">
        <v>4141</v>
      </c>
      <c r="B6319" t="s">
        <v>3361</v>
      </c>
      <c r="C6319" t="s">
        <v>3000</v>
      </c>
      <c r="D6319" t="str">
        <f t="shared" si="100"/>
        <v>FPE3919</v>
      </c>
      <c r="E6319" t="s">
        <v>3001</v>
      </c>
    </row>
    <row r="6320" spans="1:5" x14ac:dyDescent="0.25">
      <c r="A6320">
        <v>4141</v>
      </c>
      <c r="B6320" t="s">
        <v>3361</v>
      </c>
      <c r="C6320" t="s">
        <v>3003</v>
      </c>
      <c r="D6320" t="str">
        <f t="shared" si="100"/>
        <v>FPE3922</v>
      </c>
      <c r="E6320" t="s">
        <v>2954</v>
      </c>
    </row>
    <row r="6321" spans="1:5" x14ac:dyDescent="0.25">
      <c r="A6321">
        <v>4141</v>
      </c>
      <c r="B6321" t="s">
        <v>3361</v>
      </c>
      <c r="C6321" t="s">
        <v>443</v>
      </c>
      <c r="D6321" t="str">
        <f t="shared" si="100"/>
        <v>FPE3926</v>
      </c>
      <c r="E6321" t="s">
        <v>3006</v>
      </c>
    </row>
    <row r="6322" spans="1:5" x14ac:dyDescent="0.25">
      <c r="A6322">
        <v>4141</v>
      </c>
      <c r="B6322" t="s">
        <v>3361</v>
      </c>
      <c r="C6322" t="s">
        <v>3040</v>
      </c>
      <c r="D6322" t="str">
        <f t="shared" si="100"/>
        <v>FPE3999</v>
      </c>
      <c r="E6322" t="s">
        <v>2968</v>
      </c>
    </row>
    <row r="6323" spans="1:5" x14ac:dyDescent="0.25">
      <c r="A6323">
        <v>4141</v>
      </c>
      <c r="B6323" t="s">
        <v>3361</v>
      </c>
      <c r="C6323" t="s">
        <v>813</v>
      </c>
      <c r="D6323" t="str">
        <f t="shared" si="100"/>
        <v>FPE4006</v>
      </c>
      <c r="E6323" t="s">
        <v>3057</v>
      </c>
    </row>
    <row r="6324" spans="1:5" x14ac:dyDescent="0.25">
      <c r="A6324">
        <v>4141</v>
      </c>
      <c r="B6324" t="s">
        <v>3361</v>
      </c>
      <c r="C6324" t="s">
        <v>3053</v>
      </c>
      <c r="D6324" t="str">
        <f t="shared" si="100"/>
        <v>FPE5103</v>
      </c>
      <c r="E6324" t="s">
        <v>3052</v>
      </c>
    </row>
    <row r="6325" spans="1:5" x14ac:dyDescent="0.25">
      <c r="A6325">
        <v>4141</v>
      </c>
      <c r="B6325" t="s">
        <v>3361</v>
      </c>
      <c r="C6325" t="s">
        <v>317</v>
      </c>
      <c r="D6325" t="str">
        <f t="shared" si="100"/>
        <v>FPE5106</v>
      </c>
      <c r="E6325" t="s">
        <v>3052</v>
      </c>
    </row>
    <row r="6326" spans="1:5" x14ac:dyDescent="0.25">
      <c r="A6326">
        <v>4141</v>
      </c>
      <c r="B6326" t="s">
        <v>3361</v>
      </c>
      <c r="C6326" t="s">
        <v>242</v>
      </c>
      <c r="D6326" t="str">
        <f t="shared" si="100"/>
        <v>FPE5201</v>
      </c>
      <c r="E6326" t="s">
        <v>2965</v>
      </c>
    </row>
    <row r="6327" spans="1:5" x14ac:dyDescent="0.25">
      <c r="A6327">
        <v>4141</v>
      </c>
      <c r="B6327" t="s">
        <v>3361</v>
      </c>
      <c r="C6327" t="s">
        <v>288</v>
      </c>
      <c r="D6327" t="str">
        <f t="shared" si="100"/>
        <v>FPE5203</v>
      </c>
      <c r="E6327" t="s">
        <v>3055</v>
      </c>
    </row>
    <row r="6328" spans="1:5" x14ac:dyDescent="0.25">
      <c r="A6328">
        <v>4141</v>
      </c>
      <c r="B6328" t="s">
        <v>3361</v>
      </c>
      <c r="C6328" t="s">
        <v>3054</v>
      </c>
      <c r="D6328" t="str">
        <f t="shared" si="100"/>
        <v>FPE5204</v>
      </c>
      <c r="E6328" t="s">
        <v>3055</v>
      </c>
    </row>
    <row r="6329" spans="1:5" x14ac:dyDescent="0.25">
      <c r="A6329">
        <v>4141</v>
      </c>
      <c r="B6329" t="s">
        <v>3361</v>
      </c>
      <c r="C6329" t="s">
        <v>329</v>
      </c>
      <c r="D6329" t="str">
        <f t="shared" si="100"/>
        <v>FPE5206</v>
      </c>
      <c r="E6329" t="s">
        <v>3057</v>
      </c>
    </row>
    <row r="6330" spans="1:5" x14ac:dyDescent="0.25">
      <c r="A6330">
        <v>4141</v>
      </c>
      <c r="B6330" t="s">
        <v>3361</v>
      </c>
      <c r="C6330" t="s">
        <v>3058</v>
      </c>
      <c r="D6330" t="str">
        <f t="shared" si="100"/>
        <v>FPE5207</v>
      </c>
      <c r="E6330" t="s">
        <v>3057</v>
      </c>
    </row>
    <row r="6331" spans="1:5" x14ac:dyDescent="0.25">
      <c r="A6331">
        <v>4141</v>
      </c>
      <c r="B6331" t="s">
        <v>3361</v>
      </c>
      <c r="C6331" t="s">
        <v>3060</v>
      </c>
      <c r="D6331" t="str">
        <f t="shared" si="100"/>
        <v>FPE5208</v>
      </c>
      <c r="E6331" t="s">
        <v>3057</v>
      </c>
    </row>
    <row r="6332" spans="1:5" x14ac:dyDescent="0.25">
      <c r="A6332">
        <v>4141</v>
      </c>
      <c r="B6332" t="s">
        <v>3361</v>
      </c>
      <c r="C6332" t="s">
        <v>3063</v>
      </c>
      <c r="D6332" t="str">
        <f t="shared" si="100"/>
        <v>FPE5210</v>
      </c>
      <c r="E6332" t="s">
        <v>3055</v>
      </c>
    </row>
    <row r="6333" spans="1:5" x14ac:dyDescent="0.25">
      <c r="A6333">
        <v>4141</v>
      </c>
      <c r="B6333" t="s">
        <v>3361</v>
      </c>
      <c r="C6333" t="s">
        <v>3064</v>
      </c>
      <c r="D6333" t="str">
        <f t="shared" si="100"/>
        <v>FPE5212</v>
      </c>
      <c r="E6333" t="s">
        <v>3055</v>
      </c>
    </row>
    <row r="6334" spans="1:5" x14ac:dyDescent="0.25">
      <c r="A6334">
        <v>4141</v>
      </c>
      <c r="B6334" t="s">
        <v>3361</v>
      </c>
      <c r="C6334" t="s">
        <v>385</v>
      </c>
      <c r="D6334" t="str">
        <f t="shared" si="100"/>
        <v>FPE5213</v>
      </c>
      <c r="E6334" t="s">
        <v>3055</v>
      </c>
    </row>
    <row r="6335" spans="1:5" x14ac:dyDescent="0.25">
      <c r="A6335">
        <v>4141</v>
      </c>
      <c r="B6335" t="s">
        <v>3361</v>
      </c>
      <c r="C6335" t="s">
        <v>391</v>
      </c>
      <c r="D6335" t="str">
        <f t="shared" si="100"/>
        <v>FPE5214</v>
      </c>
      <c r="E6335" t="s">
        <v>3055</v>
      </c>
    </row>
    <row r="6336" spans="1:5" x14ac:dyDescent="0.25">
      <c r="A6336">
        <v>4141</v>
      </c>
      <c r="B6336" t="s">
        <v>3361</v>
      </c>
      <c r="C6336" t="s">
        <v>403</v>
      </c>
      <c r="D6336" t="str">
        <f t="shared" si="100"/>
        <v>FPE5216</v>
      </c>
      <c r="E6336" t="s">
        <v>3067</v>
      </c>
    </row>
    <row r="6337" spans="1:5" x14ac:dyDescent="0.25">
      <c r="A6337">
        <v>4141</v>
      </c>
      <c r="B6337" t="s">
        <v>3361</v>
      </c>
      <c r="C6337" t="s">
        <v>409</v>
      </c>
      <c r="D6337" t="str">
        <f t="shared" si="100"/>
        <v>FPE5217</v>
      </c>
      <c r="E6337" t="s">
        <v>3067</v>
      </c>
    </row>
    <row r="6338" spans="1:5" x14ac:dyDescent="0.25">
      <c r="A6338">
        <v>4141</v>
      </c>
      <c r="B6338" t="s">
        <v>3361</v>
      </c>
      <c r="C6338" t="s">
        <v>3068</v>
      </c>
      <c r="D6338" t="str">
        <f t="shared" si="100"/>
        <v>FPE5220</v>
      </c>
      <c r="E6338" t="s">
        <v>3057</v>
      </c>
    </row>
    <row r="6339" spans="1:5" x14ac:dyDescent="0.25">
      <c r="A6339">
        <v>4141</v>
      </c>
      <c r="B6339" t="s">
        <v>3361</v>
      </c>
      <c r="C6339" t="s">
        <v>449</v>
      </c>
      <c r="D6339" t="str">
        <f t="shared" si="100"/>
        <v>FPE5225</v>
      </c>
      <c r="E6339" t="s">
        <v>3055</v>
      </c>
    </row>
    <row r="6340" spans="1:5" x14ac:dyDescent="0.25">
      <c r="A6340">
        <v>4141</v>
      </c>
      <c r="B6340" t="s">
        <v>3361</v>
      </c>
      <c r="C6340" t="s">
        <v>459</v>
      </c>
      <c r="D6340" t="str">
        <f t="shared" si="100"/>
        <v>FPE5299</v>
      </c>
      <c r="E6340" t="s">
        <v>3055</v>
      </c>
    </row>
    <row r="6341" spans="1:5" x14ac:dyDescent="0.25">
      <c r="A6341">
        <v>4141</v>
      </c>
      <c r="B6341" t="s">
        <v>3361</v>
      </c>
      <c r="C6341" t="s">
        <v>3074</v>
      </c>
      <c r="D6341" t="str">
        <f t="shared" si="100"/>
        <v>FPE9202</v>
      </c>
      <c r="E6341" t="s">
        <v>3075</v>
      </c>
    </row>
    <row r="6342" spans="1:5" x14ac:dyDescent="0.25">
      <c r="A6342">
        <v>4141</v>
      </c>
      <c r="B6342" t="s">
        <v>3361</v>
      </c>
      <c r="C6342" t="s">
        <v>3079</v>
      </c>
      <c r="D6342" t="str">
        <f t="shared" si="100"/>
        <v>FPE9399</v>
      </c>
      <c r="E6342" t="s">
        <v>2968</v>
      </c>
    </row>
    <row r="6343" spans="1:5" x14ac:dyDescent="0.25">
      <c r="A6343">
        <v>4251</v>
      </c>
      <c r="B6343" t="s">
        <v>1721</v>
      </c>
      <c r="C6343" t="s">
        <v>2928</v>
      </c>
      <c r="D6343" t="str">
        <f t="shared" si="100"/>
        <v>FEAS1401</v>
      </c>
      <c r="E6343" t="s">
        <v>44</v>
      </c>
    </row>
    <row r="6344" spans="1:5" x14ac:dyDescent="0.25">
      <c r="A6344">
        <v>4251</v>
      </c>
      <c r="B6344" t="s">
        <v>1721</v>
      </c>
      <c r="C6344" t="s">
        <v>256</v>
      </c>
      <c r="D6344" t="str">
        <f t="shared" ref="D6344:D6407" si="101">CONCATENATE(B6344,LEFT(C6344,4))</f>
        <v>FEAS3002</v>
      </c>
      <c r="E6344" t="s">
        <v>2933</v>
      </c>
    </row>
    <row r="6345" spans="1:5" x14ac:dyDescent="0.25">
      <c r="A6345">
        <v>4251</v>
      </c>
      <c r="B6345" t="s">
        <v>1721</v>
      </c>
      <c r="C6345" t="s">
        <v>979</v>
      </c>
      <c r="D6345" t="str">
        <f t="shared" si="101"/>
        <v>FEAS3003</v>
      </c>
      <c r="E6345" t="s">
        <v>2933</v>
      </c>
    </row>
    <row r="6346" spans="1:5" x14ac:dyDescent="0.25">
      <c r="A6346">
        <v>4251</v>
      </c>
      <c r="B6346" t="s">
        <v>1721</v>
      </c>
      <c r="C6346" t="s">
        <v>2937</v>
      </c>
      <c r="D6346" t="str">
        <f t="shared" si="101"/>
        <v>FEAS3004</v>
      </c>
      <c r="E6346" t="s">
        <v>2933</v>
      </c>
    </row>
    <row r="6347" spans="1:5" x14ac:dyDescent="0.25">
      <c r="A6347">
        <v>4251</v>
      </c>
      <c r="B6347" t="s">
        <v>1721</v>
      </c>
      <c r="C6347" t="s">
        <v>2939</v>
      </c>
      <c r="D6347" t="str">
        <f t="shared" si="101"/>
        <v>FEAS3005</v>
      </c>
      <c r="E6347" t="s">
        <v>2933</v>
      </c>
    </row>
    <row r="6348" spans="1:5" x14ac:dyDescent="0.25">
      <c r="A6348">
        <v>4251</v>
      </c>
      <c r="B6348" t="s">
        <v>1721</v>
      </c>
      <c r="C6348" t="s">
        <v>2941</v>
      </c>
      <c r="D6348" t="str">
        <f t="shared" si="101"/>
        <v>FEAS3008</v>
      </c>
      <c r="E6348" t="s">
        <v>2933</v>
      </c>
    </row>
    <row r="6349" spans="1:5" x14ac:dyDescent="0.25">
      <c r="A6349">
        <v>4251</v>
      </c>
      <c r="B6349" t="s">
        <v>1721</v>
      </c>
      <c r="C6349" t="s">
        <v>2946</v>
      </c>
      <c r="D6349" t="str">
        <f t="shared" si="101"/>
        <v>FEAS3013</v>
      </c>
      <c r="E6349" t="s">
        <v>2933</v>
      </c>
    </row>
    <row r="6350" spans="1:5" x14ac:dyDescent="0.25">
      <c r="A6350">
        <v>4251</v>
      </c>
      <c r="B6350" t="s">
        <v>1721</v>
      </c>
      <c r="C6350" t="s">
        <v>2948</v>
      </c>
      <c r="D6350" t="str">
        <f t="shared" si="101"/>
        <v>FEAS3015</v>
      </c>
      <c r="E6350" t="s">
        <v>2933</v>
      </c>
    </row>
    <row r="6351" spans="1:5" x14ac:dyDescent="0.25">
      <c r="A6351">
        <v>4251</v>
      </c>
      <c r="B6351" t="s">
        <v>1721</v>
      </c>
      <c r="C6351" t="s">
        <v>2950</v>
      </c>
      <c r="D6351" t="str">
        <f t="shared" si="101"/>
        <v>FEAS3016</v>
      </c>
      <c r="E6351" t="s">
        <v>2933</v>
      </c>
    </row>
    <row r="6352" spans="1:5" x14ac:dyDescent="0.25">
      <c r="A6352">
        <v>4251</v>
      </c>
      <c r="B6352" t="s">
        <v>1721</v>
      </c>
      <c r="C6352" t="s">
        <v>406</v>
      </c>
      <c r="D6352" t="str">
        <f t="shared" si="101"/>
        <v>FEAS3017</v>
      </c>
      <c r="E6352" t="s">
        <v>2933</v>
      </c>
    </row>
    <row r="6353" spans="1:5" x14ac:dyDescent="0.25">
      <c r="A6353">
        <v>4251</v>
      </c>
      <c r="B6353" t="s">
        <v>1721</v>
      </c>
      <c r="C6353" t="s">
        <v>2955</v>
      </c>
      <c r="D6353" t="str">
        <f t="shared" si="101"/>
        <v>FEAS3020</v>
      </c>
      <c r="E6353" t="s">
        <v>2933</v>
      </c>
    </row>
    <row r="6354" spans="1:5" x14ac:dyDescent="0.25">
      <c r="A6354">
        <v>4251</v>
      </c>
      <c r="B6354" t="s">
        <v>1721</v>
      </c>
      <c r="C6354" t="s">
        <v>2956</v>
      </c>
      <c r="D6354" t="str">
        <f t="shared" si="101"/>
        <v>FEAS3021</v>
      </c>
      <c r="E6354" t="s">
        <v>2933</v>
      </c>
    </row>
    <row r="6355" spans="1:5" x14ac:dyDescent="0.25">
      <c r="A6355">
        <v>4251</v>
      </c>
      <c r="B6355" t="s">
        <v>1721</v>
      </c>
      <c r="C6355" t="s">
        <v>431</v>
      </c>
      <c r="D6355" t="str">
        <f t="shared" si="101"/>
        <v>FEAS3022</v>
      </c>
      <c r="E6355" t="s">
        <v>2933</v>
      </c>
    </row>
    <row r="6356" spans="1:5" x14ac:dyDescent="0.25">
      <c r="A6356">
        <v>4251</v>
      </c>
      <c r="B6356" t="s">
        <v>1721</v>
      </c>
      <c r="C6356" t="s">
        <v>2959</v>
      </c>
      <c r="D6356" t="str">
        <f t="shared" si="101"/>
        <v>FEAS3025</v>
      </c>
      <c r="E6356" t="s">
        <v>2933</v>
      </c>
    </row>
    <row r="6357" spans="1:5" x14ac:dyDescent="0.25">
      <c r="A6357">
        <v>4251</v>
      </c>
      <c r="B6357" t="s">
        <v>1721</v>
      </c>
      <c r="C6357" t="s">
        <v>2960</v>
      </c>
      <c r="D6357" t="str">
        <f t="shared" si="101"/>
        <v>FEAS3026</v>
      </c>
      <c r="E6357" t="s">
        <v>2958</v>
      </c>
    </row>
    <row r="6358" spans="1:5" x14ac:dyDescent="0.25">
      <c r="A6358">
        <v>4251</v>
      </c>
      <c r="B6358" t="s">
        <v>1721</v>
      </c>
      <c r="C6358" t="s">
        <v>54</v>
      </c>
      <c r="D6358" t="str">
        <f t="shared" si="101"/>
        <v>FEAS3301</v>
      </c>
      <c r="E6358" t="s">
        <v>44</v>
      </c>
    </row>
    <row r="6359" spans="1:5" x14ac:dyDescent="0.25">
      <c r="A6359">
        <v>4251</v>
      </c>
      <c r="B6359" t="s">
        <v>1721</v>
      </c>
      <c r="C6359" t="s">
        <v>2975</v>
      </c>
      <c r="D6359" t="str">
        <f t="shared" si="101"/>
        <v>FEAS3302</v>
      </c>
      <c r="E6359" t="s">
        <v>44</v>
      </c>
    </row>
    <row r="6360" spans="1:5" x14ac:dyDescent="0.25">
      <c r="A6360">
        <v>4251</v>
      </c>
      <c r="B6360" t="s">
        <v>1721</v>
      </c>
      <c r="C6360" t="s">
        <v>2977</v>
      </c>
      <c r="D6360" t="str">
        <f t="shared" si="101"/>
        <v>FEAS3304</v>
      </c>
      <c r="E6360" t="s">
        <v>44</v>
      </c>
    </row>
    <row r="6361" spans="1:5" x14ac:dyDescent="0.25">
      <c r="A6361">
        <v>4251</v>
      </c>
      <c r="B6361" t="s">
        <v>1721</v>
      </c>
      <c r="C6361" t="s">
        <v>309</v>
      </c>
      <c r="D6361" t="str">
        <f t="shared" si="101"/>
        <v>FEAS3305</v>
      </c>
      <c r="E6361" t="s">
        <v>44</v>
      </c>
    </row>
    <row r="6362" spans="1:5" x14ac:dyDescent="0.25">
      <c r="A6362">
        <v>4251</v>
      </c>
      <c r="B6362" t="s">
        <v>1721</v>
      </c>
      <c r="C6362" t="s">
        <v>3201</v>
      </c>
      <c r="D6362" t="str">
        <f t="shared" si="101"/>
        <v>FEAS3502</v>
      </c>
      <c r="E6362" t="s">
        <v>2968</v>
      </c>
    </row>
    <row r="6363" spans="1:5" x14ac:dyDescent="0.25">
      <c r="A6363">
        <v>4251</v>
      </c>
      <c r="B6363" t="s">
        <v>1721</v>
      </c>
      <c r="C6363" t="s">
        <v>297</v>
      </c>
      <c r="D6363" t="str">
        <f t="shared" si="101"/>
        <v>FEAS3604</v>
      </c>
      <c r="E6363" t="s">
        <v>44</v>
      </c>
    </row>
    <row r="6364" spans="1:5" x14ac:dyDescent="0.25">
      <c r="A6364">
        <v>4251</v>
      </c>
      <c r="B6364" t="s">
        <v>1721</v>
      </c>
      <c r="C6364" t="s">
        <v>3021</v>
      </c>
      <c r="D6364" t="str">
        <f t="shared" si="101"/>
        <v>FEAS3611</v>
      </c>
      <c r="E6364" t="s">
        <v>3107</v>
      </c>
    </row>
    <row r="6365" spans="1:5" x14ac:dyDescent="0.25">
      <c r="A6365">
        <v>4251</v>
      </c>
      <c r="B6365" t="s">
        <v>1721</v>
      </c>
      <c r="C6365" t="s">
        <v>2979</v>
      </c>
      <c r="D6365" t="str">
        <f t="shared" si="101"/>
        <v>FEAS3612</v>
      </c>
      <c r="E6365" t="s">
        <v>2968</v>
      </c>
    </row>
    <row r="6366" spans="1:5" x14ac:dyDescent="0.25">
      <c r="A6366">
        <v>4251</v>
      </c>
      <c r="B6366" t="s">
        <v>1721</v>
      </c>
      <c r="C6366" t="s">
        <v>2983</v>
      </c>
      <c r="D6366" t="str">
        <f t="shared" si="101"/>
        <v>FEAS3703</v>
      </c>
      <c r="E6366" t="s">
        <v>117</v>
      </c>
    </row>
    <row r="6367" spans="1:5" x14ac:dyDescent="0.25">
      <c r="A6367">
        <v>4251</v>
      </c>
      <c r="B6367" t="s">
        <v>1721</v>
      </c>
      <c r="C6367" t="s">
        <v>2985</v>
      </c>
      <c r="D6367" t="str">
        <f t="shared" si="101"/>
        <v>FEAS3704</v>
      </c>
      <c r="E6367" t="s">
        <v>117</v>
      </c>
    </row>
    <row r="6368" spans="1:5" x14ac:dyDescent="0.25">
      <c r="A6368">
        <v>4251</v>
      </c>
      <c r="B6368" t="s">
        <v>1721</v>
      </c>
      <c r="C6368" t="s">
        <v>2986</v>
      </c>
      <c r="D6368" t="str">
        <f t="shared" si="101"/>
        <v>FEAS3705</v>
      </c>
      <c r="E6368" t="s">
        <v>117</v>
      </c>
    </row>
    <row r="6369" spans="1:5" x14ac:dyDescent="0.25">
      <c r="A6369">
        <v>4251</v>
      </c>
      <c r="B6369" t="s">
        <v>1721</v>
      </c>
      <c r="C6369" t="s">
        <v>3056</v>
      </c>
      <c r="D6369" t="str">
        <f t="shared" si="101"/>
        <v>FEAS3902</v>
      </c>
      <c r="E6369" t="s">
        <v>2926</v>
      </c>
    </row>
    <row r="6370" spans="1:5" x14ac:dyDescent="0.25">
      <c r="A6370">
        <v>4251</v>
      </c>
      <c r="B6370" t="s">
        <v>1721</v>
      </c>
      <c r="C6370" t="s">
        <v>2988</v>
      </c>
      <c r="D6370" t="str">
        <f t="shared" si="101"/>
        <v>FEAS3903</v>
      </c>
      <c r="E6370" t="s">
        <v>2968</v>
      </c>
    </row>
    <row r="6371" spans="1:5" x14ac:dyDescent="0.25">
      <c r="A6371">
        <v>4251</v>
      </c>
      <c r="B6371" t="s">
        <v>1721</v>
      </c>
      <c r="C6371" t="s">
        <v>299</v>
      </c>
      <c r="D6371" t="str">
        <f t="shared" si="101"/>
        <v>FEAS3904</v>
      </c>
      <c r="E6371" t="s">
        <v>2968</v>
      </c>
    </row>
    <row r="6372" spans="1:5" x14ac:dyDescent="0.25">
      <c r="A6372">
        <v>4251</v>
      </c>
      <c r="B6372" t="s">
        <v>1721</v>
      </c>
      <c r="C6372" t="s">
        <v>326</v>
      </c>
      <c r="D6372" t="str">
        <f t="shared" si="101"/>
        <v>FEAS3906</v>
      </c>
      <c r="E6372" t="s">
        <v>2968</v>
      </c>
    </row>
    <row r="6373" spans="1:5" x14ac:dyDescent="0.25">
      <c r="A6373">
        <v>4251</v>
      </c>
      <c r="B6373" t="s">
        <v>1721</v>
      </c>
      <c r="C6373" t="s">
        <v>2991</v>
      </c>
      <c r="D6373" t="str">
        <f t="shared" si="101"/>
        <v>FEAS3912</v>
      </c>
      <c r="E6373" t="s">
        <v>2992</v>
      </c>
    </row>
    <row r="6374" spans="1:5" x14ac:dyDescent="0.25">
      <c r="A6374">
        <v>4251</v>
      </c>
      <c r="B6374" t="s">
        <v>1721</v>
      </c>
      <c r="C6374" t="s">
        <v>2994</v>
      </c>
      <c r="D6374" t="str">
        <f t="shared" si="101"/>
        <v>FEAS3913</v>
      </c>
      <c r="E6374" t="s">
        <v>2992</v>
      </c>
    </row>
    <row r="6375" spans="1:5" x14ac:dyDescent="0.25">
      <c r="A6375">
        <v>4251</v>
      </c>
      <c r="B6375" t="s">
        <v>1721</v>
      </c>
      <c r="C6375" t="s">
        <v>384</v>
      </c>
      <c r="D6375" t="str">
        <f t="shared" si="101"/>
        <v>FEAS3915</v>
      </c>
      <c r="E6375" t="s">
        <v>2992</v>
      </c>
    </row>
    <row r="6376" spans="1:5" x14ac:dyDescent="0.25">
      <c r="A6376">
        <v>4251</v>
      </c>
      <c r="B6376" t="s">
        <v>1721</v>
      </c>
      <c r="C6376" t="s">
        <v>2996</v>
      </c>
      <c r="D6376" t="str">
        <f t="shared" si="101"/>
        <v>FEAS3917</v>
      </c>
      <c r="E6376" t="s">
        <v>2958</v>
      </c>
    </row>
    <row r="6377" spans="1:5" x14ac:dyDescent="0.25">
      <c r="A6377">
        <v>4251</v>
      </c>
      <c r="B6377" t="s">
        <v>1721</v>
      </c>
      <c r="C6377" t="s">
        <v>2998</v>
      </c>
      <c r="D6377" t="str">
        <f t="shared" si="101"/>
        <v>FEAS3918</v>
      </c>
      <c r="E6377" t="s">
        <v>2958</v>
      </c>
    </row>
    <row r="6378" spans="1:5" x14ac:dyDescent="0.25">
      <c r="A6378">
        <v>4251</v>
      </c>
      <c r="B6378" t="s">
        <v>1721</v>
      </c>
      <c r="C6378" t="s">
        <v>3000</v>
      </c>
      <c r="D6378" t="str">
        <f t="shared" si="101"/>
        <v>FEAS3919</v>
      </c>
      <c r="E6378" t="s">
        <v>3001</v>
      </c>
    </row>
    <row r="6379" spans="1:5" x14ac:dyDescent="0.25">
      <c r="A6379">
        <v>4251</v>
      </c>
      <c r="B6379" t="s">
        <v>1721</v>
      </c>
      <c r="C6379" t="s">
        <v>3077</v>
      </c>
      <c r="D6379" t="str">
        <f t="shared" si="101"/>
        <v>FEAS3920</v>
      </c>
      <c r="E6379" t="s">
        <v>3107</v>
      </c>
    </row>
    <row r="6380" spans="1:5" x14ac:dyDescent="0.25">
      <c r="A6380">
        <v>4251</v>
      </c>
      <c r="B6380" t="s">
        <v>1721</v>
      </c>
      <c r="C6380" t="s">
        <v>3002</v>
      </c>
      <c r="D6380" t="str">
        <f t="shared" si="101"/>
        <v>FEAS3921</v>
      </c>
      <c r="E6380" t="s">
        <v>3001</v>
      </c>
    </row>
    <row r="6381" spans="1:5" x14ac:dyDescent="0.25">
      <c r="A6381">
        <v>4251</v>
      </c>
      <c r="B6381" t="s">
        <v>1721</v>
      </c>
      <c r="C6381" t="s">
        <v>3003</v>
      </c>
      <c r="D6381" t="str">
        <f t="shared" si="101"/>
        <v>FEAS3922</v>
      </c>
      <c r="E6381" t="s">
        <v>2954</v>
      </c>
    </row>
    <row r="6382" spans="1:5" x14ac:dyDescent="0.25">
      <c r="A6382">
        <v>4251</v>
      </c>
      <c r="B6382" t="s">
        <v>1721</v>
      </c>
      <c r="C6382" t="s">
        <v>566</v>
      </c>
      <c r="D6382" t="str">
        <f t="shared" si="101"/>
        <v>FEAS3924</v>
      </c>
      <c r="E6382" t="s">
        <v>3004</v>
      </c>
    </row>
    <row r="6383" spans="1:5" x14ac:dyDescent="0.25">
      <c r="A6383">
        <v>4251</v>
      </c>
      <c r="B6383" t="s">
        <v>1721</v>
      </c>
      <c r="C6383" t="s">
        <v>443</v>
      </c>
      <c r="D6383" t="str">
        <f t="shared" si="101"/>
        <v>FEAS3926</v>
      </c>
      <c r="E6383" t="s">
        <v>3006</v>
      </c>
    </row>
    <row r="6384" spans="1:5" x14ac:dyDescent="0.25">
      <c r="A6384">
        <v>4251</v>
      </c>
      <c r="B6384" t="s">
        <v>1721</v>
      </c>
      <c r="C6384" t="s">
        <v>1481</v>
      </c>
      <c r="D6384" t="str">
        <f t="shared" si="101"/>
        <v>FEAS3931</v>
      </c>
      <c r="E6384" t="s">
        <v>2968</v>
      </c>
    </row>
    <row r="6385" spans="1:5" x14ac:dyDescent="0.25">
      <c r="A6385">
        <v>4251</v>
      </c>
      <c r="B6385" t="s">
        <v>1721</v>
      </c>
      <c r="C6385" t="s">
        <v>3017</v>
      </c>
      <c r="D6385" t="str">
        <f t="shared" si="101"/>
        <v>FEAS3936</v>
      </c>
      <c r="E6385" t="s">
        <v>94</v>
      </c>
    </row>
    <row r="6386" spans="1:5" x14ac:dyDescent="0.25">
      <c r="A6386">
        <v>4251</v>
      </c>
      <c r="B6386" t="s">
        <v>1721</v>
      </c>
      <c r="C6386" t="s">
        <v>3019</v>
      </c>
      <c r="D6386" t="str">
        <f t="shared" si="101"/>
        <v>FEAS3940</v>
      </c>
      <c r="E6386" t="s">
        <v>3009</v>
      </c>
    </row>
    <row r="6387" spans="1:5" x14ac:dyDescent="0.25">
      <c r="A6387">
        <v>4251</v>
      </c>
      <c r="B6387" t="s">
        <v>1721</v>
      </c>
      <c r="C6387" t="s">
        <v>480</v>
      </c>
      <c r="D6387" t="str">
        <f t="shared" si="101"/>
        <v>FEAS3941</v>
      </c>
      <c r="E6387" t="s">
        <v>2968</v>
      </c>
    </row>
    <row r="6388" spans="1:5" x14ac:dyDescent="0.25">
      <c r="A6388">
        <v>4251</v>
      </c>
      <c r="B6388" t="s">
        <v>1721</v>
      </c>
      <c r="C6388" t="s">
        <v>3020</v>
      </c>
      <c r="D6388" t="str">
        <f t="shared" si="101"/>
        <v>FEAS3943</v>
      </c>
      <c r="E6388" t="s">
        <v>2958</v>
      </c>
    </row>
    <row r="6389" spans="1:5" x14ac:dyDescent="0.25">
      <c r="A6389">
        <v>4251</v>
      </c>
      <c r="B6389" t="s">
        <v>1721</v>
      </c>
      <c r="C6389" t="s">
        <v>3096</v>
      </c>
      <c r="D6389" t="str">
        <f t="shared" si="101"/>
        <v>FEAS3949</v>
      </c>
      <c r="E6389" t="s">
        <v>3004</v>
      </c>
    </row>
    <row r="6390" spans="1:5" x14ac:dyDescent="0.25">
      <c r="A6390">
        <v>4251</v>
      </c>
      <c r="B6390" t="s">
        <v>1721</v>
      </c>
      <c r="C6390" t="s">
        <v>3022</v>
      </c>
      <c r="D6390" t="str">
        <f t="shared" si="101"/>
        <v>FEAS3950</v>
      </c>
      <c r="E6390" t="s">
        <v>44</v>
      </c>
    </row>
    <row r="6391" spans="1:5" x14ac:dyDescent="0.25">
      <c r="A6391">
        <v>4251</v>
      </c>
      <c r="B6391" t="s">
        <v>1721</v>
      </c>
      <c r="C6391" t="s">
        <v>3098</v>
      </c>
      <c r="D6391" t="str">
        <f t="shared" si="101"/>
        <v>FEAS3952</v>
      </c>
      <c r="E6391" t="s">
        <v>65</v>
      </c>
    </row>
    <row r="6392" spans="1:5" x14ac:dyDescent="0.25">
      <c r="A6392">
        <v>4251</v>
      </c>
      <c r="B6392" t="s">
        <v>1721</v>
      </c>
      <c r="C6392" t="s">
        <v>496</v>
      </c>
      <c r="D6392" t="str">
        <f t="shared" si="101"/>
        <v>FEAS3953</v>
      </c>
      <c r="E6392" t="s">
        <v>3004</v>
      </c>
    </row>
    <row r="6393" spans="1:5" x14ac:dyDescent="0.25">
      <c r="A6393">
        <v>4251</v>
      </c>
      <c r="B6393" t="s">
        <v>1721</v>
      </c>
      <c r="C6393" t="s">
        <v>498</v>
      </c>
      <c r="D6393" t="str">
        <f t="shared" si="101"/>
        <v>FEAS3955</v>
      </c>
      <c r="E6393" t="s">
        <v>2968</v>
      </c>
    </row>
    <row r="6394" spans="1:5" x14ac:dyDescent="0.25">
      <c r="A6394">
        <v>4251</v>
      </c>
      <c r="B6394" t="s">
        <v>1721</v>
      </c>
      <c r="C6394" t="s">
        <v>3031</v>
      </c>
      <c r="D6394" t="str">
        <f t="shared" si="101"/>
        <v>FEAS3970</v>
      </c>
      <c r="E6394" t="s">
        <v>3009</v>
      </c>
    </row>
    <row r="6395" spans="1:5" x14ac:dyDescent="0.25">
      <c r="A6395">
        <v>4251</v>
      </c>
      <c r="B6395" t="s">
        <v>1721</v>
      </c>
      <c r="C6395" t="s">
        <v>3036</v>
      </c>
      <c r="D6395" t="str">
        <f t="shared" si="101"/>
        <v>FEAS3987</v>
      </c>
      <c r="E6395" t="s">
        <v>2958</v>
      </c>
    </row>
    <row r="6396" spans="1:5" x14ac:dyDescent="0.25">
      <c r="A6396">
        <v>4251</v>
      </c>
      <c r="B6396" t="s">
        <v>1721</v>
      </c>
      <c r="C6396" t="s">
        <v>3040</v>
      </c>
      <c r="D6396" t="str">
        <f t="shared" si="101"/>
        <v>FEAS3999</v>
      </c>
      <c r="E6396" t="s">
        <v>2968</v>
      </c>
    </row>
    <row r="6397" spans="1:5" x14ac:dyDescent="0.25">
      <c r="A6397">
        <v>4251</v>
      </c>
      <c r="B6397" t="s">
        <v>1721</v>
      </c>
      <c r="C6397" t="s">
        <v>3041</v>
      </c>
      <c r="D6397" t="str">
        <f t="shared" si="101"/>
        <v>FEAS4002</v>
      </c>
      <c r="E6397" t="s">
        <v>3009</v>
      </c>
    </row>
    <row r="6398" spans="1:5" x14ac:dyDescent="0.25">
      <c r="A6398">
        <v>4251</v>
      </c>
      <c r="B6398" t="s">
        <v>1721</v>
      </c>
      <c r="C6398" t="s">
        <v>3043</v>
      </c>
      <c r="D6398" t="str">
        <f t="shared" si="101"/>
        <v>FEAS4003</v>
      </c>
      <c r="E6398" t="s">
        <v>94</v>
      </c>
    </row>
    <row r="6399" spans="1:5" x14ac:dyDescent="0.25">
      <c r="A6399">
        <v>4251</v>
      </c>
      <c r="B6399" t="s">
        <v>1721</v>
      </c>
      <c r="C6399" t="s">
        <v>3045</v>
      </c>
      <c r="D6399" t="str">
        <f t="shared" si="101"/>
        <v>FEAS4004</v>
      </c>
      <c r="E6399" t="s">
        <v>3009</v>
      </c>
    </row>
    <row r="6400" spans="1:5" x14ac:dyDescent="0.25">
      <c r="A6400">
        <v>4251</v>
      </c>
      <c r="B6400" t="s">
        <v>1721</v>
      </c>
      <c r="C6400" t="s">
        <v>3047</v>
      </c>
      <c r="D6400" t="str">
        <f t="shared" si="101"/>
        <v>FEAS4005</v>
      </c>
      <c r="E6400" t="s">
        <v>3009</v>
      </c>
    </row>
    <row r="6401" spans="1:5" x14ac:dyDescent="0.25">
      <c r="A6401">
        <v>4251</v>
      </c>
      <c r="B6401" t="s">
        <v>1721</v>
      </c>
      <c r="C6401" t="s">
        <v>813</v>
      </c>
      <c r="D6401" t="str">
        <f t="shared" si="101"/>
        <v>FEAS4006</v>
      </c>
      <c r="E6401" t="s">
        <v>3057</v>
      </c>
    </row>
    <row r="6402" spans="1:5" x14ac:dyDescent="0.25">
      <c r="A6402">
        <v>4251</v>
      </c>
      <c r="B6402" t="s">
        <v>1721</v>
      </c>
      <c r="C6402" t="s">
        <v>3138</v>
      </c>
      <c r="D6402" t="str">
        <f t="shared" si="101"/>
        <v>FEAS4007</v>
      </c>
      <c r="E6402" t="s">
        <v>94</v>
      </c>
    </row>
    <row r="6403" spans="1:5" x14ac:dyDescent="0.25">
      <c r="A6403">
        <v>4251</v>
      </c>
      <c r="B6403" t="s">
        <v>1721</v>
      </c>
      <c r="C6403" t="s">
        <v>3123</v>
      </c>
      <c r="D6403" t="str">
        <f t="shared" si="101"/>
        <v>FEAS4101</v>
      </c>
      <c r="E6403" t="s">
        <v>3208</v>
      </c>
    </row>
    <row r="6404" spans="1:5" x14ac:dyDescent="0.25">
      <c r="A6404">
        <v>4251</v>
      </c>
      <c r="B6404" t="s">
        <v>1721</v>
      </c>
      <c r="C6404" t="s">
        <v>3127</v>
      </c>
      <c r="D6404" t="str">
        <f t="shared" si="101"/>
        <v>FEAS4201</v>
      </c>
      <c r="E6404" t="s">
        <v>3218</v>
      </c>
    </row>
    <row r="6405" spans="1:5" x14ac:dyDescent="0.25">
      <c r="A6405">
        <v>4251</v>
      </c>
      <c r="B6405" t="s">
        <v>1721</v>
      </c>
      <c r="C6405" t="s">
        <v>3128</v>
      </c>
      <c r="D6405" t="str">
        <f t="shared" si="101"/>
        <v>FEAS4301</v>
      </c>
      <c r="E6405" t="s">
        <v>3239</v>
      </c>
    </row>
    <row r="6406" spans="1:5" x14ac:dyDescent="0.25">
      <c r="A6406">
        <v>4251</v>
      </c>
      <c r="B6406" t="s">
        <v>1721</v>
      </c>
      <c r="C6406" t="s">
        <v>3048</v>
      </c>
      <c r="D6406" t="str">
        <f t="shared" si="101"/>
        <v>FEAS4701</v>
      </c>
      <c r="E6406" t="s">
        <v>3049</v>
      </c>
    </row>
    <row r="6407" spans="1:5" x14ac:dyDescent="0.25">
      <c r="A6407">
        <v>4251</v>
      </c>
      <c r="B6407" t="s">
        <v>1721</v>
      </c>
      <c r="C6407" t="s">
        <v>265</v>
      </c>
      <c r="D6407" t="str">
        <f t="shared" si="101"/>
        <v>FEAS4703</v>
      </c>
      <c r="E6407" t="s">
        <v>3049</v>
      </c>
    </row>
    <row r="6408" spans="1:5" x14ac:dyDescent="0.25">
      <c r="A6408">
        <v>4251</v>
      </c>
      <c r="B6408" t="s">
        <v>1721</v>
      </c>
      <c r="C6408" t="s">
        <v>329</v>
      </c>
      <c r="D6408" t="str">
        <f t="shared" ref="D6408:D6471" si="102">CONCATENATE(B6408,LEFT(C6408,4))</f>
        <v>FEAS5206</v>
      </c>
      <c r="E6408" t="s">
        <v>3057</v>
      </c>
    </row>
    <row r="6409" spans="1:5" x14ac:dyDescent="0.25">
      <c r="A6409">
        <v>4251</v>
      </c>
      <c r="B6409" t="s">
        <v>1721</v>
      </c>
      <c r="C6409" t="s">
        <v>3058</v>
      </c>
      <c r="D6409" t="str">
        <f t="shared" si="102"/>
        <v>FEAS5207</v>
      </c>
      <c r="E6409" t="s">
        <v>3057</v>
      </c>
    </row>
    <row r="6410" spans="1:5" x14ac:dyDescent="0.25">
      <c r="A6410">
        <v>4251</v>
      </c>
      <c r="B6410" t="s">
        <v>1721</v>
      </c>
      <c r="C6410" t="s">
        <v>3060</v>
      </c>
      <c r="D6410" t="str">
        <f t="shared" si="102"/>
        <v>FEAS5208</v>
      </c>
      <c r="E6410" t="s">
        <v>3057</v>
      </c>
    </row>
    <row r="6411" spans="1:5" x14ac:dyDescent="0.25">
      <c r="A6411">
        <v>4251</v>
      </c>
      <c r="B6411" t="s">
        <v>1721</v>
      </c>
      <c r="C6411" t="s">
        <v>3064</v>
      </c>
      <c r="D6411" t="str">
        <f t="shared" si="102"/>
        <v>FEAS5212</v>
      </c>
      <c r="E6411" t="s">
        <v>3055</v>
      </c>
    </row>
    <row r="6412" spans="1:5" x14ac:dyDescent="0.25">
      <c r="A6412">
        <v>4251</v>
      </c>
      <c r="B6412" t="s">
        <v>1721</v>
      </c>
      <c r="C6412" t="s">
        <v>391</v>
      </c>
      <c r="D6412" t="str">
        <f t="shared" si="102"/>
        <v>FEAS5214</v>
      </c>
      <c r="E6412" t="s">
        <v>3055</v>
      </c>
    </row>
    <row r="6413" spans="1:5" x14ac:dyDescent="0.25">
      <c r="A6413">
        <v>4251</v>
      </c>
      <c r="B6413" t="s">
        <v>1721</v>
      </c>
      <c r="C6413" t="s">
        <v>434</v>
      </c>
      <c r="D6413" t="str">
        <f t="shared" si="102"/>
        <v>FEAS5222</v>
      </c>
      <c r="E6413" t="s">
        <v>3055</v>
      </c>
    </row>
    <row r="6414" spans="1:5" x14ac:dyDescent="0.25">
      <c r="A6414">
        <v>4251</v>
      </c>
      <c r="B6414" t="s">
        <v>1721</v>
      </c>
      <c r="C6414" t="s">
        <v>449</v>
      </c>
      <c r="D6414" t="str">
        <f t="shared" si="102"/>
        <v>FEAS5225</v>
      </c>
      <c r="E6414" t="s">
        <v>3055</v>
      </c>
    </row>
    <row r="6415" spans="1:5" x14ac:dyDescent="0.25">
      <c r="A6415">
        <v>4251</v>
      </c>
      <c r="B6415" t="s">
        <v>1721</v>
      </c>
      <c r="C6415" t="s">
        <v>3074</v>
      </c>
      <c r="D6415" t="str">
        <f t="shared" si="102"/>
        <v>FEAS9202</v>
      </c>
      <c r="E6415" t="s">
        <v>3075</v>
      </c>
    </row>
    <row r="6416" spans="1:5" x14ac:dyDescent="0.25">
      <c r="A6416">
        <v>4251</v>
      </c>
      <c r="B6416" t="s">
        <v>1721</v>
      </c>
      <c r="C6416" t="s">
        <v>331</v>
      </c>
      <c r="D6416" t="str">
        <f t="shared" si="102"/>
        <v>FEAS9306</v>
      </c>
      <c r="E6416" t="s">
        <v>3076</v>
      </c>
    </row>
    <row r="6417" spans="1:5" x14ac:dyDescent="0.25">
      <c r="A6417">
        <v>4251</v>
      </c>
      <c r="B6417" t="s">
        <v>1721</v>
      </c>
      <c r="C6417" t="s">
        <v>3079</v>
      </c>
      <c r="D6417" t="str">
        <f t="shared" si="102"/>
        <v>FEAS9399</v>
      </c>
      <c r="E6417" t="s">
        <v>2968</v>
      </c>
    </row>
    <row r="6418" spans="1:5" x14ac:dyDescent="0.25">
      <c r="A6418">
        <v>4291</v>
      </c>
      <c r="B6418" t="s">
        <v>1722</v>
      </c>
      <c r="C6418" t="s">
        <v>2925</v>
      </c>
      <c r="D6418" t="str">
        <f t="shared" si="102"/>
        <v>FES0810</v>
      </c>
      <c r="E6418" t="s">
        <v>2926</v>
      </c>
    </row>
    <row r="6419" spans="1:5" x14ac:dyDescent="0.25">
      <c r="A6419">
        <v>4291</v>
      </c>
      <c r="B6419" t="s">
        <v>1722</v>
      </c>
      <c r="C6419" t="s">
        <v>332</v>
      </c>
      <c r="D6419" t="str">
        <f t="shared" si="102"/>
        <v>FES1314</v>
      </c>
      <c r="E6419" t="s">
        <v>3081</v>
      </c>
    </row>
    <row r="6420" spans="1:5" x14ac:dyDescent="0.25">
      <c r="A6420">
        <v>4291</v>
      </c>
      <c r="B6420" t="s">
        <v>1722</v>
      </c>
      <c r="C6420" t="s">
        <v>2942</v>
      </c>
      <c r="D6420" t="str">
        <f t="shared" si="102"/>
        <v>FES1317</v>
      </c>
      <c r="E6420" t="s">
        <v>3081</v>
      </c>
    </row>
    <row r="6421" spans="1:5" x14ac:dyDescent="0.25">
      <c r="A6421">
        <v>4291</v>
      </c>
      <c r="B6421" t="s">
        <v>1722</v>
      </c>
      <c r="C6421" t="s">
        <v>2928</v>
      </c>
      <c r="D6421" t="str">
        <f t="shared" si="102"/>
        <v>FES1401</v>
      </c>
      <c r="E6421" t="s">
        <v>44</v>
      </c>
    </row>
    <row r="6422" spans="1:5" x14ac:dyDescent="0.25">
      <c r="A6422">
        <v>4291</v>
      </c>
      <c r="B6422" t="s">
        <v>1722</v>
      </c>
      <c r="C6422" t="s">
        <v>2930</v>
      </c>
      <c r="D6422" t="str">
        <f t="shared" si="102"/>
        <v>FES1501</v>
      </c>
      <c r="E6422" t="s">
        <v>44</v>
      </c>
    </row>
    <row r="6423" spans="1:5" x14ac:dyDescent="0.25">
      <c r="A6423">
        <v>4291</v>
      </c>
      <c r="B6423" t="s">
        <v>1722</v>
      </c>
      <c r="C6423" t="s">
        <v>2951</v>
      </c>
      <c r="D6423" t="str">
        <f t="shared" si="102"/>
        <v>FES2001</v>
      </c>
      <c r="E6423" t="s">
        <v>2926</v>
      </c>
    </row>
    <row r="6424" spans="1:5" x14ac:dyDescent="0.25">
      <c r="A6424">
        <v>4291</v>
      </c>
      <c r="B6424" t="s">
        <v>1722</v>
      </c>
      <c r="C6424" t="s">
        <v>2932</v>
      </c>
      <c r="D6424" t="str">
        <f t="shared" si="102"/>
        <v>FES3001</v>
      </c>
      <c r="E6424" t="s">
        <v>2933</v>
      </c>
    </row>
    <row r="6425" spans="1:5" x14ac:dyDescent="0.25">
      <c r="A6425">
        <v>4291</v>
      </c>
      <c r="B6425" t="s">
        <v>1722</v>
      </c>
      <c r="C6425" t="s">
        <v>256</v>
      </c>
      <c r="D6425" t="str">
        <f t="shared" si="102"/>
        <v>FES3002</v>
      </c>
      <c r="E6425" t="s">
        <v>2933</v>
      </c>
    </row>
    <row r="6426" spans="1:5" x14ac:dyDescent="0.25">
      <c r="A6426">
        <v>4291</v>
      </c>
      <c r="B6426" t="s">
        <v>1722</v>
      </c>
      <c r="C6426" t="s">
        <v>979</v>
      </c>
      <c r="D6426" t="str">
        <f t="shared" si="102"/>
        <v>FES3003</v>
      </c>
      <c r="E6426" t="s">
        <v>2933</v>
      </c>
    </row>
    <row r="6427" spans="1:5" x14ac:dyDescent="0.25">
      <c r="A6427">
        <v>4291</v>
      </c>
      <c r="B6427" t="s">
        <v>1722</v>
      </c>
      <c r="C6427" t="s">
        <v>2937</v>
      </c>
      <c r="D6427" t="str">
        <f t="shared" si="102"/>
        <v>FES3004</v>
      </c>
      <c r="E6427" t="s">
        <v>2933</v>
      </c>
    </row>
    <row r="6428" spans="1:5" x14ac:dyDescent="0.25">
      <c r="A6428">
        <v>4291</v>
      </c>
      <c r="B6428" t="s">
        <v>1722</v>
      </c>
      <c r="C6428" t="s">
        <v>2939</v>
      </c>
      <c r="D6428" t="str">
        <f t="shared" si="102"/>
        <v>FES3005</v>
      </c>
      <c r="E6428" t="s">
        <v>2933</v>
      </c>
    </row>
    <row r="6429" spans="1:5" x14ac:dyDescent="0.25">
      <c r="A6429">
        <v>4291</v>
      </c>
      <c r="B6429" t="s">
        <v>1722</v>
      </c>
      <c r="C6429" t="s">
        <v>333</v>
      </c>
      <c r="D6429" t="str">
        <f t="shared" si="102"/>
        <v>FES3007</v>
      </c>
      <c r="E6429" t="s">
        <v>2933</v>
      </c>
    </row>
    <row r="6430" spans="1:5" x14ac:dyDescent="0.25">
      <c r="A6430">
        <v>4291</v>
      </c>
      <c r="B6430" t="s">
        <v>1722</v>
      </c>
      <c r="C6430" t="s">
        <v>2941</v>
      </c>
      <c r="D6430" t="str">
        <f t="shared" si="102"/>
        <v>FES3008</v>
      </c>
      <c r="E6430" t="s">
        <v>2933</v>
      </c>
    </row>
    <row r="6431" spans="1:5" x14ac:dyDescent="0.25">
      <c r="A6431">
        <v>4291</v>
      </c>
      <c r="B6431" t="s">
        <v>1722</v>
      </c>
      <c r="C6431" t="s">
        <v>2943</v>
      </c>
      <c r="D6431" t="str">
        <f t="shared" si="102"/>
        <v>FES3010</v>
      </c>
      <c r="E6431" t="s">
        <v>2944</v>
      </c>
    </row>
    <row r="6432" spans="1:5" x14ac:dyDescent="0.25">
      <c r="A6432">
        <v>4291</v>
      </c>
      <c r="B6432" t="s">
        <v>1722</v>
      </c>
      <c r="C6432" t="s">
        <v>369</v>
      </c>
      <c r="D6432" t="str">
        <f t="shared" si="102"/>
        <v>FES3011</v>
      </c>
      <c r="E6432" t="s">
        <v>2933</v>
      </c>
    </row>
    <row r="6433" spans="1:5" x14ac:dyDescent="0.25">
      <c r="A6433">
        <v>4291</v>
      </c>
      <c r="B6433" t="s">
        <v>1722</v>
      </c>
      <c r="C6433" t="s">
        <v>138</v>
      </c>
      <c r="D6433" t="str">
        <f t="shared" si="102"/>
        <v>FES3012</v>
      </c>
      <c r="E6433" t="s">
        <v>2944</v>
      </c>
    </row>
    <row r="6434" spans="1:5" x14ac:dyDescent="0.25">
      <c r="A6434">
        <v>4291</v>
      </c>
      <c r="B6434" t="s">
        <v>1722</v>
      </c>
      <c r="C6434" t="s">
        <v>2946</v>
      </c>
      <c r="D6434" t="str">
        <f t="shared" si="102"/>
        <v>FES3013</v>
      </c>
      <c r="E6434" t="s">
        <v>2933</v>
      </c>
    </row>
    <row r="6435" spans="1:5" x14ac:dyDescent="0.25">
      <c r="A6435">
        <v>4291</v>
      </c>
      <c r="B6435" t="s">
        <v>1722</v>
      </c>
      <c r="C6435" t="s">
        <v>388</v>
      </c>
      <c r="D6435" t="str">
        <f t="shared" si="102"/>
        <v>FES3014</v>
      </c>
      <c r="E6435" t="s">
        <v>2933</v>
      </c>
    </row>
    <row r="6436" spans="1:5" x14ac:dyDescent="0.25">
      <c r="A6436">
        <v>4291</v>
      </c>
      <c r="B6436" t="s">
        <v>1722</v>
      </c>
      <c r="C6436" t="s">
        <v>2948</v>
      </c>
      <c r="D6436" t="str">
        <f t="shared" si="102"/>
        <v>FES3015</v>
      </c>
      <c r="E6436" t="s">
        <v>2933</v>
      </c>
    </row>
    <row r="6437" spans="1:5" x14ac:dyDescent="0.25">
      <c r="A6437">
        <v>4291</v>
      </c>
      <c r="B6437" t="s">
        <v>1722</v>
      </c>
      <c r="C6437" t="s">
        <v>2950</v>
      </c>
      <c r="D6437" t="str">
        <f t="shared" si="102"/>
        <v>FES3016</v>
      </c>
      <c r="E6437" t="s">
        <v>2933</v>
      </c>
    </row>
    <row r="6438" spans="1:5" x14ac:dyDescent="0.25">
      <c r="A6438">
        <v>4291</v>
      </c>
      <c r="B6438" t="s">
        <v>1722</v>
      </c>
      <c r="C6438" t="s">
        <v>406</v>
      </c>
      <c r="D6438" t="str">
        <f t="shared" si="102"/>
        <v>FES3017</v>
      </c>
      <c r="E6438" t="s">
        <v>2933</v>
      </c>
    </row>
    <row r="6439" spans="1:5" x14ac:dyDescent="0.25">
      <c r="A6439">
        <v>4291</v>
      </c>
      <c r="B6439" t="s">
        <v>1722</v>
      </c>
      <c r="C6439" t="s">
        <v>2953</v>
      </c>
      <c r="D6439" t="str">
        <f t="shared" si="102"/>
        <v>FES3019</v>
      </c>
      <c r="E6439" t="s">
        <v>2954</v>
      </c>
    </row>
    <row r="6440" spans="1:5" x14ac:dyDescent="0.25">
      <c r="A6440">
        <v>4291</v>
      </c>
      <c r="B6440" t="s">
        <v>1722</v>
      </c>
      <c r="C6440" t="s">
        <v>2955</v>
      </c>
      <c r="D6440" t="str">
        <f t="shared" si="102"/>
        <v>FES3020</v>
      </c>
      <c r="E6440" t="s">
        <v>2933</v>
      </c>
    </row>
    <row r="6441" spans="1:5" x14ac:dyDescent="0.25">
      <c r="A6441">
        <v>4291</v>
      </c>
      <c r="B6441" t="s">
        <v>1722</v>
      </c>
      <c r="C6441" t="s">
        <v>2956</v>
      </c>
      <c r="D6441" t="str">
        <f t="shared" si="102"/>
        <v>FES3021</v>
      </c>
      <c r="E6441" t="s">
        <v>2933</v>
      </c>
    </row>
    <row r="6442" spans="1:5" x14ac:dyDescent="0.25">
      <c r="A6442">
        <v>4291</v>
      </c>
      <c r="B6442" t="s">
        <v>1722</v>
      </c>
      <c r="C6442" t="s">
        <v>431</v>
      </c>
      <c r="D6442" t="str">
        <f t="shared" si="102"/>
        <v>FES3022</v>
      </c>
      <c r="E6442" t="s">
        <v>2933</v>
      </c>
    </row>
    <row r="6443" spans="1:5" x14ac:dyDescent="0.25">
      <c r="A6443">
        <v>4291</v>
      </c>
      <c r="B6443" t="s">
        <v>1722</v>
      </c>
      <c r="C6443" t="s">
        <v>2957</v>
      </c>
      <c r="D6443" t="str">
        <f t="shared" si="102"/>
        <v>FES3023</v>
      </c>
      <c r="E6443" t="s">
        <v>2958</v>
      </c>
    </row>
    <row r="6444" spans="1:5" x14ac:dyDescent="0.25">
      <c r="A6444">
        <v>4291</v>
      </c>
      <c r="B6444" t="s">
        <v>1722</v>
      </c>
      <c r="C6444" t="s">
        <v>441</v>
      </c>
      <c r="D6444" t="str">
        <f t="shared" si="102"/>
        <v>FES3024</v>
      </c>
      <c r="E6444" t="s">
        <v>2933</v>
      </c>
    </row>
    <row r="6445" spans="1:5" x14ac:dyDescent="0.25">
      <c r="A6445">
        <v>4291</v>
      </c>
      <c r="B6445" t="s">
        <v>1722</v>
      </c>
      <c r="C6445" t="s">
        <v>2959</v>
      </c>
      <c r="D6445" t="str">
        <f t="shared" si="102"/>
        <v>FES3025</v>
      </c>
      <c r="E6445" t="s">
        <v>2933</v>
      </c>
    </row>
    <row r="6446" spans="1:5" x14ac:dyDescent="0.25">
      <c r="A6446">
        <v>4291</v>
      </c>
      <c r="B6446" t="s">
        <v>1722</v>
      </c>
      <c r="C6446" t="s">
        <v>2960</v>
      </c>
      <c r="D6446" t="str">
        <f t="shared" si="102"/>
        <v>FES3026</v>
      </c>
      <c r="E6446" t="s">
        <v>2958</v>
      </c>
    </row>
    <row r="6447" spans="1:5" x14ac:dyDescent="0.25">
      <c r="A6447">
        <v>4291</v>
      </c>
      <c r="B6447" t="s">
        <v>1722</v>
      </c>
      <c r="C6447" t="s">
        <v>2961</v>
      </c>
      <c r="D6447" t="str">
        <f t="shared" si="102"/>
        <v>FES3027</v>
      </c>
      <c r="E6447" t="s">
        <v>2933</v>
      </c>
    </row>
    <row r="6448" spans="1:5" x14ac:dyDescent="0.25">
      <c r="A6448">
        <v>4291</v>
      </c>
      <c r="B6448" t="s">
        <v>1722</v>
      </c>
      <c r="C6448" t="s">
        <v>467</v>
      </c>
      <c r="D6448" t="str">
        <f t="shared" si="102"/>
        <v>FES3030</v>
      </c>
      <c r="E6448" t="s">
        <v>2933</v>
      </c>
    </row>
    <row r="6449" spans="1:5" x14ac:dyDescent="0.25">
      <c r="A6449">
        <v>4291</v>
      </c>
      <c r="B6449" t="s">
        <v>1722</v>
      </c>
      <c r="C6449" t="s">
        <v>470</v>
      </c>
      <c r="D6449" t="str">
        <f t="shared" si="102"/>
        <v>FES3031</v>
      </c>
      <c r="E6449" t="s">
        <v>2933</v>
      </c>
    </row>
    <row r="6450" spans="1:5" x14ac:dyDescent="0.25">
      <c r="A6450">
        <v>4291</v>
      </c>
      <c r="B6450" t="s">
        <v>1722</v>
      </c>
      <c r="C6450" t="s">
        <v>2964</v>
      </c>
      <c r="D6450" t="str">
        <f t="shared" si="102"/>
        <v>FES3033</v>
      </c>
      <c r="E6450" t="s">
        <v>2965</v>
      </c>
    </row>
    <row r="6451" spans="1:5" x14ac:dyDescent="0.25">
      <c r="A6451">
        <v>4291</v>
      </c>
      <c r="B6451" t="s">
        <v>1722</v>
      </c>
      <c r="C6451" t="s">
        <v>477</v>
      </c>
      <c r="D6451" t="str">
        <f t="shared" si="102"/>
        <v>FES3034</v>
      </c>
      <c r="E6451" t="s">
        <v>2965</v>
      </c>
    </row>
    <row r="6452" spans="1:5" x14ac:dyDescent="0.25">
      <c r="A6452">
        <v>4291</v>
      </c>
      <c r="B6452" t="s">
        <v>1722</v>
      </c>
      <c r="C6452" t="s">
        <v>487</v>
      </c>
      <c r="D6452" t="str">
        <f t="shared" si="102"/>
        <v>FES3040</v>
      </c>
      <c r="E6452" t="s">
        <v>2933</v>
      </c>
    </row>
    <row r="6453" spans="1:5" x14ac:dyDescent="0.25">
      <c r="A6453">
        <v>4291</v>
      </c>
      <c r="B6453" t="s">
        <v>1722</v>
      </c>
      <c r="C6453" t="s">
        <v>2993</v>
      </c>
      <c r="D6453" t="str">
        <f t="shared" si="102"/>
        <v>FES3041</v>
      </c>
      <c r="E6453" t="s">
        <v>2933</v>
      </c>
    </row>
    <row r="6454" spans="1:5" x14ac:dyDescent="0.25">
      <c r="A6454">
        <v>4291</v>
      </c>
      <c r="B6454" t="s">
        <v>1722</v>
      </c>
      <c r="C6454" t="s">
        <v>491</v>
      </c>
      <c r="D6454" t="str">
        <f t="shared" si="102"/>
        <v>FES3099</v>
      </c>
      <c r="E6454" t="s">
        <v>2933</v>
      </c>
    </row>
    <row r="6455" spans="1:5" x14ac:dyDescent="0.25">
      <c r="A6455">
        <v>4291</v>
      </c>
      <c r="B6455" t="s">
        <v>1722</v>
      </c>
      <c r="C6455" t="s">
        <v>227</v>
      </c>
      <c r="D6455" t="str">
        <f t="shared" si="102"/>
        <v>FES3201</v>
      </c>
      <c r="E6455" t="s">
        <v>2968</v>
      </c>
    </row>
    <row r="6456" spans="1:5" x14ac:dyDescent="0.25">
      <c r="A6456">
        <v>4291</v>
      </c>
      <c r="B6456" t="s">
        <v>1722</v>
      </c>
      <c r="C6456" t="s">
        <v>54</v>
      </c>
      <c r="D6456" t="str">
        <f t="shared" si="102"/>
        <v>FES3301</v>
      </c>
      <c r="E6456" t="s">
        <v>44</v>
      </c>
    </row>
    <row r="6457" spans="1:5" x14ac:dyDescent="0.25">
      <c r="A6457">
        <v>4291</v>
      </c>
      <c r="B6457" t="s">
        <v>1722</v>
      </c>
      <c r="C6457" t="s">
        <v>2975</v>
      </c>
      <c r="D6457" t="str">
        <f t="shared" si="102"/>
        <v>FES3302</v>
      </c>
      <c r="E6457" t="s">
        <v>44</v>
      </c>
    </row>
    <row r="6458" spans="1:5" x14ac:dyDescent="0.25">
      <c r="A6458">
        <v>4291</v>
      </c>
      <c r="B6458" t="s">
        <v>1722</v>
      </c>
      <c r="C6458" t="s">
        <v>3200</v>
      </c>
      <c r="D6458" t="str">
        <f t="shared" si="102"/>
        <v>FES3303</v>
      </c>
      <c r="E6458" t="s">
        <v>44</v>
      </c>
    </row>
    <row r="6459" spans="1:5" x14ac:dyDescent="0.25">
      <c r="A6459">
        <v>4291</v>
      </c>
      <c r="B6459" t="s">
        <v>1722</v>
      </c>
      <c r="C6459" t="s">
        <v>2977</v>
      </c>
      <c r="D6459" t="str">
        <f t="shared" si="102"/>
        <v>FES3304</v>
      </c>
      <c r="E6459" t="s">
        <v>44</v>
      </c>
    </row>
    <row r="6460" spans="1:5" x14ac:dyDescent="0.25">
      <c r="A6460">
        <v>4291</v>
      </c>
      <c r="B6460" t="s">
        <v>1722</v>
      </c>
      <c r="C6460" t="s">
        <v>309</v>
      </c>
      <c r="D6460" t="str">
        <f t="shared" si="102"/>
        <v>FES3305</v>
      </c>
      <c r="E6460" t="s">
        <v>44</v>
      </c>
    </row>
    <row r="6461" spans="1:5" x14ac:dyDescent="0.25">
      <c r="A6461">
        <v>4291</v>
      </c>
      <c r="B6461" t="s">
        <v>1722</v>
      </c>
      <c r="C6461" t="s">
        <v>228</v>
      </c>
      <c r="D6461" t="str">
        <f t="shared" si="102"/>
        <v>FES3401</v>
      </c>
      <c r="E6461" t="s">
        <v>3231</v>
      </c>
    </row>
    <row r="6462" spans="1:5" x14ac:dyDescent="0.25">
      <c r="A6462">
        <v>4291</v>
      </c>
      <c r="B6462" t="s">
        <v>1722</v>
      </c>
      <c r="C6462" t="s">
        <v>280</v>
      </c>
      <c r="D6462" t="str">
        <f t="shared" si="102"/>
        <v>FES3403</v>
      </c>
      <c r="E6462" t="s">
        <v>3081</v>
      </c>
    </row>
    <row r="6463" spans="1:5" x14ac:dyDescent="0.25">
      <c r="A6463">
        <v>4291</v>
      </c>
      <c r="B6463" t="s">
        <v>1722</v>
      </c>
      <c r="C6463" t="s">
        <v>3201</v>
      </c>
      <c r="D6463" t="str">
        <f t="shared" si="102"/>
        <v>FES3502</v>
      </c>
      <c r="E6463" t="s">
        <v>1660</v>
      </c>
    </row>
    <row r="6464" spans="1:5" x14ac:dyDescent="0.25">
      <c r="A6464">
        <v>4291</v>
      </c>
      <c r="B6464" t="s">
        <v>1722</v>
      </c>
      <c r="C6464" t="s">
        <v>3012</v>
      </c>
      <c r="D6464" t="str">
        <f t="shared" si="102"/>
        <v>FES3601</v>
      </c>
      <c r="E6464" t="s">
        <v>65</v>
      </c>
    </row>
    <row r="6465" spans="1:5" x14ac:dyDescent="0.25">
      <c r="A6465">
        <v>4291</v>
      </c>
      <c r="B6465" t="s">
        <v>1722</v>
      </c>
      <c r="C6465" t="s">
        <v>297</v>
      </c>
      <c r="D6465" t="str">
        <f t="shared" si="102"/>
        <v>FES3604</v>
      </c>
      <c r="E6465" t="s">
        <v>44</v>
      </c>
    </row>
    <row r="6466" spans="1:5" x14ac:dyDescent="0.25">
      <c r="A6466">
        <v>4291</v>
      </c>
      <c r="B6466" t="s">
        <v>1722</v>
      </c>
      <c r="C6466" t="s">
        <v>3234</v>
      </c>
      <c r="D6466" t="str">
        <f t="shared" si="102"/>
        <v>FES3605</v>
      </c>
      <c r="E6466" t="s">
        <v>2968</v>
      </c>
    </row>
    <row r="6467" spans="1:5" x14ac:dyDescent="0.25">
      <c r="A6467">
        <v>4291</v>
      </c>
      <c r="B6467" t="s">
        <v>1722</v>
      </c>
      <c r="C6467" t="s">
        <v>3018</v>
      </c>
      <c r="D6467" t="str">
        <f t="shared" si="102"/>
        <v>FES3608</v>
      </c>
      <c r="E6467" t="s">
        <v>2944</v>
      </c>
    </row>
    <row r="6468" spans="1:5" x14ac:dyDescent="0.25">
      <c r="A6468">
        <v>4291</v>
      </c>
      <c r="B6468" t="s">
        <v>1722</v>
      </c>
      <c r="C6468" t="s">
        <v>355</v>
      </c>
      <c r="D6468" t="str">
        <f t="shared" si="102"/>
        <v>FES3610</v>
      </c>
      <c r="E6468" t="s">
        <v>2968</v>
      </c>
    </row>
    <row r="6469" spans="1:5" x14ac:dyDescent="0.25">
      <c r="A6469">
        <v>4291</v>
      </c>
      <c r="B6469" t="s">
        <v>1722</v>
      </c>
      <c r="C6469" t="s">
        <v>3021</v>
      </c>
      <c r="D6469" t="str">
        <f t="shared" si="102"/>
        <v>FES3611</v>
      </c>
      <c r="E6469" t="s">
        <v>3107</v>
      </c>
    </row>
    <row r="6470" spans="1:5" x14ac:dyDescent="0.25">
      <c r="A6470">
        <v>4291</v>
      </c>
      <c r="B6470" t="s">
        <v>1722</v>
      </c>
      <c r="C6470" t="s">
        <v>2979</v>
      </c>
      <c r="D6470" t="str">
        <f t="shared" si="102"/>
        <v>FES3612</v>
      </c>
      <c r="E6470" t="s">
        <v>2968</v>
      </c>
    </row>
    <row r="6471" spans="1:5" x14ac:dyDescent="0.25">
      <c r="A6471">
        <v>4291</v>
      </c>
      <c r="B6471" t="s">
        <v>1722</v>
      </c>
      <c r="C6471" t="s">
        <v>3023</v>
      </c>
      <c r="D6471" t="str">
        <f t="shared" si="102"/>
        <v>FES3616</v>
      </c>
      <c r="E6471" t="s">
        <v>2958</v>
      </c>
    </row>
    <row r="6472" spans="1:5" x14ac:dyDescent="0.25">
      <c r="A6472">
        <v>4291</v>
      </c>
      <c r="B6472" t="s">
        <v>1722</v>
      </c>
      <c r="C6472" t="s">
        <v>401</v>
      </c>
      <c r="D6472" t="str">
        <f t="shared" ref="D6472:D6535" si="103">CONCATENATE(B6472,LEFT(C6472,4))</f>
        <v>FES3617</v>
      </c>
      <c r="E6472" t="s">
        <v>2968</v>
      </c>
    </row>
    <row r="6473" spans="1:5" x14ac:dyDescent="0.25">
      <c r="A6473">
        <v>4291</v>
      </c>
      <c r="B6473" t="s">
        <v>1722</v>
      </c>
      <c r="C6473" t="s">
        <v>407</v>
      </c>
      <c r="D6473" t="str">
        <f t="shared" si="103"/>
        <v>FES3618</v>
      </c>
      <c r="E6473" t="s">
        <v>2954</v>
      </c>
    </row>
    <row r="6474" spans="1:5" x14ac:dyDescent="0.25">
      <c r="A6474">
        <v>4291</v>
      </c>
      <c r="B6474" t="s">
        <v>1722</v>
      </c>
      <c r="C6474" t="s">
        <v>432</v>
      </c>
      <c r="D6474" t="str">
        <f t="shared" si="103"/>
        <v>FES3623</v>
      </c>
      <c r="E6474" t="s">
        <v>3006</v>
      </c>
    </row>
    <row r="6475" spans="1:5" x14ac:dyDescent="0.25">
      <c r="A6475">
        <v>4291</v>
      </c>
      <c r="B6475" t="s">
        <v>1722</v>
      </c>
      <c r="C6475" t="s">
        <v>468</v>
      </c>
      <c r="D6475" t="str">
        <f t="shared" si="103"/>
        <v>FES3631</v>
      </c>
      <c r="E6475" t="s">
        <v>3291</v>
      </c>
    </row>
    <row r="6476" spans="1:5" x14ac:dyDescent="0.25">
      <c r="A6476">
        <v>4291</v>
      </c>
      <c r="B6476" t="s">
        <v>1722</v>
      </c>
      <c r="C6476" t="s">
        <v>471</v>
      </c>
      <c r="D6476" t="str">
        <f t="shared" si="103"/>
        <v>FES3699</v>
      </c>
      <c r="E6476" t="s">
        <v>2968</v>
      </c>
    </row>
    <row r="6477" spans="1:5" x14ac:dyDescent="0.25">
      <c r="A6477">
        <v>4291</v>
      </c>
      <c r="B6477" t="s">
        <v>1722</v>
      </c>
      <c r="C6477" t="s">
        <v>3050</v>
      </c>
      <c r="D6477" t="str">
        <f t="shared" si="103"/>
        <v>FES3702</v>
      </c>
      <c r="E6477" t="s">
        <v>2981</v>
      </c>
    </row>
    <row r="6478" spans="1:5" x14ac:dyDescent="0.25">
      <c r="A6478">
        <v>4291</v>
      </c>
      <c r="B6478" t="s">
        <v>1722</v>
      </c>
      <c r="C6478" t="s">
        <v>2983</v>
      </c>
      <c r="D6478" t="str">
        <f t="shared" si="103"/>
        <v>FES3703</v>
      </c>
      <c r="E6478" t="s">
        <v>117</v>
      </c>
    </row>
    <row r="6479" spans="1:5" x14ac:dyDescent="0.25">
      <c r="A6479">
        <v>4291</v>
      </c>
      <c r="B6479" t="s">
        <v>1722</v>
      </c>
      <c r="C6479" t="s">
        <v>2985</v>
      </c>
      <c r="D6479" t="str">
        <f t="shared" si="103"/>
        <v>FES3704</v>
      </c>
      <c r="E6479" t="s">
        <v>117</v>
      </c>
    </row>
    <row r="6480" spans="1:5" x14ac:dyDescent="0.25">
      <c r="A6480">
        <v>4291</v>
      </c>
      <c r="B6480" t="s">
        <v>1722</v>
      </c>
      <c r="C6480" t="s">
        <v>2986</v>
      </c>
      <c r="D6480" t="str">
        <f t="shared" si="103"/>
        <v>FES3705</v>
      </c>
      <c r="E6480" t="s">
        <v>117</v>
      </c>
    </row>
    <row r="6481" spans="1:5" x14ac:dyDescent="0.25">
      <c r="A6481">
        <v>4291</v>
      </c>
      <c r="B6481" t="s">
        <v>1722</v>
      </c>
      <c r="C6481" t="s">
        <v>233</v>
      </c>
      <c r="D6481" t="str">
        <f t="shared" si="103"/>
        <v>FES3901</v>
      </c>
      <c r="E6481" t="s">
        <v>2926</v>
      </c>
    </row>
    <row r="6482" spans="1:5" x14ac:dyDescent="0.25">
      <c r="A6482">
        <v>4291</v>
      </c>
      <c r="B6482" t="s">
        <v>1722</v>
      </c>
      <c r="C6482" t="s">
        <v>3056</v>
      </c>
      <c r="D6482" t="str">
        <f t="shared" si="103"/>
        <v>FES3902</v>
      </c>
      <c r="E6482" t="s">
        <v>3291</v>
      </c>
    </row>
    <row r="6483" spans="1:5" x14ac:dyDescent="0.25">
      <c r="A6483">
        <v>4291</v>
      </c>
      <c r="B6483" t="s">
        <v>1722</v>
      </c>
      <c r="C6483" t="s">
        <v>2988</v>
      </c>
      <c r="D6483" t="str">
        <f t="shared" si="103"/>
        <v>FES3903</v>
      </c>
      <c r="E6483" t="s">
        <v>2968</v>
      </c>
    </row>
    <row r="6484" spans="1:5" x14ac:dyDescent="0.25">
      <c r="A6484">
        <v>4291</v>
      </c>
      <c r="B6484" t="s">
        <v>1722</v>
      </c>
      <c r="C6484" t="s">
        <v>299</v>
      </c>
      <c r="D6484" t="str">
        <f t="shared" si="103"/>
        <v>FES3904</v>
      </c>
      <c r="E6484" t="s">
        <v>2968</v>
      </c>
    </row>
    <row r="6485" spans="1:5" x14ac:dyDescent="0.25">
      <c r="A6485">
        <v>4291</v>
      </c>
      <c r="B6485" t="s">
        <v>1722</v>
      </c>
      <c r="C6485" t="s">
        <v>326</v>
      </c>
      <c r="D6485" t="str">
        <f t="shared" si="103"/>
        <v>FES3906</v>
      </c>
      <c r="E6485" t="s">
        <v>2968</v>
      </c>
    </row>
    <row r="6486" spans="1:5" x14ac:dyDescent="0.25">
      <c r="A6486">
        <v>4291</v>
      </c>
      <c r="B6486" t="s">
        <v>1722</v>
      </c>
      <c r="C6486" t="s">
        <v>2989</v>
      </c>
      <c r="D6486" t="str">
        <f t="shared" si="103"/>
        <v>FES3908</v>
      </c>
      <c r="E6486" t="s">
        <v>2968</v>
      </c>
    </row>
    <row r="6487" spans="1:5" x14ac:dyDescent="0.25">
      <c r="A6487">
        <v>4291</v>
      </c>
      <c r="B6487" t="s">
        <v>1722</v>
      </c>
      <c r="C6487" t="s">
        <v>336</v>
      </c>
      <c r="D6487" t="str">
        <f t="shared" si="103"/>
        <v>FES3909</v>
      </c>
      <c r="E6487" t="s">
        <v>2968</v>
      </c>
    </row>
    <row r="6488" spans="1:5" x14ac:dyDescent="0.25">
      <c r="A6488">
        <v>4291</v>
      </c>
      <c r="B6488" t="s">
        <v>1722</v>
      </c>
      <c r="C6488" t="s">
        <v>346</v>
      </c>
      <c r="D6488" t="str">
        <f t="shared" si="103"/>
        <v>FES3910</v>
      </c>
      <c r="E6488" t="s">
        <v>2968</v>
      </c>
    </row>
    <row r="6489" spans="1:5" x14ac:dyDescent="0.25">
      <c r="A6489">
        <v>4291</v>
      </c>
      <c r="B6489" t="s">
        <v>1722</v>
      </c>
      <c r="C6489" t="s">
        <v>356</v>
      </c>
      <c r="D6489" t="str">
        <f t="shared" si="103"/>
        <v>FES3911</v>
      </c>
      <c r="E6489" t="s">
        <v>2968</v>
      </c>
    </row>
    <row r="6490" spans="1:5" x14ac:dyDescent="0.25">
      <c r="A6490">
        <v>4291</v>
      </c>
      <c r="B6490" t="s">
        <v>1722</v>
      </c>
      <c r="C6490" t="s">
        <v>2991</v>
      </c>
      <c r="D6490" t="str">
        <f t="shared" si="103"/>
        <v>FES3912</v>
      </c>
      <c r="E6490" t="s">
        <v>2992</v>
      </c>
    </row>
    <row r="6491" spans="1:5" x14ac:dyDescent="0.25">
      <c r="A6491">
        <v>4291</v>
      </c>
      <c r="B6491" t="s">
        <v>1722</v>
      </c>
      <c r="C6491" t="s">
        <v>2994</v>
      </c>
      <c r="D6491" t="str">
        <f t="shared" si="103"/>
        <v>FES3913</v>
      </c>
      <c r="E6491" t="s">
        <v>2992</v>
      </c>
    </row>
    <row r="6492" spans="1:5" x14ac:dyDescent="0.25">
      <c r="A6492">
        <v>4291</v>
      </c>
      <c r="B6492" t="s">
        <v>1722</v>
      </c>
      <c r="C6492" t="s">
        <v>384</v>
      </c>
      <c r="D6492" t="str">
        <f t="shared" si="103"/>
        <v>FES3915</v>
      </c>
      <c r="E6492" t="s">
        <v>2992</v>
      </c>
    </row>
    <row r="6493" spans="1:5" x14ac:dyDescent="0.25">
      <c r="A6493">
        <v>4291</v>
      </c>
      <c r="B6493" t="s">
        <v>1722</v>
      </c>
      <c r="C6493" t="s">
        <v>2996</v>
      </c>
      <c r="D6493" t="str">
        <f t="shared" si="103"/>
        <v>FES3917</v>
      </c>
      <c r="E6493" t="s">
        <v>2958</v>
      </c>
    </row>
    <row r="6494" spans="1:5" x14ac:dyDescent="0.25">
      <c r="A6494">
        <v>4291</v>
      </c>
      <c r="B6494" t="s">
        <v>1722</v>
      </c>
      <c r="C6494" t="s">
        <v>2998</v>
      </c>
      <c r="D6494" t="str">
        <f t="shared" si="103"/>
        <v>FES3918</v>
      </c>
      <c r="E6494" t="s">
        <v>2958</v>
      </c>
    </row>
    <row r="6495" spans="1:5" x14ac:dyDescent="0.25">
      <c r="A6495">
        <v>4291</v>
      </c>
      <c r="B6495" t="s">
        <v>1722</v>
      </c>
      <c r="C6495" t="s">
        <v>3000</v>
      </c>
      <c r="D6495" t="str">
        <f t="shared" si="103"/>
        <v>FES3919</v>
      </c>
      <c r="E6495" t="s">
        <v>3001</v>
      </c>
    </row>
    <row r="6496" spans="1:5" x14ac:dyDescent="0.25">
      <c r="A6496">
        <v>4291</v>
      </c>
      <c r="B6496" t="s">
        <v>1722</v>
      </c>
      <c r="C6496" t="s">
        <v>3077</v>
      </c>
      <c r="D6496" t="str">
        <f t="shared" si="103"/>
        <v>FES3920</v>
      </c>
      <c r="E6496" t="s">
        <v>3107</v>
      </c>
    </row>
    <row r="6497" spans="1:5" x14ac:dyDescent="0.25">
      <c r="A6497">
        <v>4291</v>
      </c>
      <c r="B6497" t="s">
        <v>1722</v>
      </c>
      <c r="C6497" t="s">
        <v>3002</v>
      </c>
      <c r="D6497" t="str">
        <f t="shared" si="103"/>
        <v>FES3921</v>
      </c>
      <c r="E6497" t="s">
        <v>3001</v>
      </c>
    </row>
    <row r="6498" spans="1:5" x14ac:dyDescent="0.25">
      <c r="A6498">
        <v>4291</v>
      </c>
      <c r="B6498" t="s">
        <v>1722</v>
      </c>
      <c r="C6498" t="s">
        <v>3003</v>
      </c>
      <c r="D6498" t="str">
        <f t="shared" si="103"/>
        <v>FES3922</v>
      </c>
      <c r="E6498" t="s">
        <v>2954</v>
      </c>
    </row>
    <row r="6499" spans="1:5" x14ac:dyDescent="0.25">
      <c r="A6499">
        <v>4291</v>
      </c>
      <c r="B6499" t="s">
        <v>1722</v>
      </c>
      <c r="C6499" t="s">
        <v>566</v>
      </c>
      <c r="D6499" t="str">
        <f t="shared" si="103"/>
        <v>FES3924</v>
      </c>
      <c r="E6499" t="s">
        <v>3004</v>
      </c>
    </row>
    <row r="6500" spans="1:5" x14ac:dyDescent="0.25">
      <c r="A6500">
        <v>4291</v>
      </c>
      <c r="B6500" t="s">
        <v>1722</v>
      </c>
      <c r="C6500" t="s">
        <v>438</v>
      </c>
      <c r="D6500" t="str">
        <f t="shared" si="103"/>
        <v>FES3925</v>
      </c>
      <c r="E6500" t="s">
        <v>3006</v>
      </c>
    </row>
    <row r="6501" spans="1:5" x14ac:dyDescent="0.25">
      <c r="A6501">
        <v>4291</v>
      </c>
      <c r="B6501" t="s">
        <v>1722</v>
      </c>
      <c r="C6501" t="s">
        <v>443</v>
      </c>
      <c r="D6501" t="str">
        <f t="shared" si="103"/>
        <v>FES3926</v>
      </c>
      <c r="E6501" t="s">
        <v>3006</v>
      </c>
    </row>
    <row r="6502" spans="1:5" x14ac:dyDescent="0.25">
      <c r="A6502">
        <v>4291</v>
      </c>
      <c r="B6502" t="s">
        <v>1722</v>
      </c>
      <c r="C6502" t="s">
        <v>3008</v>
      </c>
      <c r="D6502" t="str">
        <f t="shared" si="103"/>
        <v>FES3927</v>
      </c>
      <c r="E6502" t="s">
        <v>3009</v>
      </c>
    </row>
    <row r="6503" spans="1:5" x14ac:dyDescent="0.25">
      <c r="A6503">
        <v>4291</v>
      </c>
      <c r="B6503" t="s">
        <v>1722</v>
      </c>
      <c r="C6503" t="s">
        <v>3082</v>
      </c>
      <c r="D6503" t="str">
        <f t="shared" si="103"/>
        <v>FES3928</v>
      </c>
      <c r="E6503" t="s">
        <v>2944</v>
      </c>
    </row>
    <row r="6504" spans="1:5" x14ac:dyDescent="0.25">
      <c r="A6504">
        <v>4291</v>
      </c>
      <c r="B6504" t="s">
        <v>1722</v>
      </c>
      <c r="C6504" t="s">
        <v>3011</v>
      </c>
      <c r="D6504" t="str">
        <f t="shared" si="103"/>
        <v>FES3929</v>
      </c>
      <c r="E6504" t="s">
        <v>2944</v>
      </c>
    </row>
    <row r="6505" spans="1:5" x14ac:dyDescent="0.25">
      <c r="A6505">
        <v>4291</v>
      </c>
      <c r="B6505" t="s">
        <v>1722</v>
      </c>
      <c r="C6505" t="s">
        <v>458</v>
      </c>
      <c r="D6505" t="str">
        <f t="shared" si="103"/>
        <v>FES3930</v>
      </c>
      <c r="E6505" t="s">
        <v>3006</v>
      </c>
    </row>
    <row r="6506" spans="1:5" x14ac:dyDescent="0.25">
      <c r="A6506">
        <v>4291</v>
      </c>
      <c r="B6506" t="s">
        <v>1722</v>
      </c>
      <c r="C6506" t="s">
        <v>1481</v>
      </c>
      <c r="D6506" t="str">
        <f t="shared" si="103"/>
        <v>FES3931</v>
      </c>
      <c r="E6506" t="s">
        <v>2968</v>
      </c>
    </row>
    <row r="6507" spans="1:5" x14ac:dyDescent="0.25">
      <c r="A6507">
        <v>4291</v>
      </c>
      <c r="B6507" t="s">
        <v>1722</v>
      </c>
      <c r="C6507" t="s">
        <v>466</v>
      </c>
      <c r="D6507" t="str">
        <f t="shared" si="103"/>
        <v>FES3933</v>
      </c>
      <c r="E6507" t="s">
        <v>2968</v>
      </c>
    </row>
    <row r="6508" spans="1:5" x14ac:dyDescent="0.25">
      <c r="A6508">
        <v>4291</v>
      </c>
      <c r="B6508" t="s">
        <v>1722</v>
      </c>
      <c r="C6508" t="s">
        <v>469</v>
      </c>
      <c r="D6508" t="str">
        <f t="shared" si="103"/>
        <v>FES3934</v>
      </c>
      <c r="E6508" t="s">
        <v>2965</v>
      </c>
    </row>
    <row r="6509" spans="1:5" x14ac:dyDescent="0.25">
      <c r="A6509">
        <v>4291</v>
      </c>
      <c r="B6509" t="s">
        <v>1722</v>
      </c>
      <c r="C6509" t="s">
        <v>3015</v>
      </c>
      <c r="D6509" t="str">
        <f t="shared" si="103"/>
        <v>FES3935</v>
      </c>
      <c r="E6509" t="s">
        <v>2965</v>
      </c>
    </row>
    <row r="6510" spans="1:5" x14ac:dyDescent="0.25">
      <c r="A6510">
        <v>4291</v>
      </c>
      <c r="B6510" t="s">
        <v>1722</v>
      </c>
      <c r="C6510" t="s">
        <v>3017</v>
      </c>
      <c r="D6510" t="str">
        <f t="shared" si="103"/>
        <v>FES3936</v>
      </c>
      <c r="E6510" t="s">
        <v>94</v>
      </c>
    </row>
    <row r="6511" spans="1:5" x14ac:dyDescent="0.25">
      <c r="A6511">
        <v>4291</v>
      </c>
      <c r="B6511" t="s">
        <v>1722</v>
      </c>
      <c r="C6511" t="s">
        <v>3088</v>
      </c>
      <c r="D6511" t="str">
        <f t="shared" si="103"/>
        <v>FES3937</v>
      </c>
      <c r="E6511" t="s">
        <v>3107</v>
      </c>
    </row>
    <row r="6512" spans="1:5" x14ac:dyDescent="0.25">
      <c r="A6512">
        <v>4291</v>
      </c>
      <c r="B6512" t="s">
        <v>1722</v>
      </c>
      <c r="C6512" t="s">
        <v>3202</v>
      </c>
      <c r="D6512" t="str">
        <f t="shared" si="103"/>
        <v>FES3938</v>
      </c>
      <c r="E6512" t="s">
        <v>2968</v>
      </c>
    </row>
    <row r="6513" spans="1:5" x14ac:dyDescent="0.25">
      <c r="A6513">
        <v>4291</v>
      </c>
      <c r="B6513" t="s">
        <v>1722</v>
      </c>
      <c r="C6513" t="s">
        <v>3089</v>
      </c>
      <c r="D6513" t="str">
        <f t="shared" si="103"/>
        <v>FES3939</v>
      </c>
      <c r="E6513" t="s">
        <v>2968</v>
      </c>
    </row>
    <row r="6514" spans="1:5" x14ac:dyDescent="0.25">
      <c r="A6514">
        <v>4291</v>
      </c>
      <c r="B6514" t="s">
        <v>1722</v>
      </c>
      <c r="C6514" t="s">
        <v>3019</v>
      </c>
      <c r="D6514" t="str">
        <f t="shared" si="103"/>
        <v>FES3940</v>
      </c>
      <c r="E6514" t="s">
        <v>3009</v>
      </c>
    </row>
    <row r="6515" spans="1:5" x14ac:dyDescent="0.25">
      <c r="A6515">
        <v>4291</v>
      </c>
      <c r="B6515" t="s">
        <v>1722</v>
      </c>
      <c r="C6515" t="s">
        <v>480</v>
      </c>
      <c r="D6515" t="str">
        <f t="shared" si="103"/>
        <v>FES3941</v>
      </c>
      <c r="E6515" t="s">
        <v>2968</v>
      </c>
    </row>
    <row r="6516" spans="1:5" x14ac:dyDescent="0.25">
      <c r="A6516">
        <v>4291</v>
      </c>
      <c r="B6516" t="s">
        <v>1722</v>
      </c>
      <c r="C6516" t="s">
        <v>482</v>
      </c>
      <c r="D6516" t="str">
        <f t="shared" si="103"/>
        <v>FES3942</v>
      </c>
      <c r="E6516" t="s">
        <v>2968</v>
      </c>
    </row>
    <row r="6517" spans="1:5" x14ac:dyDescent="0.25">
      <c r="A6517">
        <v>4291</v>
      </c>
      <c r="B6517" t="s">
        <v>1722</v>
      </c>
      <c r="C6517" t="s">
        <v>3020</v>
      </c>
      <c r="D6517" t="str">
        <f t="shared" si="103"/>
        <v>FES3943</v>
      </c>
      <c r="E6517" t="s">
        <v>2958</v>
      </c>
    </row>
    <row r="6518" spans="1:5" x14ac:dyDescent="0.25">
      <c r="A6518">
        <v>4291</v>
      </c>
      <c r="B6518" t="s">
        <v>1722</v>
      </c>
      <c r="C6518" t="s">
        <v>492</v>
      </c>
      <c r="D6518" t="str">
        <f t="shared" si="103"/>
        <v>FES3948</v>
      </c>
      <c r="E6518" t="s">
        <v>3004</v>
      </c>
    </row>
    <row r="6519" spans="1:5" x14ac:dyDescent="0.25">
      <c r="A6519">
        <v>4291</v>
      </c>
      <c r="B6519" t="s">
        <v>1722</v>
      </c>
      <c r="C6519" t="s">
        <v>3096</v>
      </c>
      <c r="D6519" t="str">
        <f t="shared" si="103"/>
        <v>FES3949</v>
      </c>
      <c r="E6519" t="s">
        <v>3004</v>
      </c>
    </row>
    <row r="6520" spans="1:5" x14ac:dyDescent="0.25">
      <c r="A6520">
        <v>4291</v>
      </c>
      <c r="B6520" t="s">
        <v>1722</v>
      </c>
      <c r="C6520" t="s">
        <v>495</v>
      </c>
      <c r="D6520" t="str">
        <f t="shared" si="103"/>
        <v>FES3951</v>
      </c>
      <c r="E6520" t="s">
        <v>3052</v>
      </c>
    </row>
    <row r="6521" spans="1:5" x14ac:dyDescent="0.25">
      <c r="A6521">
        <v>4291</v>
      </c>
      <c r="B6521" t="s">
        <v>1722</v>
      </c>
      <c r="C6521" t="s">
        <v>3098</v>
      </c>
      <c r="D6521" t="str">
        <f t="shared" si="103"/>
        <v>FES3952</v>
      </c>
      <c r="E6521" t="s">
        <v>65</v>
      </c>
    </row>
    <row r="6522" spans="1:5" x14ac:dyDescent="0.25">
      <c r="A6522">
        <v>4291</v>
      </c>
      <c r="B6522" t="s">
        <v>1722</v>
      </c>
      <c r="C6522" t="s">
        <v>496</v>
      </c>
      <c r="D6522" t="str">
        <f t="shared" si="103"/>
        <v>FES3953</v>
      </c>
      <c r="E6522" t="s">
        <v>3004</v>
      </c>
    </row>
    <row r="6523" spans="1:5" x14ac:dyDescent="0.25">
      <c r="A6523">
        <v>4291</v>
      </c>
      <c r="B6523" t="s">
        <v>1722</v>
      </c>
      <c r="C6523" t="s">
        <v>498</v>
      </c>
      <c r="D6523" t="str">
        <f t="shared" si="103"/>
        <v>FES3955</v>
      </c>
      <c r="E6523" t="s">
        <v>2968</v>
      </c>
    </row>
    <row r="6524" spans="1:5" x14ac:dyDescent="0.25">
      <c r="A6524">
        <v>4291</v>
      </c>
      <c r="B6524" t="s">
        <v>1722</v>
      </c>
      <c r="C6524" t="s">
        <v>499</v>
      </c>
      <c r="D6524" t="str">
        <f t="shared" si="103"/>
        <v>FES3956</v>
      </c>
      <c r="E6524" t="s">
        <v>2968</v>
      </c>
    </row>
    <row r="6525" spans="1:5" x14ac:dyDescent="0.25">
      <c r="A6525">
        <v>4291</v>
      </c>
      <c r="B6525" t="s">
        <v>1722</v>
      </c>
      <c r="C6525" t="s">
        <v>501</v>
      </c>
      <c r="D6525" t="str">
        <f t="shared" si="103"/>
        <v>FES3958</v>
      </c>
      <c r="E6525" t="s">
        <v>2968</v>
      </c>
    </row>
    <row r="6526" spans="1:5" x14ac:dyDescent="0.25">
      <c r="A6526">
        <v>4291</v>
      </c>
      <c r="B6526" t="s">
        <v>1722</v>
      </c>
      <c r="C6526" t="s">
        <v>3025</v>
      </c>
      <c r="D6526" t="str">
        <f t="shared" si="103"/>
        <v>FES3959</v>
      </c>
      <c r="E6526" t="s">
        <v>2968</v>
      </c>
    </row>
    <row r="6527" spans="1:5" x14ac:dyDescent="0.25">
      <c r="A6527">
        <v>4291</v>
      </c>
      <c r="B6527" t="s">
        <v>1722</v>
      </c>
      <c r="C6527" t="s">
        <v>3102</v>
      </c>
      <c r="D6527" t="str">
        <f t="shared" si="103"/>
        <v>FES3960</v>
      </c>
      <c r="E6527" t="s">
        <v>2968</v>
      </c>
    </row>
    <row r="6528" spans="1:5" x14ac:dyDescent="0.25">
      <c r="A6528">
        <v>4291</v>
      </c>
      <c r="B6528" t="s">
        <v>1722</v>
      </c>
      <c r="C6528" t="s">
        <v>3027</v>
      </c>
      <c r="D6528" t="str">
        <f t="shared" si="103"/>
        <v>FES3961</v>
      </c>
      <c r="E6528" t="s">
        <v>2981</v>
      </c>
    </row>
    <row r="6529" spans="1:5" x14ac:dyDescent="0.25">
      <c r="A6529">
        <v>4291</v>
      </c>
      <c r="B6529" t="s">
        <v>1722</v>
      </c>
      <c r="C6529" t="s">
        <v>3103</v>
      </c>
      <c r="D6529" t="str">
        <f t="shared" si="103"/>
        <v>FES3962</v>
      </c>
      <c r="E6529" t="s">
        <v>3033</v>
      </c>
    </row>
    <row r="6530" spans="1:5" x14ac:dyDescent="0.25">
      <c r="A6530">
        <v>4291</v>
      </c>
      <c r="B6530" t="s">
        <v>1722</v>
      </c>
      <c r="C6530" t="s">
        <v>3104</v>
      </c>
      <c r="D6530" t="str">
        <f t="shared" si="103"/>
        <v>FES3964</v>
      </c>
      <c r="E6530" t="s">
        <v>2968</v>
      </c>
    </row>
    <row r="6531" spans="1:5" x14ac:dyDescent="0.25">
      <c r="A6531">
        <v>4291</v>
      </c>
      <c r="B6531" t="s">
        <v>1722</v>
      </c>
      <c r="C6531" t="s">
        <v>3105</v>
      </c>
      <c r="D6531" t="str">
        <f t="shared" si="103"/>
        <v>FES3965</v>
      </c>
      <c r="E6531" t="s">
        <v>2944</v>
      </c>
    </row>
    <row r="6532" spans="1:5" x14ac:dyDescent="0.25">
      <c r="A6532">
        <v>4291</v>
      </c>
      <c r="B6532" t="s">
        <v>1722</v>
      </c>
      <c r="C6532" t="s">
        <v>1154</v>
      </c>
      <c r="D6532" t="str">
        <f t="shared" si="103"/>
        <v>FES3969</v>
      </c>
      <c r="E6532" t="s">
        <v>2992</v>
      </c>
    </row>
    <row r="6533" spans="1:5" x14ac:dyDescent="0.25">
      <c r="A6533">
        <v>4291</v>
      </c>
      <c r="B6533" t="s">
        <v>1722</v>
      </c>
      <c r="C6533" t="s">
        <v>3031</v>
      </c>
      <c r="D6533" t="str">
        <f t="shared" si="103"/>
        <v>FES3970</v>
      </c>
      <c r="E6533" t="s">
        <v>3009</v>
      </c>
    </row>
    <row r="6534" spans="1:5" x14ac:dyDescent="0.25">
      <c r="A6534">
        <v>4291</v>
      </c>
      <c r="B6534" t="s">
        <v>1722</v>
      </c>
      <c r="C6534" t="s">
        <v>513</v>
      </c>
      <c r="D6534" t="str">
        <f t="shared" si="103"/>
        <v>FES3971</v>
      </c>
      <c r="E6534" t="s">
        <v>3033</v>
      </c>
    </row>
    <row r="6535" spans="1:5" x14ac:dyDescent="0.25">
      <c r="A6535">
        <v>4291</v>
      </c>
      <c r="B6535" t="s">
        <v>1722</v>
      </c>
      <c r="C6535" t="s">
        <v>516</v>
      </c>
      <c r="D6535" t="str">
        <f t="shared" si="103"/>
        <v>FES3974</v>
      </c>
      <c r="E6535" t="s">
        <v>3131</v>
      </c>
    </row>
    <row r="6536" spans="1:5" x14ac:dyDescent="0.25">
      <c r="A6536">
        <v>4291</v>
      </c>
      <c r="B6536" t="s">
        <v>1722</v>
      </c>
      <c r="C6536" t="s">
        <v>521</v>
      </c>
      <c r="D6536" t="str">
        <f t="shared" ref="D6536:D6599" si="104">CONCATENATE(B6536,LEFT(C6536,4))</f>
        <v>FES3981</v>
      </c>
      <c r="E6536" t="s">
        <v>2968</v>
      </c>
    </row>
    <row r="6537" spans="1:5" x14ac:dyDescent="0.25">
      <c r="A6537">
        <v>4291</v>
      </c>
      <c r="B6537" t="s">
        <v>1722</v>
      </c>
      <c r="C6537" t="s">
        <v>3036</v>
      </c>
      <c r="D6537" t="str">
        <f t="shared" si="104"/>
        <v>FES3987</v>
      </c>
      <c r="E6537" t="s">
        <v>2958</v>
      </c>
    </row>
    <row r="6538" spans="1:5" x14ac:dyDescent="0.25">
      <c r="A6538">
        <v>4291</v>
      </c>
      <c r="B6538" t="s">
        <v>1722</v>
      </c>
      <c r="C6538" t="s">
        <v>528</v>
      </c>
      <c r="D6538" t="str">
        <f t="shared" si="104"/>
        <v>FES3988</v>
      </c>
      <c r="E6538" t="s">
        <v>2968</v>
      </c>
    </row>
    <row r="6539" spans="1:5" x14ac:dyDescent="0.25">
      <c r="A6539">
        <v>4291</v>
      </c>
      <c r="B6539" t="s">
        <v>1722</v>
      </c>
      <c r="C6539" t="s">
        <v>3038</v>
      </c>
      <c r="D6539" t="str">
        <f t="shared" si="104"/>
        <v>FES3994</v>
      </c>
      <c r="E6539" t="s">
        <v>2965</v>
      </c>
    </row>
    <row r="6540" spans="1:5" x14ac:dyDescent="0.25">
      <c r="A6540">
        <v>4291</v>
      </c>
      <c r="B6540" t="s">
        <v>1722</v>
      </c>
      <c r="C6540" t="s">
        <v>3204</v>
      </c>
      <c r="D6540" t="str">
        <f t="shared" si="104"/>
        <v>FES3996</v>
      </c>
      <c r="E6540" t="s">
        <v>2968</v>
      </c>
    </row>
    <row r="6541" spans="1:5" x14ac:dyDescent="0.25">
      <c r="A6541">
        <v>4291</v>
      </c>
      <c r="B6541" t="s">
        <v>1722</v>
      </c>
      <c r="C6541" t="s">
        <v>3227</v>
      </c>
      <c r="D6541" t="str">
        <f t="shared" si="104"/>
        <v>FES3998</v>
      </c>
      <c r="E6541" t="s">
        <v>3291</v>
      </c>
    </row>
    <row r="6542" spans="1:5" x14ac:dyDescent="0.25">
      <c r="A6542">
        <v>4291</v>
      </c>
      <c r="B6542" t="s">
        <v>1722</v>
      </c>
      <c r="C6542" t="s">
        <v>3040</v>
      </c>
      <c r="D6542" t="str">
        <f t="shared" si="104"/>
        <v>FES3999</v>
      </c>
      <c r="E6542" t="s">
        <v>2968</v>
      </c>
    </row>
    <row r="6543" spans="1:5" x14ac:dyDescent="0.25">
      <c r="A6543">
        <v>4291</v>
      </c>
      <c r="B6543" t="s">
        <v>1722</v>
      </c>
      <c r="C6543" t="s">
        <v>3041</v>
      </c>
      <c r="D6543" t="str">
        <f t="shared" si="104"/>
        <v>FES4002</v>
      </c>
      <c r="E6543" t="s">
        <v>3009</v>
      </c>
    </row>
    <row r="6544" spans="1:5" x14ac:dyDescent="0.25">
      <c r="A6544">
        <v>4291</v>
      </c>
      <c r="B6544" t="s">
        <v>1722</v>
      </c>
      <c r="C6544" t="s">
        <v>3043</v>
      </c>
      <c r="D6544" t="str">
        <f t="shared" si="104"/>
        <v>FES4003</v>
      </c>
      <c r="E6544" t="s">
        <v>94</v>
      </c>
    </row>
    <row r="6545" spans="1:5" x14ac:dyDescent="0.25">
      <c r="A6545">
        <v>4291</v>
      </c>
      <c r="B6545" t="s">
        <v>1722</v>
      </c>
      <c r="C6545" t="s">
        <v>3045</v>
      </c>
      <c r="D6545" t="str">
        <f t="shared" si="104"/>
        <v>FES4004</v>
      </c>
      <c r="E6545" t="s">
        <v>3009</v>
      </c>
    </row>
    <row r="6546" spans="1:5" x14ac:dyDescent="0.25">
      <c r="A6546">
        <v>4291</v>
      </c>
      <c r="B6546" t="s">
        <v>1722</v>
      </c>
      <c r="C6546" t="s">
        <v>3047</v>
      </c>
      <c r="D6546" t="str">
        <f t="shared" si="104"/>
        <v>FES4005</v>
      </c>
      <c r="E6546" t="s">
        <v>3009</v>
      </c>
    </row>
    <row r="6547" spans="1:5" x14ac:dyDescent="0.25">
      <c r="A6547">
        <v>4291</v>
      </c>
      <c r="B6547" t="s">
        <v>1722</v>
      </c>
      <c r="C6547" t="s">
        <v>813</v>
      </c>
      <c r="D6547" t="str">
        <f t="shared" si="104"/>
        <v>FES4006</v>
      </c>
      <c r="E6547" t="s">
        <v>3057</v>
      </c>
    </row>
    <row r="6548" spans="1:5" x14ac:dyDescent="0.25">
      <c r="A6548">
        <v>4291</v>
      </c>
      <c r="B6548" t="s">
        <v>1722</v>
      </c>
      <c r="C6548" t="s">
        <v>3138</v>
      </c>
      <c r="D6548" t="str">
        <f t="shared" si="104"/>
        <v>FES4007</v>
      </c>
      <c r="E6548" t="s">
        <v>94</v>
      </c>
    </row>
    <row r="6549" spans="1:5" x14ac:dyDescent="0.25">
      <c r="A6549">
        <v>4291</v>
      </c>
      <c r="B6549" t="s">
        <v>1722</v>
      </c>
      <c r="C6549" t="s">
        <v>3123</v>
      </c>
      <c r="D6549" t="str">
        <f t="shared" si="104"/>
        <v>FES4101</v>
      </c>
      <c r="E6549" t="s">
        <v>2968</v>
      </c>
    </row>
    <row r="6550" spans="1:5" x14ac:dyDescent="0.25">
      <c r="A6550">
        <v>4291</v>
      </c>
      <c r="B6550" t="s">
        <v>1722</v>
      </c>
      <c r="C6550" t="s">
        <v>3125</v>
      </c>
      <c r="D6550" t="str">
        <f t="shared" si="104"/>
        <v>FES4104</v>
      </c>
      <c r="E6550" t="s">
        <v>3291</v>
      </c>
    </row>
    <row r="6551" spans="1:5" x14ac:dyDescent="0.25">
      <c r="A6551">
        <v>4291</v>
      </c>
      <c r="B6551" t="s">
        <v>1722</v>
      </c>
      <c r="C6551" t="s">
        <v>3127</v>
      </c>
      <c r="D6551" t="str">
        <f t="shared" si="104"/>
        <v>FES4201</v>
      </c>
      <c r="E6551" t="s">
        <v>3218</v>
      </c>
    </row>
    <row r="6552" spans="1:5" x14ac:dyDescent="0.25">
      <c r="A6552">
        <v>4291</v>
      </c>
      <c r="B6552" t="s">
        <v>1722</v>
      </c>
      <c r="C6552" t="s">
        <v>3128</v>
      </c>
      <c r="D6552" t="str">
        <f t="shared" si="104"/>
        <v>FES4301</v>
      </c>
      <c r="E6552" t="s">
        <v>3239</v>
      </c>
    </row>
    <row r="6553" spans="1:5" x14ac:dyDescent="0.25">
      <c r="A6553">
        <v>4291</v>
      </c>
      <c r="B6553" t="s">
        <v>1722</v>
      </c>
      <c r="C6553" t="s">
        <v>3280</v>
      </c>
      <c r="D6553" t="str">
        <f t="shared" si="104"/>
        <v>FES4602</v>
      </c>
      <c r="E6553" t="s">
        <v>2926</v>
      </c>
    </row>
    <row r="6554" spans="1:5" x14ac:dyDescent="0.25">
      <c r="A6554">
        <v>4291</v>
      </c>
      <c r="B6554" t="s">
        <v>1722</v>
      </c>
      <c r="C6554" t="s">
        <v>3048</v>
      </c>
      <c r="D6554" t="str">
        <f t="shared" si="104"/>
        <v>FES4701</v>
      </c>
      <c r="E6554" t="s">
        <v>3049</v>
      </c>
    </row>
    <row r="6555" spans="1:5" x14ac:dyDescent="0.25">
      <c r="A6555">
        <v>4291</v>
      </c>
      <c r="B6555" t="s">
        <v>1722</v>
      </c>
      <c r="C6555" t="s">
        <v>239</v>
      </c>
      <c r="D6555" t="str">
        <f t="shared" si="104"/>
        <v>FES4702</v>
      </c>
      <c r="E6555" t="s">
        <v>3049</v>
      </c>
    </row>
    <row r="6556" spans="1:5" x14ac:dyDescent="0.25">
      <c r="A6556">
        <v>4291</v>
      </c>
      <c r="B6556" t="s">
        <v>1722</v>
      </c>
      <c r="C6556" t="s">
        <v>265</v>
      </c>
      <c r="D6556" t="str">
        <f t="shared" si="104"/>
        <v>FES4703</v>
      </c>
      <c r="E6556" t="s">
        <v>3049</v>
      </c>
    </row>
    <row r="6557" spans="1:5" x14ac:dyDescent="0.25">
      <c r="A6557">
        <v>4291</v>
      </c>
      <c r="B6557" t="s">
        <v>1722</v>
      </c>
      <c r="C6557" t="s">
        <v>328</v>
      </c>
      <c r="D6557" t="str">
        <f t="shared" si="104"/>
        <v>FES4707</v>
      </c>
      <c r="E6557" t="s">
        <v>3049</v>
      </c>
    </row>
    <row r="6558" spans="1:5" x14ac:dyDescent="0.25">
      <c r="A6558">
        <v>4291</v>
      </c>
      <c r="B6558" t="s">
        <v>1722</v>
      </c>
      <c r="C6558" t="s">
        <v>364</v>
      </c>
      <c r="D6558" t="str">
        <f t="shared" si="104"/>
        <v>FES4799</v>
      </c>
      <c r="E6558" t="s">
        <v>3049</v>
      </c>
    </row>
    <row r="6559" spans="1:5" x14ac:dyDescent="0.25">
      <c r="A6559">
        <v>4291</v>
      </c>
      <c r="B6559" t="s">
        <v>1722</v>
      </c>
      <c r="C6559" t="s">
        <v>240</v>
      </c>
      <c r="D6559" t="str">
        <f t="shared" si="104"/>
        <v>FES4801</v>
      </c>
      <c r="E6559" t="s">
        <v>2968</v>
      </c>
    </row>
    <row r="6560" spans="1:5" x14ac:dyDescent="0.25">
      <c r="A6560">
        <v>4291</v>
      </c>
      <c r="B6560" t="s">
        <v>1722</v>
      </c>
      <c r="C6560" t="s">
        <v>3051</v>
      </c>
      <c r="D6560" t="str">
        <f t="shared" si="104"/>
        <v>FES5101</v>
      </c>
      <c r="E6560" t="s">
        <v>3052</v>
      </c>
    </row>
    <row r="6561" spans="1:5" x14ac:dyDescent="0.25">
      <c r="A6561">
        <v>4291</v>
      </c>
      <c r="B6561" t="s">
        <v>1722</v>
      </c>
      <c r="C6561" t="s">
        <v>3284</v>
      </c>
      <c r="D6561" t="str">
        <f t="shared" si="104"/>
        <v>FES5102</v>
      </c>
      <c r="E6561" t="s">
        <v>3291</v>
      </c>
    </row>
    <row r="6562" spans="1:5" x14ac:dyDescent="0.25">
      <c r="A6562">
        <v>4291</v>
      </c>
      <c r="B6562" t="s">
        <v>1722</v>
      </c>
      <c r="C6562" t="s">
        <v>3053</v>
      </c>
      <c r="D6562" t="str">
        <f t="shared" si="104"/>
        <v>FES5103</v>
      </c>
      <c r="E6562" t="s">
        <v>3052</v>
      </c>
    </row>
    <row r="6563" spans="1:5" x14ac:dyDescent="0.25">
      <c r="A6563">
        <v>4291</v>
      </c>
      <c r="B6563" t="s">
        <v>1722</v>
      </c>
      <c r="C6563" t="s">
        <v>317</v>
      </c>
      <c r="D6563" t="str">
        <f t="shared" si="104"/>
        <v>FES5106</v>
      </c>
      <c r="E6563" t="s">
        <v>3052</v>
      </c>
    </row>
    <row r="6564" spans="1:5" x14ac:dyDescent="0.25">
      <c r="A6564">
        <v>4291</v>
      </c>
      <c r="B6564" t="s">
        <v>1722</v>
      </c>
      <c r="C6564" t="s">
        <v>173</v>
      </c>
      <c r="D6564" t="str">
        <f t="shared" si="104"/>
        <v>FES5107</v>
      </c>
      <c r="E6564" t="s">
        <v>3052</v>
      </c>
    </row>
    <row r="6565" spans="1:5" x14ac:dyDescent="0.25">
      <c r="A6565">
        <v>4291</v>
      </c>
      <c r="B6565" t="s">
        <v>1722</v>
      </c>
      <c r="C6565" t="s">
        <v>372</v>
      </c>
      <c r="D6565" t="str">
        <f t="shared" si="104"/>
        <v>FES5113</v>
      </c>
      <c r="E6565" t="s">
        <v>3055</v>
      </c>
    </row>
    <row r="6566" spans="1:5" x14ac:dyDescent="0.25">
      <c r="A6566">
        <v>4291</v>
      </c>
      <c r="B6566" t="s">
        <v>1722</v>
      </c>
      <c r="C6566" t="s">
        <v>242</v>
      </c>
      <c r="D6566" t="str">
        <f t="shared" si="104"/>
        <v>FES5201</v>
      </c>
      <c r="E6566" t="s">
        <v>2965</v>
      </c>
    </row>
    <row r="6567" spans="1:5" x14ac:dyDescent="0.25">
      <c r="A6567">
        <v>4291</v>
      </c>
      <c r="B6567" t="s">
        <v>1722</v>
      </c>
      <c r="C6567" t="s">
        <v>3054</v>
      </c>
      <c r="D6567" t="str">
        <f t="shared" si="104"/>
        <v>FES5204</v>
      </c>
      <c r="E6567" t="s">
        <v>3055</v>
      </c>
    </row>
    <row r="6568" spans="1:5" x14ac:dyDescent="0.25">
      <c r="A6568">
        <v>4291</v>
      </c>
      <c r="B6568" t="s">
        <v>1722</v>
      </c>
      <c r="C6568" t="s">
        <v>329</v>
      </c>
      <c r="D6568" t="str">
        <f t="shared" si="104"/>
        <v>FES5206</v>
      </c>
      <c r="E6568" t="s">
        <v>3057</v>
      </c>
    </row>
    <row r="6569" spans="1:5" x14ac:dyDescent="0.25">
      <c r="A6569">
        <v>4291</v>
      </c>
      <c r="B6569" t="s">
        <v>1722</v>
      </c>
      <c r="C6569" t="s">
        <v>3058</v>
      </c>
      <c r="D6569" t="str">
        <f t="shared" si="104"/>
        <v>FES5207</v>
      </c>
      <c r="E6569" t="s">
        <v>3057</v>
      </c>
    </row>
    <row r="6570" spans="1:5" x14ac:dyDescent="0.25">
      <c r="A6570">
        <v>4291</v>
      </c>
      <c r="B6570" t="s">
        <v>1722</v>
      </c>
      <c r="C6570" t="s">
        <v>3060</v>
      </c>
      <c r="D6570" t="str">
        <f t="shared" si="104"/>
        <v>FES5208</v>
      </c>
      <c r="E6570" t="s">
        <v>3057</v>
      </c>
    </row>
    <row r="6571" spans="1:5" x14ac:dyDescent="0.25">
      <c r="A6571">
        <v>4291</v>
      </c>
      <c r="B6571" t="s">
        <v>1722</v>
      </c>
      <c r="C6571" t="s">
        <v>359</v>
      </c>
      <c r="D6571" t="str">
        <f t="shared" si="104"/>
        <v>FES5209</v>
      </c>
      <c r="E6571" t="s">
        <v>3055</v>
      </c>
    </row>
    <row r="6572" spans="1:5" x14ac:dyDescent="0.25">
      <c r="A6572">
        <v>4291</v>
      </c>
      <c r="B6572" t="s">
        <v>1722</v>
      </c>
      <c r="C6572" t="s">
        <v>3063</v>
      </c>
      <c r="D6572" t="str">
        <f t="shared" si="104"/>
        <v>FES5210</v>
      </c>
      <c r="E6572" t="s">
        <v>3055</v>
      </c>
    </row>
    <row r="6573" spans="1:5" x14ac:dyDescent="0.25">
      <c r="A6573">
        <v>4291</v>
      </c>
      <c r="B6573" t="s">
        <v>1722</v>
      </c>
      <c r="C6573" t="s">
        <v>3155</v>
      </c>
      <c r="D6573" t="str">
        <f t="shared" si="104"/>
        <v>FES5211</v>
      </c>
      <c r="E6573" t="s">
        <v>2944</v>
      </c>
    </row>
    <row r="6574" spans="1:5" x14ac:dyDescent="0.25">
      <c r="A6574">
        <v>4291</v>
      </c>
      <c r="B6574" t="s">
        <v>1722</v>
      </c>
      <c r="C6574" t="s">
        <v>3064</v>
      </c>
      <c r="D6574" t="str">
        <f t="shared" si="104"/>
        <v>FES5212</v>
      </c>
      <c r="E6574" t="s">
        <v>3055</v>
      </c>
    </row>
    <row r="6575" spans="1:5" x14ac:dyDescent="0.25">
      <c r="A6575">
        <v>4291</v>
      </c>
      <c r="B6575" t="s">
        <v>1722</v>
      </c>
      <c r="C6575" t="s">
        <v>385</v>
      </c>
      <c r="D6575" t="str">
        <f t="shared" si="104"/>
        <v>FES5213</v>
      </c>
      <c r="E6575" t="s">
        <v>3055</v>
      </c>
    </row>
    <row r="6576" spans="1:5" x14ac:dyDescent="0.25">
      <c r="A6576">
        <v>4291</v>
      </c>
      <c r="B6576" t="s">
        <v>1722</v>
      </c>
      <c r="C6576" t="s">
        <v>391</v>
      </c>
      <c r="D6576" t="str">
        <f t="shared" si="104"/>
        <v>FES5214</v>
      </c>
      <c r="E6576" t="s">
        <v>3055</v>
      </c>
    </row>
    <row r="6577" spans="1:5" x14ac:dyDescent="0.25">
      <c r="A6577">
        <v>4291</v>
      </c>
      <c r="B6577" t="s">
        <v>1722</v>
      </c>
      <c r="C6577" t="s">
        <v>403</v>
      </c>
      <c r="D6577" t="str">
        <f t="shared" si="104"/>
        <v>FES5216</v>
      </c>
      <c r="E6577" t="s">
        <v>3067</v>
      </c>
    </row>
    <row r="6578" spans="1:5" x14ac:dyDescent="0.25">
      <c r="A6578">
        <v>4291</v>
      </c>
      <c r="B6578" t="s">
        <v>1722</v>
      </c>
      <c r="C6578" t="s">
        <v>409</v>
      </c>
      <c r="D6578" t="str">
        <f t="shared" si="104"/>
        <v>FES5217</v>
      </c>
      <c r="E6578" t="s">
        <v>3055</v>
      </c>
    </row>
    <row r="6579" spans="1:5" x14ac:dyDescent="0.25">
      <c r="A6579">
        <v>4291</v>
      </c>
      <c r="B6579" t="s">
        <v>1722</v>
      </c>
      <c r="C6579" t="s">
        <v>3068</v>
      </c>
      <c r="D6579" t="str">
        <f t="shared" si="104"/>
        <v>FES5220</v>
      </c>
      <c r="E6579" t="s">
        <v>3057</v>
      </c>
    </row>
    <row r="6580" spans="1:5" x14ac:dyDescent="0.25">
      <c r="A6580">
        <v>4291</v>
      </c>
      <c r="B6580" t="s">
        <v>1722</v>
      </c>
      <c r="C6580" t="s">
        <v>429</v>
      </c>
      <c r="D6580" t="str">
        <f t="shared" si="104"/>
        <v>FES5221</v>
      </c>
      <c r="E6580" t="s">
        <v>3055</v>
      </c>
    </row>
    <row r="6581" spans="1:5" x14ac:dyDescent="0.25">
      <c r="A6581">
        <v>4291</v>
      </c>
      <c r="B6581" t="s">
        <v>1722</v>
      </c>
      <c r="C6581" t="s">
        <v>434</v>
      </c>
      <c r="D6581" t="str">
        <f t="shared" si="104"/>
        <v>FES5222</v>
      </c>
      <c r="E6581" t="s">
        <v>3055</v>
      </c>
    </row>
    <row r="6582" spans="1:5" x14ac:dyDescent="0.25">
      <c r="A6582">
        <v>4291</v>
      </c>
      <c r="B6582" t="s">
        <v>1722</v>
      </c>
      <c r="C6582" t="s">
        <v>449</v>
      </c>
      <c r="D6582" t="str">
        <f t="shared" si="104"/>
        <v>FES5225</v>
      </c>
      <c r="E6582" t="s">
        <v>3055</v>
      </c>
    </row>
    <row r="6583" spans="1:5" x14ac:dyDescent="0.25">
      <c r="A6583">
        <v>4291</v>
      </c>
      <c r="B6583" t="s">
        <v>1722</v>
      </c>
      <c r="C6583" t="s">
        <v>3070</v>
      </c>
      <c r="D6583" t="str">
        <f t="shared" si="104"/>
        <v>FES5226</v>
      </c>
      <c r="E6583" t="s">
        <v>3055</v>
      </c>
    </row>
    <row r="6584" spans="1:5" x14ac:dyDescent="0.25">
      <c r="A6584">
        <v>4291</v>
      </c>
      <c r="B6584" t="s">
        <v>1722</v>
      </c>
      <c r="C6584" t="s">
        <v>3150</v>
      </c>
      <c r="D6584" t="str">
        <f t="shared" si="104"/>
        <v>FES5230</v>
      </c>
      <c r="E6584" t="s">
        <v>3055</v>
      </c>
    </row>
    <row r="6585" spans="1:5" x14ac:dyDescent="0.25">
      <c r="A6585">
        <v>4291</v>
      </c>
      <c r="B6585" t="s">
        <v>1722</v>
      </c>
      <c r="C6585" t="s">
        <v>459</v>
      </c>
      <c r="D6585" t="str">
        <f t="shared" si="104"/>
        <v>FES5299</v>
      </c>
      <c r="E6585" t="s">
        <v>3055</v>
      </c>
    </row>
    <row r="6586" spans="1:5" x14ac:dyDescent="0.25">
      <c r="A6586">
        <v>4291</v>
      </c>
      <c r="B6586" t="s">
        <v>1722</v>
      </c>
      <c r="C6586" t="s">
        <v>3211</v>
      </c>
      <c r="D6586" t="str">
        <f t="shared" si="104"/>
        <v>FES9108</v>
      </c>
      <c r="E6586" t="s">
        <v>3212</v>
      </c>
    </row>
    <row r="6587" spans="1:5" x14ac:dyDescent="0.25">
      <c r="A6587">
        <v>4291</v>
      </c>
      <c r="B6587" t="s">
        <v>1722</v>
      </c>
      <c r="C6587" t="s">
        <v>3304</v>
      </c>
      <c r="D6587" t="str">
        <f t="shared" si="104"/>
        <v>FES9112</v>
      </c>
      <c r="E6587" t="s">
        <v>3212</v>
      </c>
    </row>
    <row r="6588" spans="1:5" x14ac:dyDescent="0.25">
      <c r="A6588">
        <v>4291</v>
      </c>
      <c r="B6588" t="s">
        <v>1722</v>
      </c>
      <c r="C6588" t="s">
        <v>3285</v>
      </c>
      <c r="D6588" t="str">
        <f t="shared" si="104"/>
        <v>FES9113</v>
      </c>
      <c r="E6588" t="s">
        <v>3212</v>
      </c>
    </row>
    <row r="6589" spans="1:5" x14ac:dyDescent="0.25">
      <c r="A6589">
        <v>4291</v>
      </c>
      <c r="B6589" t="s">
        <v>1722</v>
      </c>
      <c r="C6589" t="s">
        <v>3220</v>
      </c>
      <c r="D6589" t="str">
        <f t="shared" si="104"/>
        <v>FES9201</v>
      </c>
      <c r="E6589" t="s">
        <v>3075</v>
      </c>
    </row>
    <row r="6590" spans="1:5" x14ac:dyDescent="0.25">
      <c r="A6590">
        <v>4291</v>
      </c>
      <c r="B6590" t="s">
        <v>1722</v>
      </c>
      <c r="C6590" t="s">
        <v>3074</v>
      </c>
      <c r="D6590" t="str">
        <f t="shared" si="104"/>
        <v>FES9202</v>
      </c>
      <c r="E6590" t="s">
        <v>3075</v>
      </c>
    </row>
    <row r="6591" spans="1:5" x14ac:dyDescent="0.25">
      <c r="A6591">
        <v>4291</v>
      </c>
      <c r="B6591" t="s">
        <v>1722</v>
      </c>
      <c r="C6591" t="s">
        <v>331</v>
      </c>
      <c r="D6591" t="str">
        <f t="shared" si="104"/>
        <v>FES9306</v>
      </c>
      <c r="E6591" t="s">
        <v>3076</v>
      </c>
    </row>
    <row r="6592" spans="1:5" x14ac:dyDescent="0.25">
      <c r="A6592">
        <v>4291</v>
      </c>
      <c r="B6592" t="s">
        <v>1722</v>
      </c>
      <c r="C6592" t="s">
        <v>352</v>
      </c>
      <c r="D6592" t="str">
        <f t="shared" si="104"/>
        <v>FES9308</v>
      </c>
      <c r="E6592" t="s">
        <v>2968</v>
      </c>
    </row>
    <row r="6593" spans="1:5" x14ac:dyDescent="0.25">
      <c r="A6593">
        <v>4291</v>
      </c>
      <c r="B6593" t="s">
        <v>1722</v>
      </c>
      <c r="C6593" t="s">
        <v>360</v>
      </c>
      <c r="D6593" t="str">
        <f t="shared" si="104"/>
        <v>FES9309</v>
      </c>
      <c r="E6593" t="s">
        <v>2968</v>
      </c>
    </row>
    <row r="6594" spans="1:5" x14ac:dyDescent="0.25">
      <c r="A6594">
        <v>4291</v>
      </c>
      <c r="B6594" t="s">
        <v>1722</v>
      </c>
      <c r="C6594" t="s">
        <v>380</v>
      </c>
      <c r="D6594" t="str">
        <f t="shared" si="104"/>
        <v>FES9312</v>
      </c>
      <c r="E6594" t="s">
        <v>2968</v>
      </c>
    </row>
    <row r="6595" spans="1:5" x14ac:dyDescent="0.25">
      <c r="A6595">
        <v>4291</v>
      </c>
      <c r="B6595" t="s">
        <v>1722</v>
      </c>
      <c r="C6595" t="s">
        <v>392</v>
      </c>
      <c r="D6595" t="str">
        <f t="shared" si="104"/>
        <v>FES9314</v>
      </c>
      <c r="E6595" t="s">
        <v>2968</v>
      </c>
    </row>
    <row r="6596" spans="1:5" x14ac:dyDescent="0.25">
      <c r="A6596">
        <v>4291</v>
      </c>
      <c r="B6596" t="s">
        <v>1722</v>
      </c>
      <c r="C6596" t="s">
        <v>3362</v>
      </c>
      <c r="D6596" t="str">
        <f t="shared" si="104"/>
        <v>FES9319</v>
      </c>
      <c r="E6596" t="s">
        <v>3291</v>
      </c>
    </row>
    <row r="6597" spans="1:5" x14ac:dyDescent="0.25">
      <c r="A6597">
        <v>4291</v>
      </c>
      <c r="B6597" t="s">
        <v>1722</v>
      </c>
      <c r="C6597" t="s">
        <v>455</v>
      </c>
      <c r="D6597" t="str">
        <f t="shared" si="104"/>
        <v>FES9329</v>
      </c>
      <c r="E6597" t="s">
        <v>2968</v>
      </c>
    </row>
    <row r="6598" spans="1:5" x14ac:dyDescent="0.25">
      <c r="A6598">
        <v>4291</v>
      </c>
      <c r="B6598" t="s">
        <v>1722</v>
      </c>
      <c r="C6598" t="s">
        <v>3079</v>
      </c>
      <c r="D6598" t="str">
        <f t="shared" si="104"/>
        <v>FES9399</v>
      </c>
      <c r="E6598" t="s">
        <v>2968</v>
      </c>
    </row>
    <row r="6599" spans="1:5" x14ac:dyDescent="0.25">
      <c r="A6599">
        <v>4331</v>
      </c>
      <c r="B6599" t="s">
        <v>1719</v>
      </c>
      <c r="C6599" t="s">
        <v>979</v>
      </c>
      <c r="D6599" t="str">
        <f t="shared" si="104"/>
        <v>FDM3003</v>
      </c>
      <c r="E6599" t="s">
        <v>2933</v>
      </c>
    </row>
    <row r="6600" spans="1:5" x14ac:dyDescent="0.25">
      <c r="A6600">
        <v>4331</v>
      </c>
      <c r="B6600" t="s">
        <v>1719</v>
      </c>
      <c r="C6600" t="s">
        <v>2939</v>
      </c>
      <c r="D6600" t="str">
        <f t="shared" ref="D6600:D6663" si="105">CONCATENATE(B6600,LEFT(C6600,4))</f>
        <v>FDM3005</v>
      </c>
      <c r="E6600" t="s">
        <v>2933</v>
      </c>
    </row>
    <row r="6601" spans="1:5" x14ac:dyDescent="0.25">
      <c r="A6601">
        <v>4331</v>
      </c>
      <c r="B6601" t="s">
        <v>1719</v>
      </c>
      <c r="C6601" t="s">
        <v>3201</v>
      </c>
      <c r="D6601" t="str">
        <f t="shared" si="105"/>
        <v>FDM3502</v>
      </c>
      <c r="E6601" t="s">
        <v>1660</v>
      </c>
    </row>
    <row r="6602" spans="1:5" x14ac:dyDescent="0.25">
      <c r="A6602">
        <v>4331</v>
      </c>
      <c r="B6602" t="s">
        <v>1719</v>
      </c>
      <c r="C6602" t="s">
        <v>299</v>
      </c>
      <c r="D6602" t="str">
        <f t="shared" si="105"/>
        <v>FDM3904</v>
      </c>
      <c r="E6602" t="s">
        <v>2968</v>
      </c>
    </row>
    <row r="6603" spans="1:5" x14ac:dyDescent="0.25">
      <c r="A6603">
        <v>4331</v>
      </c>
      <c r="B6603" t="s">
        <v>1719</v>
      </c>
      <c r="C6603" t="s">
        <v>3017</v>
      </c>
      <c r="D6603" t="str">
        <f t="shared" si="105"/>
        <v>FDM3936</v>
      </c>
      <c r="E6603" t="s">
        <v>94</v>
      </c>
    </row>
    <row r="6604" spans="1:5" x14ac:dyDescent="0.25">
      <c r="A6604">
        <v>4331</v>
      </c>
      <c r="B6604" t="s">
        <v>1719</v>
      </c>
      <c r="C6604" t="s">
        <v>3041</v>
      </c>
      <c r="D6604" t="str">
        <f t="shared" si="105"/>
        <v>FDM4002</v>
      </c>
      <c r="E6604" t="s">
        <v>3009</v>
      </c>
    </row>
    <row r="6605" spans="1:5" x14ac:dyDescent="0.25">
      <c r="A6605">
        <v>4331</v>
      </c>
      <c r="B6605" t="s">
        <v>1719</v>
      </c>
      <c r="C6605" t="s">
        <v>3043</v>
      </c>
      <c r="D6605" t="str">
        <f t="shared" si="105"/>
        <v>FDM4003</v>
      </c>
      <c r="E6605" t="s">
        <v>94</v>
      </c>
    </row>
    <row r="6606" spans="1:5" x14ac:dyDescent="0.25">
      <c r="A6606">
        <v>4331</v>
      </c>
      <c r="B6606" t="s">
        <v>1719</v>
      </c>
      <c r="C6606" t="s">
        <v>3123</v>
      </c>
      <c r="D6606" t="str">
        <f t="shared" si="105"/>
        <v>FDM4101</v>
      </c>
      <c r="E6606" t="s">
        <v>2968</v>
      </c>
    </row>
    <row r="6607" spans="1:5" x14ac:dyDescent="0.25">
      <c r="A6607">
        <v>4331</v>
      </c>
      <c r="B6607" t="s">
        <v>1719</v>
      </c>
      <c r="C6607" t="s">
        <v>3074</v>
      </c>
      <c r="D6607" t="str">
        <f t="shared" si="105"/>
        <v>FDM9202</v>
      </c>
      <c r="E6607" t="s">
        <v>3075</v>
      </c>
    </row>
    <row r="6608" spans="1:5" x14ac:dyDescent="0.25">
      <c r="A6608">
        <v>4341</v>
      </c>
      <c r="B6608" t="s">
        <v>1726</v>
      </c>
      <c r="C6608" t="s">
        <v>332</v>
      </c>
      <c r="D6608" t="str">
        <f t="shared" si="105"/>
        <v>FHIDRO1314</v>
      </c>
      <c r="E6608" t="s">
        <v>3081</v>
      </c>
    </row>
    <row r="6609" spans="1:5" x14ac:dyDescent="0.25">
      <c r="A6609">
        <v>4341</v>
      </c>
      <c r="B6609" t="s">
        <v>1726</v>
      </c>
      <c r="C6609" t="s">
        <v>2942</v>
      </c>
      <c r="D6609" t="str">
        <f t="shared" si="105"/>
        <v>FHIDRO1317</v>
      </c>
      <c r="E6609" t="s">
        <v>3081</v>
      </c>
    </row>
    <row r="6610" spans="1:5" x14ac:dyDescent="0.25">
      <c r="A6610">
        <v>4341</v>
      </c>
      <c r="B6610" t="s">
        <v>1726</v>
      </c>
      <c r="C6610" t="s">
        <v>2928</v>
      </c>
      <c r="D6610" t="str">
        <f t="shared" si="105"/>
        <v>FHIDRO1401</v>
      </c>
      <c r="E6610" t="s">
        <v>44</v>
      </c>
    </row>
    <row r="6611" spans="1:5" x14ac:dyDescent="0.25">
      <c r="A6611">
        <v>4341</v>
      </c>
      <c r="B6611" t="s">
        <v>1726</v>
      </c>
      <c r="C6611" t="s">
        <v>2939</v>
      </c>
      <c r="D6611" t="str">
        <f t="shared" si="105"/>
        <v>FHIDRO3005</v>
      </c>
      <c r="E6611" t="s">
        <v>2933</v>
      </c>
    </row>
    <row r="6612" spans="1:5" x14ac:dyDescent="0.25">
      <c r="A6612">
        <v>4341</v>
      </c>
      <c r="B6612" t="s">
        <v>1726</v>
      </c>
      <c r="C6612" t="s">
        <v>2950</v>
      </c>
      <c r="D6612" t="str">
        <f t="shared" si="105"/>
        <v>FHIDRO3016</v>
      </c>
      <c r="E6612" t="s">
        <v>2933</v>
      </c>
    </row>
    <row r="6613" spans="1:5" x14ac:dyDescent="0.25">
      <c r="A6613">
        <v>4341</v>
      </c>
      <c r="B6613" t="s">
        <v>1726</v>
      </c>
      <c r="C6613" t="s">
        <v>54</v>
      </c>
      <c r="D6613" t="str">
        <f t="shared" si="105"/>
        <v>FHIDRO3301</v>
      </c>
      <c r="E6613" t="s">
        <v>44</v>
      </c>
    </row>
    <row r="6614" spans="1:5" x14ac:dyDescent="0.25">
      <c r="A6614">
        <v>4341</v>
      </c>
      <c r="B6614" t="s">
        <v>1726</v>
      </c>
      <c r="C6614" t="s">
        <v>2975</v>
      </c>
      <c r="D6614" t="str">
        <f t="shared" si="105"/>
        <v>FHIDRO3302</v>
      </c>
      <c r="E6614" t="s">
        <v>44</v>
      </c>
    </row>
    <row r="6615" spans="1:5" x14ac:dyDescent="0.25">
      <c r="A6615">
        <v>4341</v>
      </c>
      <c r="B6615" t="s">
        <v>1726</v>
      </c>
      <c r="C6615" t="s">
        <v>2977</v>
      </c>
      <c r="D6615" t="str">
        <f t="shared" si="105"/>
        <v>FHIDRO3304</v>
      </c>
      <c r="E6615" t="s">
        <v>44</v>
      </c>
    </row>
    <row r="6616" spans="1:5" x14ac:dyDescent="0.25">
      <c r="A6616">
        <v>4341</v>
      </c>
      <c r="B6616" t="s">
        <v>1726</v>
      </c>
      <c r="C6616" t="s">
        <v>3201</v>
      </c>
      <c r="D6616" t="str">
        <f t="shared" si="105"/>
        <v>FHIDRO3502</v>
      </c>
      <c r="E6616" t="s">
        <v>3363</v>
      </c>
    </row>
    <row r="6617" spans="1:5" x14ac:dyDescent="0.25">
      <c r="A6617">
        <v>4341</v>
      </c>
      <c r="B6617" t="s">
        <v>1726</v>
      </c>
      <c r="C6617" t="s">
        <v>297</v>
      </c>
      <c r="D6617" t="str">
        <f t="shared" si="105"/>
        <v>FHIDRO3604</v>
      </c>
      <c r="E6617" t="s">
        <v>44</v>
      </c>
    </row>
    <row r="6618" spans="1:5" x14ac:dyDescent="0.25">
      <c r="A6618">
        <v>4341</v>
      </c>
      <c r="B6618" t="s">
        <v>1726</v>
      </c>
      <c r="C6618" t="s">
        <v>2985</v>
      </c>
      <c r="D6618" t="str">
        <f t="shared" si="105"/>
        <v>FHIDRO3704</v>
      </c>
      <c r="E6618" t="s">
        <v>117</v>
      </c>
    </row>
    <row r="6619" spans="1:5" x14ac:dyDescent="0.25">
      <c r="A6619">
        <v>4341</v>
      </c>
      <c r="B6619" t="s">
        <v>1726</v>
      </c>
      <c r="C6619" t="s">
        <v>2986</v>
      </c>
      <c r="D6619" t="str">
        <f t="shared" si="105"/>
        <v>FHIDRO3705</v>
      </c>
      <c r="E6619" t="s">
        <v>117</v>
      </c>
    </row>
    <row r="6620" spans="1:5" x14ac:dyDescent="0.25">
      <c r="A6620">
        <v>4341</v>
      </c>
      <c r="B6620" t="s">
        <v>1726</v>
      </c>
      <c r="C6620" t="s">
        <v>2988</v>
      </c>
      <c r="D6620" t="str">
        <f t="shared" si="105"/>
        <v>FHIDRO3903</v>
      </c>
      <c r="E6620" t="s">
        <v>87</v>
      </c>
    </row>
    <row r="6621" spans="1:5" x14ac:dyDescent="0.25">
      <c r="A6621">
        <v>4341</v>
      </c>
      <c r="B6621" t="s">
        <v>1726</v>
      </c>
      <c r="C6621" t="s">
        <v>2991</v>
      </c>
      <c r="D6621" t="str">
        <f t="shared" si="105"/>
        <v>FHIDRO3912</v>
      </c>
      <c r="E6621" t="s">
        <v>2992</v>
      </c>
    </row>
    <row r="6622" spans="1:5" x14ac:dyDescent="0.25">
      <c r="A6622">
        <v>4341</v>
      </c>
      <c r="B6622" t="s">
        <v>1726</v>
      </c>
      <c r="C6622" t="s">
        <v>566</v>
      </c>
      <c r="D6622" t="str">
        <f t="shared" si="105"/>
        <v>FHIDRO3924</v>
      </c>
      <c r="E6622" t="s">
        <v>3004</v>
      </c>
    </row>
    <row r="6623" spans="1:5" x14ac:dyDescent="0.25">
      <c r="A6623">
        <v>4341</v>
      </c>
      <c r="B6623" t="s">
        <v>1726</v>
      </c>
      <c r="C6623" t="s">
        <v>443</v>
      </c>
      <c r="D6623" t="str">
        <f t="shared" si="105"/>
        <v>FHIDRO3926</v>
      </c>
      <c r="E6623" t="s">
        <v>3006</v>
      </c>
    </row>
    <row r="6624" spans="1:5" x14ac:dyDescent="0.25">
      <c r="A6624">
        <v>4341</v>
      </c>
      <c r="B6624" t="s">
        <v>1726</v>
      </c>
      <c r="C6624" t="s">
        <v>3019</v>
      </c>
      <c r="D6624" t="str">
        <f t="shared" si="105"/>
        <v>FHIDRO3940</v>
      </c>
      <c r="E6624" t="s">
        <v>3009</v>
      </c>
    </row>
    <row r="6625" spans="1:5" x14ac:dyDescent="0.25">
      <c r="A6625">
        <v>4341</v>
      </c>
      <c r="B6625" t="s">
        <v>1726</v>
      </c>
      <c r="C6625" t="s">
        <v>492</v>
      </c>
      <c r="D6625" t="str">
        <f t="shared" si="105"/>
        <v>FHIDRO3948</v>
      </c>
      <c r="E6625" t="s">
        <v>3004</v>
      </c>
    </row>
    <row r="6626" spans="1:5" x14ac:dyDescent="0.25">
      <c r="A6626">
        <v>4341</v>
      </c>
      <c r="B6626" t="s">
        <v>1726</v>
      </c>
      <c r="C6626" t="s">
        <v>3104</v>
      </c>
      <c r="D6626" t="str">
        <f t="shared" si="105"/>
        <v>FHIDRO3964</v>
      </c>
      <c r="E6626" t="s">
        <v>3214</v>
      </c>
    </row>
    <row r="6627" spans="1:5" x14ac:dyDescent="0.25">
      <c r="A6627">
        <v>4341</v>
      </c>
      <c r="B6627" t="s">
        <v>1726</v>
      </c>
      <c r="C6627" t="s">
        <v>3040</v>
      </c>
      <c r="D6627" t="str">
        <f t="shared" si="105"/>
        <v>FHIDRO3999</v>
      </c>
      <c r="E6627" t="s">
        <v>3364</v>
      </c>
    </row>
    <row r="6628" spans="1:5" x14ac:dyDescent="0.25">
      <c r="A6628">
        <v>4341</v>
      </c>
      <c r="B6628" t="s">
        <v>1726</v>
      </c>
      <c r="C6628" t="s">
        <v>3043</v>
      </c>
      <c r="D6628" t="str">
        <f t="shared" si="105"/>
        <v>FHIDRO4003</v>
      </c>
      <c r="E6628" t="s">
        <v>94</v>
      </c>
    </row>
    <row r="6629" spans="1:5" x14ac:dyDescent="0.25">
      <c r="A6629">
        <v>4341</v>
      </c>
      <c r="B6629" t="s">
        <v>1726</v>
      </c>
      <c r="C6629" t="s">
        <v>3123</v>
      </c>
      <c r="D6629" t="str">
        <f t="shared" si="105"/>
        <v>FHIDRO4101</v>
      </c>
      <c r="E6629" t="s">
        <v>3365</v>
      </c>
    </row>
    <row r="6630" spans="1:5" x14ac:dyDescent="0.25">
      <c r="A6630">
        <v>4341</v>
      </c>
      <c r="B6630" t="s">
        <v>1726</v>
      </c>
      <c r="C6630" t="s">
        <v>240</v>
      </c>
      <c r="D6630" t="str">
        <f t="shared" si="105"/>
        <v>FHIDRO4801</v>
      </c>
      <c r="E6630" t="s">
        <v>3366</v>
      </c>
    </row>
    <row r="6631" spans="1:5" x14ac:dyDescent="0.25">
      <c r="A6631">
        <v>4341</v>
      </c>
      <c r="B6631" t="s">
        <v>1726</v>
      </c>
      <c r="C6631" t="s">
        <v>3053</v>
      </c>
      <c r="D6631" t="str">
        <f t="shared" si="105"/>
        <v>FHIDRO5103</v>
      </c>
      <c r="E6631" t="s">
        <v>3052</v>
      </c>
    </row>
    <row r="6632" spans="1:5" x14ac:dyDescent="0.25">
      <c r="A6632">
        <v>4341</v>
      </c>
      <c r="B6632" t="s">
        <v>1726</v>
      </c>
      <c r="C6632" t="s">
        <v>3063</v>
      </c>
      <c r="D6632" t="str">
        <f t="shared" si="105"/>
        <v>FHIDRO5210</v>
      </c>
      <c r="E6632" t="s">
        <v>3055</v>
      </c>
    </row>
    <row r="6633" spans="1:5" x14ac:dyDescent="0.25">
      <c r="A6633">
        <v>4341</v>
      </c>
      <c r="B6633" t="s">
        <v>1726</v>
      </c>
      <c r="C6633" t="s">
        <v>391</v>
      </c>
      <c r="D6633" t="str">
        <f t="shared" si="105"/>
        <v>FHIDRO5214</v>
      </c>
      <c r="E6633" t="s">
        <v>3055</v>
      </c>
    </row>
    <row r="6634" spans="1:5" x14ac:dyDescent="0.25">
      <c r="A6634">
        <v>4341</v>
      </c>
      <c r="B6634" t="s">
        <v>1726</v>
      </c>
      <c r="C6634" t="s">
        <v>3074</v>
      </c>
      <c r="D6634" t="str">
        <f t="shared" si="105"/>
        <v>FHIDRO9202</v>
      </c>
      <c r="E6634" t="s">
        <v>3075</v>
      </c>
    </row>
    <row r="6635" spans="1:5" x14ac:dyDescent="0.25">
      <c r="A6635">
        <v>4381</v>
      </c>
      <c r="B6635" t="s">
        <v>1732</v>
      </c>
      <c r="C6635" t="s">
        <v>2928</v>
      </c>
      <c r="D6635" t="str">
        <f t="shared" si="105"/>
        <v>FUNTRANS1401</v>
      </c>
      <c r="E6635" t="s">
        <v>44</v>
      </c>
    </row>
    <row r="6636" spans="1:5" x14ac:dyDescent="0.25">
      <c r="A6636">
        <v>4381</v>
      </c>
      <c r="B6636" t="s">
        <v>1732</v>
      </c>
      <c r="C6636" t="s">
        <v>2932</v>
      </c>
      <c r="D6636" t="str">
        <f t="shared" si="105"/>
        <v>FUNTRANS3001</v>
      </c>
      <c r="E6636" t="s">
        <v>2933</v>
      </c>
    </row>
    <row r="6637" spans="1:5" x14ac:dyDescent="0.25">
      <c r="A6637">
        <v>4381</v>
      </c>
      <c r="B6637" t="s">
        <v>1732</v>
      </c>
      <c r="C6637" t="s">
        <v>256</v>
      </c>
      <c r="D6637" t="str">
        <f t="shared" si="105"/>
        <v>FUNTRANS3002</v>
      </c>
      <c r="E6637" t="s">
        <v>2933</v>
      </c>
    </row>
    <row r="6638" spans="1:5" x14ac:dyDescent="0.25">
      <c r="A6638">
        <v>4381</v>
      </c>
      <c r="B6638" t="s">
        <v>1732</v>
      </c>
      <c r="C6638" t="s">
        <v>979</v>
      </c>
      <c r="D6638" t="str">
        <f t="shared" si="105"/>
        <v>FUNTRANS3003</v>
      </c>
      <c r="E6638" t="s">
        <v>2933</v>
      </c>
    </row>
    <row r="6639" spans="1:5" x14ac:dyDescent="0.25">
      <c r="A6639">
        <v>4381</v>
      </c>
      <c r="B6639" t="s">
        <v>1732</v>
      </c>
      <c r="C6639" t="s">
        <v>2939</v>
      </c>
      <c r="D6639" t="str">
        <f t="shared" si="105"/>
        <v>FUNTRANS3005</v>
      </c>
      <c r="E6639" t="s">
        <v>2933</v>
      </c>
    </row>
    <row r="6640" spans="1:5" x14ac:dyDescent="0.25">
      <c r="A6640">
        <v>4381</v>
      </c>
      <c r="B6640" t="s">
        <v>1732</v>
      </c>
      <c r="C6640" t="s">
        <v>323</v>
      </c>
      <c r="D6640" t="str">
        <f t="shared" si="105"/>
        <v>FUNTRANS3006</v>
      </c>
      <c r="E6640" t="s">
        <v>2933</v>
      </c>
    </row>
    <row r="6641" spans="1:5" x14ac:dyDescent="0.25">
      <c r="A6641">
        <v>4381</v>
      </c>
      <c r="B6641" t="s">
        <v>1732</v>
      </c>
      <c r="C6641" t="s">
        <v>333</v>
      </c>
      <c r="D6641" t="str">
        <f t="shared" si="105"/>
        <v>FUNTRANS3007</v>
      </c>
      <c r="E6641" t="s">
        <v>2933</v>
      </c>
    </row>
    <row r="6642" spans="1:5" x14ac:dyDescent="0.25">
      <c r="A6642">
        <v>4381</v>
      </c>
      <c r="B6642" t="s">
        <v>1732</v>
      </c>
      <c r="C6642" t="s">
        <v>2950</v>
      </c>
      <c r="D6642" t="str">
        <f t="shared" si="105"/>
        <v>FUNTRANS3016</v>
      </c>
      <c r="E6642" t="s">
        <v>2933</v>
      </c>
    </row>
    <row r="6643" spans="1:5" x14ac:dyDescent="0.25">
      <c r="A6643">
        <v>4381</v>
      </c>
      <c r="B6643" t="s">
        <v>1732</v>
      </c>
      <c r="C6643" t="s">
        <v>2953</v>
      </c>
      <c r="D6643" t="str">
        <f t="shared" si="105"/>
        <v>FUNTRANS3019</v>
      </c>
      <c r="E6643" t="s">
        <v>2954</v>
      </c>
    </row>
    <row r="6644" spans="1:5" x14ac:dyDescent="0.25">
      <c r="A6644">
        <v>4381</v>
      </c>
      <c r="B6644" t="s">
        <v>1732</v>
      </c>
      <c r="C6644" t="s">
        <v>2956</v>
      </c>
      <c r="D6644" t="str">
        <f t="shared" si="105"/>
        <v>FUNTRANS3021</v>
      </c>
      <c r="E6644" t="s">
        <v>2933</v>
      </c>
    </row>
    <row r="6645" spans="1:5" x14ac:dyDescent="0.25">
      <c r="A6645">
        <v>4381</v>
      </c>
      <c r="B6645" t="s">
        <v>1732</v>
      </c>
      <c r="C6645" t="s">
        <v>2957</v>
      </c>
      <c r="D6645" t="str">
        <f t="shared" si="105"/>
        <v>FUNTRANS3023</v>
      </c>
      <c r="E6645" t="s">
        <v>2958</v>
      </c>
    </row>
    <row r="6646" spans="1:5" x14ac:dyDescent="0.25">
      <c r="A6646">
        <v>4381</v>
      </c>
      <c r="B6646" t="s">
        <v>1732</v>
      </c>
      <c r="C6646" t="s">
        <v>2959</v>
      </c>
      <c r="D6646" t="str">
        <f t="shared" si="105"/>
        <v>FUNTRANS3025</v>
      </c>
      <c r="E6646" t="s">
        <v>2933</v>
      </c>
    </row>
    <row r="6647" spans="1:5" x14ac:dyDescent="0.25">
      <c r="A6647">
        <v>4381</v>
      </c>
      <c r="B6647" t="s">
        <v>1732</v>
      </c>
      <c r="C6647" t="s">
        <v>2960</v>
      </c>
      <c r="D6647" t="str">
        <f t="shared" si="105"/>
        <v>FUNTRANS3026</v>
      </c>
      <c r="E6647" t="s">
        <v>2958</v>
      </c>
    </row>
    <row r="6648" spans="1:5" x14ac:dyDescent="0.25">
      <c r="A6648">
        <v>4381</v>
      </c>
      <c r="B6648" t="s">
        <v>1732</v>
      </c>
      <c r="C6648" t="s">
        <v>3050</v>
      </c>
      <c r="D6648" t="str">
        <f t="shared" si="105"/>
        <v>FUNTRANS3702</v>
      </c>
      <c r="E6648" t="s">
        <v>2981</v>
      </c>
    </row>
    <row r="6649" spans="1:5" x14ac:dyDescent="0.25">
      <c r="A6649">
        <v>4381</v>
      </c>
      <c r="B6649" t="s">
        <v>1732</v>
      </c>
      <c r="C6649" t="s">
        <v>2985</v>
      </c>
      <c r="D6649" t="str">
        <f t="shared" si="105"/>
        <v>FUNTRANS3704</v>
      </c>
      <c r="E6649" t="s">
        <v>117</v>
      </c>
    </row>
    <row r="6650" spans="1:5" x14ac:dyDescent="0.25">
      <c r="A6650">
        <v>4381</v>
      </c>
      <c r="B6650" t="s">
        <v>1732</v>
      </c>
      <c r="C6650" t="s">
        <v>2986</v>
      </c>
      <c r="D6650" t="str">
        <f t="shared" si="105"/>
        <v>FUNTRANS3705</v>
      </c>
      <c r="E6650" t="s">
        <v>117</v>
      </c>
    </row>
    <row r="6651" spans="1:5" x14ac:dyDescent="0.25">
      <c r="A6651">
        <v>4381</v>
      </c>
      <c r="B6651" t="s">
        <v>1732</v>
      </c>
      <c r="C6651" t="s">
        <v>384</v>
      </c>
      <c r="D6651" t="str">
        <f t="shared" si="105"/>
        <v>FUNTRANS3915</v>
      </c>
      <c r="E6651" t="s">
        <v>2992</v>
      </c>
    </row>
    <row r="6652" spans="1:5" x14ac:dyDescent="0.25">
      <c r="A6652">
        <v>4381</v>
      </c>
      <c r="B6652" t="s">
        <v>1732</v>
      </c>
      <c r="C6652" t="s">
        <v>2996</v>
      </c>
      <c r="D6652" t="str">
        <f t="shared" si="105"/>
        <v>FUNTRANS3917</v>
      </c>
      <c r="E6652" t="s">
        <v>2958</v>
      </c>
    </row>
    <row r="6653" spans="1:5" x14ac:dyDescent="0.25">
      <c r="A6653">
        <v>4381</v>
      </c>
      <c r="B6653" t="s">
        <v>1732</v>
      </c>
      <c r="C6653" t="s">
        <v>443</v>
      </c>
      <c r="D6653" t="str">
        <f t="shared" si="105"/>
        <v>FUNTRANS3926</v>
      </c>
      <c r="E6653" t="s">
        <v>3006</v>
      </c>
    </row>
    <row r="6654" spans="1:5" x14ac:dyDescent="0.25">
      <c r="A6654">
        <v>4381</v>
      </c>
      <c r="B6654" t="s">
        <v>1732</v>
      </c>
      <c r="C6654" t="s">
        <v>1481</v>
      </c>
      <c r="D6654" t="str">
        <f t="shared" si="105"/>
        <v>FUNTRANS3931</v>
      </c>
      <c r="E6654" t="s">
        <v>2968</v>
      </c>
    </row>
    <row r="6655" spans="1:5" x14ac:dyDescent="0.25">
      <c r="A6655">
        <v>4381</v>
      </c>
      <c r="B6655" t="s">
        <v>1732</v>
      </c>
      <c r="C6655" t="s">
        <v>3017</v>
      </c>
      <c r="D6655" t="str">
        <f t="shared" si="105"/>
        <v>FUNTRANS3936</v>
      </c>
      <c r="E6655" t="s">
        <v>94</v>
      </c>
    </row>
    <row r="6656" spans="1:5" x14ac:dyDescent="0.25">
      <c r="A6656">
        <v>4381</v>
      </c>
      <c r="B6656" t="s">
        <v>1732</v>
      </c>
      <c r="C6656" t="s">
        <v>3020</v>
      </c>
      <c r="D6656" t="str">
        <f t="shared" si="105"/>
        <v>FUNTRANS3943</v>
      </c>
      <c r="E6656" t="s">
        <v>2958</v>
      </c>
    </row>
    <row r="6657" spans="1:5" x14ac:dyDescent="0.25">
      <c r="A6657">
        <v>4381</v>
      </c>
      <c r="B6657" t="s">
        <v>1732</v>
      </c>
      <c r="C6657" t="s">
        <v>495</v>
      </c>
      <c r="D6657" t="str">
        <f t="shared" si="105"/>
        <v>FUNTRANS3951</v>
      </c>
      <c r="E6657" t="s">
        <v>3052</v>
      </c>
    </row>
    <row r="6658" spans="1:5" x14ac:dyDescent="0.25">
      <c r="A6658">
        <v>4381</v>
      </c>
      <c r="B6658" t="s">
        <v>1732</v>
      </c>
      <c r="C6658" t="s">
        <v>3098</v>
      </c>
      <c r="D6658" t="str">
        <f t="shared" si="105"/>
        <v>FUNTRANS3952</v>
      </c>
      <c r="E6658" t="s">
        <v>65</v>
      </c>
    </row>
    <row r="6659" spans="1:5" x14ac:dyDescent="0.25">
      <c r="A6659">
        <v>4381</v>
      </c>
      <c r="B6659" t="s">
        <v>1732</v>
      </c>
      <c r="C6659" t="s">
        <v>513</v>
      </c>
      <c r="D6659" t="str">
        <f t="shared" si="105"/>
        <v>FUNTRANS3971</v>
      </c>
      <c r="E6659" t="s">
        <v>3033</v>
      </c>
    </row>
    <row r="6660" spans="1:5" x14ac:dyDescent="0.25">
      <c r="A6660">
        <v>4381</v>
      </c>
      <c r="B6660" t="s">
        <v>1732</v>
      </c>
      <c r="C6660" t="s">
        <v>3111</v>
      </c>
      <c r="D6660" t="str">
        <f t="shared" si="105"/>
        <v>FUNTRANS3973</v>
      </c>
      <c r="E6660" t="s">
        <v>3215</v>
      </c>
    </row>
    <row r="6661" spans="1:5" x14ac:dyDescent="0.25">
      <c r="A6661">
        <v>4381</v>
      </c>
      <c r="B6661" t="s">
        <v>1732</v>
      </c>
      <c r="C6661" t="s">
        <v>520</v>
      </c>
      <c r="D6661" t="str">
        <f t="shared" si="105"/>
        <v>FUNTRANS3978</v>
      </c>
      <c r="E6661" t="s">
        <v>2981</v>
      </c>
    </row>
    <row r="6662" spans="1:5" x14ac:dyDescent="0.25">
      <c r="A6662">
        <v>4381</v>
      </c>
      <c r="B6662" t="s">
        <v>1732</v>
      </c>
      <c r="C6662" t="s">
        <v>3036</v>
      </c>
      <c r="D6662" t="str">
        <f t="shared" si="105"/>
        <v>FUNTRANS3987</v>
      </c>
      <c r="E6662" t="s">
        <v>2958</v>
      </c>
    </row>
    <row r="6663" spans="1:5" x14ac:dyDescent="0.25">
      <c r="A6663">
        <v>4381</v>
      </c>
      <c r="B6663" t="s">
        <v>1732</v>
      </c>
      <c r="C6663" t="s">
        <v>3040</v>
      </c>
      <c r="D6663" t="str">
        <f t="shared" si="105"/>
        <v>FUNTRANS3999</v>
      </c>
      <c r="E6663" t="s">
        <v>2968</v>
      </c>
    </row>
    <row r="6664" spans="1:5" x14ac:dyDescent="0.25">
      <c r="A6664">
        <v>4381</v>
      </c>
      <c r="B6664" t="s">
        <v>1732</v>
      </c>
      <c r="C6664" t="s">
        <v>3041</v>
      </c>
      <c r="D6664" t="str">
        <f t="shared" ref="D6664:D6728" si="106">CONCATENATE(B6664,LEFT(C6664,4))</f>
        <v>FUNTRANS4002</v>
      </c>
      <c r="E6664" t="s">
        <v>3009</v>
      </c>
    </row>
    <row r="6665" spans="1:5" x14ac:dyDescent="0.25">
      <c r="A6665">
        <v>4381</v>
      </c>
      <c r="B6665" t="s">
        <v>1732</v>
      </c>
      <c r="C6665" t="s">
        <v>3043</v>
      </c>
      <c r="D6665" t="str">
        <f t="shared" si="106"/>
        <v>FUNTRANS4003</v>
      </c>
      <c r="E6665" t="s">
        <v>94</v>
      </c>
    </row>
    <row r="6666" spans="1:5" x14ac:dyDescent="0.25">
      <c r="A6666">
        <v>4381</v>
      </c>
      <c r="B6666" t="s">
        <v>1732</v>
      </c>
      <c r="C6666" t="s">
        <v>813</v>
      </c>
      <c r="D6666" t="str">
        <f t="shared" si="106"/>
        <v>FUNTRANS4006</v>
      </c>
      <c r="E6666" t="s">
        <v>3057</v>
      </c>
    </row>
    <row r="6667" spans="1:5" x14ac:dyDescent="0.25">
      <c r="A6667">
        <v>4381</v>
      </c>
      <c r="B6667" t="s">
        <v>1732</v>
      </c>
      <c r="C6667" t="s">
        <v>3138</v>
      </c>
      <c r="D6667" t="str">
        <f t="shared" si="106"/>
        <v>FUNTRANS4007</v>
      </c>
      <c r="E6667" t="s">
        <v>94</v>
      </c>
    </row>
    <row r="6668" spans="1:5" x14ac:dyDescent="0.25">
      <c r="A6668">
        <v>4381</v>
      </c>
      <c r="B6668" t="s">
        <v>1732</v>
      </c>
      <c r="C6668" t="s">
        <v>3123</v>
      </c>
      <c r="D6668" t="str">
        <f t="shared" si="106"/>
        <v>FUNTRANS4101</v>
      </c>
      <c r="E6668" t="s">
        <v>2968</v>
      </c>
    </row>
    <row r="6669" spans="1:5" x14ac:dyDescent="0.25">
      <c r="A6669">
        <v>4381</v>
      </c>
      <c r="B6669" t="s">
        <v>1732</v>
      </c>
      <c r="C6669" t="s">
        <v>317</v>
      </c>
      <c r="D6669" t="str">
        <f t="shared" si="106"/>
        <v>FUNTRANS5106</v>
      </c>
      <c r="E6669" t="s">
        <v>3052</v>
      </c>
    </row>
    <row r="6670" spans="1:5" x14ac:dyDescent="0.25">
      <c r="A6670">
        <v>4381</v>
      </c>
      <c r="B6670" t="s">
        <v>1732</v>
      </c>
      <c r="C6670" t="s">
        <v>173</v>
      </c>
      <c r="D6670" t="str">
        <f t="shared" si="106"/>
        <v>FUNTRANS5107</v>
      </c>
      <c r="E6670" t="s">
        <v>3052</v>
      </c>
    </row>
    <row r="6671" spans="1:5" x14ac:dyDescent="0.25">
      <c r="A6671">
        <v>4381</v>
      </c>
      <c r="B6671" t="s">
        <v>1732</v>
      </c>
      <c r="C6671" t="s">
        <v>3058</v>
      </c>
      <c r="D6671" t="str">
        <f t="shared" si="106"/>
        <v>FUNTRANS5207</v>
      </c>
      <c r="E6671" t="s">
        <v>3057</v>
      </c>
    </row>
    <row r="6672" spans="1:5" x14ac:dyDescent="0.25">
      <c r="A6672">
        <v>4381</v>
      </c>
      <c r="B6672" t="s">
        <v>1732</v>
      </c>
      <c r="C6672" t="s">
        <v>3060</v>
      </c>
      <c r="D6672" t="str">
        <f t="shared" si="106"/>
        <v>FUNTRANS5208</v>
      </c>
      <c r="E6672" t="s">
        <v>3057</v>
      </c>
    </row>
    <row r="6673" spans="1:5" x14ac:dyDescent="0.25">
      <c r="A6673">
        <v>4381</v>
      </c>
      <c r="B6673" t="s">
        <v>1732</v>
      </c>
      <c r="C6673" t="s">
        <v>3064</v>
      </c>
      <c r="D6673" t="str">
        <f t="shared" si="106"/>
        <v>FUNTRANS5212</v>
      </c>
      <c r="E6673" t="s">
        <v>3055</v>
      </c>
    </row>
    <row r="6674" spans="1:5" x14ac:dyDescent="0.25">
      <c r="A6674">
        <v>4381</v>
      </c>
      <c r="B6674" t="s">
        <v>1732</v>
      </c>
      <c r="C6674" t="s">
        <v>409</v>
      </c>
      <c r="D6674" t="str">
        <f t="shared" si="106"/>
        <v>FUNTRANS5217</v>
      </c>
      <c r="E6674" t="s">
        <v>3055</v>
      </c>
    </row>
    <row r="6675" spans="1:5" x14ac:dyDescent="0.25">
      <c r="A6675">
        <v>4381</v>
      </c>
      <c r="B6675" t="s">
        <v>1732</v>
      </c>
      <c r="C6675" t="s">
        <v>429</v>
      </c>
      <c r="D6675" t="str">
        <f t="shared" si="106"/>
        <v>FUNTRANS5221</v>
      </c>
      <c r="E6675" t="s">
        <v>3055</v>
      </c>
    </row>
    <row r="6676" spans="1:5" x14ac:dyDescent="0.25">
      <c r="A6676">
        <v>4381</v>
      </c>
      <c r="B6676" t="s">
        <v>1732</v>
      </c>
      <c r="C6676" t="s">
        <v>3074</v>
      </c>
      <c r="D6676" t="str">
        <f t="shared" si="106"/>
        <v>FUNTRANS9202</v>
      </c>
      <c r="E6676" t="s">
        <v>3075</v>
      </c>
    </row>
    <row r="6677" spans="1:5" x14ac:dyDescent="0.25">
      <c r="A6677">
        <v>4381</v>
      </c>
      <c r="B6677" t="s">
        <v>1732</v>
      </c>
      <c r="C6677" t="s">
        <v>3079</v>
      </c>
      <c r="D6677" t="str">
        <f t="shared" si="106"/>
        <v>FUNTRANS9399</v>
      </c>
      <c r="E6677" t="s">
        <v>2968</v>
      </c>
    </row>
    <row r="6678" spans="1:5" x14ac:dyDescent="0.25">
      <c r="A6678">
        <v>4381</v>
      </c>
      <c r="B6678" t="s">
        <v>1732</v>
      </c>
      <c r="C6678" t="s">
        <v>3000</v>
      </c>
      <c r="D6678" t="str">
        <f t="shared" si="106"/>
        <v>FUNTRANS3919</v>
      </c>
      <c r="E6678" t="s">
        <v>3001</v>
      </c>
    </row>
    <row r="6679" spans="1:5" x14ac:dyDescent="0.25">
      <c r="A6679">
        <v>4381</v>
      </c>
      <c r="B6679" t="s">
        <v>1732</v>
      </c>
      <c r="C6679" t="s">
        <v>309</v>
      </c>
      <c r="D6679" t="str">
        <f t="shared" si="106"/>
        <v>FUNTRANS3305</v>
      </c>
      <c r="E6679" t="s">
        <v>44</v>
      </c>
    </row>
    <row r="6680" spans="1:5" x14ac:dyDescent="0.25">
      <c r="A6680">
        <v>4381</v>
      </c>
      <c r="B6680" t="s">
        <v>1732</v>
      </c>
      <c r="C6680" t="s">
        <v>2988</v>
      </c>
      <c r="D6680" t="str">
        <f t="shared" si="106"/>
        <v>FUNTRANS3903</v>
      </c>
      <c r="E6680" t="s">
        <v>2968</v>
      </c>
    </row>
    <row r="6681" spans="1:5" x14ac:dyDescent="0.25">
      <c r="A6681">
        <v>4381</v>
      </c>
      <c r="B6681" t="s">
        <v>1732</v>
      </c>
      <c r="C6681" t="s">
        <v>299</v>
      </c>
      <c r="D6681" t="str">
        <f t="shared" si="106"/>
        <v>FUNTRANS3904</v>
      </c>
      <c r="E6681" t="s">
        <v>2968</v>
      </c>
    </row>
    <row r="6682" spans="1:5" x14ac:dyDescent="0.25">
      <c r="A6682">
        <v>4421</v>
      </c>
      <c r="B6682" t="s">
        <v>3367</v>
      </c>
      <c r="C6682" t="s">
        <v>2928</v>
      </c>
      <c r="D6682" t="str">
        <f t="shared" si="106"/>
        <v>FUNDIF1401</v>
      </c>
      <c r="E6682" t="s">
        <v>44</v>
      </c>
    </row>
    <row r="6683" spans="1:5" x14ac:dyDescent="0.25">
      <c r="A6683">
        <v>4421</v>
      </c>
      <c r="B6683" t="s">
        <v>3367</v>
      </c>
      <c r="C6683" t="s">
        <v>2979</v>
      </c>
      <c r="D6683" t="str">
        <f t="shared" si="106"/>
        <v>FUNDIF3612</v>
      </c>
      <c r="E6683" t="s">
        <v>2968</v>
      </c>
    </row>
    <row r="6684" spans="1:5" x14ac:dyDescent="0.25">
      <c r="A6684">
        <v>4421</v>
      </c>
      <c r="B6684" t="s">
        <v>3367</v>
      </c>
      <c r="C6684" t="s">
        <v>3040</v>
      </c>
      <c r="D6684" t="str">
        <f t="shared" si="106"/>
        <v>FUNDIF3999</v>
      </c>
      <c r="E6684" t="s">
        <v>2968</v>
      </c>
    </row>
    <row r="6685" spans="1:5" x14ac:dyDescent="0.25">
      <c r="A6685">
        <v>4421</v>
      </c>
      <c r="B6685" t="s">
        <v>3367</v>
      </c>
      <c r="C6685" t="s">
        <v>3127</v>
      </c>
      <c r="D6685" t="str">
        <f t="shared" si="106"/>
        <v>FUNDIF4201</v>
      </c>
      <c r="E6685" t="s">
        <v>3218</v>
      </c>
    </row>
    <row r="6686" spans="1:5" x14ac:dyDescent="0.25">
      <c r="A6686">
        <v>4421</v>
      </c>
      <c r="B6686" t="s">
        <v>3367</v>
      </c>
      <c r="C6686" t="s">
        <v>3128</v>
      </c>
      <c r="D6686" t="str">
        <f t="shared" si="106"/>
        <v>FUNDIF4301</v>
      </c>
      <c r="E6686" t="s">
        <v>3239</v>
      </c>
    </row>
    <row r="6687" spans="1:5" x14ac:dyDescent="0.25">
      <c r="A6687">
        <v>4421</v>
      </c>
      <c r="B6687" t="s">
        <v>3367</v>
      </c>
      <c r="C6687" t="s">
        <v>173</v>
      </c>
      <c r="D6687" t="str">
        <f t="shared" si="106"/>
        <v>FUNDIF5107</v>
      </c>
      <c r="E6687" t="s">
        <v>3052</v>
      </c>
    </row>
    <row r="6688" spans="1:5" x14ac:dyDescent="0.25">
      <c r="A6688">
        <v>4421</v>
      </c>
      <c r="B6688" t="s">
        <v>3367</v>
      </c>
      <c r="C6688" t="s">
        <v>367</v>
      </c>
      <c r="D6688" t="str">
        <f t="shared" si="106"/>
        <v>FUNDIF9310</v>
      </c>
      <c r="E6688" t="s">
        <v>2968</v>
      </c>
    </row>
    <row r="6689" spans="1:5" x14ac:dyDescent="0.25">
      <c r="A6689">
        <v>4461</v>
      </c>
      <c r="B6689" t="e">
        <v>#N/A</v>
      </c>
      <c r="C6689" t="s">
        <v>374</v>
      </c>
      <c r="D6689" t="e">
        <f t="shared" si="106"/>
        <v>#N/A</v>
      </c>
      <c r="E6689" t="s">
        <v>2968</v>
      </c>
    </row>
    <row r="6690" spans="1:5" x14ac:dyDescent="0.25">
      <c r="A6690">
        <v>4491</v>
      </c>
      <c r="B6690" t="s">
        <v>3368</v>
      </c>
      <c r="C6690" t="s">
        <v>2928</v>
      </c>
      <c r="D6690" t="str">
        <f t="shared" si="106"/>
        <v>FEC1401</v>
      </c>
      <c r="E6690" t="s">
        <v>44</v>
      </c>
    </row>
    <row r="6691" spans="1:5" x14ac:dyDescent="0.25">
      <c r="A6691">
        <v>4491</v>
      </c>
      <c r="B6691" t="s">
        <v>3368</v>
      </c>
      <c r="C6691" t="s">
        <v>294</v>
      </c>
      <c r="D6691" t="str">
        <f t="shared" si="106"/>
        <v>FEC3104</v>
      </c>
      <c r="E6691" t="s">
        <v>2968</v>
      </c>
    </row>
    <row r="6692" spans="1:5" x14ac:dyDescent="0.25">
      <c r="A6692">
        <v>4491</v>
      </c>
      <c r="B6692" t="s">
        <v>3368</v>
      </c>
      <c r="C6692" t="s">
        <v>297</v>
      </c>
      <c r="D6692" t="str">
        <f t="shared" si="106"/>
        <v>FEC3604</v>
      </c>
      <c r="E6692" t="s">
        <v>44</v>
      </c>
    </row>
    <row r="6693" spans="1:5" x14ac:dyDescent="0.25">
      <c r="A6693">
        <v>4491</v>
      </c>
      <c r="B6693" t="s">
        <v>3368</v>
      </c>
      <c r="C6693" t="s">
        <v>498</v>
      </c>
      <c r="D6693" t="str">
        <f t="shared" si="106"/>
        <v>FEC3955</v>
      </c>
      <c r="E6693" t="s">
        <v>2968</v>
      </c>
    </row>
    <row r="6694" spans="1:5" x14ac:dyDescent="0.25">
      <c r="A6694">
        <v>4491</v>
      </c>
      <c r="B6694" t="s">
        <v>3368</v>
      </c>
      <c r="C6694" t="s">
        <v>3123</v>
      </c>
      <c r="D6694" t="str">
        <f t="shared" si="106"/>
        <v>FEC4101</v>
      </c>
      <c r="E6694" t="s">
        <v>2968</v>
      </c>
    </row>
    <row r="6695" spans="1:5" x14ac:dyDescent="0.25">
      <c r="A6695">
        <v>4491</v>
      </c>
      <c r="B6695" t="s">
        <v>3368</v>
      </c>
      <c r="C6695" t="s">
        <v>3079</v>
      </c>
      <c r="D6695" t="str">
        <f t="shared" si="106"/>
        <v>FEC9399</v>
      </c>
      <c r="E6695" t="s">
        <v>2968</v>
      </c>
    </row>
    <row r="6696" spans="1:5" x14ac:dyDescent="0.25">
      <c r="A6696">
        <v>4541</v>
      </c>
      <c r="B6696" t="s">
        <v>3369</v>
      </c>
      <c r="C6696" t="s">
        <v>346</v>
      </c>
      <c r="D6696" t="str">
        <f t="shared" si="106"/>
        <v>FAHMEMG3910</v>
      </c>
      <c r="E6696" t="s">
        <v>2968</v>
      </c>
    </row>
    <row r="6697" spans="1:5" x14ac:dyDescent="0.25">
      <c r="A6697">
        <v>4541</v>
      </c>
      <c r="B6697" t="s">
        <v>3369</v>
      </c>
      <c r="C6697" t="s">
        <v>3008</v>
      </c>
      <c r="D6697" t="str">
        <f t="shared" si="106"/>
        <v>FAHMEMG3927</v>
      </c>
      <c r="E6697" t="s">
        <v>3009</v>
      </c>
    </row>
    <row r="6698" spans="1:5" x14ac:dyDescent="0.25">
      <c r="A6698">
        <v>4541</v>
      </c>
      <c r="B6698" t="s">
        <v>3369</v>
      </c>
      <c r="C6698" t="s">
        <v>499</v>
      </c>
      <c r="D6698" t="str">
        <f t="shared" si="106"/>
        <v>FAHMEMG3956</v>
      </c>
      <c r="E6698" t="s">
        <v>2968</v>
      </c>
    </row>
    <row r="6699" spans="1:5" x14ac:dyDescent="0.25">
      <c r="A6699">
        <v>4541</v>
      </c>
      <c r="B6699" t="s">
        <v>3369</v>
      </c>
      <c r="C6699" t="s">
        <v>3041</v>
      </c>
      <c r="D6699" t="str">
        <f t="shared" si="106"/>
        <v>FAHMEMG4002</v>
      </c>
      <c r="E6699" t="s">
        <v>3009</v>
      </c>
    </row>
    <row r="6700" spans="1:5" x14ac:dyDescent="0.25">
      <c r="A6700">
        <v>4551</v>
      </c>
      <c r="B6700" t="s">
        <v>1730</v>
      </c>
      <c r="C6700" t="s">
        <v>3321</v>
      </c>
      <c r="D6700" t="str">
        <f t="shared" si="106"/>
        <v>FUNAPEC0505</v>
      </c>
      <c r="E6700" t="s">
        <v>2926</v>
      </c>
    </row>
    <row r="6701" spans="1:5" x14ac:dyDescent="0.25">
      <c r="A6701">
        <v>4551</v>
      </c>
      <c r="B6701" t="s">
        <v>1730</v>
      </c>
      <c r="C6701" t="s">
        <v>2936</v>
      </c>
      <c r="D6701" t="str">
        <f t="shared" si="106"/>
        <v>FUNAPEC0811</v>
      </c>
      <c r="E6701" t="s">
        <v>2926</v>
      </c>
    </row>
    <row r="6702" spans="1:5" x14ac:dyDescent="0.25">
      <c r="A6702">
        <v>4551</v>
      </c>
      <c r="B6702" t="s">
        <v>1730</v>
      </c>
      <c r="C6702" t="s">
        <v>3074</v>
      </c>
      <c r="D6702" t="str">
        <f t="shared" si="106"/>
        <v>FUNAPEC9202</v>
      </c>
      <c r="E6702" t="s">
        <v>3075</v>
      </c>
    </row>
    <row r="6703" spans="1:5" x14ac:dyDescent="0.25">
      <c r="A6703">
        <v>4601</v>
      </c>
      <c r="B6703" t="s">
        <v>3370</v>
      </c>
      <c r="C6703" t="s">
        <v>3123</v>
      </c>
      <c r="D6703" t="str">
        <f t="shared" si="106"/>
        <v>FEI4101</v>
      </c>
      <c r="E6703" t="s">
        <v>2968</v>
      </c>
    </row>
    <row r="6704" spans="1:5" x14ac:dyDescent="0.25">
      <c r="A6704">
        <v>4601</v>
      </c>
      <c r="B6704" t="s">
        <v>3370</v>
      </c>
      <c r="C6704" t="s">
        <v>3127</v>
      </c>
      <c r="D6704" t="str">
        <f t="shared" si="106"/>
        <v>FEI4201</v>
      </c>
      <c r="E6704" t="s">
        <v>3218</v>
      </c>
    </row>
    <row r="6705" spans="1:5" x14ac:dyDescent="0.25">
      <c r="A6705">
        <v>4601</v>
      </c>
      <c r="B6705" t="s">
        <v>3370</v>
      </c>
      <c r="C6705" t="s">
        <v>3128</v>
      </c>
      <c r="D6705" t="str">
        <f t="shared" si="106"/>
        <v>FEI4301</v>
      </c>
      <c r="E6705" t="s">
        <v>3239</v>
      </c>
    </row>
    <row r="6706" spans="1:5" x14ac:dyDescent="0.25">
      <c r="A6706">
        <v>4621</v>
      </c>
      <c r="B6706" t="s">
        <v>3371</v>
      </c>
      <c r="C6706" t="s">
        <v>2952</v>
      </c>
      <c r="D6706" t="str">
        <f t="shared" si="106"/>
        <v>MG INVESTE2701</v>
      </c>
      <c r="E6706" t="s">
        <v>3245</v>
      </c>
    </row>
    <row r="6707" spans="1:5" x14ac:dyDescent="0.25">
      <c r="A6707">
        <v>4631</v>
      </c>
      <c r="B6707" t="s">
        <v>1728</v>
      </c>
      <c r="C6707" t="s">
        <v>2952</v>
      </c>
      <c r="D6707" t="str">
        <f>CONCATENATE(B6707,LEFT(C6707,4))</f>
        <v>FPP2701</v>
      </c>
      <c r="E6707" t="s">
        <v>3245</v>
      </c>
    </row>
    <row r="6708" spans="1:5" x14ac:dyDescent="0.25">
      <c r="A6708">
        <v>4631</v>
      </c>
      <c r="B6708" t="s">
        <v>1728</v>
      </c>
      <c r="C6708" t="s">
        <v>443</v>
      </c>
      <c r="D6708" t="str">
        <f t="shared" si="106"/>
        <v>FPP3926</v>
      </c>
      <c r="E6708" t="s">
        <v>3006</v>
      </c>
    </row>
    <row r="6709" spans="1:5" x14ac:dyDescent="0.25">
      <c r="A6709">
        <v>4631</v>
      </c>
      <c r="B6709" t="s">
        <v>1728</v>
      </c>
      <c r="C6709" t="s">
        <v>238</v>
      </c>
      <c r="D6709" t="str">
        <f t="shared" si="106"/>
        <v>FPP4501</v>
      </c>
      <c r="E6709" t="s">
        <v>3243</v>
      </c>
    </row>
    <row r="6710" spans="1:5" x14ac:dyDescent="0.25">
      <c r="A6710">
        <v>4631</v>
      </c>
      <c r="B6710" t="s">
        <v>1728</v>
      </c>
      <c r="C6710" t="s">
        <v>3171</v>
      </c>
      <c r="D6710" t="str">
        <f t="shared" si="106"/>
        <v>FPP8201</v>
      </c>
      <c r="E6710" t="s">
        <v>3254</v>
      </c>
    </row>
    <row r="6711" spans="1:5" x14ac:dyDescent="0.25">
      <c r="A6711">
        <v>4631</v>
      </c>
      <c r="B6711" t="s">
        <v>1728</v>
      </c>
      <c r="C6711" t="s">
        <v>3372</v>
      </c>
      <c r="D6711" t="str">
        <f t="shared" si="106"/>
        <v>FPP8301</v>
      </c>
      <c r="E6711" t="s">
        <v>3373</v>
      </c>
    </row>
    <row r="6712" spans="1:5" x14ac:dyDescent="0.25">
      <c r="A6712">
        <v>4631</v>
      </c>
      <c r="B6712" t="s">
        <v>1728</v>
      </c>
      <c r="C6712" t="s">
        <v>3374</v>
      </c>
      <c r="D6712" t="str">
        <f t="shared" si="106"/>
        <v>FPP8303</v>
      </c>
      <c r="E6712" t="s">
        <v>3373</v>
      </c>
    </row>
    <row r="6713" spans="1:5" x14ac:dyDescent="0.25">
      <c r="A6713">
        <v>4631</v>
      </c>
      <c r="B6713" t="s">
        <v>1728</v>
      </c>
      <c r="C6713" t="s">
        <v>3375</v>
      </c>
      <c r="D6713" t="str">
        <f t="shared" si="106"/>
        <v>FPP9109</v>
      </c>
      <c r="E6713" t="s">
        <v>3212</v>
      </c>
    </row>
    <row r="6714" spans="1:5" x14ac:dyDescent="0.25">
      <c r="A6714">
        <v>4631</v>
      </c>
      <c r="B6714" t="s">
        <v>1728</v>
      </c>
      <c r="C6714" t="s">
        <v>3074</v>
      </c>
      <c r="D6714" t="str">
        <f t="shared" si="106"/>
        <v>FPP9202</v>
      </c>
      <c r="E6714" t="s">
        <v>3075</v>
      </c>
    </row>
    <row r="6715" spans="1:5" x14ac:dyDescent="0.25">
      <c r="A6715">
        <v>4631</v>
      </c>
      <c r="B6715" t="s">
        <v>1728</v>
      </c>
      <c r="C6715" t="s">
        <v>320</v>
      </c>
      <c r="D6715" t="str">
        <f t="shared" si="106"/>
        <v>FPP9305</v>
      </c>
      <c r="E6715" t="s">
        <v>2968</v>
      </c>
    </row>
    <row r="6716" spans="1:5" x14ac:dyDescent="0.25">
      <c r="A6716">
        <v>4691</v>
      </c>
      <c r="B6716" t="s">
        <v>3376</v>
      </c>
      <c r="C6716" t="s">
        <v>256</v>
      </c>
      <c r="D6716" t="str">
        <f t="shared" si="106"/>
        <v>FESP-MG3002</v>
      </c>
      <c r="E6716" t="s">
        <v>2933</v>
      </c>
    </row>
    <row r="6717" spans="1:5" x14ac:dyDescent="0.25">
      <c r="A6717">
        <v>4691</v>
      </c>
      <c r="B6717" t="s">
        <v>3376</v>
      </c>
      <c r="C6717" t="s">
        <v>2939</v>
      </c>
      <c r="D6717" t="str">
        <f t="shared" si="106"/>
        <v>FESP-MG3005</v>
      </c>
      <c r="E6717" t="s">
        <v>2933</v>
      </c>
    </row>
    <row r="6718" spans="1:5" x14ac:dyDescent="0.25">
      <c r="A6718">
        <v>4691</v>
      </c>
      <c r="B6718" t="s">
        <v>3376</v>
      </c>
      <c r="C6718" t="s">
        <v>2943</v>
      </c>
      <c r="D6718" t="str">
        <f t="shared" si="106"/>
        <v>FESP-MG3010</v>
      </c>
      <c r="E6718" t="s">
        <v>2944</v>
      </c>
    </row>
    <row r="6719" spans="1:5" x14ac:dyDescent="0.25">
      <c r="A6719">
        <v>4691</v>
      </c>
      <c r="B6719" t="s">
        <v>3376</v>
      </c>
      <c r="C6719" t="s">
        <v>2946</v>
      </c>
      <c r="D6719" t="str">
        <f t="shared" si="106"/>
        <v>FESP-MG3013</v>
      </c>
      <c r="E6719" t="s">
        <v>2933</v>
      </c>
    </row>
    <row r="6720" spans="1:5" x14ac:dyDescent="0.25">
      <c r="A6720">
        <v>4691</v>
      </c>
      <c r="B6720" t="s">
        <v>3376</v>
      </c>
      <c r="C6720" t="s">
        <v>2948</v>
      </c>
      <c r="D6720" t="str">
        <f t="shared" si="106"/>
        <v>FESP-MG3015</v>
      </c>
      <c r="E6720" t="s">
        <v>2933</v>
      </c>
    </row>
    <row r="6721" spans="1:5" x14ac:dyDescent="0.25">
      <c r="A6721">
        <v>4691</v>
      </c>
      <c r="B6721" t="s">
        <v>3376</v>
      </c>
      <c r="C6721" t="s">
        <v>2950</v>
      </c>
      <c r="D6721" t="str">
        <f t="shared" si="106"/>
        <v>FESP-MG3016</v>
      </c>
      <c r="E6721" t="s">
        <v>2933</v>
      </c>
    </row>
    <row r="6722" spans="1:5" x14ac:dyDescent="0.25">
      <c r="A6722">
        <v>4691</v>
      </c>
      <c r="B6722" t="s">
        <v>3376</v>
      </c>
      <c r="C6722" t="s">
        <v>411</v>
      </c>
      <c r="D6722" t="str">
        <f t="shared" si="106"/>
        <v>FESP-MG3018</v>
      </c>
      <c r="E6722" t="s">
        <v>2933</v>
      </c>
    </row>
    <row r="6723" spans="1:5" x14ac:dyDescent="0.25">
      <c r="A6723">
        <v>4691</v>
      </c>
      <c r="B6723" t="s">
        <v>3376</v>
      </c>
      <c r="C6723" t="s">
        <v>2953</v>
      </c>
      <c r="D6723" t="str">
        <f t="shared" si="106"/>
        <v>FESP-MG3019</v>
      </c>
      <c r="E6723" t="s">
        <v>2954</v>
      </c>
    </row>
    <row r="6724" spans="1:5" x14ac:dyDescent="0.25">
      <c r="A6724">
        <v>4691</v>
      </c>
      <c r="B6724" t="s">
        <v>3376</v>
      </c>
      <c r="C6724" t="s">
        <v>431</v>
      </c>
      <c r="D6724" t="str">
        <f t="shared" si="106"/>
        <v>FESP-MG3022</v>
      </c>
      <c r="E6724" t="s">
        <v>2933</v>
      </c>
    </row>
    <row r="6725" spans="1:5" x14ac:dyDescent="0.25">
      <c r="A6725">
        <v>4691</v>
      </c>
      <c r="B6725" t="s">
        <v>3376</v>
      </c>
      <c r="C6725" t="s">
        <v>2957</v>
      </c>
      <c r="D6725" t="str">
        <f t="shared" si="106"/>
        <v>FESP-MG3023</v>
      </c>
      <c r="E6725" t="s">
        <v>2958</v>
      </c>
    </row>
    <row r="6726" spans="1:5" x14ac:dyDescent="0.25">
      <c r="A6726">
        <v>4691</v>
      </c>
      <c r="B6726" t="s">
        <v>3376</v>
      </c>
      <c r="C6726" t="s">
        <v>441</v>
      </c>
      <c r="D6726" t="str">
        <f t="shared" si="106"/>
        <v>FESP-MG3024</v>
      </c>
      <c r="E6726" t="s">
        <v>2933</v>
      </c>
    </row>
    <row r="6727" spans="1:5" x14ac:dyDescent="0.25">
      <c r="A6727">
        <v>4691</v>
      </c>
      <c r="B6727" t="s">
        <v>3376</v>
      </c>
      <c r="C6727" t="s">
        <v>2959</v>
      </c>
      <c r="D6727" t="str">
        <f t="shared" si="106"/>
        <v>FESP-MG3025</v>
      </c>
      <c r="E6727" t="s">
        <v>2933</v>
      </c>
    </row>
    <row r="6728" spans="1:5" x14ac:dyDescent="0.25">
      <c r="A6728">
        <v>4691</v>
      </c>
      <c r="B6728" t="s">
        <v>3376</v>
      </c>
      <c r="C6728" t="s">
        <v>467</v>
      </c>
      <c r="D6728" t="str">
        <f t="shared" si="106"/>
        <v>FESP-MG3030</v>
      </c>
      <c r="E6728" t="s">
        <v>2933</v>
      </c>
    </row>
    <row r="6729" spans="1:5" x14ac:dyDescent="0.25">
      <c r="A6729">
        <v>4691</v>
      </c>
      <c r="B6729" t="s">
        <v>3376</v>
      </c>
      <c r="C6729" t="s">
        <v>491</v>
      </c>
      <c r="D6729" t="str">
        <f t="shared" ref="D6729:D6792" si="107">CONCATENATE(B6729,LEFT(C6729,4))</f>
        <v>FESP-MG3099</v>
      </c>
      <c r="E6729" t="s">
        <v>2933</v>
      </c>
    </row>
    <row r="6730" spans="1:5" x14ac:dyDescent="0.25">
      <c r="A6730">
        <v>4691</v>
      </c>
      <c r="B6730" t="s">
        <v>3376</v>
      </c>
      <c r="C6730" t="s">
        <v>54</v>
      </c>
      <c r="D6730" t="str">
        <f t="shared" si="107"/>
        <v>FESP-MG3301</v>
      </c>
      <c r="E6730" t="s">
        <v>44</v>
      </c>
    </row>
    <row r="6731" spans="1:5" x14ac:dyDescent="0.25">
      <c r="A6731">
        <v>4691</v>
      </c>
      <c r="B6731" t="s">
        <v>3376</v>
      </c>
      <c r="C6731" t="s">
        <v>2977</v>
      </c>
      <c r="D6731" t="str">
        <f t="shared" si="107"/>
        <v>FESP-MG3304</v>
      </c>
      <c r="E6731" t="s">
        <v>44</v>
      </c>
    </row>
    <row r="6732" spans="1:5" x14ac:dyDescent="0.25">
      <c r="A6732">
        <v>4691</v>
      </c>
      <c r="B6732" t="s">
        <v>3376</v>
      </c>
      <c r="C6732" t="s">
        <v>3201</v>
      </c>
      <c r="D6732" t="str">
        <f t="shared" si="107"/>
        <v>FESP-MG3502</v>
      </c>
      <c r="E6732" t="s">
        <v>2968</v>
      </c>
    </row>
    <row r="6733" spans="1:5" x14ac:dyDescent="0.25">
      <c r="A6733">
        <v>4691</v>
      </c>
      <c r="B6733" t="s">
        <v>3376</v>
      </c>
      <c r="C6733" t="s">
        <v>468</v>
      </c>
      <c r="D6733" t="str">
        <f t="shared" si="107"/>
        <v>FESP-MG3631</v>
      </c>
      <c r="E6733" t="s">
        <v>3004</v>
      </c>
    </row>
    <row r="6734" spans="1:5" x14ac:dyDescent="0.25">
      <c r="A6734">
        <v>4691</v>
      </c>
      <c r="B6734" t="s">
        <v>3376</v>
      </c>
      <c r="C6734" t="s">
        <v>336</v>
      </c>
      <c r="D6734" t="str">
        <f t="shared" si="107"/>
        <v>FESP-MG3909</v>
      </c>
      <c r="E6734" t="s">
        <v>2968</v>
      </c>
    </row>
    <row r="6735" spans="1:5" x14ac:dyDescent="0.25">
      <c r="A6735">
        <v>4691</v>
      </c>
      <c r="B6735" t="s">
        <v>3376</v>
      </c>
      <c r="C6735" t="s">
        <v>3002</v>
      </c>
      <c r="D6735" t="str">
        <f t="shared" si="107"/>
        <v>FESP-MG3921</v>
      </c>
      <c r="E6735" t="s">
        <v>3001</v>
      </c>
    </row>
    <row r="6736" spans="1:5" x14ac:dyDescent="0.25">
      <c r="A6736">
        <v>4691</v>
      </c>
      <c r="B6736" t="s">
        <v>3376</v>
      </c>
      <c r="C6736" t="s">
        <v>3003</v>
      </c>
      <c r="D6736" t="str">
        <f t="shared" si="107"/>
        <v>FESP-MG3922</v>
      </c>
      <c r="E6736" t="s">
        <v>2954</v>
      </c>
    </row>
    <row r="6737" spans="1:5" x14ac:dyDescent="0.25">
      <c r="A6737">
        <v>4691</v>
      </c>
      <c r="B6737" t="s">
        <v>3376</v>
      </c>
      <c r="C6737" t="s">
        <v>428</v>
      </c>
      <c r="D6737" t="str">
        <f t="shared" si="107"/>
        <v>FESP-MG3923</v>
      </c>
      <c r="E6737" t="s">
        <v>2968</v>
      </c>
    </row>
    <row r="6738" spans="1:5" x14ac:dyDescent="0.25">
      <c r="A6738">
        <v>4691</v>
      </c>
      <c r="B6738" t="s">
        <v>3376</v>
      </c>
      <c r="C6738" t="s">
        <v>443</v>
      </c>
      <c r="D6738" t="str">
        <f t="shared" si="107"/>
        <v>FESP-MG3926</v>
      </c>
      <c r="E6738" t="s">
        <v>3006</v>
      </c>
    </row>
    <row r="6739" spans="1:5" x14ac:dyDescent="0.25">
      <c r="A6739">
        <v>4691</v>
      </c>
      <c r="B6739" t="s">
        <v>3376</v>
      </c>
      <c r="C6739" t="s">
        <v>492</v>
      </c>
      <c r="D6739" t="str">
        <f t="shared" si="107"/>
        <v>FESP-MG3948</v>
      </c>
      <c r="E6739" t="s">
        <v>3004</v>
      </c>
    </row>
    <row r="6740" spans="1:5" x14ac:dyDescent="0.25">
      <c r="A6740">
        <v>4691</v>
      </c>
      <c r="B6740" t="s">
        <v>3376</v>
      </c>
      <c r="C6740" t="s">
        <v>496</v>
      </c>
      <c r="D6740" t="str">
        <f t="shared" si="107"/>
        <v>FESP-MG3953</v>
      </c>
      <c r="E6740" t="s">
        <v>3004</v>
      </c>
    </row>
    <row r="6741" spans="1:5" x14ac:dyDescent="0.25">
      <c r="A6741">
        <v>4691</v>
      </c>
      <c r="B6741" t="s">
        <v>3376</v>
      </c>
      <c r="C6741" t="s">
        <v>498</v>
      </c>
      <c r="D6741" t="str">
        <f t="shared" si="107"/>
        <v>FESP-MG3955</v>
      </c>
      <c r="E6741" t="s">
        <v>2968</v>
      </c>
    </row>
    <row r="6742" spans="1:5" x14ac:dyDescent="0.25">
      <c r="A6742">
        <v>4691</v>
      </c>
      <c r="B6742" t="s">
        <v>3376</v>
      </c>
      <c r="C6742" t="s">
        <v>499</v>
      </c>
      <c r="D6742" t="str">
        <f t="shared" si="107"/>
        <v>FESP-MG3956</v>
      </c>
      <c r="E6742" t="s">
        <v>2968</v>
      </c>
    </row>
    <row r="6743" spans="1:5" x14ac:dyDescent="0.25">
      <c r="A6743">
        <v>4691</v>
      </c>
      <c r="B6743" t="s">
        <v>3376</v>
      </c>
      <c r="C6743" t="s">
        <v>3041</v>
      </c>
      <c r="D6743" t="str">
        <f t="shared" si="107"/>
        <v>FESP-MG4002</v>
      </c>
      <c r="E6743" t="s">
        <v>3009</v>
      </c>
    </row>
    <row r="6744" spans="1:5" x14ac:dyDescent="0.25">
      <c r="A6744">
        <v>4691</v>
      </c>
      <c r="B6744" t="s">
        <v>3376</v>
      </c>
      <c r="C6744" t="s">
        <v>813</v>
      </c>
      <c r="D6744" t="str">
        <f t="shared" si="107"/>
        <v>FESP-MG4006</v>
      </c>
      <c r="E6744" t="s">
        <v>3057</v>
      </c>
    </row>
    <row r="6745" spans="1:5" x14ac:dyDescent="0.25">
      <c r="A6745">
        <v>4691</v>
      </c>
      <c r="B6745" t="s">
        <v>3376</v>
      </c>
      <c r="C6745" t="s">
        <v>3053</v>
      </c>
      <c r="D6745" t="str">
        <f t="shared" si="107"/>
        <v>FESP-MG5103</v>
      </c>
      <c r="E6745" t="s">
        <v>3052</v>
      </c>
    </row>
    <row r="6746" spans="1:5" x14ac:dyDescent="0.25">
      <c r="A6746">
        <v>4691</v>
      </c>
      <c r="B6746" t="s">
        <v>3376</v>
      </c>
      <c r="C6746" t="s">
        <v>173</v>
      </c>
      <c r="D6746" t="str">
        <f t="shared" si="107"/>
        <v>FESP-MG5107</v>
      </c>
      <c r="E6746" t="s">
        <v>3052</v>
      </c>
    </row>
    <row r="6747" spans="1:5" x14ac:dyDescent="0.25">
      <c r="A6747">
        <v>4691</v>
      </c>
      <c r="B6747" t="s">
        <v>3376</v>
      </c>
      <c r="C6747" t="s">
        <v>242</v>
      </c>
      <c r="D6747" t="str">
        <f t="shared" si="107"/>
        <v>FESP-MG5201</v>
      </c>
      <c r="E6747" t="s">
        <v>2965</v>
      </c>
    </row>
    <row r="6748" spans="1:5" x14ac:dyDescent="0.25">
      <c r="A6748">
        <v>4691</v>
      </c>
      <c r="B6748" t="s">
        <v>3376</v>
      </c>
      <c r="C6748" t="s">
        <v>288</v>
      </c>
      <c r="D6748" t="str">
        <f t="shared" si="107"/>
        <v>FESP-MG5203</v>
      </c>
      <c r="E6748" t="s">
        <v>3055</v>
      </c>
    </row>
    <row r="6749" spans="1:5" x14ac:dyDescent="0.25">
      <c r="A6749">
        <v>4691</v>
      </c>
      <c r="B6749" t="s">
        <v>3376</v>
      </c>
      <c r="C6749" t="s">
        <v>3054</v>
      </c>
      <c r="D6749" t="str">
        <f t="shared" si="107"/>
        <v>FESP-MG5204</v>
      </c>
      <c r="E6749" t="s">
        <v>3055</v>
      </c>
    </row>
    <row r="6750" spans="1:5" x14ac:dyDescent="0.25">
      <c r="A6750">
        <v>4691</v>
      </c>
      <c r="B6750" t="s">
        <v>3376</v>
      </c>
      <c r="C6750" t="s">
        <v>329</v>
      </c>
      <c r="D6750" t="str">
        <f t="shared" si="107"/>
        <v>FESP-MG5206</v>
      </c>
      <c r="E6750" t="s">
        <v>3057</v>
      </c>
    </row>
    <row r="6751" spans="1:5" x14ac:dyDescent="0.25">
      <c r="A6751">
        <v>4691</v>
      </c>
      <c r="B6751" t="s">
        <v>3376</v>
      </c>
      <c r="C6751" t="s">
        <v>3058</v>
      </c>
      <c r="D6751" t="str">
        <f t="shared" si="107"/>
        <v>FESP-MG5207</v>
      </c>
      <c r="E6751" t="s">
        <v>3057</v>
      </c>
    </row>
    <row r="6752" spans="1:5" x14ac:dyDescent="0.25">
      <c r="A6752">
        <v>4691</v>
      </c>
      <c r="B6752" t="s">
        <v>3376</v>
      </c>
      <c r="C6752" t="s">
        <v>3060</v>
      </c>
      <c r="D6752" t="str">
        <f t="shared" si="107"/>
        <v>FESP-MG5208</v>
      </c>
      <c r="E6752" t="s">
        <v>3057</v>
      </c>
    </row>
    <row r="6753" spans="1:5" x14ac:dyDescent="0.25">
      <c r="A6753">
        <v>4691</v>
      </c>
      <c r="B6753" t="s">
        <v>3376</v>
      </c>
      <c r="C6753" t="s">
        <v>359</v>
      </c>
      <c r="D6753" t="str">
        <f t="shared" si="107"/>
        <v>FESP-MG5209</v>
      </c>
      <c r="E6753" t="s">
        <v>3055</v>
      </c>
    </row>
    <row r="6754" spans="1:5" x14ac:dyDescent="0.25">
      <c r="A6754">
        <v>4691</v>
      </c>
      <c r="B6754" t="s">
        <v>3376</v>
      </c>
      <c r="C6754" t="s">
        <v>3063</v>
      </c>
      <c r="D6754" t="str">
        <f t="shared" si="107"/>
        <v>FESP-MG5210</v>
      </c>
      <c r="E6754" t="s">
        <v>3055</v>
      </c>
    </row>
    <row r="6755" spans="1:5" x14ac:dyDescent="0.25">
      <c r="A6755">
        <v>4691</v>
      </c>
      <c r="B6755" t="s">
        <v>3376</v>
      </c>
      <c r="C6755" t="s">
        <v>3155</v>
      </c>
      <c r="D6755" t="str">
        <f t="shared" si="107"/>
        <v>FESP-MG5211</v>
      </c>
      <c r="E6755" t="s">
        <v>2944</v>
      </c>
    </row>
    <row r="6756" spans="1:5" x14ac:dyDescent="0.25">
      <c r="A6756">
        <v>4691</v>
      </c>
      <c r="B6756" t="s">
        <v>3376</v>
      </c>
      <c r="C6756" t="s">
        <v>3064</v>
      </c>
      <c r="D6756" t="str">
        <f t="shared" si="107"/>
        <v>FESP-MG5212</v>
      </c>
      <c r="E6756" t="s">
        <v>3055</v>
      </c>
    </row>
    <row r="6757" spans="1:5" x14ac:dyDescent="0.25">
      <c r="A6757">
        <v>4691</v>
      </c>
      <c r="B6757" t="s">
        <v>3376</v>
      </c>
      <c r="C6757" t="s">
        <v>385</v>
      </c>
      <c r="D6757" t="str">
        <f t="shared" si="107"/>
        <v>FESP-MG5213</v>
      </c>
      <c r="E6757" t="s">
        <v>3055</v>
      </c>
    </row>
    <row r="6758" spans="1:5" x14ac:dyDescent="0.25">
      <c r="A6758">
        <v>4691</v>
      </c>
      <c r="B6758" t="s">
        <v>3376</v>
      </c>
      <c r="C6758" t="s">
        <v>391</v>
      </c>
      <c r="D6758" t="str">
        <f t="shared" si="107"/>
        <v>FESP-MG5214</v>
      </c>
      <c r="E6758" t="s">
        <v>3055</v>
      </c>
    </row>
    <row r="6759" spans="1:5" x14ac:dyDescent="0.25">
      <c r="A6759">
        <v>4691</v>
      </c>
      <c r="B6759" t="s">
        <v>3376</v>
      </c>
      <c r="C6759" t="s">
        <v>409</v>
      </c>
      <c r="D6759" t="str">
        <f t="shared" si="107"/>
        <v>FESP-MG5217</v>
      </c>
      <c r="E6759" t="s">
        <v>3067</v>
      </c>
    </row>
    <row r="6760" spans="1:5" x14ac:dyDescent="0.25">
      <c r="A6760">
        <v>4691</v>
      </c>
      <c r="B6760" t="s">
        <v>3376</v>
      </c>
      <c r="C6760" t="s">
        <v>3068</v>
      </c>
      <c r="D6760" t="str">
        <f t="shared" si="107"/>
        <v>FESP-MG5220</v>
      </c>
      <c r="E6760" t="s">
        <v>3057</v>
      </c>
    </row>
    <row r="6761" spans="1:5" x14ac:dyDescent="0.25">
      <c r="A6761">
        <v>4691</v>
      </c>
      <c r="B6761" t="s">
        <v>3376</v>
      </c>
      <c r="C6761" t="s">
        <v>449</v>
      </c>
      <c r="D6761" t="str">
        <f t="shared" si="107"/>
        <v>FESP-MG5225</v>
      </c>
      <c r="E6761" t="s">
        <v>3055</v>
      </c>
    </row>
    <row r="6762" spans="1:5" x14ac:dyDescent="0.25">
      <c r="A6762">
        <v>4691</v>
      </c>
      <c r="B6762" t="s">
        <v>3376</v>
      </c>
      <c r="C6762" t="s">
        <v>3070</v>
      </c>
      <c r="D6762" t="str">
        <f t="shared" si="107"/>
        <v>FESP-MG5226</v>
      </c>
      <c r="E6762" t="s">
        <v>3055</v>
      </c>
    </row>
    <row r="6763" spans="1:5" x14ac:dyDescent="0.25">
      <c r="A6763">
        <v>4691</v>
      </c>
      <c r="B6763" t="s">
        <v>3376</v>
      </c>
      <c r="C6763" t="s">
        <v>3150</v>
      </c>
      <c r="D6763" t="str">
        <f t="shared" si="107"/>
        <v>FESP-MG5230</v>
      </c>
      <c r="E6763" t="s">
        <v>3055</v>
      </c>
    </row>
    <row r="6764" spans="1:5" x14ac:dyDescent="0.25">
      <c r="A6764">
        <v>4701</v>
      </c>
      <c r="B6764" t="s">
        <v>3377</v>
      </c>
      <c r="C6764" t="s">
        <v>2928</v>
      </c>
      <c r="D6764" t="str">
        <f t="shared" si="107"/>
        <v>FET-MG1401</v>
      </c>
      <c r="E6764" t="s">
        <v>44</v>
      </c>
    </row>
    <row r="6765" spans="1:5" x14ac:dyDescent="0.25">
      <c r="A6765">
        <v>4701</v>
      </c>
      <c r="B6765" t="s">
        <v>3377</v>
      </c>
      <c r="C6765" t="s">
        <v>333</v>
      </c>
      <c r="D6765" t="str">
        <f t="shared" si="107"/>
        <v>FET-MG3007</v>
      </c>
      <c r="E6765" t="s">
        <v>2933</v>
      </c>
    </row>
    <row r="6766" spans="1:5" x14ac:dyDescent="0.25">
      <c r="A6766">
        <v>4701</v>
      </c>
      <c r="B6766" t="s">
        <v>3377</v>
      </c>
      <c r="C6766" t="s">
        <v>2950</v>
      </c>
      <c r="D6766" t="str">
        <f t="shared" si="107"/>
        <v>FET-MG3016</v>
      </c>
      <c r="E6766" t="s">
        <v>2933</v>
      </c>
    </row>
    <row r="6767" spans="1:5" x14ac:dyDescent="0.25">
      <c r="A6767">
        <v>4701</v>
      </c>
      <c r="B6767" t="s">
        <v>3377</v>
      </c>
      <c r="C6767" t="s">
        <v>2975</v>
      </c>
      <c r="D6767" t="str">
        <f t="shared" si="107"/>
        <v>FET-MG3302</v>
      </c>
      <c r="E6767" t="s">
        <v>44</v>
      </c>
    </row>
    <row r="6768" spans="1:5" x14ac:dyDescent="0.25">
      <c r="A6768">
        <v>4701</v>
      </c>
      <c r="B6768" t="s">
        <v>3377</v>
      </c>
      <c r="C6768" t="s">
        <v>2977</v>
      </c>
      <c r="D6768" t="str">
        <f t="shared" si="107"/>
        <v>FET-MG3304</v>
      </c>
      <c r="E6768" t="s">
        <v>44</v>
      </c>
    </row>
    <row r="6769" spans="1:5" x14ac:dyDescent="0.25">
      <c r="A6769">
        <v>4701</v>
      </c>
      <c r="B6769" t="s">
        <v>3377</v>
      </c>
      <c r="C6769" t="s">
        <v>297</v>
      </c>
      <c r="D6769" t="str">
        <f t="shared" si="107"/>
        <v>FET-MG3604</v>
      </c>
      <c r="E6769" t="s">
        <v>44</v>
      </c>
    </row>
    <row r="6770" spans="1:5" x14ac:dyDescent="0.25">
      <c r="A6770">
        <v>4701</v>
      </c>
      <c r="B6770" t="s">
        <v>3377</v>
      </c>
      <c r="C6770" t="s">
        <v>2988</v>
      </c>
      <c r="D6770" t="str">
        <f t="shared" si="107"/>
        <v>FET-MG3903</v>
      </c>
      <c r="E6770" t="s">
        <v>2968</v>
      </c>
    </row>
    <row r="6771" spans="1:5" x14ac:dyDescent="0.25">
      <c r="A6771">
        <v>4701</v>
      </c>
      <c r="B6771" t="s">
        <v>3377</v>
      </c>
      <c r="C6771" t="s">
        <v>3020</v>
      </c>
      <c r="D6771" t="str">
        <f t="shared" si="107"/>
        <v>FET-MG3943</v>
      </c>
      <c r="E6771" t="s">
        <v>2958</v>
      </c>
    </row>
    <row r="6772" spans="1:5" x14ac:dyDescent="0.25">
      <c r="A6772">
        <v>4701</v>
      </c>
      <c r="B6772" t="s">
        <v>3377</v>
      </c>
      <c r="C6772" t="s">
        <v>3096</v>
      </c>
      <c r="D6772" t="str">
        <f t="shared" si="107"/>
        <v>FET-MG3949</v>
      </c>
      <c r="E6772" t="s">
        <v>3004</v>
      </c>
    </row>
    <row r="6773" spans="1:5" x14ac:dyDescent="0.25">
      <c r="A6773">
        <v>4701</v>
      </c>
      <c r="B6773" t="s">
        <v>3377</v>
      </c>
      <c r="C6773" t="s">
        <v>3098</v>
      </c>
      <c r="D6773" t="str">
        <f t="shared" si="107"/>
        <v>FET-MG3952</v>
      </c>
      <c r="E6773" t="s">
        <v>65</v>
      </c>
    </row>
    <row r="6774" spans="1:5" x14ac:dyDescent="0.25">
      <c r="A6774">
        <v>4701</v>
      </c>
      <c r="B6774" t="s">
        <v>3377</v>
      </c>
      <c r="C6774" t="s">
        <v>3102</v>
      </c>
      <c r="D6774" t="str">
        <f t="shared" si="107"/>
        <v>FET-MG3960</v>
      </c>
      <c r="E6774" t="s">
        <v>103</v>
      </c>
    </row>
    <row r="6775" spans="1:5" x14ac:dyDescent="0.25">
      <c r="A6775">
        <v>4701</v>
      </c>
      <c r="B6775" t="s">
        <v>3377</v>
      </c>
      <c r="C6775" t="s">
        <v>3043</v>
      </c>
      <c r="D6775" t="str">
        <f t="shared" si="107"/>
        <v>FET-MG4003</v>
      </c>
      <c r="E6775" t="s">
        <v>94</v>
      </c>
    </row>
    <row r="6776" spans="1:5" x14ac:dyDescent="0.25">
      <c r="A6776">
        <v>4711</v>
      </c>
      <c r="B6776" t="e">
        <v>#N/A</v>
      </c>
      <c r="C6776" t="s">
        <v>2928</v>
      </c>
      <c r="D6776" t="e">
        <f t="shared" si="107"/>
        <v>#N/A</v>
      </c>
      <c r="E6776" t="s">
        <v>44</v>
      </c>
    </row>
    <row r="6777" spans="1:5" x14ac:dyDescent="0.25">
      <c r="A6777">
        <v>4711</v>
      </c>
      <c r="B6777" t="e">
        <v>#N/A</v>
      </c>
      <c r="C6777" t="s">
        <v>2960</v>
      </c>
      <c r="D6777" t="e">
        <f t="shared" si="107"/>
        <v>#N/A</v>
      </c>
      <c r="E6777" t="s">
        <v>2958</v>
      </c>
    </row>
    <row r="6778" spans="1:5" x14ac:dyDescent="0.25">
      <c r="A6778">
        <v>4711</v>
      </c>
      <c r="B6778" t="e">
        <v>#N/A</v>
      </c>
      <c r="C6778" t="s">
        <v>2975</v>
      </c>
      <c r="D6778" t="e">
        <f t="shared" si="107"/>
        <v>#N/A</v>
      </c>
      <c r="E6778" t="s">
        <v>44</v>
      </c>
    </row>
    <row r="6779" spans="1:5" x14ac:dyDescent="0.25">
      <c r="A6779">
        <v>4711</v>
      </c>
      <c r="B6779" t="e">
        <v>#N/A</v>
      </c>
      <c r="C6779" t="s">
        <v>2977</v>
      </c>
      <c r="D6779" t="e">
        <f t="shared" si="107"/>
        <v>#N/A</v>
      </c>
      <c r="E6779" t="s">
        <v>44</v>
      </c>
    </row>
    <row r="6780" spans="1:5" x14ac:dyDescent="0.25">
      <c r="A6780">
        <v>4711</v>
      </c>
      <c r="B6780" t="e">
        <v>#N/A</v>
      </c>
      <c r="C6780" t="s">
        <v>3201</v>
      </c>
      <c r="D6780" t="e">
        <f t="shared" si="107"/>
        <v>#N/A</v>
      </c>
      <c r="E6780" t="s">
        <v>2968</v>
      </c>
    </row>
    <row r="6781" spans="1:5" x14ac:dyDescent="0.25">
      <c r="A6781">
        <v>4711</v>
      </c>
      <c r="B6781" t="e">
        <v>#N/A</v>
      </c>
      <c r="C6781" t="s">
        <v>2979</v>
      </c>
      <c r="D6781" t="e">
        <f t="shared" si="107"/>
        <v>#N/A</v>
      </c>
      <c r="E6781" t="s">
        <v>2968</v>
      </c>
    </row>
    <row r="6782" spans="1:5" x14ac:dyDescent="0.25">
      <c r="A6782">
        <v>4711</v>
      </c>
      <c r="B6782" t="e">
        <v>#N/A</v>
      </c>
      <c r="C6782" t="s">
        <v>3050</v>
      </c>
      <c r="D6782" t="e">
        <f t="shared" si="107"/>
        <v>#N/A</v>
      </c>
      <c r="E6782" t="s">
        <v>2981</v>
      </c>
    </row>
    <row r="6783" spans="1:5" x14ac:dyDescent="0.25">
      <c r="A6783">
        <v>4711</v>
      </c>
      <c r="B6783" t="e">
        <v>#N/A</v>
      </c>
      <c r="C6783" t="s">
        <v>2985</v>
      </c>
      <c r="D6783" t="e">
        <f t="shared" si="107"/>
        <v>#N/A</v>
      </c>
      <c r="E6783" t="s">
        <v>117</v>
      </c>
    </row>
    <row r="6784" spans="1:5" x14ac:dyDescent="0.25">
      <c r="A6784">
        <v>4711</v>
      </c>
      <c r="B6784" t="e">
        <v>#N/A</v>
      </c>
      <c r="C6784" t="s">
        <v>2986</v>
      </c>
      <c r="D6784" t="e">
        <f t="shared" si="107"/>
        <v>#N/A</v>
      </c>
      <c r="E6784" t="s">
        <v>117</v>
      </c>
    </row>
    <row r="6785" spans="1:5" x14ac:dyDescent="0.25">
      <c r="A6785">
        <v>4711</v>
      </c>
      <c r="B6785" t="e">
        <v>#N/A</v>
      </c>
      <c r="C6785" t="s">
        <v>384</v>
      </c>
      <c r="D6785" t="e">
        <f t="shared" si="107"/>
        <v>#N/A</v>
      </c>
      <c r="E6785" t="s">
        <v>2992</v>
      </c>
    </row>
    <row r="6786" spans="1:5" x14ac:dyDescent="0.25">
      <c r="A6786">
        <v>4711</v>
      </c>
      <c r="B6786" t="e">
        <v>#N/A</v>
      </c>
      <c r="C6786" t="s">
        <v>566</v>
      </c>
      <c r="D6786" t="e">
        <f t="shared" si="107"/>
        <v>#N/A</v>
      </c>
      <c r="E6786" t="s">
        <v>3004</v>
      </c>
    </row>
    <row r="6787" spans="1:5" x14ac:dyDescent="0.25">
      <c r="A6787">
        <v>4711</v>
      </c>
      <c r="B6787" t="e">
        <v>#N/A</v>
      </c>
      <c r="C6787" t="s">
        <v>480</v>
      </c>
      <c r="D6787" t="e">
        <f t="shared" si="107"/>
        <v>#N/A</v>
      </c>
      <c r="E6787" t="s">
        <v>2968</v>
      </c>
    </row>
    <row r="6788" spans="1:5" x14ac:dyDescent="0.25">
      <c r="A6788">
        <v>4711</v>
      </c>
      <c r="B6788" t="e">
        <v>#N/A</v>
      </c>
      <c r="C6788" t="s">
        <v>3098</v>
      </c>
      <c r="D6788" t="e">
        <f t="shared" si="107"/>
        <v>#N/A</v>
      </c>
      <c r="E6788" t="s">
        <v>65</v>
      </c>
    </row>
    <row r="6789" spans="1:5" x14ac:dyDescent="0.25">
      <c r="A6789">
        <v>4711</v>
      </c>
      <c r="B6789" t="e">
        <v>#N/A</v>
      </c>
      <c r="C6789" t="s">
        <v>3102</v>
      </c>
      <c r="D6789" t="e">
        <f t="shared" si="107"/>
        <v>#N/A</v>
      </c>
      <c r="E6789" t="s">
        <v>103</v>
      </c>
    </row>
    <row r="6790" spans="1:5" x14ac:dyDescent="0.25">
      <c r="A6790">
        <v>4711</v>
      </c>
      <c r="B6790" t="e">
        <v>#N/A</v>
      </c>
      <c r="C6790" t="s">
        <v>520</v>
      </c>
      <c r="D6790" t="e">
        <f t="shared" si="107"/>
        <v>#N/A</v>
      </c>
      <c r="E6790" t="s">
        <v>103</v>
      </c>
    </row>
    <row r="6791" spans="1:5" x14ac:dyDescent="0.25">
      <c r="A6791">
        <v>4711</v>
      </c>
      <c r="B6791" t="e">
        <v>#N/A</v>
      </c>
      <c r="C6791" t="s">
        <v>3040</v>
      </c>
      <c r="D6791" t="e">
        <f t="shared" si="107"/>
        <v>#N/A</v>
      </c>
      <c r="E6791" t="s">
        <v>2968</v>
      </c>
    </row>
    <row r="6792" spans="1:5" x14ac:dyDescent="0.25">
      <c r="A6792">
        <v>4711</v>
      </c>
      <c r="B6792" t="e">
        <v>#N/A</v>
      </c>
      <c r="C6792" t="s">
        <v>3041</v>
      </c>
      <c r="D6792" t="e">
        <f t="shared" si="107"/>
        <v>#N/A</v>
      </c>
      <c r="E6792" t="s">
        <v>3009</v>
      </c>
    </row>
    <row r="6793" spans="1:5" x14ac:dyDescent="0.25">
      <c r="A6793">
        <v>4711</v>
      </c>
      <c r="B6793" t="e">
        <v>#N/A</v>
      </c>
      <c r="C6793" t="s">
        <v>3043</v>
      </c>
      <c r="D6793" t="e">
        <f t="shared" ref="D6793:D6799" si="108">CONCATENATE(B6793,LEFT(C6793,4))</f>
        <v>#N/A</v>
      </c>
      <c r="E6793" t="s">
        <v>94</v>
      </c>
    </row>
    <row r="6794" spans="1:5" x14ac:dyDescent="0.25">
      <c r="A6794">
        <v>4711</v>
      </c>
      <c r="B6794" t="e">
        <v>#N/A</v>
      </c>
      <c r="C6794" t="s">
        <v>3045</v>
      </c>
      <c r="D6794" t="e">
        <f t="shared" si="108"/>
        <v>#N/A</v>
      </c>
      <c r="E6794" t="s">
        <v>3009</v>
      </c>
    </row>
    <row r="6795" spans="1:5" x14ac:dyDescent="0.25">
      <c r="A6795">
        <v>4711</v>
      </c>
      <c r="B6795" t="e">
        <v>#N/A</v>
      </c>
      <c r="C6795" t="s">
        <v>813</v>
      </c>
      <c r="D6795" t="e">
        <f t="shared" si="108"/>
        <v>#N/A</v>
      </c>
      <c r="E6795" t="s">
        <v>3057</v>
      </c>
    </row>
    <row r="6796" spans="1:5" x14ac:dyDescent="0.25">
      <c r="A6796">
        <v>4711</v>
      </c>
      <c r="B6796" t="e">
        <v>#N/A</v>
      </c>
      <c r="C6796" t="s">
        <v>3138</v>
      </c>
      <c r="D6796" t="e">
        <f t="shared" si="108"/>
        <v>#N/A</v>
      </c>
      <c r="E6796" t="s">
        <v>94</v>
      </c>
    </row>
    <row r="6797" spans="1:5" x14ac:dyDescent="0.25">
      <c r="A6797">
        <v>4711</v>
      </c>
      <c r="B6797" t="e">
        <v>#N/A</v>
      </c>
      <c r="C6797" t="s">
        <v>3058</v>
      </c>
      <c r="D6797" t="e">
        <f t="shared" si="108"/>
        <v>#N/A</v>
      </c>
      <c r="E6797" t="s">
        <v>3057</v>
      </c>
    </row>
    <row r="6798" spans="1:5" x14ac:dyDescent="0.25">
      <c r="A6798">
        <v>4711</v>
      </c>
      <c r="B6798" t="e">
        <v>#N/A</v>
      </c>
      <c r="C6798" t="s">
        <v>367</v>
      </c>
      <c r="D6798" t="e">
        <f t="shared" si="108"/>
        <v>#N/A</v>
      </c>
      <c r="E6798" t="s">
        <v>2968</v>
      </c>
    </row>
    <row r="6799" spans="1:5" x14ac:dyDescent="0.25">
      <c r="A6799">
        <v>4711</v>
      </c>
      <c r="B6799" t="e">
        <v>#N/A</v>
      </c>
      <c r="C6799" t="s">
        <v>3079</v>
      </c>
      <c r="D6799" t="e">
        <f t="shared" si="108"/>
        <v>#N/A</v>
      </c>
      <c r="E6799" t="s">
        <v>2968</v>
      </c>
    </row>
  </sheetData>
  <autoFilter ref="A1:E6799"/>
  <pageMargins left="0.511811024" right="0.511811024" top="0.78740157499999996" bottom="0.78740157499999996" header="0.31496062000000002" footer="0.3149606200000000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A2"/>
  <sheetViews>
    <sheetView workbookViewId="0">
      <selection activeCell="S7" sqref="S7"/>
    </sheetView>
  </sheetViews>
  <sheetFormatPr defaultRowHeight="15" x14ac:dyDescent="0.25"/>
  <cols>
    <col min="1" max="1" width="25" bestFit="1" customWidth="1"/>
  </cols>
  <sheetData>
    <row r="1" spans="1:1" x14ac:dyDescent="0.25">
      <c r="A1" t="s">
        <v>3378</v>
      </c>
    </row>
    <row r="2" spans="1:1" x14ac:dyDescent="0.25">
      <c r="A2" t="s">
        <v>3379</v>
      </c>
    </row>
  </sheetData>
  <pageMargins left="0.511811024" right="0.511811024" top="0.78740157499999996" bottom="0.78740157499999996" header="0.31496062000000002" footer="0.3149606200000000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S37"/>
  <sheetViews>
    <sheetView topLeftCell="K1" workbookViewId="0">
      <selection activeCell="S7" sqref="S7"/>
    </sheetView>
  </sheetViews>
  <sheetFormatPr defaultRowHeight="15" x14ac:dyDescent="0.25"/>
  <sheetData>
    <row r="1" spans="1:19" s="4" customFormat="1" x14ac:dyDescent="0.25">
      <c r="A1" s="3" t="s">
        <v>1707</v>
      </c>
      <c r="B1" s="3" t="s">
        <v>1708</v>
      </c>
      <c r="C1" s="3" t="s">
        <v>1709</v>
      </c>
      <c r="D1" s="3" t="s">
        <v>3380</v>
      </c>
      <c r="E1" s="3" t="s">
        <v>1732</v>
      </c>
      <c r="F1" s="3" t="s">
        <v>38</v>
      </c>
      <c r="G1" s="3" t="s">
        <v>1718</v>
      </c>
      <c r="H1" s="3" t="s">
        <v>1720</v>
      </c>
      <c r="I1" s="3" t="s">
        <v>1727</v>
      </c>
      <c r="J1" s="3" t="s">
        <v>1735</v>
      </c>
      <c r="K1" s="3" t="s">
        <v>1736</v>
      </c>
      <c r="L1" s="3" t="s">
        <v>1737</v>
      </c>
      <c r="M1" s="3" t="s">
        <v>1738</v>
      </c>
      <c r="N1" s="3" t="s">
        <v>1739</v>
      </c>
      <c r="O1" s="3" t="s">
        <v>1742</v>
      </c>
      <c r="P1" s="3" t="s">
        <v>1743</v>
      </c>
      <c r="Q1" s="3" t="s">
        <v>1753</v>
      </c>
      <c r="R1" s="4" t="s">
        <v>1719</v>
      </c>
      <c r="S1" s="4" t="s">
        <v>1721</v>
      </c>
    </row>
    <row r="2" spans="1:19" s="10" customFormat="1" x14ac:dyDescent="0.25">
      <c r="A2" s="8" t="s">
        <v>3381</v>
      </c>
      <c r="B2" s="8" t="s">
        <v>3381</v>
      </c>
      <c r="C2" s="8" t="s">
        <v>3382</v>
      </c>
      <c r="D2" s="8" t="s">
        <v>3381</v>
      </c>
      <c r="E2" s="8" t="s">
        <v>3383</v>
      </c>
      <c r="F2" s="8" t="s">
        <v>3381</v>
      </c>
      <c r="G2" s="8" t="s">
        <v>3381</v>
      </c>
      <c r="H2" s="8" t="s">
        <v>3384</v>
      </c>
      <c r="I2" s="8" t="s">
        <v>3381</v>
      </c>
      <c r="J2" s="8" t="s">
        <v>3385</v>
      </c>
      <c r="K2" s="8" t="s">
        <v>3386</v>
      </c>
      <c r="L2" s="8" t="s">
        <v>3381</v>
      </c>
      <c r="M2" s="8" t="s">
        <v>3387</v>
      </c>
      <c r="N2" s="8" t="s">
        <v>3388</v>
      </c>
      <c r="O2" s="8" t="s">
        <v>3388</v>
      </c>
      <c r="P2" s="8" t="s">
        <v>3388</v>
      </c>
      <c r="Q2" s="8" t="s">
        <v>3381</v>
      </c>
      <c r="R2" s="10" t="s">
        <v>3381</v>
      </c>
      <c r="S2" s="10" t="s">
        <v>3381</v>
      </c>
    </row>
    <row r="3" spans="1:19" x14ac:dyDescent="0.25">
      <c r="A3" s="8" t="s">
        <v>3388</v>
      </c>
      <c r="B3" s="8" t="s">
        <v>3388</v>
      </c>
      <c r="C3" s="8" t="s">
        <v>3388</v>
      </c>
      <c r="D3" s="8" t="s">
        <v>3388</v>
      </c>
      <c r="E3" s="8"/>
      <c r="F3" s="8" t="s">
        <v>3388</v>
      </c>
      <c r="G3" s="8" t="s">
        <v>3388</v>
      </c>
      <c r="H3" s="8" t="s">
        <v>3388</v>
      </c>
      <c r="I3" s="8" t="s">
        <v>3389</v>
      </c>
      <c r="J3" s="8" t="s">
        <v>3390</v>
      </c>
      <c r="K3" s="8" t="s">
        <v>3387</v>
      </c>
      <c r="L3" s="8" t="s">
        <v>3389</v>
      </c>
      <c r="M3" s="8" t="s">
        <v>3388</v>
      </c>
      <c r="N3" s="8" t="s">
        <v>3391</v>
      </c>
      <c r="Q3" s="8" t="s">
        <v>3392</v>
      </c>
      <c r="R3" s="8" t="s">
        <v>3382</v>
      </c>
      <c r="S3" s="8" t="s">
        <v>3393</v>
      </c>
    </row>
    <row r="4" spans="1:19" x14ac:dyDescent="0.25">
      <c r="A4" s="8"/>
      <c r="B4" s="9"/>
      <c r="D4" s="8" t="s">
        <v>3394</v>
      </c>
      <c r="F4" t="s">
        <v>3389</v>
      </c>
      <c r="H4" s="8" t="s">
        <v>3395</v>
      </c>
      <c r="I4" s="8" t="s">
        <v>3388</v>
      </c>
      <c r="K4" s="8" t="s">
        <v>3384</v>
      </c>
      <c r="L4" s="8" t="s">
        <v>3388</v>
      </c>
      <c r="M4" s="8" t="s">
        <v>3396</v>
      </c>
      <c r="N4" s="8" t="s">
        <v>3397</v>
      </c>
      <c r="Q4" s="8" t="s">
        <v>3389</v>
      </c>
      <c r="S4" t="s">
        <v>3385</v>
      </c>
    </row>
    <row r="5" spans="1:19" x14ac:dyDescent="0.25">
      <c r="A5" s="8"/>
      <c r="B5" s="9"/>
      <c r="D5" s="8" t="s">
        <v>3391</v>
      </c>
      <c r="H5" s="8" t="s">
        <v>3391</v>
      </c>
      <c r="K5" s="8" t="s">
        <v>3388</v>
      </c>
      <c r="M5" s="8" t="s">
        <v>3395</v>
      </c>
      <c r="Q5" s="8" t="s">
        <v>3388</v>
      </c>
    </row>
    <row r="6" spans="1:19" x14ac:dyDescent="0.25">
      <c r="A6" s="8"/>
      <c r="B6" s="9"/>
      <c r="D6" s="8" t="s">
        <v>3398</v>
      </c>
      <c r="K6" s="8" t="s">
        <v>3396</v>
      </c>
      <c r="M6" s="8" t="s">
        <v>3391</v>
      </c>
      <c r="Q6" s="8" t="s">
        <v>3385</v>
      </c>
    </row>
    <row r="7" spans="1:19" x14ac:dyDescent="0.25">
      <c r="A7" s="8"/>
      <c r="B7" s="9"/>
      <c r="D7" s="8" t="s">
        <v>3399</v>
      </c>
      <c r="K7" s="8" t="s">
        <v>3395</v>
      </c>
      <c r="Q7" s="8" t="s">
        <v>3390</v>
      </c>
    </row>
    <row r="8" spans="1:19" x14ac:dyDescent="0.25">
      <c r="A8" s="8"/>
      <c r="B8" s="9"/>
      <c r="D8" s="8" t="s">
        <v>3397</v>
      </c>
      <c r="K8" s="8" t="s">
        <v>3391</v>
      </c>
    </row>
    <row r="9" spans="1:19" x14ac:dyDescent="0.25">
      <c r="A9" s="8"/>
      <c r="B9" s="9"/>
      <c r="D9" s="8" t="s">
        <v>3400</v>
      </c>
    </row>
    <row r="10" spans="1:19" x14ac:dyDescent="0.25">
      <c r="A10" s="8"/>
      <c r="B10" s="9"/>
      <c r="D10" s="8" t="s">
        <v>3401</v>
      </c>
    </row>
    <row r="11" spans="1:19" x14ac:dyDescent="0.25">
      <c r="A11" s="8"/>
      <c r="B11" s="9"/>
    </row>
    <row r="12" spans="1:19" x14ac:dyDescent="0.25">
      <c r="A12" s="8"/>
      <c r="B12" s="9"/>
    </row>
    <row r="13" spans="1:19" x14ac:dyDescent="0.25">
      <c r="A13" s="8"/>
      <c r="B13" s="9"/>
    </row>
    <row r="14" spans="1:19" x14ac:dyDescent="0.25">
      <c r="A14" s="8"/>
      <c r="B14" s="9"/>
    </row>
    <row r="15" spans="1:19" x14ac:dyDescent="0.25">
      <c r="A15" s="8"/>
      <c r="B15" s="9"/>
    </row>
    <row r="16" spans="1:19" x14ac:dyDescent="0.25">
      <c r="A16" s="8"/>
      <c r="B16" s="9"/>
    </row>
    <row r="17" spans="1:2" x14ac:dyDescent="0.25">
      <c r="A17" s="8"/>
      <c r="B17" s="9"/>
    </row>
    <row r="18" spans="1:2" x14ac:dyDescent="0.25">
      <c r="A18" s="8"/>
      <c r="B18" s="9"/>
    </row>
    <row r="19" spans="1:2" x14ac:dyDescent="0.25">
      <c r="A19" s="8"/>
      <c r="B19" s="9"/>
    </row>
    <row r="20" spans="1:2" x14ac:dyDescent="0.25">
      <c r="A20" s="8"/>
      <c r="B20" s="9"/>
    </row>
    <row r="21" spans="1:2" x14ac:dyDescent="0.25">
      <c r="A21" s="8"/>
      <c r="B21" s="9"/>
    </row>
    <row r="22" spans="1:2" x14ac:dyDescent="0.25">
      <c r="A22" s="8"/>
      <c r="B22" s="9"/>
    </row>
    <row r="23" spans="1:2" x14ac:dyDescent="0.25">
      <c r="A23" s="8"/>
      <c r="B23" s="9"/>
    </row>
    <row r="24" spans="1:2" x14ac:dyDescent="0.25">
      <c r="A24" s="8"/>
      <c r="B24" s="9"/>
    </row>
    <row r="25" spans="1:2" x14ac:dyDescent="0.25">
      <c r="A25" s="8"/>
      <c r="B25" s="9"/>
    </row>
    <row r="26" spans="1:2" x14ac:dyDescent="0.25">
      <c r="A26" s="8"/>
      <c r="B26" s="9"/>
    </row>
    <row r="27" spans="1:2" x14ac:dyDescent="0.25">
      <c r="A27" s="8"/>
      <c r="B27" s="9"/>
    </row>
    <row r="28" spans="1:2" x14ac:dyDescent="0.25">
      <c r="A28" s="8"/>
      <c r="B28" s="9"/>
    </row>
    <row r="29" spans="1:2" x14ac:dyDescent="0.25">
      <c r="A29" s="8"/>
      <c r="B29" s="9"/>
    </row>
    <row r="30" spans="1:2" x14ac:dyDescent="0.25">
      <c r="A30" s="8"/>
      <c r="B30" s="9"/>
    </row>
    <row r="31" spans="1:2" x14ac:dyDescent="0.25">
      <c r="A31" s="8"/>
      <c r="B31" s="9"/>
    </row>
    <row r="32" spans="1:2" x14ac:dyDescent="0.25">
      <c r="A32" s="8"/>
      <c r="B32" s="9"/>
    </row>
    <row r="33" spans="1:2" x14ac:dyDescent="0.25">
      <c r="A33" s="8"/>
      <c r="B33" s="9"/>
    </row>
    <row r="34" spans="1:2" x14ac:dyDescent="0.25">
      <c r="A34" s="8"/>
      <c r="B34" s="9"/>
    </row>
    <row r="35" spans="1:2" x14ac:dyDescent="0.25">
      <c r="A35" s="8"/>
      <c r="B35" s="9"/>
    </row>
    <row r="36" spans="1:2" x14ac:dyDescent="0.25">
      <c r="A36" s="8"/>
      <c r="B36" s="9"/>
    </row>
    <row r="37" spans="1:2" x14ac:dyDescent="0.25">
      <c r="A37" s="8"/>
      <c r="B37" s="9"/>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b91e7f20-fe0a-487d-91a9-605ac1c64acf" xsi:nil="true"/>
    <lcf76f155ced4ddcb4097134ff3c332f xmlns="6f4338ef-addb-4c87-aefe-1895241b335f">
      <Terms xmlns="http://schemas.microsoft.com/office/infopath/2007/PartnerControls"/>
    </lcf76f155ced4ddcb4097134ff3c332f>
    <SharedWithUsers xmlns="b91e7f20-fe0a-487d-91a9-605ac1c64acf">
      <UserInfo>
        <DisplayName>Carlos Henrique de Oliveira Brochado (SEPLAG)</DisplayName>
        <AccountId>49</AccountId>
        <AccountType/>
      </UserInfo>
      <UserInfo>
        <DisplayName>Bruno Henrique de Oliveira Rosa (SEPLAG)</DisplayName>
        <AccountId>82</AccountId>
        <AccountType/>
      </UserInfo>
      <UserInfo>
        <DisplayName>Henrique de Souza Linhares (SEPLAG)</DisplayName>
        <AccountId>64</AccountId>
        <AccountType/>
      </UserInfo>
      <UserInfo>
        <DisplayName>Andrey Morais Labanca SEPLAG</DisplayName>
        <AccountId>179</AccountId>
        <AccountType/>
      </UserInfo>
      <UserInfo>
        <DisplayName>Francisco Alves de Oliveira Júnior (SEPLAG)</DisplayName>
        <AccountId>146</AccountId>
        <AccountType/>
      </UserInfo>
      <UserInfo>
        <DisplayName>Andrea Regina Do Carmo (SEPLAG)</DisplayName>
        <AccountId>90</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B08D58FADB61F04EBBB4F355C06EFBED" ma:contentTypeVersion="19" ma:contentTypeDescription="Crie um novo documento." ma:contentTypeScope="" ma:versionID="7797dc5feb179b4da55a9ebddd321181">
  <xsd:schema xmlns:xsd="http://www.w3.org/2001/XMLSchema" xmlns:xs="http://www.w3.org/2001/XMLSchema" xmlns:p="http://schemas.microsoft.com/office/2006/metadata/properties" xmlns:ns2="6f4338ef-addb-4c87-aefe-1895241b335f" xmlns:ns3="b91e7f20-fe0a-487d-91a9-605ac1c64acf" targetNamespace="http://schemas.microsoft.com/office/2006/metadata/properties" ma:root="true" ma:fieldsID="90078f443198b6d5c0fd169535a443b9" ns2:_="" ns3:_="">
    <xsd:import namespace="6f4338ef-addb-4c87-aefe-1895241b335f"/>
    <xsd:import namespace="b91e7f20-fe0a-487d-91a9-605ac1c64ac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2:MediaServiceDateTaken" minOccurs="0"/>
                <xsd:element ref="ns2:MediaLengthInSeconds"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4338ef-addb-4c87-aefe-1895241b33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Marcações de imagem" ma:readOnly="false" ma:fieldId="{5cf76f15-5ced-4ddc-b409-7134ff3c332f}" ma:taxonomyMulti="true" ma:sspId="917d32f3-4fa4-4f5b-a8d0-62dbd3d265b9"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description="" ma:indexed="true"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91e7f20-fe0a-487d-91a9-605ac1c64acf"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element name="TaxCatchAll" ma:index="20" nillable="true" ma:displayName="Taxonomy Catch All Column" ma:hidden="true" ma:list="{98708050-f001-4dcd-9fe1-c60e835c33fc}" ma:internalName="TaxCatchAll" ma:showField="CatchAllData" ma:web="b91e7f20-fe0a-487d-91a9-605ac1c64a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174AC47-91D3-42B6-AA6E-86C16E8F23BF}">
  <ds:schemaRefs>
    <ds:schemaRef ds:uri="http://schemas.microsoft.com/sharepoint/v3/contenttype/forms"/>
  </ds:schemaRefs>
</ds:datastoreItem>
</file>

<file path=customXml/itemProps2.xml><?xml version="1.0" encoding="utf-8"?>
<ds:datastoreItem xmlns:ds="http://schemas.openxmlformats.org/officeDocument/2006/customXml" ds:itemID="{0F30BC36-BB9F-45A2-AF0E-C45953D37D4A}">
  <ds:schemaRefs>
    <ds:schemaRef ds:uri="http://schemas.microsoft.com/office/2006/metadata/properties"/>
    <ds:schemaRef ds:uri="http://schemas.microsoft.com/office/infopath/2007/PartnerControls"/>
    <ds:schemaRef ds:uri="b91e7f20-fe0a-487d-91a9-605ac1c64acf"/>
    <ds:schemaRef ds:uri="6f4338ef-addb-4c87-aefe-1895241b335f"/>
  </ds:schemaRefs>
</ds:datastoreItem>
</file>

<file path=customXml/itemProps3.xml><?xml version="1.0" encoding="utf-8"?>
<ds:datastoreItem xmlns:ds="http://schemas.openxmlformats.org/officeDocument/2006/customXml" ds:itemID="{B1CC745E-D598-454F-A957-BDA9A386DD7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4338ef-addb-4c87-aefe-1895241b335f"/>
    <ds:schemaRef ds:uri="b91e7f20-fe0a-487d-91a9-605ac1c64a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14</vt:i4>
      </vt:variant>
      <vt:variant>
        <vt:lpstr>Intervalos nomeados</vt:lpstr>
      </vt:variant>
      <vt:variant>
        <vt:i4>341</vt:i4>
      </vt:variant>
    </vt:vector>
  </HeadingPairs>
  <TitlesOfParts>
    <vt:vector size="355" baseType="lpstr">
      <vt:lpstr>INDICE</vt:lpstr>
      <vt:lpstr>BASE OBZ - EXEMPLO</vt:lpstr>
      <vt:lpstr>EXEMPLO PREENCHIMENTO OBZ</vt:lpstr>
      <vt:lpstr>PONTOS IMPORTANTES</vt:lpstr>
      <vt:lpstr>ELEMENTO</vt:lpstr>
      <vt:lpstr>DECRETO DIÁRIAS</vt:lpstr>
      <vt:lpstr>BASE OBZ</vt:lpstr>
      <vt:lpstr>ORGANOGRAMA</vt:lpstr>
      <vt:lpstr>CENÁRIO</vt:lpstr>
      <vt:lpstr>VALIDACAO</vt:lpstr>
      <vt:lpstr>AÇÕES E PROGRAMAS</vt:lpstr>
      <vt:lpstr>AGRUPAMENTO</vt:lpstr>
      <vt:lpstr>FONTE 2.0</vt:lpstr>
      <vt:lpstr>FONTE 1.0</vt:lpstr>
      <vt:lpstr>AGEPROG</vt:lpstr>
      <vt:lpstr>ARMBHPROG</vt:lpstr>
      <vt:lpstr>ARMVAPROG</vt:lpstr>
      <vt:lpstr>ARSAEPROG</vt:lpstr>
      <vt:lpstr>ARTEMIGPROG</vt:lpstr>
      <vt:lpstr>CBMMGPROG</vt:lpstr>
      <vt:lpstr>CGEPROG</vt:lpstr>
      <vt:lpstr>DERPROG</vt:lpstr>
      <vt:lpstr>EAGE</vt:lpstr>
      <vt:lpstr>EGMG</vt:lpstr>
      <vt:lpstr>ELEMENTO</vt:lpstr>
      <vt:lpstr>EMATERPROG</vt:lpstr>
      <vt:lpstr>EMCPROG</vt:lpstr>
      <vt:lpstr>EOGE</vt:lpstr>
      <vt:lpstr>EPAMIGPROG</vt:lpstr>
      <vt:lpstr>EPMMG</vt:lpstr>
      <vt:lpstr>ESEAPA</vt:lpstr>
      <vt:lpstr>ESEDE</vt:lpstr>
      <vt:lpstr>ESEE</vt:lpstr>
      <vt:lpstr>ESEF</vt:lpstr>
      <vt:lpstr>ESPMGPROG</vt:lpstr>
      <vt:lpstr>FAOPPROG</vt:lpstr>
      <vt:lpstr>FAPEMIGPROG</vt:lpstr>
      <vt:lpstr>FCSPROG</vt:lpstr>
      <vt:lpstr>FDMPROG</vt:lpstr>
      <vt:lpstr>FEAMPROG</vt:lpstr>
      <vt:lpstr>FEASPROG</vt:lpstr>
      <vt:lpstr>FESPROG</vt:lpstr>
      <vt:lpstr>FGPPROG</vt:lpstr>
      <vt:lpstr>FHAPROG</vt:lpstr>
      <vt:lpstr>FHEMIGPROG</vt:lpstr>
      <vt:lpstr>FHIDROPROG</vt:lpstr>
      <vt:lpstr>FJPPROG</vt:lpstr>
      <vt:lpstr>FONTEARMBH</vt:lpstr>
      <vt:lpstr>FONTEARMVA</vt:lpstr>
      <vt:lpstr>FONTEARSAE</vt:lpstr>
      <vt:lpstr>FONTEDER</vt:lpstr>
      <vt:lpstr>FONTEFAOP</vt:lpstr>
      <vt:lpstr>FONTEFCS</vt:lpstr>
      <vt:lpstr>FONTEFDM</vt:lpstr>
      <vt:lpstr>FONTEFEAM</vt:lpstr>
      <vt:lpstr>FONTEFEAS</vt:lpstr>
      <vt:lpstr>FONTEFJP</vt:lpstr>
      <vt:lpstr>FONTEFUNTRANS</vt:lpstr>
      <vt:lpstr>FONTEIDENE</vt:lpstr>
      <vt:lpstr>FONTEIEF</vt:lpstr>
      <vt:lpstr>FONTEIEPHA</vt:lpstr>
      <vt:lpstr>FONTEIGAM</vt:lpstr>
      <vt:lpstr>FONTEIMA</vt:lpstr>
      <vt:lpstr>FONTEJUCEMG</vt:lpstr>
      <vt:lpstr>FONTELEMG</vt:lpstr>
      <vt:lpstr>FONTESEDESE</vt:lpstr>
      <vt:lpstr>FPPPROG</vt:lpstr>
      <vt:lpstr>FUCAMPROG</vt:lpstr>
      <vt:lpstr>FUNAPECPROG</vt:lpstr>
      <vt:lpstr>FUNEDPROG</vt:lpstr>
      <vt:lpstr>FUNTRANSPROG</vt:lpstr>
      <vt:lpstr>GMGPROG</vt:lpstr>
      <vt:lpstr>HEMOMINASPROG</vt:lpstr>
      <vt:lpstr>IDENEPROG</vt:lpstr>
      <vt:lpstr>IEFPROG</vt:lpstr>
      <vt:lpstr>IEPHAPROG</vt:lpstr>
      <vt:lpstr>IGAMPROG</vt:lpstr>
      <vt:lpstr>IMAPROG</vt:lpstr>
      <vt:lpstr>IPSEMGPROG</vt:lpstr>
      <vt:lpstr>IPSMPROG</vt:lpstr>
      <vt:lpstr>JUCEMGPROG</vt:lpstr>
      <vt:lpstr>LEMGPROG</vt:lpstr>
      <vt:lpstr>OGEPROG</vt:lpstr>
      <vt:lpstr>P000GMG</vt:lpstr>
      <vt:lpstr>P001CGE</vt:lpstr>
      <vt:lpstr>P002CGE</vt:lpstr>
      <vt:lpstr>P003CGE</vt:lpstr>
      <vt:lpstr>P004CGE</vt:lpstr>
      <vt:lpstr>P005FCS</vt:lpstr>
      <vt:lpstr>P005FUCAM</vt:lpstr>
      <vt:lpstr>P005SCC</vt:lpstr>
      <vt:lpstr>P005SEDESE</vt:lpstr>
      <vt:lpstr>P005SEE</vt:lpstr>
      <vt:lpstr>P006IPSM</vt:lpstr>
      <vt:lpstr>P007UNIMONTES</vt:lpstr>
      <vt:lpstr>P008IPSM</vt:lpstr>
      <vt:lpstr>P010ARSAE</vt:lpstr>
      <vt:lpstr>P011SEC.GERAL</vt:lpstr>
      <vt:lpstr>P015EPAMIG</vt:lpstr>
      <vt:lpstr>P016EPAMIG</vt:lpstr>
      <vt:lpstr>P018SECOM</vt:lpstr>
      <vt:lpstr>P019FHEMIG</vt:lpstr>
      <vt:lpstr>P021FHIDRO</vt:lpstr>
      <vt:lpstr>P021SEMAD</vt:lpstr>
      <vt:lpstr>P022FAPEMIG</vt:lpstr>
      <vt:lpstr>P023SEDESE</vt:lpstr>
      <vt:lpstr>P025SEMAD</vt:lpstr>
      <vt:lpstr>P026UEMG</vt:lpstr>
      <vt:lpstr>P027FHIDRO</vt:lpstr>
      <vt:lpstr>P027SEMAD</vt:lpstr>
      <vt:lpstr>P028ESPMG</vt:lpstr>
      <vt:lpstr>P029JUCEMG</vt:lpstr>
      <vt:lpstr>P031FHIDRO</vt:lpstr>
      <vt:lpstr>P031IEF</vt:lpstr>
      <vt:lpstr>P032PCMG</vt:lpstr>
      <vt:lpstr>P033SEF</vt:lpstr>
      <vt:lpstr>P034GMG</vt:lpstr>
      <vt:lpstr>P036PCMG</vt:lpstr>
      <vt:lpstr>P037PCMG</vt:lpstr>
      <vt:lpstr>P038SEF</vt:lpstr>
      <vt:lpstr>P039IPSEMG</vt:lpstr>
      <vt:lpstr>P040FEAM</vt:lpstr>
      <vt:lpstr>P041FEAM</vt:lpstr>
      <vt:lpstr>P042FHA</vt:lpstr>
      <vt:lpstr>P043AGE</vt:lpstr>
      <vt:lpstr>P043SEE</vt:lpstr>
      <vt:lpstr>P044AGE</vt:lpstr>
      <vt:lpstr>P045SEF</vt:lpstr>
      <vt:lpstr>P046GMG</vt:lpstr>
      <vt:lpstr>P046IEF</vt:lpstr>
      <vt:lpstr>P046PMMG</vt:lpstr>
      <vt:lpstr>P047CBMMG</vt:lpstr>
      <vt:lpstr>P047DER</vt:lpstr>
      <vt:lpstr>P047GMG</vt:lpstr>
      <vt:lpstr>P047IGAM</vt:lpstr>
      <vt:lpstr>P047SEINFRA</vt:lpstr>
      <vt:lpstr>P048GMG</vt:lpstr>
      <vt:lpstr>P048PMMG</vt:lpstr>
      <vt:lpstr>P049GMG</vt:lpstr>
      <vt:lpstr>P050GMG</vt:lpstr>
      <vt:lpstr>P051FHA</vt:lpstr>
      <vt:lpstr>P052CBMMG</vt:lpstr>
      <vt:lpstr>P053CBMMG</vt:lpstr>
      <vt:lpstr>P054OGE</vt:lpstr>
      <vt:lpstr>P055OGE</vt:lpstr>
      <vt:lpstr>P056IDENE</vt:lpstr>
      <vt:lpstr>P056SEDE</vt:lpstr>
      <vt:lpstr>P058FES</vt:lpstr>
      <vt:lpstr>P059FES</vt:lpstr>
      <vt:lpstr>P060FES</vt:lpstr>
      <vt:lpstr>P061FES</vt:lpstr>
      <vt:lpstr>P062FES</vt:lpstr>
      <vt:lpstr>P063FES</vt:lpstr>
      <vt:lpstr>P064FES</vt:lpstr>
      <vt:lpstr>P065FHIDRO</vt:lpstr>
      <vt:lpstr>P065IGAM</vt:lpstr>
      <vt:lpstr>P066SEDESE</vt:lpstr>
      <vt:lpstr>P067SEDESE</vt:lpstr>
      <vt:lpstr>P067UTRAMIG</vt:lpstr>
      <vt:lpstr>P068FES</vt:lpstr>
      <vt:lpstr>P068SEDESE</vt:lpstr>
      <vt:lpstr>P069SEDESE</vt:lpstr>
      <vt:lpstr>P070SEDESE</vt:lpstr>
      <vt:lpstr>P071FEAS</vt:lpstr>
      <vt:lpstr>P071SEDESE</vt:lpstr>
      <vt:lpstr>P073SEDESE</vt:lpstr>
      <vt:lpstr>P074SEDESE</vt:lpstr>
      <vt:lpstr>P075FHA</vt:lpstr>
      <vt:lpstr>P076FHA</vt:lpstr>
      <vt:lpstr>P077ARMBH</vt:lpstr>
      <vt:lpstr>P077ARMVA</vt:lpstr>
      <vt:lpstr>P077FDM</vt:lpstr>
      <vt:lpstr>P078IMA</vt:lpstr>
      <vt:lpstr>P080IMA</vt:lpstr>
      <vt:lpstr>P081DER</vt:lpstr>
      <vt:lpstr>P081SEINFRA</vt:lpstr>
      <vt:lpstr>P082FUNTRANS</vt:lpstr>
      <vt:lpstr>P083FEAS</vt:lpstr>
      <vt:lpstr>P083SEDESE</vt:lpstr>
      <vt:lpstr>P084SEDESE</vt:lpstr>
      <vt:lpstr>P085ARTEMIG</vt:lpstr>
      <vt:lpstr>P085FGP</vt:lpstr>
      <vt:lpstr>P085FPP</vt:lpstr>
      <vt:lpstr>P085SEINFRA</vt:lpstr>
      <vt:lpstr>P086SEDESE</vt:lpstr>
      <vt:lpstr>P087HEMOMINAS</vt:lpstr>
      <vt:lpstr>P088IPSEMG</vt:lpstr>
      <vt:lpstr>P089FHA</vt:lpstr>
      <vt:lpstr>P090EMATER</vt:lpstr>
      <vt:lpstr>P091FJP</vt:lpstr>
      <vt:lpstr>P093FJP</vt:lpstr>
      <vt:lpstr>P095FJP</vt:lpstr>
      <vt:lpstr>P096FJP</vt:lpstr>
      <vt:lpstr>P097EMATER</vt:lpstr>
      <vt:lpstr>P099SEINFRA</vt:lpstr>
      <vt:lpstr>P100SECULT</vt:lpstr>
      <vt:lpstr>P102EMC</vt:lpstr>
      <vt:lpstr>P102FAOP</vt:lpstr>
      <vt:lpstr>P102FCS</vt:lpstr>
      <vt:lpstr>P102IEPHA</vt:lpstr>
      <vt:lpstr>P102SECULT</vt:lpstr>
      <vt:lpstr>P103FAOP</vt:lpstr>
      <vt:lpstr>P103FCS</vt:lpstr>
      <vt:lpstr>P103IEPHA</vt:lpstr>
      <vt:lpstr>P103SECULT</vt:lpstr>
      <vt:lpstr>P104FUCAM</vt:lpstr>
      <vt:lpstr>P105FAOP</vt:lpstr>
      <vt:lpstr>P105FCS</vt:lpstr>
      <vt:lpstr>P105IEPHA</vt:lpstr>
      <vt:lpstr>P105SECULT</vt:lpstr>
      <vt:lpstr>P106FAOP</vt:lpstr>
      <vt:lpstr>P106IEPHA</vt:lpstr>
      <vt:lpstr>P106SECULT</vt:lpstr>
      <vt:lpstr>P108EMATER</vt:lpstr>
      <vt:lpstr>P108IMA</vt:lpstr>
      <vt:lpstr>P108SEAPA</vt:lpstr>
      <vt:lpstr>P109SEGOV</vt:lpstr>
      <vt:lpstr>P110EMATER</vt:lpstr>
      <vt:lpstr>P110SEAPA</vt:lpstr>
      <vt:lpstr>P111SEAPA</vt:lpstr>
      <vt:lpstr>P112IMA</vt:lpstr>
      <vt:lpstr>P112SEAPA</vt:lpstr>
      <vt:lpstr>P113SEAPA</vt:lpstr>
      <vt:lpstr>P114SEAPA</vt:lpstr>
      <vt:lpstr>P115SEGOV</vt:lpstr>
      <vt:lpstr>P116SEAPA</vt:lpstr>
      <vt:lpstr>P117SEINFRA</vt:lpstr>
      <vt:lpstr>P118IMA</vt:lpstr>
      <vt:lpstr>P118SEAPA</vt:lpstr>
      <vt:lpstr>P119SEGOV</vt:lpstr>
      <vt:lpstr>P120SEGOV</vt:lpstr>
      <vt:lpstr>P121EMC</vt:lpstr>
      <vt:lpstr>P121TVMINAS</vt:lpstr>
      <vt:lpstr>P122SEGOV</vt:lpstr>
      <vt:lpstr>P124IDENE</vt:lpstr>
      <vt:lpstr>P125ARMVA</vt:lpstr>
      <vt:lpstr>P125SEDE</vt:lpstr>
      <vt:lpstr>P126LEMG</vt:lpstr>
      <vt:lpstr>P128SEINFRA</vt:lpstr>
      <vt:lpstr>P129SEJUSP</vt:lpstr>
      <vt:lpstr>P130SEJUSP</vt:lpstr>
      <vt:lpstr>P131SCC</vt:lpstr>
      <vt:lpstr>P132SEDE</vt:lpstr>
      <vt:lpstr>P133SEDE</vt:lpstr>
      <vt:lpstr>P134SEJUSP</vt:lpstr>
      <vt:lpstr>P135PMMG</vt:lpstr>
      <vt:lpstr>P136PMMG</vt:lpstr>
      <vt:lpstr>P137PMMG</vt:lpstr>
      <vt:lpstr>P138FUNAPEC</vt:lpstr>
      <vt:lpstr>P138IPSEMG</vt:lpstr>
      <vt:lpstr>P141SEJUSP</vt:lpstr>
      <vt:lpstr>P143FAPEMIG</vt:lpstr>
      <vt:lpstr>P143SEDE</vt:lpstr>
      <vt:lpstr>P146SEJUSP</vt:lpstr>
      <vt:lpstr>P147SEPLAG</vt:lpstr>
      <vt:lpstr>P148SEDESE</vt:lpstr>
      <vt:lpstr>P149SEPLAG</vt:lpstr>
      <vt:lpstr>P150FUNED</vt:lpstr>
      <vt:lpstr>P151SEPLAG</vt:lpstr>
      <vt:lpstr>P152FUNED</vt:lpstr>
      <vt:lpstr>P153FUNED</vt:lpstr>
      <vt:lpstr>P154FUNED</vt:lpstr>
      <vt:lpstr>P155SEPLAG</vt:lpstr>
      <vt:lpstr>P156SEPLAG</vt:lpstr>
      <vt:lpstr>P157SEPLAG</vt:lpstr>
      <vt:lpstr>P159SEPLAG</vt:lpstr>
      <vt:lpstr>P160SEPLAG</vt:lpstr>
      <vt:lpstr>P161SEPLAG</vt:lpstr>
      <vt:lpstr>P162SEE</vt:lpstr>
      <vt:lpstr>P163FHA</vt:lpstr>
      <vt:lpstr>P163SEE</vt:lpstr>
      <vt:lpstr>P164SEE</vt:lpstr>
      <vt:lpstr>P165SEE</vt:lpstr>
      <vt:lpstr>P166FES</vt:lpstr>
      <vt:lpstr>P167SEE</vt:lpstr>
      <vt:lpstr>P168SEE</vt:lpstr>
      <vt:lpstr>P169SEE</vt:lpstr>
      <vt:lpstr>P170SEE</vt:lpstr>
      <vt:lpstr>P172SEE</vt:lpstr>
      <vt:lpstr>P705AGE</vt:lpstr>
      <vt:lpstr>P705ARMBH</vt:lpstr>
      <vt:lpstr>P705ARMVA</vt:lpstr>
      <vt:lpstr>P705ARSAE</vt:lpstr>
      <vt:lpstr>P705CBMMG</vt:lpstr>
      <vt:lpstr>P705CGE</vt:lpstr>
      <vt:lpstr>P705DER</vt:lpstr>
      <vt:lpstr>P705EMATER</vt:lpstr>
      <vt:lpstr>P705EMC</vt:lpstr>
      <vt:lpstr>P705EPAMIG</vt:lpstr>
      <vt:lpstr>P705ESPMG</vt:lpstr>
      <vt:lpstr>P705FAOP</vt:lpstr>
      <vt:lpstr>P705FAPEMIG</vt:lpstr>
      <vt:lpstr>P705FCS</vt:lpstr>
      <vt:lpstr>P705FEAM</vt:lpstr>
      <vt:lpstr>P705FES</vt:lpstr>
      <vt:lpstr>P705FHA</vt:lpstr>
      <vt:lpstr>P705FHEMIG</vt:lpstr>
      <vt:lpstr>P705FHIDRO</vt:lpstr>
      <vt:lpstr>P705FJP</vt:lpstr>
      <vt:lpstr>P705FUCAM</vt:lpstr>
      <vt:lpstr>P705FUNAPEC</vt:lpstr>
      <vt:lpstr>P705FUNED</vt:lpstr>
      <vt:lpstr>P705FUNTRANS</vt:lpstr>
      <vt:lpstr>P705GMG</vt:lpstr>
      <vt:lpstr>P705HEMOMINAS</vt:lpstr>
      <vt:lpstr>P705IDENE</vt:lpstr>
      <vt:lpstr>P705IEF</vt:lpstr>
      <vt:lpstr>P705IEPHA</vt:lpstr>
      <vt:lpstr>P705IGAM</vt:lpstr>
      <vt:lpstr>P705IMA</vt:lpstr>
      <vt:lpstr>P705IPSEMG</vt:lpstr>
      <vt:lpstr>P705IPSM</vt:lpstr>
      <vt:lpstr>P705JUCEMG</vt:lpstr>
      <vt:lpstr>P705LEMG</vt:lpstr>
      <vt:lpstr>P705OGE</vt:lpstr>
      <vt:lpstr>P705PCMG</vt:lpstr>
      <vt:lpstr>P705PMMG</vt:lpstr>
      <vt:lpstr>P705SCC</vt:lpstr>
      <vt:lpstr>P705SEAPA</vt:lpstr>
      <vt:lpstr>P705SEC.GERAL</vt:lpstr>
      <vt:lpstr>P705SECOM</vt:lpstr>
      <vt:lpstr>P705SECULT</vt:lpstr>
      <vt:lpstr>P705SEDE</vt:lpstr>
      <vt:lpstr>P705SEDESE</vt:lpstr>
      <vt:lpstr>P705SEF</vt:lpstr>
      <vt:lpstr>P705SEGOV</vt:lpstr>
      <vt:lpstr>P705SEINFRA</vt:lpstr>
      <vt:lpstr>P705SEJUSP</vt:lpstr>
      <vt:lpstr>P705SEMAD</vt:lpstr>
      <vt:lpstr>P705SEPLAG</vt:lpstr>
      <vt:lpstr>P705TVMINAS</vt:lpstr>
      <vt:lpstr>P705UEMG</vt:lpstr>
      <vt:lpstr>P705UNIMONTES</vt:lpstr>
      <vt:lpstr>P705UTRAMIG</vt:lpstr>
      <vt:lpstr>PCMGPROG</vt:lpstr>
      <vt:lpstr>PMMGPROG</vt:lpstr>
      <vt:lpstr>SCCPROG</vt:lpstr>
      <vt:lpstr>SEAPAPROG</vt:lpstr>
      <vt:lpstr>SEC.GERALPROG</vt:lpstr>
      <vt:lpstr>SECOMPROG</vt:lpstr>
      <vt:lpstr>SECULTPROG</vt:lpstr>
      <vt:lpstr>SEDEPROG</vt:lpstr>
      <vt:lpstr>SEDESEPROG</vt:lpstr>
      <vt:lpstr>SEEPROG</vt:lpstr>
      <vt:lpstr>SEFPROG</vt:lpstr>
      <vt:lpstr>SEGOVPROG</vt:lpstr>
      <vt:lpstr>SEINFRAPROG</vt:lpstr>
      <vt:lpstr>SEJUSPPROG</vt:lpstr>
      <vt:lpstr>SEJUSPROG</vt:lpstr>
      <vt:lpstr>SEMADPROG</vt:lpstr>
      <vt:lpstr>SEPLAGPROG</vt:lpstr>
      <vt:lpstr>TVMINASPROG</vt:lpstr>
      <vt:lpstr>UEMGPROG</vt:lpstr>
      <vt:lpstr>UNIMONTESPROG</vt:lpstr>
      <vt:lpstr>UTRAMIGPROG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Mariana Marcatto</dc:creator>
  <cp:keywords/>
  <dc:description/>
  <cp:lastModifiedBy>Guilherme de Melo Ferreira</cp:lastModifiedBy>
  <cp:revision/>
  <dcterms:created xsi:type="dcterms:W3CDTF">2021-04-22T16:53:51Z</dcterms:created>
  <dcterms:modified xsi:type="dcterms:W3CDTF">2025-08-20T17:01:28Z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0x010100B08D58FADB61F04EBBB4F355C06EFBED</vt:lpwstr>
  </property>
  <property fmtid="{D5CDD505-2E9C-101B-9397-08002B2CF9AE}" pid="3" name="MediaServiceImageTags">
    <vt:lpwstr/>
  </property>
</Properties>
</file>